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013494\Downloads\"/>
    </mc:Choice>
  </mc:AlternateContent>
  <xr:revisionPtr revIDLastSave="0" documentId="8_{DB23DD32-E7A8-4F85-A89F-CF56CF4599A1}" xr6:coauthVersionLast="47" xr6:coauthVersionMax="47" xr10:uidLastSave="{00000000-0000-0000-0000-000000000000}"/>
  <bookViews>
    <workbookView xWindow="28680" yWindow="-120" windowWidth="29040" windowHeight="15720" tabRatio="849" xr2:uid="{00000000-000D-0000-FFFF-FFFF00000000}"/>
  </bookViews>
  <sheets>
    <sheet name="Template" sheetId="1" r:id="rId1"/>
    <sheet name="市場監控 " sheetId="23" r:id="rId2"/>
    <sheet name="重點發行人" sheetId="30" r:id="rId3"/>
    <sheet name="NI" sheetId="26" r:id="rId4"/>
    <sheet name="ECO" sheetId="20" r:id="rId5"/>
    <sheet name="TFLO" sheetId="28" r:id="rId6"/>
    <sheet name="TACT" sheetId="29" r:id="rId7"/>
    <sheet name="Yield" sheetId="21" r:id="rId8"/>
    <sheet name="Comment_page" sheetId="11" r:id="rId9"/>
    <sheet name="BBG" sheetId="2" r:id="rId10"/>
    <sheet name="Quiz" sheetId="5" r:id="rId11"/>
    <sheet name="Companies Profile" sheetId="7" r:id="rId12"/>
    <sheet name="EN-CN" sheetId="15" r:id="rId13"/>
    <sheet name="工作表1" sheetId="24" r:id="rId14"/>
    <sheet name="Quiz_old" sheetId="19" r:id="rId15"/>
  </sheets>
  <externalReferences>
    <externalReference r:id="rId16"/>
    <externalReference r:id="rId17"/>
  </externalReferences>
  <definedNames>
    <definedName name="_xlnm._FilterDatabase" localSheetId="11" hidden="1">'Companies Profile'!$A$1:$F$1</definedName>
    <definedName name="_xlnm._FilterDatabase" localSheetId="12" hidden="1">'EN-CN'!$A$1:$B$74</definedName>
    <definedName name="_xlnm._FilterDatabase" localSheetId="6" hidden="1">TACT!$I$1:$AH$2501</definedName>
    <definedName name="_xlnm._FilterDatabase" localSheetId="0" hidden="1">Template!$S$5:$AC$6</definedName>
    <definedName name="_xlnm._FilterDatabase" localSheetId="1" hidden="1">'市場監控 '!$E$1:$BB$230</definedName>
    <definedName name="_xlnm._FilterDatabase" localSheetId="2" hidden="1">重點發行人!$A$4:$Z$70</definedName>
    <definedName name="cnhlist">'[1]CNH Prices'!$C$3:$E$47</definedName>
    <definedName name="OLE_LINK1" localSheetId="0">Template!#REF!</definedName>
    <definedName name="_xlnm.Print_Area" localSheetId="0">Template!$A$1:$O$99,Template!$Q$1:$AC$99,Template!$AH$1:$AW$99,Template!$BR$1:$CF$99,Template!$CI$1:$CW$99</definedName>
    <definedName name="_xlnm.Print_Area" localSheetId="1">'市場監控 '!$I$4:$Z$185</definedName>
    <definedName name="_xlnm.Print_Area" localSheetId="2">重點發行人!$A$2:$T$70</definedName>
    <definedName name="首頁日期" localSheetId="0">Template!#REF!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29" l="1" a="1"/>
  <c r="E15" i="29" s="1"/>
  <c r="C15" i="29" a="1"/>
  <c r="C15" i="29" s="1"/>
  <c r="F17" i="29" a="1"/>
  <c r="F17" i="29"/>
  <c r="C10" i="29" a="1"/>
  <c r="C10" i="29" s="1"/>
  <c r="E31" i="29" a="1"/>
  <c r="E31" i="29" s="1"/>
  <c r="C14" i="29" a="1"/>
  <c r="C14" i="29" s="1"/>
  <c r="A30" i="29" a="1"/>
  <c r="A30" i="29" s="1"/>
  <c r="H18" i="29" a="1"/>
  <c r="H18" i="29" s="1"/>
  <c r="B14" i="29" a="1"/>
  <c r="B14" i="29" s="1"/>
  <c r="G17" i="29" a="1"/>
  <c r="G17" i="29" s="1"/>
  <c r="B30" i="29" a="1"/>
  <c r="B30" i="29"/>
  <c r="C18" i="29" a="1"/>
  <c r="C18" i="29" s="1"/>
  <c r="H17" i="29" a="1"/>
  <c r="H17" i="29" s="1"/>
  <c r="B17" i="29" a="1"/>
  <c r="B17" i="29" s="1"/>
  <c r="E28" i="29" a="1"/>
  <c r="E28" i="29" s="1"/>
  <c r="F31" i="29" a="1"/>
  <c r="F31" i="29" s="1"/>
  <c r="G15" i="29" a="1"/>
  <c r="G15" i="29" s="1"/>
  <c r="A18" i="29" a="1"/>
  <c r="A18" i="29" s="1"/>
  <c r="C30" i="29" a="1"/>
  <c r="C30" i="29"/>
  <c r="C27" i="29" a="1"/>
  <c r="C27" i="29" s="1"/>
  <c r="H27" i="29" a="1"/>
  <c r="H27" i="29" s="1"/>
  <c r="A31" i="29" a="1"/>
  <c r="A31" i="29" s="1"/>
  <c r="E18" i="29" a="1"/>
  <c r="E18" i="29" s="1"/>
  <c r="B28" i="29" a="1"/>
  <c r="B28" i="29" s="1"/>
  <c r="G27" i="29" a="1"/>
  <c r="G27" i="29" s="1"/>
  <c r="A17" i="29" a="1"/>
  <c r="A17" i="29" s="1"/>
  <c r="D10" i="29" a="1"/>
  <c r="D10" i="29"/>
  <c r="G10" i="29" a="1"/>
  <c r="G10" i="29" s="1"/>
  <c r="G18" i="29" a="1"/>
  <c r="G18" i="29" s="1"/>
  <c r="B18" i="29" a="1"/>
  <c r="B18" i="29" s="1"/>
  <c r="C31" i="29" a="1"/>
  <c r="C31" i="29" s="1"/>
  <c r="C17" i="29" a="1"/>
  <c r="C17" i="29" s="1"/>
  <c r="B15" i="29" a="1"/>
  <c r="B15" i="29" s="1"/>
  <c r="H10" i="29" a="1"/>
  <c r="H10" i="29" s="1"/>
  <c r="F10" i="29" a="1"/>
  <c r="F10" i="29"/>
  <c r="H15" i="29" a="1"/>
  <c r="H15" i="29" s="1"/>
  <c r="G30" i="29" a="1"/>
  <c r="G30" i="29" s="1"/>
  <c r="A14" i="29" a="1"/>
  <c r="A14" i="29" s="1"/>
  <c r="D18" i="29" a="1"/>
  <c r="D18" i="29" s="1"/>
  <c r="B27" i="29" a="1"/>
  <c r="B27" i="29" s="1"/>
  <c r="F15" i="29" a="1"/>
  <c r="F15" i="29" s="1"/>
  <c r="A15" i="29" a="1"/>
  <c r="A15" i="29" s="1"/>
  <c r="E27" i="29" a="1"/>
  <c r="E27" i="29" s="1"/>
  <c r="D30" i="29" a="1"/>
  <c r="D30" i="29" s="1"/>
  <c r="D14" i="29" a="1"/>
  <c r="D14" i="29" s="1"/>
  <c r="G28" i="29" a="1"/>
  <c r="G28" i="29" s="1"/>
  <c r="G31" i="29" a="1"/>
  <c r="G31" i="29" s="1"/>
  <c r="F27" i="29" a="1"/>
  <c r="F27" i="29" s="1"/>
  <c r="D31" i="29" a="1"/>
  <c r="D31" i="29" s="1"/>
  <c r="C28" i="29" a="1"/>
  <c r="C28" i="29" s="1"/>
  <c r="F30" i="29" a="1"/>
  <c r="F30" i="29" s="1"/>
  <c r="H31" i="29" a="1"/>
  <c r="H31" i="29" s="1"/>
  <c r="D17" i="29" a="1"/>
  <c r="D17" i="29" s="1"/>
  <c r="E17" i="29" a="1"/>
  <c r="E17" i="29" s="1"/>
  <c r="E14" i="29" a="1"/>
  <c r="E14" i="29" s="1"/>
  <c r="H28" i="29" a="1"/>
  <c r="H28" i="29" s="1"/>
  <c r="D27" i="29" a="1"/>
  <c r="D27" i="29" s="1"/>
  <c r="E30" i="29" a="1"/>
  <c r="E30" i="29" s="1"/>
  <c r="A10" i="29" a="1"/>
  <c r="A10" i="29"/>
  <c r="D15" i="29" a="1"/>
  <c r="D15" i="29" s="1"/>
  <c r="H14" i="29" a="1"/>
  <c r="H14" i="29" s="1"/>
  <c r="D28" i="29" a="1"/>
  <c r="D28" i="29" s="1"/>
  <c r="F14" i="29" a="1"/>
  <c r="F14" i="29" s="1"/>
  <c r="G14" i="29" a="1"/>
  <c r="G14" i="29" s="1"/>
  <c r="A27" i="29" a="1"/>
  <c r="A27" i="29" s="1"/>
  <c r="E10" i="29" a="1"/>
  <c r="E10" i="29" s="1"/>
  <c r="F18" i="29" a="1"/>
  <c r="F18" i="29" s="1"/>
  <c r="B10" i="29" a="1"/>
  <c r="B10" i="29" s="1"/>
  <c r="B31" i="29" a="1"/>
  <c r="B31" i="29" s="1"/>
  <c r="A28" i="29" a="1"/>
  <c r="A28" i="29" s="1"/>
  <c r="F28" i="29" a="1"/>
  <c r="F28" i="29" s="1"/>
  <c r="H30" i="29" a="1"/>
  <c r="H30" i="29" s="1"/>
  <c r="C24" i="26" a="1"/>
  <c r="C24" i="26" s="1"/>
  <c r="E24" i="26" a="1"/>
  <c r="E24" i="26" s="1"/>
  <c r="D24" i="26" a="1"/>
  <c r="D24" i="26" s="1"/>
  <c r="B24" i="26"/>
  <c r="N24" i="26" s="1" a="1"/>
  <c r="N24" i="26" s="1"/>
  <c r="B23" i="26"/>
  <c r="F23" i="26" s="1" a="1"/>
  <c r="F23" i="26" s="1"/>
  <c r="G22" i="26" a="1"/>
  <c r="G22" i="26" s="1"/>
  <c r="E22" i="26" a="1"/>
  <c r="E22" i="26" s="1"/>
  <c r="B22" i="26"/>
  <c r="D22" i="26" s="1" a="1"/>
  <c r="D22" i="26" s="1"/>
  <c r="E21" i="26" a="1"/>
  <c r="E21" i="26"/>
  <c r="B21" i="26"/>
  <c r="F21" i="26" s="1" a="1"/>
  <c r="F21" i="26" s="1"/>
  <c r="B20" i="26"/>
  <c r="G20" i="26" s="1" a="1"/>
  <c r="G20" i="26" s="1"/>
  <c r="E19" i="26" a="1"/>
  <c r="E19" i="26"/>
  <c r="F19" i="26" a="1"/>
  <c r="F19" i="26" s="1"/>
  <c r="B19" i="26"/>
  <c r="G19" i="26" s="1" a="1"/>
  <c r="G19" i="26" s="1"/>
  <c r="M18" i="26" a="1"/>
  <c r="M18" i="26" s="1"/>
  <c r="B18" i="26"/>
  <c r="E18" i="26" s="1" a="1"/>
  <c r="E18" i="26" s="1"/>
  <c r="B17" i="26"/>
  <c r="M17" i="26" s="1" a="1"/>
  <c r="M17" i="26" s="1"/>
  <c r="C16" i="26" a="1"/>
  <c r="C16" i="26" s="1"/>
  <c r="B16" i="26"/>
  <c r="G16" i="26" s="1" a="1"/>
  <c r="G16" i="26" s="1"/>
  <c r="B15" i="26"/>
  <c r="G15" i="26" s="1" a="1"/>
  <c r="G15" i="26" s="1"/>
  <c r="B14" i="26"/>
  <c r="C14" i="26" s="1" a="1"/>
  <c r="C14" i="26" s="1"/>
  <c r="N13" i="26" a="1"/>
  <c r="N13" i="26"/>
  <c r="M13" i="26" a="1"/>
  <c r="M13" i="26" s="1"/>
  <c r="E13" i="26" a="1"/>
  <c r="E13" i="26" s="1"/>
  <c r="D13" i="26" a="1"/>
  <c r="D13" i="26" s="1"/>
  <c r="B13" i="26"/>
  <c r="C13" i="26" s="1" a="1"/>
  <c r="C13" i="26" s="1"/>
  <c r="B12" i="26"/>
  <c r="F12" i="26" s="1" a="1"/>
  <c r="F12" i="26" s="1"/>
  <c r="F11" i="26" a="1"/>
  <c r="F11" i="26"/>
  <c r="M11" i="26" a="1"/>
  <c r="M11" i="26" s="1"/>
  <c r="B11" i="26"/>
  <c r="D11" i="26" s="1" a="1"/>
  <c r="D11" i="26" s="1"/>
  <c r="D10" i="26" a="1"/>
  <c r="D10" i="26"/>
  <c r="F10" i="26" a="1"/>
  <c r="F10" i="26" s="1"/>
  <c r="G10" i="26" a="1"/>
  <c r="G10" i="26" s="1"/>
  <c r="B10" i="26"/>
  <c r="E10" i="26" s="1" a="1"/>
  <c r="E10" i="26" s="1"/>
  <c r="C9" i="26" a="1"/>
  <c r="C9" i="26" s="1"/>
  <c r="D9" i="26" a="1"/>
  <c r="D9" i="26"/>
  <c r="B9" i="26"/>
  <c r="N9" i="26" s="1" a="1"/>
  <c r="N9" i="26" s="1"/>
  <c r="B8" i="26"/>
  <c r="N8" i="26" s="1" a="1"/>
  <c r="N8" i="26" s="1"/>
  <c r="E7" i="26" a="1"/>
  <c r="E7" i="26" s="1"/>
  <c r="B7" i="26"/>
  <c r="C7" i="26" s="1" a="1"/>
  <c r="C7" i="26" s="1"/>
  <c r="F6" i="26" a="1"/>
  <c r="F6" i="26" s="1"/>
  <c r="M6" i="26" a="1"/>
  <c r="M6" i="26" s="1"/>
  <c r="B6" i="26"/>
  <c r="C6" i="26" s="1" a="1"/>
  <c r="C6" i="26" s="1"/>
  <c r="B5" i="26"/>
  <c r="M5" i="26" s="1" a="1"/>
  <c r="C5" i="26" a="1"/>
  <c r="C8" i="26" l="1" a="1"/>
  <c r="C8" i="26" s="1"/>
  <c r="F14" i="26" a="1"/>
  <c r="F14" i="26" s="1"/>
  <c r="N20" i="26" a="1"/>
  <c r="N20" i="26" s="1"/>
  <c r="N23" i="26" a="1"/>
  <c r="N23" i="26" s="1"/>
  <c r="E9" i="26" a="1"/>
  <c r="E9" i="26" s="1"/>
  <c r="D12" i="26" a="1"/>
  <c r="D12" i="26" s="1"/>
  <c r="C12" i="26" a="1"/>
  <c r="C12" i="26" s="1"/>
  <c r="G12" i="26" a="1"/>
  <c r="G12" i="26" s="1"/>
  <c r="D14" i="26" a="1"/>
  <c r="D14" i="26" s="1"/>
  <c r="D20" i="26" a="1"/>
  <c r="D20" i="26" s="1"/>
  <c r="F20" i="26" a="1"/>
  <c r="F20" i="26" s="1"/>
  <c r="C23" i="26" a="1"/>
  <c r="C23" i="26" s="1"/>
  <c r="E12" i="26" a="1"/>
  <c r="E12" i="26" s="1"/>
  <c r="F7" i="26" a="1"/>
  <c r="F7" i="26" s="1"/>
  <c r="M12" i="26" a="1"/>
  <c r="M12" i="26" s="1"/>
  <c r="G9" i="26" a="1"/>
  <c r="G9" i="26" s="1"/>
  <c r="M7" i="26" a="1"/>
  <c r="M7" i="26" s="1"/>
  <c r="C11" i="26" a="1"/>
  <c r="C11" i="26" s="1"/>
  <c r="N12" i="26" a="1"/>
  <c r="N12" i="26" s="1"/>
  <c r="M20" i="26" a="1"/>
  <c r="M20" i="26" s="1"/>
  <c r="M9" i="26" a="1"/>
  <c r="M9" i="26" s="1"/>
  <c r="C10" i="26" a="1"/>
  <c r="C10" i="26" s="1"/>
  <c r="N7" i="26" a="1"/>
  <c r="N7" i="26" s="1"/>
  <c r="F9" i="26" a="1"/>
  <c r="F9" i="26" s="1"/>
  <c r="N15" i="26" a="1"/>
  <c r="N15" i="26" s="1"/>
  <c r="C20" i="26" a="1"/>
  <c r="C20" i="26" s="1"/>
  <c r="D23" i="26" a="1"/>
  <c r="D23" i="26" s="1"/>
  <c r="F8" i="26" a="1"/>
  <c r="F8" i="26" s="1"/>
  <c r="E11" i="26" a="1"/>
  <c r="E11" i="26" s="1"/>
  <c r="C21" i="26" a="1"/>
  <c r="C21" i="26" s="1"/>
  <c r="D8" i="26" a="1"/>
  <c r="D8" i="26" s="1"/>
  <c r="M10" i="26" a="1"/>
  <c r="M10" i="26" s="1"/>
  <c r="F13" i="26" a="1"/>
  <c r="F13" i="26" s="1"/>
  <c r="N21" i="26" a="1"/>
  <c r="N21" i="26" s="1"/>
  <c r="G24" i="26" a="1"/>
  <c r="G24" i="26" s="1"/>
  <c r="G8" i="26" a="1"/>
  <c r="G8" i="26" s="1"/>
  <c r="N10" i="26" a="1"/>
  <c r="N10" i="26" s="1"/>
  <c r="N11" i="26" a="1"/>
  <c r="N11" i="26" s="1"/>
  <c r="N5" i="26" a="1"/>
  <c r="G7" i="26" a="1"/>
  <c r="G7" i="26" s="1"/>
  <c r="G11" i="26" a="1"/>
  <c r="G11" i="26" s="1"/>
  <c r="G13" i="26" a="1"/>
  <c r="G13" i="26" s="1"/>
  <c r="E15" i="26" a="1"/>
  <c r="E15" i="26" s="1"/>
  <c r="C17" i="26" a="1"/>
  <c r="C17" i="26" s="1"/>
  <c r="D19" i="26" a="1"/>
  <c r="D19" i="26" s="1"/>
  <c r="G21" i="26" a="1"/>
  <c r="G21" i="26" s="1"/>
  <c r="E23" i="26" a="1"/>
  <c r="E23" i="26" s="1"/>
  <c r="N6" i="26" a="1"/>
  <c r="N6" i="26" s="1"/>
  <c r="E14" i="26" a="1"/>
  <c r="E14" i="26" s="1"/>
  <c r="D16" i="26" a="1"/>
  <c r="D16" i="26" s="1"/>
  <c r="D18" i="26" a="1"/>
  <c r="D18" i="26" s="1"/>
  <c r="M22" i="26" a="1"/>
  <c r="M22" i="26" s="1"/>
  <c r="D15" i="26" a="1"/>
  <c r="D15" i="26" s="1"/>
  <c r="E17" i="26" a="1"/>
  <c r="E17" i="26" s="1"/>
  <c r="C19" i="26" a="1"/>
  <c r="C19" i="26" s="1"/>
  <c r="D21" i="26" a="1"/>
  <c r="D21" i="26" s="1"/>
  <c r="E5" i="26" a="1"/>
  <c r="N14" i="26" a="1"/>
  <c r="N14" i="26" s="1"/>
  <c r="M15" i="26" a="1"/>
  <c r="M15" i="26" s="1"/>
  <c r="F17" i="26" a="1"/>
  <c r="F17" i="26" s="1"/>
  <c r="N19" i="26" a="1"/>
  <c r="N19" i="26" s="1"/>
  <c r="G23" i="26" a="1"/>
  <c r="G23" i="26" s="1"/>
  <c r="D6" i="26" a="1"/>
  <c r="D6" i="26" s="1"/>
  <c r="M8" i="26" a="1"/>
  <c r="M8" i="26" s="1"/>
  <c r="N22" i="26" a="1"/>
  <c r="N22" i="26" s="1"/>
  <c r="M24" i="26" a="1"/>
  <c r="M24" i="26" s="1"/>
  <c r="G17" i="26" a="1"/>
  <c r="G17" i="26" s="1"/>
  <c r="E16" i="26" a="1"/>
  <c r="E16" i="26" s="1"/>
  <c r="N18" i="26" a="1"/>
  <c r="N18" i="26" s="1"/>
  <c r="G14" i="26" a="1"/>
  <c r="G14" i="26" s="1"/>
  <c r="M16" i="26" a="1"/>
  <c r="M16" i="26" s="1"/>
  <c r="C18" i="26" a="1"/>
  <c r="C18" i="26" s="1"/>
  <c r="F15" i="26" a="1"/>
  <c r="F15" i="26" s="1"/>
  <c r="N17" i="26" a="1"/>
  <c r="N17" i="26" s="1"/>
  <c r="N16" i="26" a="1"/>
  <c r="N16" i="26" s="1"/>
  <c r="G5" i="26" a="1"/>
  <c r="G5" i="26" s="1"/>
  <c r="E6" i="26" a="1"/>
  <c r="E6" i="26" s="1"/>
  <c r="F16" i="26" a="1"/>
  <c r="F16" i="26" s="1"/>
  <c r="F5" i="26" a="1"/>
  <c r="F5" i="26" s="1"/>
  <c r="D7" i="26" a="1"/>
  <c r="D7" i="26" s="1"/>
  <c r="C15" i="26" a="1"/>
  <c r="C15" i="26" s="1"/>
  <c r="D17" i="26" a="1"/>
  <c r="D17" i="26" s="1"/>
  <c r="M19" i="26" a="1"/>
  <c r="M19" i="26" s="1"/>
  <c r="M21" i="26" a="1"/>
  <c r="M21" i="26" s="1"/>
  <c r="M23" i="26" a="1"/>
  <c r="M23" i="26" s="1"/>
  <c r="E8" i="26" a="1"/>
  <c r="E8" i="26" s="1"/>
  <c r="M14" i="26" a="1"/>
  <c r="M14" i="26" s="1"/>
  <c r="G18" i="26" a="1"/>
  <c r="G18" i="26" s="1"/>
  <c r="E20" i="26" a="1"/>
  <c r="E20" i="26" s="1"/>
  <c r="C22" i="26" a="1"/>
  <c r="C22" i="26" s="1"/>
  <c r="F24" i="26" a="1"/>
  <c r="F24" i="26" s="1"/>
  <c r="F18" i="26" a="1"/>
  <c r="F18" i="26" s="1"/>
  <c r="F22" i="26" a="1"/>
  <c r="F22" i="26" s="1"/>
  <c r="D5" i="26" a="1"/>
  <c r="D5" i="26" s="1"/>
  <c r="G6" i="26" a="1"/>
  <c r="G6" i="26" s="1"/>
  <c r="E5" i="26"/>
  <c r="C5" i="26"/>
  <c r="M5" i="26"/>
  <c r="N5" i="26"/>
  <c r="E26" i="26" a="1"/>
  <c r="E26" i="26" s="1"/>
  <c r="E38" i="26" a="1"/>
  <c r="E38" i="26" s="1"/>
  <c r="C28" i="26" a="1"/>
  <c r="C28" i="26" s="1"/>
  <c r="E32" i="26" a="1"/>
  <c r="E32" i="26" s="1"/>
  <c r="E33" i="26" a="1"/>
  <c r="E33" i="26" s="1"/>
  <c r="D33" i="26" a="1"/>
  <c r="D33" i="26" s="1"/>
  <c r="E35" i="26" a="1"/>
  <c r="E35" i="26" s="1"/>
  <c r="F28" i="26" a="1"/>
  <c r="F28" i="26" s="1"/>
  <c r="F33" i="26" a="1"/>
  <c r="F33" i="26"/>
  <c r="E31" i="26" a="1"/>
  <c r="E31" i="26" s="1"/>
  <c r="D28" i="26" a="1"/>
  <c r="D28" i="26" s="1"/>
  <c r="F38" i="26" a="1"/>
  <c r="F38" i="26" s="1"/>
  <c r="E36" i="26" a="1"/>
  <c r="E36" i="26"/>
  <c r="B37" i="26"/>
  <c r="C37" i="26" s="1" a="1"/>
  <c r="C37" i="26" s="1"/>
  <c r="B31" i="26"/>
  <c r="D31" i="26" s="1" a="1"/>
  <c r="D31" i="26" s="1"/>
  <c r="B32" i="26"/>
  <c r="C32" i="26" s="1" a="1"/>
  <c r="C32" i="26" s="1"/>
  <c r="B27" i="26"/>
  <c r="E27" i="26" s="1" a="1"/>
  <c r="E27" i="26" s="1"/>
  <c r="B38" i="26"/>
  <c r="D38" i="26" s="1" a="1"/>
  <c r="D38" i="26" s="1"/>
  <c r="B28" i="26"/>
  <c r="E28" i="26" s="1" a="1"/>
  <c r="E28" i="26" s="1"/>
  <c r="B35" i="26"/>
  <c r="C35" i="26" s="1" a="1"/>
  <c r="C35" i="26" s="1"/>
  <c r="B34" i="26"/>
  <c r="D34" i="26" s="1" a="1"/>
  <c r="D34" i="26" s="1"/>
  <c r="B36" i="26"/>
  <c r="D36" i="26" s="1" a="1"/>
  <c r="D36" i="26" s="1"/>
  <c r="B33" i="26"/>
  <c r="C33" i="26" s="1" a="1"/>
  <c r="C33" i="26" s="1"/>
  <c r="B29" i="26"/>
  <c r="C29" i="26" s="1" a="1"/>
  <c r="C29" i="26" s="1"/>
  <c r="B30" i="26"/>
  <c r="C30" i="26" s="1" a="1"/>
  <c r="C30" i="26" s="1"/>
  <c r="B25" i="26"/>
  <c r="E25" i="26" s="1" a="1"/>
  <c r="E25" i="26" s="1"/>
  <c r="B26" i="26"/>
  <c r="D26" i="26" s="1" a="1"/>
  <c r="D26" i="26" s="1"/>
  <c r="D82" i="26" a="1"/>
  <c r="D82" i="26" s="1"/>
  <c r="C87" i="26" a="1"/>
  <c r="C87" i="26" s="1"/>
  <c r="C55" i="26" a="1"/>
  <c r="C55" i="26" s="1"/>
  <c r="F42" i="26" a="1"/>
  <c r="F42" i="26" s="1"/>
  <c r="S118" i="23"/>
  <c r="S176" i="23"/>
  <c r="S171" i="23"/>
  <c r="S174" i="23"/>
  <c r="S27" i="23"/>
  <c r="S94" i="23"/>
  <c r="S104" i="23"/>
  <c r="S120" i="23"/>
  <c r="S132" i="23"/>
  <c r="S50" i="23"/>
  <c r="S164" i="23"/>
  <c r="S183" i="23"/>
  <c r="S146" i="23"/>
  <c r="S139" i="23"/>
  <c r="S13" i="23"/>
  <c r="S137" i="23"/>
  <c r="S129" i="23"/>
  <c r="S131" i="23"/>
  <c r="S16" i="23"/>
  <c r="S184" i="23"/>
  <c r="S20" i="23"/>
  <c r="S152" i="23"/>
  <c r="S172" i="23"/>
  <c r="S24" i="23"/>
  <c r="S15" i="23"/>
  <c r="S12" i="23"/>
  <c r="S180" i="23"/>
  <c r="S18" i="23"/>
  <c r="S56" i="23"/>
  <c r="S115" i="23"/>
  <c r="S92" i="23"/>
  <c r="S111" i="23"/>
  <c r="S157" i="23"/>
  <c r="S121" i="23"/>
  <c r="S123" i="23"/>
  <c r="S40" i="23"/>
  <c r="S135" i="23"/>
  <c r="S130" i="23"/>
  <c r="S54" i="23"/>
  <c r="S182" i="23"/>
  <c r="S26" i="23"/>
  <c r="S60" i="23"/>
  <c r="S188" i="23"/>
  <c r="S8" i="23"/>
  <c r="S61" i="23"/>
  <c r="S117" i="23"/>
  <c r="S89" i="23"/>
  <c r="S76" i="23"/>
  <c r="S34" i="23"/>
  <c r="S125" i="23"/>
  <c r="S93" i="23"/>
  <c r="S178" i="23"/>
  <c r="S25" i="23"/>
  <c r="S144" i="23"/>
  <c r="S30" i="23"/>
  <c r="S138" i="23"/>
  <c r="S185" i="23"/>
  <c r="S191" i="23"/>
  <c r="S87" i="23"/>
  <c r="S175" i="23"/>
  <c r="S57" i="23"/>
  <c r="S162" i="23"/>
  <c r="S166" i="23"/>
  <c r="S62" i="23"/>
  <c r="S136" i="23"/>
  <c r="S145" i="23"/>
  <c r="S99" i="23"/>
  <c r="S148" i="23"/>
  <c r="S119" i="23"/>
  <c r="S46" i="23"/>
  <c r="S22" i="23"/>
  <c r="S150" i="23"/>
  <c r="S73" i="23"/>
  <c r="S42" i="23"/>
  <c r="S35" i="23"/>
  <c r="S141" i="23"/>
  <c r="S153" i="23"/>
  <c r="S160" i="23"/>
  <c r="S44" i="23"/>
  <c r="S75" i="23"/>
  <c r="S163" i="23"/>
  <c r="S59" i="23"/>
  <c r="S58" i="23"/>
  <c r="S102" i="23"/>
  <c r="S109" i="23"/>
  <c r="S37" i="23"/>
  <c r="S151" i="23"/>
  <c r="S51" i="23"/>
  <c r="S107" i="23"/>
  <c r="S19" i="23"/>
  <c r="S155" i="23"/>
  <c r="S108" i="23"/>
  <c r="S63" i="23"/>
  <c r="S187" i="23"/>
  <c r="S112" i="23"/>
  <c r="S193" i="23"/>
  <c r="S95" i="23"/>
  <c r="S29" i="23"/>
  <c r="S49" i="23"/>
  <c r="S122" i="23"/>
  <c r="S83" i="23"/>
  <c r="S179" i="23"/>
  <c r="S55" i="23"/>
  <c r="S10" i="23"/>
  <c r="S36" i="23"/>
  <c r="S194" i="23"/>
  <c r="S43" i="23"/>
  <c r="S48" i="23"/>
  <c r="S21" i="23"/>
  <c r="S41" i="23"/>
  <c r="S149" i="23"/>
  <c r="S64" i="23"/>
  <c r="S189" i="23"/>
  <c r="S28" i="23"/>
  <c r="S142" i="23"/>
  <c r="S133" i="23"/>
  <c r="S161" i="23"/>
  <c r="S79" i="23"/>
  <c r="S65" i="23"/>
  <c r="S72" i="23"/>
  <c r="S124" i="23"/>
  <c r="S158" i="23"/>
  <c r="S33" i="23"/>
  <c r="S9" i="23"/>
  <c r="S11" i="23"/>
  <c r="S96" i="23"/>
  <c r="S116" i="23"/>
  <c r="S113" i="23"/>
  <c r="S103" i="23"/>
  <c r="S91" i="23"/>
  <c r="S86" i="23"/>
  <c r="S190" i="23"/>
  <c r="S168" i="23"/>
  <c r="S77" i="23"/>
  <c r="S173" i="23"/>
  <c r="S105" i="23"/>
  <c r="S68" i="23"/>
  <c r="S110" i="23"/>
  <c r="S67" i="23"/>
  <c r="S88" i="23"/>
  <c r="S106" i="23"/>
  <c r="S39" i="23"/>
  <c r="S165" i="23"/>
  <c r="S14" i="23"/>
  <c r="S126" i="23"/>
  <c r="S159" i="23"/>
  <c r="S181" i="23"/>
  <c r="S38" i="23"/>
  <c r="S134" i="23"/>
  <c r="S53" i="23"/>
  <c r="S23" i="23"/>
  <c r="S80" i="23"/>
  <c r="S90" i="23"/>
  <c r="S114" i="23"/>
  <c r="S128" i="23"/>
  <c r="S85" i="23"/>
  <c r="S167" i="23"/>
  <c r="S47" i="23"/>
  <c r="S186" i="23"/>
  <c r="S127" i="23"/>
  <c r="S52" i="23"/>
  <c r="S81" i="23"/>
  <c r="S147" i="23"/>
  <c r="S154" i="23"/>
  <c r="S156" i="23"/>
  <c r="AZ169" i="23" a="1"/>
  <c r="AZ169" i="23" s="1"/>
  <c r="AZ53" i="23" a="1"/>
  <c r="AZ53" i="23" s="1"/>
  <c r="AZ14" i="23" a="1"/>
  <c r="AZ14" i="23" s="1"/>
  <c r="AZ91" i="23" a="1"/>
  <c r="AZ91" i="23" s="1"/>
  <c r="BA91" i="23" a="1"/>
  <c r="BA91" i="23" s="1"/>
  <c r="BA187" i="23" a="1"/>
  <c r="BA187" i="23" s="1"/>
  <c r="AZ58" i="23" a="1"/>
  <c r="AZ58" i="23"/>
  <c r="BA49" i="23" a="1"/>
  <c r="BA49" i="23" s="1"/>
  <c r="AZ162" i="23" a="1"/>
  <c r="AZ162" i="23" s="1"/>
  <c r="AZ163" i="23" a="1"/>
  <c r="AZ163" i="23" s="1"/>
  <c r="AZ11" i="23" a="1"/>
  <c r="AZ11" i="23" s="1"/>
  <c r="AZ115" i="23" a="1"/>
  <c r="AZ115" i="23" s="1"/>
  <c r="AZ172" i="23" a="1"/>
  <c r="AZ172" i="23" s="1"/>
  <c r="AZ61" i="23" a="1"/>
  <c r="AZ61" i="23" s="1"/>
  <c r="AZ107" i="23" a="1"/>
  <c r="AZ107" i="23" s="1"/>
  <c r="AZ34" i="23" a="1"/>
  <c r="AZ34" i="23" s="1"/>
  <c r="AZ124" i="23" a="1"/>
  <c r="AZ124" i="23" s="1"/>
  <c r="BA100" i="23" a="1"/>
  <c r="BA100" i="23" s="1"/>
  <c r="AZ178" i="23" a="1"/>
  <c r="AZ178" i="23" s="1"/>
  <c r="BA131" i="23" a="1"/>
  <c r="BA131" i="23" s="1"/>
  <c r="AZ158" i="23" a="1"/>
  <c r="AZ158" i="23" s="1"/>
  <c r="BA114" i="23" a="1"/>
  <c r="BA114" i="23" s="1"/>
  <c r="BA31" i="23" a="1"/>
  <c r="BA31" i="23" s="1"/>
  <c r="BA71" i="23" a="1"/>
  <c r="BA71" i="23" s="1"/>
  <c r="BA174" i="23" a="1"/>
  <c r="BA174" i="23" s="1"/>
  <c r="AZ15" i="23" a="1"/>
  <c r="AZ15" i="23" s="1"/>
  <c r="BA192" i="23" a="1"/>
  <c r="BA192" i="23" s="1"/>
  <c r="AZ150" i="23" a="1"/>
  <c r="AZ150" i="23" s="1"/>
  <c r="AZ99" i="23" a="1"/>
  <c r="AZ99" i="23" s="1"/>
  <c r="AZ193" i="23" a="1"/>
  <c r="AZ193" i="23" s="1"/>
  <c r="BA103" i="23" a="1"/>
  <c r="BA103" i="23"/>
  <c r="AZ106" i="23" a="1"/>
  <c r="AZ106" i="23" s="1"/>
  <c r="AZ98" i="23" a="1"/>
  <c r="AZ98" i="23" s="1"/>
  <c r="AZ92" i="23" a="1"/>
  <c r="AZ92" i="23"/>
  <c r="AZ175" i="23" a="1"/>
  <c r="AZ175" i="23" s="1"/>
  <c r="BA160" i="23" a="1"/>
  <c r="BA160" i="23" s="1"/>
  <c r="BA105" i="23" a="1"/>
  <c r="BA105" i="23" s="1"/>
  <c r="AZ146" i="23" a="1"/>
  <c r="AZ146" i="23" s="1"/>
  <c r="BA156" i="23" a="1"/>
  <c r="BA156" i="23"/>
  <c r="AZ166" i="23" a="1"/>
  <c r="AZ166" i="23" s="1"/>
  <c r="AZ23" i="23" a="1"/>
  <c r="AZ23" i="23" s="1"/>
  <c r="AZ174" i="23" a="1"/>
  <c r="AZ174" i="23" s="1"/>
  <c r="BA194" i="23" a="1"/>
  <c r="BA194" i="23" s="1"/>
  <c r="BA157" i="23" a="1"/>
  <c r="BA157" i="23"/>
  <c r="BA165" i="23" a="1"/>
  <c r="BA165" i="23" s="1"/>
  <c r="BA119" i="23" a="1"/>
  <c r="BA119" i="23" s="1"/>
  <c r="BA164" i="23" a="1"/>
  <c r="BA164" i="23"/>
  <c r="AZ84" i="23" a="1"/>
  <c r="AZ84" i="23" s="1"/>
  <c r="BA83" i="23" a="1"/>
  <c r="BA83" i="23" s="1"/>
  <c r="AZ88" i="23" a="1"/>
  <c r="AZ88" i="23"/>
  <c r="BA9" i="23" a="1"/>
  <c r="BA9" i="23" s="1"/>
  <c r="AZ130" i="23" a="1"/>
  <c r="AZ130" i="23"/>
  <c r="AZ71" i="23" a="1"/>
  <c r="AZ71" i="23" s="1"/>
  <c r="AZ12" i="23" a="1"/>
  <c r="AZ12" i="23" s="1"/>
  <c r="BA158" i="23" a="1"/>
  <c r="BA158" i="23" s="1"/>
  <c r="BA29" i="23" a="1"/>
  <c r="BA29" i="23" s="1"/>
  <c r="AZ120" i="23" a="1"/>
  <c r="AZ120" i="23"/>
  <c r="BA138" i="23" a="1"/>
  <c r="BA138" i="23" s="1"/>
  <c r="BA167" i="23" a="1"/>
  <c r="BA167" i="23" s="1"/>
  <c r="AZ55" i="23" a="1"/>
  <c r="AZ55" i="23" s="1"/>
  <c r="AZ8" i="23" a="1"/>
  <c r="AZ8" i="23" s="1"/>
  <c r="AZ173" i="23" a="1"/>
  <c r="AZ173" i="23" s="1"/>
  <c r="BA92" i="23" a="1"/>
  <c r="BA92" i="23" s="1"/>
  <c r="AZ152" i="23" a="1"/>
  <c r="AZ152" i="23" s="1"/>
  <c r="BA166" i="23" a="1"/>
  <c r="BA166" i="23"/>
  <c r="AZ48" i="23" a="1"/>
  <c r="AZ48" i="23" s="1"/>
  <c r="AZ184" i="23" a="1"/>
  <c r="AZ184" i="23" s="1"/>
  <c r="AZ159" i="23" a="1"/>
  <c r="AZ159" i="23"/>
  <c r="BA63" i="23" a="1"/>
  <c r="BA63" i="23" s="1"/>
  <c r="AZ85" i="23" a="1"/>
  <c r="AZ85" i="23" s="1"/>
  <c r="BA144" i="23" a="1"/>
  <c r="BA144" i="23" s="1"/>
  <c r="BA35" i="23" a="1"/>
  <c r="BA35" i="23" s="1"/>
  <c r="BA16" i="23" a="1"/>
  <c r="BA16" i="23" s="1"/>
  <c r="BA148" i="23" a="1"/>
  <c r="BA148" i="23" s="1"/>
  <c r="BA78" i="23" a="1"/>
  <c r="BA78" i="23" s="1"/>
  <c r="BA189" i="23" a="1"/>
  <c r="BA189" i="23" s="1"/>
  <c r="S17" i="23"/>
  <c r="S31" i="23"/>
  <c r="BA43" i="23" a="1"/>
  <c r="BA43" i="23" s="1"/>
  <c r="BA11" i="23" a="1"/>
  <c r="BA11" i="23" s="1"/>
  <c r="AZ126" i="23" a="1"/>
  <c r="AZ126" i="23" s="1"/>
  <c r="AZ182" i="23" a="1"/>
  <c r="AZ182" i="23" s="1"/>
  <c r="AZ68" i="23" a="1"/>
  <c r="AZ68" i="23" s="1"/>
  <c r="AZ110" i="23" a="1"/>
  <c r="AZ110" i="23" s="1"/>
  <c r="AZ60" i="23" a="1"/>
  <c r="AZ60" i="23" s="1"/>
  <c r="BA24" i="23" a="1"/>
  <c r="BA24" i="23" s="1"/>
  <c r="BA80" i="23" a="1"/>
  <c r="BA80" i="23"/>
  <c r="BA94" i="23" a="1"/>
  <c r="BA94" i="23" s="1"/>
  <c r="AZ96" i="23" a="1"/>
  <c r="AZ96" i="23" s="1"/>
  <c r="BA81" i="23" a="1"/>
  <c r="BA81" i="23" s="1"/>
  <c r="BA69" i="23" a="1"/>
  <c r="BA69" i="23" s="1"/>
  <c r="AZ83" i="23" a="1"/>
  <c r="AZ83" i="23" s="1"/>
  <c r="AZ125" i="23" a="1"/>
  <c r="AZ125" i="23" s="1"/>
  <c r="AZ112" i="23" a="1"/>
  <c r="AZ112" i="23" s="1"/>
  <c r="BA153" i="23" a="1"/>
  <c r="BA153" i="23"/>
  <c r="BA50" i="23" a="1"/>
  <c r="BA50" i="23" s="1"/>
  <c r="BA139" i="23" a="1"/>
  <c r="BA139" i="23" s="1"/>
  <c r="AZ142" i="23" a="1"/>
  <c r="AZ142" i="23" s="1"/>
  <c r="BA37" i="23" a="1"/>
  <c r="BA37" i="23"/>
  <c r="BA98" i="23" a="1"/>
  <c r="BA98" i="23" s="1"/>
  <c r="AZ131" i="23" a="1"/>
  <c r="AZ131" i="23" s="1"/>
  <c r="BA65" i="23" a="1"/>
  <c r="BA65" i="23" s="1"/>
  <c r="BA186" i="23" a="1"/>
  <c r="BA186" i="23" s="1"/>
  <c r="O161" i="23"/>
  <c r="O150" i="23"/>
  <c r="O152" i="23"/>
  <c r="O158" i="23"/>
  <c r="O160" i="23"/>
  <c r="O157" i="23"/>
  <c r="O155" i="23"/>
  <c r="O156" i="23"/>
  <c r="O154" i="23"/>
  <c r="O159" i="23"/>
  <c r="BA111" i="23" a="1"/>
  <c r="BA111" i="23"/>
  <c r="BA38" i="23" a="1"/>
  <c r="BA38" i="23" s="1"/>
  <c r="AZ38" i="23" a="1"/>
  <c r="AZ38" i="23" s="1"/>
  <c r="AZ57" i="23" a="1"/>
  <c r="AZ57" i="23" s="1"/>
  <c r="AZ183" i="23" a="1"/>
  <c r="AZ183" i="23" s="1"/>
  <c r="AZ147" i="23" a="1"/>
  <c r="AZ147" i="23" s="1"/>
  <c r="BA13" i="23" a="1"/>
  <c r="BA13" i="23" s="1"/>
  <c r="AZ86" i="23" a="1"/>
  <c r="AZ86" i="23" s="1"/>
  <c r="BA36" i="23" a="1"/>
  <c r="BA36" i="23" s="1"/>
  <c r="BA40" i="23" a="1"/>
  <c r="BA40" i="23" s="1"/>
  <c r="BA116" i="23" a="1"/>
  <c r="BA116" i="23" s="1"/>
  <c r="BA42" i="23" a="1"/>
  <c r="BA42" i="23" s="1"/>
  <c r="BA17" i="23" a="1"/>
  <c r="BA17" i="23" s="1"/>
  <c r="BA184" i="23" a="1"/>
  <c r="BA184" i="23"/>
  <c r="BA99" i="23" a="1"/>
  <c r="BA99" i="23" s="1"/>
  <c r="BA150" i="23" a="1"/>
  <c r="BA150" i="23" s="1"/>
  <c r="AZ76" i="23" a="1"/>
  <c r="AZ76" i="23"/>
  <c r="BA177" i="23" a="1"/>
  <c r="BA177" i="23" s="1"/>
  <c r="AZ122" i="23" a="1"/>
  <c r="AZ122" i="23"/>
  <c r="AZ186" i="23" a="1"/>
  <c r="AZ186" i="23" s="1"/>
  <c r="AZ154" i="23" a="1"/>
  <c r="AZ154" i="23" s="1"/>
  <c r="BA154" i="23" a="1"/>
  <c r="BA154" i="23" s="1"/>
  <c r="BA191" i="23" a="1"/>
  <c r="BA191" i="23" s="1"/>
  <c r="BA118" i="23" a="1"/>
  <c r="BA118" i="23" s="1"/>
  <c r="AZ148" i="23" a="1"/>
  <c r="AZ148" i="23"/>
  <c r="O153" i="23"/>
  <c r="O151" i="23"/>
  <c r="AZ134" i="23" a="1"/>
  <c r="AZ134" i="23"/>
  <c r="AZ22" i="23" a="1"/>
  <c r="AZ22" i="23"/>
  <c r="AZ93" i="23" a="1"/>
  <c r="AZ93" i="23" s="1"/>
  <c r="AZ116" i="23" a="1"/>
  <c r="AZ116" i="23" s="1"/>
  <c r="AZ47" i="23" a="1"/>
  <c r="AZ47" i="23" s="1"/>
  <c r="BA53" i="23" a="1"/>
  <c r="BA53" i="23" s="1"/>
  <c r="AZ181" i="23" a="1"/>
  <c r="AZ181" i="23" s="1"/>
  <c r="BA149" i="23" a="1"/>
  <c r="BA149" i="23" s="1"/>
  <c r="AZ185" i="23" a="1"/>
  <c r="AZ185" i="23" s="1"/>
  <c r="BA147" i="23" a="1"/>
  <c r="BA147" i="23"/>
  <c r="BA106" i="23" a="1"/>
  <c r="BA106" i="23" s="1"/>
  <c r="BA128" i="23" a="1"/>
  <c r="BA128" i="23" s="1"/>
  <c r="AZ157" i="23" a="1"/>
  <c r="AZ157" i="23" s="1"/>
  <c r="BA179" i="23" a="1"/>
  <c r="BA179" i="23" s="1"/>
  <c r="BA58" i="23" a="1"/>
  <c r="BA58" i="23" s="1"/>
  <c r="AZ70" i="23" a="1"/>
  <c r="AZ70" i="23" s="1"/>
  <c r="AZ132" i="23" a="1"/>
  <c r="AZ132" i="23"/>
  <c r="AZ37" i="23" a="1"/>
  <c r="AZ37" i="23" s="1"/>
  <c r="AZ51" i="23" a="1"/>
  <c r="AZ51" i="23" s="1"/>
  <c r="AZ100" i="23" a="1"/>
  <c r="AZ100" i="23" s="1"/>
  <c r="AZ64" i="23" a="1"/>
  <c r="AZ64" i="23" s="1"/>
  <c r="BA137" i="23" a="1"/>
  <c r="BA137" i="23" s="1"/>
  <c r="AZ79" i="23" a="1"/>
  <c r="AZ79" i="23"/>
  <c r="AZ89" i="23" a="1"/>
  <c r="AZ89" i="23" s="1"/>
  <c r="BA15" i="23" a="1"/>
  <c r="BA15" i="23" s="1"/>
  <c r="B66" i="26"/>
  <c r="B55" i="26"/>
  <c r="E55" i="26" s="1" a="1"/>
  <c r="E55" i="26" s="1"/>
  <c r="B42" i="26"/>
  <c r="B44" i="26"/>
  <c r="E44" i="26" s="1" a="1"/>
  <c r="E44" i="26" s="1"/>
  <c r="B92" i="26"/>
  <c r="C92" i="26" s="1" a="1"/>
  <c r="C92" i="26" s="1"/>
  <c r="B61" i="26"/>
  <c r="B43" i="26"/>
  <c r="F43" i="26" s="1" a="1"/>
  <c r="F43" i="26" s="1"/>
  <c r="B47" i="26"/>
  <c r="D47" i="26" s="1" a="1"/>
  <c r="D47" i="26" s="1"/>
  <c r="B53" i="26"/>
  <c r="F53" i="26" s="1" a="1"/>
  <c r="F53" i="26" s="1"/>
  <c r="B70" i="26"/>
  <c r="E70" i="26" s="1" a="1"/>
  <c r="E70" i="26" s="1"/>
  <c r="B96" i="26"/>
  <c r="B83" i="26"/>
  <c r="B78" i="26"/>
  <c r="D78" i="26" s="1" a="1"/>
  <c r="D78" i="26" s="1"/>
  <c r="B87" i="26"/>
  <c r="D87" i="26" s="1" a="1"/>
  <c r="D87" i="26" s="1"/>
  <c r="B72" i="26"/>
  <c r="B84" i="26"/>
  <c r="B106" i="26"/>
  <c r="D106" i="26" s="1" a="1"/>
  <c r="D106" i="26" s="1"/>
  <c r="B90" i="26"/>
  <c r="D90" i="26" s="1" a="1"/>
  <c r="D90" i="26" s="1"/>
  <c r="B101" i="26"/>
  <c r="D101" i="26" s="1" a="1"/>
  <c r="D101" i="26" s="1"/>
  <c r="B82" i="26"/>
  <c r="E82" i="26" s="1" a="1"/>
  <c r="E82" i="26" s="1"/>
  <c r="B63" i="26"/>
  <c r="D63" i="26" s="1" a="1"/>
  <c r="D63" i="26" s="1"/>
  <c r="B64" i="26"/>
  <c r="B81" i="26"/>
  <c r="B59" i="26"/>
  <c r="F59" i="26" s="1" a="1"/>
  <c r="F59" i="26" s="1"/>
  <c r="B98" i="26"/>
  <c r="E98" i="26" s="1" a="1"/>
  <c r="E98" i="26" s="1"/>
  <c r="B40" i="26"/>
  <c r="D40" i="26" s="1" a="1"/>
  <c r="D40" i="26" s="1"/>
  <c r="B104" i="26"/>
  <c r="B73" i="26"/>
  <c r="B80" i="26"/>
  <c r="E80" i="26" s="1" a="1"/>
  <c r="E80" i="26" s="1"/>
  <c r="B67" i="26"/>
  <c r="C67" i="26" s="1" a="1"/>
  <c r="C67" i="26" s="1"/>
  <c r="B93" i="26"/>
  <c r="F93" i="26" s="1" a="1"/>
  <c r="F93" i="26" s="1"/>
  <c r="B107" i="26"/>
  <c r="B85" i="26"/>
  <c r="B39" i="26"/>
  <c r="C39" i="26" s="1" a="1"/>
  <c r="C39" i="26" s="1"/>
  <c r="B89" i="26"/>
  <c r="B49" i="26"/>
  <c r="F49" i="26" s="1" a="1"/>
  <c r="F49" i="26" s="1"/>
  <c r="B95" i="26"/>
  <c r="F95" i="26" s="1" a="1"/>
  <c r="F95" i="26" s="1"/>
  <c r="B102" i="26"/>
  <c r="D102" i="26" s="1" a="1"/>
  <c r="D102" i="26" s="1"/>
  <c r="B105" i="26"/>
  <c r="C105" i="26" s="1" a="1"/>
  <c r="C105" i="26" s="1"/>
  <c r="B57" i="26"/>
  <c r="F57" i="26" s="1" a="1"/>
  <c r="F57" i="26" s="1"/>
  <c r="B41" i="26"/>
  <c r="E41" i="26" s="1" a="1"/>
  <c r="E41" i="26" s="1"/>
  <c r="B74" i="26"/>
  <c r="E74" i="26" s="1" a="1"/>
  <c r="E74" i="26" s="1"/>
  <c r="B58" i="26"/>
  <c r="B51" i="26"/>
  <c r="B76" i="26"/>
  <c r="B65" i="26"/>
  <c r="F65" i="26" s="1" a="1"/>
  <c r="F65" i="26" s="1"/>
  <c r="B75" i="26"/>
  <c r="F75" i="26" s="1" a="1"/>
  <c r="F75" i="26" s="1"/>
  <c r="B94" i="26"/>
  <c r="C94" i="26" s="1" a="1"/>
  <c r="C94" i="26" s="1"/>
  <c r="B71" i="26"/>
  <c r="B86" i="26"/>
  <c r="C86" i="26" s="1" a="1"/>
  <c r="C86" i="26" s="1"/>
  <c r="B77" i="26"/>
  <c r="D77" i="26" s="1" a="1"/>
  <c r="D77" i="26" s="1"/>
  <c r="B69" i="26"/>
  <c r="F69" i="26" s="1" a="1"/>
  <c r="F69" i="26" s="1"/>
  <c r="B45" i="26"/>
  <c r="D45" i="26" s="1" a="1"/>
  <c r="D45" i="26" s="1"/>
  <c r="B56" i="26"/>
  <c r="B100" i="26"/>
  <c r="B68" i="26"/>
  <c r="D68" i="26" s="1" a="1"/>
  <c r="D68" i="26" s="1"/>
  <c r="B91" i="26"/>
  <c r="B103" i="26"/>
  <c r="F103" i="26" s="1" a="1"/>
  <c r="F103" i="26" s="1"/>
  <c r="B60" i="26"/>
  <c r="D60" i="26" s="1" a="1"/>
  <c r="D60" i="26" s="1"/>
  <c r="B97" i="26"/>
  <c r="E97" i="26" s="1" a="1"/>
  <c r="E97" i="26" s="1"/>
  <c r="B54" i="26"/>
  <c r="B48" i="26"/>
  <c r="C48" i="26" s="1" a="1"/>
  <c r="C48" i="26" s="1"/>
  <c r="B99" i="26"/>
  <c r="B46" i="26"/>
  <c r="E46" i="26" s="1" a="1"/>
  <c r="E46" i="26" s="1"/>
  <c r="B62" i="26"/>
  <c r="D62" i="26" s="1" a="1"/>
  <c r="D62" i="26" s="1"/>
  <c r="B79" i="26"/>
  <c r="D79" i="26" s="1" a="1"/>
  <c r="D79" i="26" s="1"/>
  <c r="B52" i="26"/>
  <c r="C52" i="26" s="1" a="1"/>
  <c r="C52" i="26" s="1"/>
  <c r="B50" i="26"/>
  <c r="E50" i="26" s="1" a="1"/>
  <c r="E50" i="26" s="1"/>
  <c r="B88" i="26"/>
  <c r="D88" i="26" s="1" a="1"/>
  <c r="D88" i="26" s="1"/>
  <c r="BA30" i="23" a="1"/>
  <c r="C50" i="26" l="1" a="1"/>
  <c r="C50" i="26" s="1"/>
  <c r="E34" i="26" a="1"/>
  <c r="E34" i="26" s="1"/>
  <c r="D67" i="26" a="1"/>
  <c r="D67" i="26" s="1"/>
  <c r="C49" i="26" a="1"/>
  <c r="C49" i="26" s="1"/>
  <c r="C27" i="26" a="1"/>
  <c r="C27" i="26" s="1"/>
  <c r="E30" i="26" a="1"/>
  <c r="E30" i="26" s="1"/>
  <c r="E67" i="26" a="1"/>
  <c r="E67" i="26" s="1"/>
  <c r="D49" i="26" a="1"/>
  <c r="D49" i="26" s="1"/>
  <c r="F67" i="26" a="1"/>
  <c r="F67" i="26" s="1"/>
  <c r="C74" i="26" a="1"/>
  <c r="C74" i="26" s="1"/>
  <c r="D30" i="26" a="1"/>
  <c r="D30" i="26" s="1"/>
  <c r="F32" i="26" a="1"/>
  <c r="F32" i="26" s="1"/>
  <c r="F31" i="26" a="1"/>
  <c r="F31" i="26" s="1"/>
  <c r="F36" i="26" a="1"/>
  <c r="F36" i="26" s="1"/>
  <c r="F63" i="26" a="1"/>
  <c r="F63" i="26" s="1"/>
  <c r="C31" i="26" a="1"/>
  <c r="C31" i="26" s="1"/>
  <c r="C34" i="26" a="1"/>
  <c r="C34" i="26" s="1"/>
  <c r="F30" i="26" a="1"/>
  <c r="F30" i="26" s="1"/>
  <c r="F40" i="26" a="1"/>
  <c r="F40" i="26" s="1"/>
  <c r="C38" i="26" a="1"/>
  <c r="C38" i="26" s="1"/>
  <c r="C40" i="26" a="1"/>
  <c r="C40" i="26" s="1"/>
  <c r="D32" i="26" a="1"/>
  <c r="D32" i="26" s="1"/>
  <c r="E65" i="26" a="1"/>
  <c r="E65" i="26" s="1"/>
  <c r="C36" i="26" a="1"/>
  <c r="C36" i="26" s="1"/>
  <c r="C70" i="26" a="1"/>
  <c r="C70" i="26" s="1"/>
  <c r="D27" i="26" a="1"/>
  <c r="D27" i="26" s="1"/>
  <c r="D65" i="26" a="1"/>
  <c r="D65" i="26" s="1"/>
  <c r="D44" i="26" a="1"/>
  <c r="D44" i="26" s="1"/>
  <c r="F50" i="26" a="1"/>
  <c r="F50" i="26" s="1"/>
  <c r="F27" i="26" a="1"/>
  <c r="F27" i="26" s="1"/>
  <c r="C54" i="26" a="1"/>
  <c r="C54" i="26" s="1"/>
  <c r="F54" i="26" a="1"/>
  <c r="F54" i="26" s="1"/>
  <c r="C73" i="26" a="1"/>
  <c r="C73" i="26" s="1"/>
  <c r="F73" i="26" a="1"/>
  <c r="F73" i="26" s="1"/>
  <c r="D73" i="26" a="1"/>
  <c r="D73" i="26" s="1"/>
  <c r="F104" i="26" a="1"/>
  <c r="F104" i="26" s="1"/>
  <c r="D104" i="26" a="1"/>
  <c r="D104" i="26" s="1"/>
  <c r="C91" i="26" a="1"/>
  <c r="C91" i="26" s="1"/>
  <c r="E91" i="26" a="1"/>
  <c r="E91" i="26" s="1"/>
  <c r="D91" i="26" a="1"/>
  <c r="D91" i="26" s="1"/>
  <c r="F91" i="26" a="1"/>
  <c r="F91" i="26" s="1"/>
  <c r="F71" i="26" a="1"/>
  <c r="F71" i="26" s="1"/>
  <c r="C71" i="26" a="1"/>
  <c r="C71" i="26" s="1"/>
  <c r="D71" i="26" a="1"/>
  <c r="D71" i="26" s="1"/>
  <c r="E85" i="26" a="1"/>
  <c r="E85" i="26" s="1"/>
  <c r="D85" i="26" a="1"/>
  <c r="D85" i="26" s="1"/>
  <c r="F66" i="26" a="1"/>
  <c r="F66" i="26" s="1"/>
  <c r="C66" i="26" a="1"/>
  <c r="C66" i="26" s="1"/>
  <c r="D66" i="26" a="1"/>
  <c r="D66" i="26" s="1"/>
  <c r="E63" i="26" a="1"/>
  <c r="E63" i="26" s="1"/>
  <c r="C104" i="26" a="1"/>
  <c r="C104" i="26" s="1"/>
  <c r="F62" i="26" a="1"/>
  <c r="F62" i="26" s="1"/>
  <c r="F68" i="26" a="1"/>
  <c r="F68" i="26" s="1"/>
  <c r="E45" i="26" a="1"/>
  <c r="E45" i="26" s="1"/>
  <c r="F84" i="26" a="1"/>
  <c r="F84" i="26" s="1"/>
  <c r="C84" i="26" a="1"/>
  <c r="C84" i="26" s="1"/>
  <c r="E84" i="26" a="1"/>
  <c r="E84" i="26" s="1"/>
  <c r="C63" i="26" a="1"/>
  <c r="C63" i="26" s="1"/>
  <c r="F80" i="26" a="1"/>
  <c r="F80" i="26" s="1"/>
  <c r="D43" i="26" a="1"/>
  <c r="D43" i="26" s="1"/>
  <c r="E59" i="26" a="1"/>
  <c r="E59" i="26" s="1"/>
  <c r="E79" i="26" a="1"/>
  <c r="E79" i="26" s="1"/>
  <c r="E93" i="26" a="1"/>
  <c r="E93" i="26" s="1"/>
  <c r="D98" i="26" a="1"/>
  <c r="D98" i="26" s="1"/>
  <c r="E73" i="26" a="1"/>
  <c r="E73" i="26" s="1"/>
  <c r="D107" i="26" a="1"/>
  <c r="D107" i="26" s="1"/>
  <c r="F107" i="26" a="1"/>
  <c r="F107" i="26" s="1"/>
  <c r="C107" i="26" a="1"/>
  <c r="C107" i="26" s="1"/>
  <c r="E66" i="26" a="1"/>
  <c r="E66" i="26" s="1"/>
  <c r="C59" i="26" a="1"/>
  <c r="C59" i="26" s="1"/>
  <c r="F45" i="26" a="1"/>
  <c r="F45" i="26" s="1"/>
  <c r="E78" i="26" a="1"/>
  <c r="E78" i="26" s="1"/>
  <c r="D97" i="26" a="1"/>
  <c r="D97" i="26" s="1"/>
  <c r="C106" i="26" a="1"/>
  <c r="C106" i="26" s="1"/>
  <c r="E71" i="26" a="1"/>
  <c r="E71" i="26" s="1"/>
  <c r="F97" i="26" a="1"/>
  <c r="F97" i="26" s="1"/>
  <c r="D105" i="26" a="1"/>
  <c r="D105" i="26" s="1"/>
  <c r="E86" i="26" a="1"/>
  <c r="E86" i="26" s="1"/>
  <c r="F106" i="26" a="1"/>
  <c r="F106" i="26" s="1"/>
  <c r="F77" i="26" a="1"/>
  <c r="F77" i="26" s="1"/>
  <c r="F86" i="26" a="1"/>
  <c r="F86" i="26" s="1"/>
  <c r="F55" i="26" a="1"/>
  <c r="F55" i="26" s="1"/>
  <c r="F85" i="26" a="1"/>
  <c r="F85" i="26" s="1"/>
  <c r="C45" i="26" a="1"/>
  <c r="C45" i="26" s="1"/>
  <c r="F46" i="26" a="1"/>
  <c r="F46" i="26" s="1"/>
  <c r="D46" i="26" a="1"/>
  <c r="D46" i="26" s="1"/>
  <c r="D99" i="26" a="1"/>
  <c r="D99" i="26" s="1"/>
  <c r="E99" i="26" a="1"/>
  <c r="E99" i="26" s="1"/>
  <c r="C99" i="26" a="1"/>
  <c r="C99" i="26" s="1"/>
  <c r="E96" i="26" a="1"/>
  <c r="E96" i="26" s="1"/>
  <c r="D96" i="26" a="1"/>
  <c r="D96" i="26" s="1"/>
  <c r="C96" i="26" a="1"/>
  <c r="C96" i="26" s="1"/>
  <c r="F96" i="26" a="1"/>
  <c r="F96" i="26" s="1"/>
  <c r="F78" i="26" a="1"/>
  <c r="F78" i="26" s="1"/>
  <c r="E75" i="26" a="1"/>
  <c r="E75" i="26" s="1"/>
  <c r="F94" i="26" a="1"/>
  <c r="F94" i="26" s="1"/>
  <c r="D94" i="26" a="1"/>
  <c r="D94" i="26" s="1"/>
  <c r="F72" i="26" a="1"/>
  <c r="F72" i="26" s="1"/>
  <c r="E72" i="26" a="1"/>
  <c r="E72" i="26" s="1"/>
  <c r="C72" i="26" a="1"/>
  <c r="C72" i="26" s="1"/>
  <c r="D72" i="26" a="1"/>
  <c r="D72" i="26" s="1"/>
  <c r="F58" i="26" a="1"/>
  <c r="F58" i="26" s="1"/>
  <c r="C58" i="26" a="1"/>
  <c r="C58" i="26" s="1"/>
  <c r="E58" i="26" a="1"/>
  <c r="E58" i="26" s="1"/>
  <c r="C79" i="26" a="1"/>
  <c r="C79" i="26" s="1"/>
  <c r="D54" i="26" a="1"/>
  <c r="D54" i="26" s="1"/>
  <c r="C80" i="26" a="1"/>
  <c r="C80" i="26" s="1"/>
  <c r="E104" i="26" a="1"/>
  <c r="E104" i="26" s="1"/>
  <c r="C46" i="26" a="1"/>
  <c r="C46" i="26" s="1"/>
  <c r="C85" i="26" a="1"/>
  <c r="C85" i="26" s="1"/>
  <c r="E51" i="26" a="1"/>
  <c r="E51" i="26" s="1"/>
  <c r="C51" i="26" a="1"/>
  <c r="C51" i="26" s="1"/>
  <c r="F51" i="26" a="1"/>
  <c r="F51" i="26" s="1"/>
  <c r="D51" i="26" a="1"/>
  <c r="D51" i="26" s="1"/>
  <c r="F83" i="26" a="1"/>
  <c r="F83" i="26" s="1"/>
  <c r="C83" i="26" a="1"/>
  <c r="C83" i="26" s="1"/>
  <c r="D83" i="26" a="1"/>
  <c r="D83" i="26" s="1"/>
  <c r="F60" i="26" a="1"/>
  <c r="F60" i="26" s="1"/>
  <c r="E60" i="26" a="1"/>
  <c r="E60" i="26" s="1"/>
  <c r="F41" i="26" a="1"/>
  <c r="F41" i="26" s="1"/>
  <c r="D41" i="26" a="1"/>
  <c r="D41" i="26" s="1"/>
  <c r="C41" i="26" a="1"/>
  <c r="C41" i="26" s="1"/>
  <c r="E54" i="26" a="1"/>
  <c r="E54" i="26" s="1"/>
  <c r="E83" i="26" a="1"/>
  <c r="E83" i="26" s="1"/>
  <c r="C62" i="26" a="1"/>
  <c r="C62" i="26" s="1"/>
  <c r="F99" i="26" a="1"/>
  <c r="F99" i="26" s="1"/>
  <c r="E107" i="26" a="1"/>
  <c r="E107" i="26" s="1"/>
  <c r="E52" i="26" a="1"/>
  <c r="E52" i="26" s="1"/>
  <c r="D80" i="26" a="1"/>
  <c r="D80" i="26" s="1"/>
  <c r="C75" i="26" a="1"/>
  <c r="C75" i="26" s="1"/>
  <c r="D55" i="26" a="1"/>
  <c r="D55" i="26" s="1"/>
  <c r="D95" i="26" a="1"/>
  <c r="D95" i="26" s="1"/>
  <c r="F37" i="26" a="1"/>
  <c r="F37" i="26" s="1"/>
  <c r="E37" i="26" a="1"/>
  <c r="E37" i="26" s="1"/>
  <c r="D37" i="26" a="1"/>
  <c r="D37" i="26" s="1"/>
  <c r="D76" i="26" a="1"/>
  <c r="D76" i="26" s="1"/>
  <c r="F76" i="26" a="1"/>
  <c r="F76" i="26" s="1"/>
  <c r="C76" i="26" a="1"/>
  <c r="C76" i="26" s="1"/>
  <c r="E76" i="26" a="1"/>
  <c r="E76" i="26" s="1"/>
  <c r="C56" i="26" a="1"/>
  <c r="C56" i="26" s="1"/>
  <c r="E56" i="26" a="1"/>
  <c r="E56" i="26" s="1"/>
  <c r="D56" i="26" a="1"/>
  <c r="D56" i="26" s="1"/>
  <c r="F56" i="26" a="1"/>
  <c r="F56" i="26" s="1"/>
  <c r="E61" i="26" a="1"/>
  <c r="E61" i="26" s="1"/>
  <c r="F61" i="26" a="1"/>
  <c r="F61" i="26" s="1"/>
  <c r="D61" i="26" a="1"/>
  <c r="D61" i="26" s="1"/>
  <c r="C61" i="26" a="1"/>
  <c r="C61" i="26" s="1"/>
  <c r="F79" i="26" a="1"/>
  <c r="F79" i="26" s="1"/>
  <c r="F105" i="26" a="1"/>
  <c r="F105" i="26" s="1"/>
  <c r="E106" i="26" a="1"/>
  <c r="E106" i="26" s="1"/>
  <c r="D58" i="26" a="1"/>
  <c r="D58" i="26" s="1"/>
  <c r="C53" i="26" a="1"/>
  <c r="C53" i="26" s="1"/>
  <c r="D53" i="26" a="1"/>
  <c r="D53" i="26" s="1"/>
  <c r="E53" i="26" a="1"/>
  <c r="E53" i="26" s="1"/>
  <c r="D57" i="26" a="1"/>
  <c r="D57" i="26" s="1"/>
  <c r="C57" i="26" a="1"/>
  <c r="C57" i="26" s="1"/>
  <c r="E57" i="26" a="1"/>
  <c r="E57" i="26" s="1"/>
  <c r="C81" i="26" a="1"/>
  <c r="C81" i="26" s="1"/>
  <c r="E81" i="26" a="1"/>
  <c r="E81" i="26" s="1"/>
  <c r="F81" i="26" a="1"/>
  <c r="F81" i="26" s="1"/>
  <c r="D81" i="26" a="1"/>
  <c r="D81" i="26" s="1"/>
  <c r="C78" i="26" a="1"/>
  <c r="C78" i="26" s="1"/>
  <c r="E105" i="26" a="1"/>
  <c r="E105" i="26" s="1"/>
  <c r="D75" i="26" a="1"/>
  <c r="D75" i="26" s="1"/>
  <c r="D59" i="26" a="1"/>
  <c r="D59" i="26" s="1"/>
  <c r="F47" i="26" a="1"/>
  <c r="F47" i="26" s="1"/>
  <c r="E47" i="26" a="1"/>
  <c r="E47" i="26" s="1"/>
  <c r="C100" i="26" a="1"/>
  <c r="C100" i="26" s="1"/>
  <c r="E100" i="26" a="1"/>
  <c r="E100" i="26" s="1"/>
  <c r="F100" i="26" a="1"/>
  <c r="F100" i="26" s="1"/>
  <c r="D100" i="26" a="1"/>
  <c r="D100" i="26" s="1"/>
  <c r="C43" i="26" a="1"/>
  <c r="C43" i="26" s="1"/>
  <c r="E43" i="26" a="1"/>
  <c r="E43" i="26" s="1"/>
  <c r="F64" i="26" a="1"/>
  <c r="F64" i="26" s="1"/>
  <c r="D64" i="26" a="1"/>
  <c r="D64" i="26" s="1"/>
  <c r="C64" i="26" a="1"/>
  <c r="C64" i="26" s="1"/>
  <c r="E64" i="26" a="1"/>
  <c r="E64" i="26" s="1"/>
  <c r="F92" i="26" a="1"/>
  <c r="F92" i="26" s="1"/>
  <c r="D92" i="26" a="1"/>
  <c r="D92" i="26" s="1"/>
  <c r="E92" i="26" a="1"/>
  <c r="E92" i="26" s="1"/>
  <c r="C97" i="26" a="1"/>
  <c r="C97" i="26" s="1"/>
  <c r="D86" i="26" a="1"/>
  <c r="D86" i="26" s="1"/>
  <c r="E68" i="26" a="1"/>
  <c r="E68" i="26" s="1"/>
  <c r="C47" i="26" a="1"/>
  <c r="C47" i="26" s="1"/>
  <c r="E94" i="26" a="1"/>
  <c r="E94" i="26" s="1"/>
  <c r="C68" i="26" a="1"/>
  <c r="C68" i="26" s="1"/>
  <c r="C93" i="26" a="1"/>
  <c r="C93" i="26" s="1"/>
  <c r="D93" i="26" a="1"/>
  <c r="D93" i="26" s="1"/>
  <c r="C98" i="26" a="1"/>
  <c r="C98" i="26" s="1"/>
  <c r="F98" i="26" a="1"/>
  <c r="F98" i="26" s="1"/>
  <c r="F102" i="26" a="1"/>
  <c r="F102" i="26" s="1"/>
  <c r="C102" i="26" a="1"/>
  <c r="C102" i="26" s="1"/>
  <c r="E102" i="26" a="1"/>
  <c r="E102" i="26" s="1"/>
  <c r="C88" i="26" a="1"/>
  <c r="C88" i="26" s="1"/>
  <c r="E88" i="26" a="1"/>
  <c r="E88" i="26" s="1"/>
  <c r="F88" i="26" a="1"/>
  <c r="F88" i="26" s="1"/>
  <c r="C95" i="26" a="1"/>
  <c r="C95" i="26" s="1"/>
  <c r="E95" i="26" a="1"/>
  <c r="E95" i="26" s="1"/>
  <c r="F52" i="26" a="1"/>
  <c r="F52" i="26" s="1"/>
  <c r="D52" i="26" a="1"/>
  <c r="D52" i="26" s="1"/>
  <c r="C77" i="26" a="1"/>
  <c r="C77" i="26" s="1"/>
  <c r="E77" i="26" a="1"/>
  <c r="E77" i="26" s="1"/>
  <c r="F89" i="26" a="1"/>
  <c r="F89" i="26" s="1"/>
  <c r="C89" i="26" a="1"/>
  <c r="C89" i="26" s="1"/>
  <c r="D89" i="26" a="1"/>
  <c r="D89" i="26" s="1"/>
  <c r="E101" i="26" a="1"/>
  <c r="E101" i="26" s="1"/>
  <c r="C101" i="26" a="1"/>
  <c r="C101" i="26" s="1"/>
  <c r="F101" i="26" a="1"/>
  <c r="F101" i="26" s="1"/>
  <c r="D42" i="26" a="1"/>
  <c r="D42" i="26" s="1"/>
  <c r="C42" i="26" a="1"/>
  <c r="C42" i="26" s="1"/>
  <c r="E42" i="26" a="1"/>
  <c r="E42" i="26" s="1"/>
  <c r="D84" i="26" a="1"/>
  <c r="D84" i="26" s="1"/>
  <c r="E39" i="26" a="1"/>
  <c r="E39" i="26" s="1"/>
  <c r="F39" i="26" a="1"/>
  <c r="F39" i="26" s="1"/>
  <c r="D39" i="26" a="1"/>
  <c r="D39" i="26" s="1"/>
  <c r="C90" i="26" a="1"/>
  <c r="C90" i="26" s="1"/>
  <c r="F90" i="26" a="1"/>
  <c r="F90" i="26" s="1"/>
  <c r="E90" i="26" a="1"/>
  <c r="E90" i="26" s="1"/>
  <c r="E62" i="26" a="1"/>
  <c r="E62" i="26" s="1"/>
  <c r="C60" i="26" a="1"/>
  <c r="C60" i="26" s="1"/>
  <c r="E89" i="26" a="1"/>
  <c r="E89" i="26" s="1"/>
  <c r="C26" i="26" a="1"/>
  <c r="C26" i="26" s="1"/>
  <c r="E40" i="26" a="1"/>
  <c r="E40" i="26" s="1"/>
  <c r="D70" i="26" a="1"/>
  <c r="D70" i="26" s="1"/>
  <c r="F70" i="26" a="1"/>
  <c r="F70" i="26" s="1"/>
  <c r="C65" i="26" a="1"/>
  <c r="C65" i="26" s="1"/>
  <c r="C44" i="26" a="1"/>
  <c r="C44" i="26" s="1"/>
  <c r="D69" i="26" a="1"/>
  <c r="D69" i="26" s="1"/>
  <c r="E69" i="26" a="1"/>
  <c r="E69" i="26" s="1"/>
  <c r="C82" i="26" a="1"/>
  <c r="C82" i="26" s="1"/>
  <c r="D74" i="26" a="1"/>
  <c r="D74" i="26" s="1"/>
  <c r="E49" i="26" a="1"/>
  <c r="E49" i="26" s="1"/>
  <c r="E103" i="26" a="1"/>
  <c r="E103" i="26" s="1"/>
  <c r="D48" i="26" a="1"/>
  <c r="D48" i="26" s="1"/>
  <c r="F34" i="26" a="1"/>
  <c r="F34" i="26" s="1"/>
  <c r="F25" i="26" a="1"/>
  <c r="F25" i="26" s="1"/>
  <c r="E29" i="26" a="1"/>
  <c r="E29" i="26" s="1"/>
  <c r="F82" i="26" a="1"/>
  <c r="F82" i="26" s="1"/>
  <c r="F87" i="26" a="1"/>
  <c r="F87" i="26" s="1"/>
  <c r="F74" i="26" a="1"/>
  <c r="F74" i="26" s="1"/>
  <c r="F48" i="26" a="1"/>
  <c r="F48" i="26" s="1"/>
  <c r="F44" i="26" a="1"/>
  <c r="F44" i="26" s="1"/>
  <c r="C25" i="26" a="1"/>
  <c r="C25" i="26" s="1"/>
  <c r="F26" i="26" a="1"/>
  <c r="F26" i="26" s="1"/>
  <c r="C103" i="26" a="1"/>
  <c r="C103" i="26" s="1"/>
  <c r="F29" i="26" a="1"/>
  <c r="F29" i="26" s="1"/>
  <c r="D25" i="26" a="1"/>
  <c r="D25" i="26" s="1"/>
  <c r="C69" i="26" a="1"/>
  <c r="C69" i="26" s="1"/>
  <c r="E87" i="26" a="1"/>
  <c r="E87" i="26" s="1"/>
  <c r="D103" i="26" a="1"/>
  <c r="D103" i="26" s="1"/>
  <c r="E48" i="26" a="1"/>
  <c r="E48" i="26" s="1"/>
  <c r="F35" i="26" a="1"/>
  <c r="F35" i="26" s="1"/>
  <c r="D35" i="26" a="1"/>
  <c r="D35" i="26" s="1"/>
  <c r="D29" i="26" a="1"/>
  <c r="D29" i="26" s="1"/>
  <c r="D50" i="26" a="1"/>
  <c r="D50" i="26" s="1"/>
  <c r="BA30" i="23"/>
  <c r="BA127" i="23" a="1"/>
  <c r="BA127" i="23" s="1"/>
  <c r="BA20" i="23" a="1"/>
  <c r="BA20" i="23" s="1"/>
  <c r="BA188" i="23" a="1"/>
  <c r="BA188" i="23" s="1"/>
  <c r="AZ20" i="23" a="1"/>
  <c r="AZ20" i="23" s="1"/>
  <c r="BA41" i="23" a="1"/>
  <c r="BA41" i="23"/>
  <c r="BA89" i="23" a="1"/>
  <c r="BA89" i="23" s="1"/>
  <c r="BA140" i="23" a="1"/>
  <c r="BA140" i="23" s="1"/>
  <c r="AZ62" i="23" a="1"/>
  <c r="AZ62" i="23"/>
  <c r="BA136" i="23" a="1"/>
  <c r="BA136" i="23" s="1"/>
  <c r="AZ192" i="23" a="1"/>
  <c r="AZ192" i="23" s="1"/>
  <c r="BA133" i="23" a="1"/>
  <c r="BA133" i="23" s="1"/>
  <c r="AZ123" i="23" a="1"/>
  <c r="AZ123" i="23" s="1"/>
  <c r="BA12" i="23" a="1"/>
  <c r="BA12" i="23" s="1"/>
  <c r="BA183" i="23" a="1"/>
  <c r="BA183" i="23" s="1"/>
  <c r="BA14" i="23" a="1"/>
  <c r="BA14" i="23" s="1"/>
  <c r="BA79" i="23" a="1"/>
  <c r="BA79" i="23" s="1"/>
  <c r="AZ114" i="23" a="1"/>
  <c r="AZ114" i="23" s="1"/>
  <c r="BA110" i="23" a="1"/>
  <c r="BA110" i="23" s="1"/>
  <c r="AZ167" i="23" a="1"/>
  <c r="AZ167" i="23" s="1"/>
  <c r="AZ54" i="23" a="1"/>
  <c r="AZ54" i="23" s="1"/>
  <c r="AZ74" i="23" a="1"/>
  <c r="AZ74" i="23"/>
  <c r="AZ26" i="23" a="1"/>
  <c r="AZ26" i="23" s="1"/>
  <c r="AZ75" i="23" a="1"/>
  <c r="AZ75" i="23" s="1"/>
  <c r="AZ187" i="23" a="1"/>
  <c r="AZ187" i="23" s="1"/>
  <c r="BA62" i="23" a="1"/>
  <c r="BA62" i="23" s="1"/>
  <c r="AZ18" i="23" a="1"/>
  <c r="AZ18" i="23" s="1"/>
  <c r="AZ56" i="23" a="1"/>
  <c r="AZ56" i="23" s="1"/>
  <c r="BA56" i="23" a="1"/>
  <c r="BA56" i="23" s="1"/>
  <c r="AZ117" i="23" a="1"/>
  <c r="AZ117" i="23" s="1"/>
  <c r="BA121" i="23" a="1"/>
  <c r="BA121" i="23" s="1"/>
  <c r="AZ190" i="23" a="1"/>
  <c r="AZ190" i="23" s="1"/>
  <c r="BA142" i="23" a="1"/>
  <c r="BA142" i="23" s="1"/>
  <c r="AZ108" i="23" a="1"/>
  <c r="AZ108" i="23" s="1"/>
  <c r="AZ41" i="23" a="1"/>
  <c r="AZ41" i="23" s="1"/>
  <c r="BA84" i="23" a="1"/>
  <c r="BA84" i="23" s="1"/>
  <c r="AZ101" i="23" a="1"/>
  <c r="AZ101" i="23" s="1"/>
  <c r="BA161" i="23" a="1"/>
  <c r="BA161" i="23" s="1"/>
  <c r="AZ140" i="23" a="1"/>
  <c r="AZ140" i="23" s="1"/>
  <c r="AZ149" i="23" a="1"/>
  <c r="AZ149" i="23" s="1"/>
  <c r="BA95" i="23" a="1"/>
  <c r="BA95" i="23"/>
  <c r="BA88" i="23" a="1"/>
  <c r="BA88" i="23" s="1"/>
  <c r="AZ138" i="23" a="1"/>
  <c r="AZ138" i="23" s="1"/>
  <c r="AZ43" i="23" a="1"/>
  <c r="AZ43" i="23" s="1"/>
  <c r="AZ102" i="23" a="1"/>
  <c r="AZ102" i="23" s="1"/>
  <c r="BA182" i="23" a="1"/>
  <c r="BA182" i="23" s="1"/>
  <c r="BA77" i="23" a="1"/>
  <c r="BA77" i="23" s="1"/>
  <c r="AZ13" i="23" a="1"/>
  <c r="AZ13" i="23" s="1"/>
  <c r="AZ50" i="23" a="1"/>
  <c r="AZ50" i="23"/>
  <c r="BA8" i="23" a="1"/>
  <c r="BA8" i="23" s="1"/>
  <c r="BA155" i="23" a="1"/>
  <c r="BA155" i="23" s="1"/>
  <c r="AZ155" i="23" a="1"/>
  <c r="AZ155" i="23" s="1"/>
  <c r="BA60" i="23" a="1"/>
  <c r="BA60" i="23" s="1"/>
  <c r="BA10" i="23" a="1"/>
  <c r="BA10" i="23"/>
  <c r="BA47" i="23" a="1"/>
  <c r="BA47" i="23" s="1"/>
  <c r="BA169" i="23" a="1"/>
  <c r="BA169" i="23" s="1"/>
  <c r="BA134" i="23" a="1"/>
  <c r="BA134" i="23"/>
  <c r="AZ105" i="23" a="1"/>
  <c r="AZ105" i="23" s="1"/>
  <c r="AZ176" i="23" a="1"/>
  <c r="AZ176" i="23" s="1"/>
  <c r="BA120" i="23" a="1"/>
  <c r="BA120" i="23" s="1"/>
  <c r="BA178" i="23" a="1"/>
  <c r="BA178" i="23" s="1"/>
  <c r="AZ45" i="23" a="1"/>
  <c r="AZ45" i="23"/>
  <c r="AZ113" i="23" a="1"/>
  <c r="AZ113" i="23" s="1"/>
  <c r="AZ24" i="23" a="1"/>
  <c r="AZ24" i="23" s="1"/>
  <c r="AZ31" i="23" a="1"/>
  <c r="AZ31" i="23" s="1"/>
  <c r="BA132" i="23" a="1"/>
  <c r="BA132" i="23" s="1"/>
  <c r="AZ94" i="23" a="1"/>
  <c r="AZ94" i="23" s="1"/>
  <c r="BA85" i="23" a="1"/>
  <c r="BA85" i="23" s="1"/>
  <c r="BA93" i="23" a="1"/>
  <c r="BA93" i="23" s="1"/>
  <c r="AZ153" i="23" a="1"/>
  <c r="AZ153" i="23"/>
  <c r="BA22" i="23" a="1"/>
  <c r="BA22" i="23" s="1"/>
  <c r="AZ33" i="23" a="1"/>
  <c r="AZ33" i="23" s="1"/>
  <c r="AZ139" i="23" a="1"/>
  <c r="AZ139" i="23"/>
  <c r="BA152" i="23" a="1"/>
  <c r="BA152" i="23" s="1"/>
  <c r="BA122" i="23" a="1"/>
  <c r="BA122" i="23" s="1"/>
  <c r="BA68" i="23" a="1"/>
  <c r="BA68" i="23" s="1"/>
  <c r="BA52" i="23" a="1"/>
  <c r="BA52" i="23" s="1"/>
  <c r="AZ52" i="23" a="1"/>
  <c r="AZ52" i="23" s="1"/>
  <c r="BA96" i="23" a="1"/>
  <c r="BA96" i="23" s="1"/>
  <c r="AZ145" i="23" a="1"/>
  <c r="AZ145" i="23"/>
  <c r="BA90" i="23" a="1"/>
  <c r="BA90" i="23" s="1"/>
  <c r="BA107" i="23" a="1"/>
  <c r="BA107" i="23" s="1"/>
  <c r="AZ180" i="23" a="1"/>
  <c r="AZ180" i="23" s="1"/>
  <c r="AZ179" i="23" a="1"/>
  <c r="AZ179" i="23" s="1"/>
  <c r="AZ141" i="23" a="1"/>
  <c r="AZ141" i="23" s="1"/>
  <c r="BA19" i="23" a="1"/>
  <c r="BA19" i="23" s="1"/>
  <c r="BA143" i="23" a="1"/>
  <c r="BA143" i="23" s="1"/>
  <c r="BA146" i="23" a="1"/>
  <c r="BA146" i="23" s="1"/>
  <c r="BA26" i="23" a="1"/>
  <c r="BA26" i="23"/>
  <c r="BA45" i="23" a="1"/>
  <c r="BA45" i="23" s="1"/>
  <c r="BA87" i="23" a="1"/>
  <c r="BA87" i="23" s="1"/>
  <c r="AZ137" i="23" a="1"/>
  <c r="AZ137" i="23" s="1"/>
  <c r="BA130" i="23" a="1"/>
  <c r="BA130" i="23" s="1"/>
  <c r="AZ67" i="23" a="1"/>
  <c r="AZ67" i="23" s="1"/>
  <c r="AZ95" i="23" a="1"/>
  <c r="AZ95" i="23" s="1"/>
  <c r="AZ10" i="23" a="1"/>
  <c r="AZ10" i="23" s="1"/>
  <c r="BA97" i="23" a="1"/>
  <c r="BA97" i="23"/>
  <c r="BA190" i="23" a="1"/>
  <c r="BA190" i="23" s="1"/>
  <c r="AZ35" i="23" a="1"/>
  <c r="AZ35" i="23" s="1"/>
  <c r="BA124" i="23" a="1"/>
  <c r="BA124" i="23" s="1"/>
  <c r="BA151" i="23" a="1"/>
  <c r="BA151" i="23" s="1"/>
  <c r="BA25" i="23" a="1"/>
  <c r="BA25" i="23"/>
  <c r="BA76" i="23" a="1"/>
  <c r="BA76" i="23" s="1"/>
  <c r="AZ25" i="23" a="1"/>
  <c r="AZ25" i="23"/>
  <c r="AZ36" i="23" a="1"/>
  <c r="AZ36" i="23" s="1"/>
  <c r="AZ82" i="23" a="1"/>
  <c r="AZ82" i="23" s="1"/>
  <c r="BA82" i="23" a="1"/>
  <c r="BA82" i="23" s="1"/>
  <c r="BA145" i="23" a="1"/>
  <c r="BA145" i="23" s="1"/>
  <c r="BA23" i="23" a="1"/>
  <c r="BA23" i="23" s="1"/>
  <c r="BA170" i="23" a="1"/>
  <c r="BA170" i="23"/>
  <c r="BA101" i="23" a="1"/>
  <c r="BA101" i="23" s="1"/>
  <c r="AZ42" i="23" a="1"/>
  <c r="AZ42" i="23"/>
  <c r="BA48" i="23" a="1"/>
  <c r="BA48" i="23"/>
  <c r="BA70" i="23" a="1"/>
  <c r="BA70" i="23" s="1"/>
  <c r="AZ121" i="23" a="1"/>
  <c r="AZ121" i="23" s="1"/>
  <c r="AZ21" i="23" a="1"/>
  <c r="AZ21" i="23" s="1"/>
  <c r="AZ119" i="23" a="1"/>
  <c r="AZ119" i="23" s="1"/>
  <c r="AZ29" i="23" a="1"/>
  <c r="AZ29" i="23" s="1"/>
  <c r="AZ97" i="23" a="1"/>
  <c r="AZ97" i="23" s="1"/>
  <c r="BA125" i="23" a="1"/>
  <c r="BA125" i="23" s="1"/>
  <c r="AZ32" i="23" a="1"/>
  <c r="AZ32" i="23" s="1"/>
  <c r="AZ165" i="23" a="1"/>
  <c r="AZ165" i="23" s="1"/>
  <c r="AZ127" i="23" a="1"/>
  <c r="AZ127" i="23" s="1"/>
  <c r="BA67" i="23" a="1"/>
  <c r="BA67" i="23" s="1"/>
  <c r="AZ194" i="23" a="1"/>
  <c r="AZ194" i="23" s="1"/>
  <c r="AZ136" i="23" a="1"/>
  <c r="AZ136" i="23" s="1"/>
  <c r="BA172" i="23" a="1"/>
  <c r="BA172" i="23" s="1"/>
  <c r="BA28" i="23" a="1"/>
  <c r="BA28" i="23" s="1"/>
  <c r="BA73" i="23" a="1"/>
  <c r="BA73" i="23"/>
  <c r="AZ65" i="23" a="1"/>
  <c r="AZ65" i="23" s="1"/>
  <c r="BA168" i="23" a="1"/>
  <c r="BA168" i="23" s="1"/>
  <c r="AZ30" i="23" a="1"/>
  <c r="AZ30" i="23" s="1"/>
  <c r="BA59" i="23" a="1"/>
  <c r="BA59" i="23" s="1"/>
  <c r="AZ118" i="23" a="1"/>
  <c r="AZ118" i="23" s="1"/>
  <c r="BA141" i="23" a="1"/>
  <c r="BA141" i="23" s="1"/>
  <c r="BA86" i="23" a="1"/>
  <c r="BA86" i="23" s="1"/>
  <c r="AZ151" i="23" a="1"/>
  <c r="AZ151" i="23"/>
  <c r="AZ17" i="23" a="1"/>
  <c r="AZ17" i="23" s="1"/>
  <c r="BA64" i="23" a="1"/>
  <c r="BA64" i="23" s="1"/>
  <c r="BA27" i="23" a="1"/>
  <c r="BA27" i="23" s="1"/>
  <c r="BA181" i="23" a="1"/>
  <c r="BA181" i="23" s="1"/>
  <c r="AZ189" i="23" a="1"/>
  <c r="AZ189" i="23" s="1"/>
  <c r="AZ156" i="23" a="1"/>
  <c r="AZ156" i="23" s="1"/>
  <c r="AZ87" i="23" a="1"/>
  <c r="AZ87" i="23"/>
  <c r="BA180" i="23" a="1"/>
  <c r="BA180" i="23" s="1"/>
  <c r="AZ16" i="23" a="1"/>
  <c r="AZ16" i="23" s="1"/>
  <c r="AZ161" i="23" a="1"/>
  <c r="AZ161" i="23" s="1"/>
  <c r="AZ69" i="23" a="1"/>
  <c r="AZ69" i="23" s="1"/>
  <c r="BA57" i="23" a="1"/>
  <c r="BA57" i="23" s="1"/>
  <c r="AZ177" i="23" a="1"/>
  <c r="AZ177" i="23" s="1"/>
  <c r="D99" i="30"/>
  <c r="G99" i="30"/>
  <c r="G101" i="30"/>
  <c r="B101" i="30"/>
  <c r="D98" i="30"/>
  <c r="G98" i="30"/>
  <c r="G100" i="30"/>
  <c r="C100" i="30"/>
  <c r="B100" i="30"/>
  <c r="D100" i="30"/>
  <c r="C99" i="30"/>
  <c r="B99" i="30"/>
  <c r="C101" i="30"/>
  <c r="AZ39" i="23" a="1"/>
  <c r="AZ39" i="23"/>
  <c r="AZ90" i="23" a="1"/>
  <c r="AZ90" i="23"/>
  <c r="AZ133" i="23" a="1"/>
  <c r="AZ133" i="23"/>
  <c r="BA185" i="23" a="1"/>
  <c r="BA185" i="23" s="1"/>
  <c r="AZ129" i="23" a="1"/>
  <c r="AZ129" i="23" s="1"/>
  <c r="AZ143" i="23" a="1"/>
  <c r="AZ143" i="23"/>
  <c r="AZ164" i="23" a="1"/>
  <c r="AZ164" i="23" s="1"/>
  <c r="AZ168" i="23" a="1"/>
  <c r="AZ168" i="23"/>
  <c r="AZ46" i="23" a="1"/>
  <c r="AZ46" i="23" s="1"/>
  <c r="BA46" i="23" a="1"/>
  <c r="BA46" i="23"/>
  <c r="BA108" i="23" a="1"/>
  <c r="BA108" i="23"/>
  <c r="AZ66" i="23" a="1"/>
  <c r="AZ66" i="23" s="1"/>
  <c r="BA104" i="23" a="1"/>
  <c r="BA104" i="23"/>
  <c r="AZ19" i="23" a="1"/>
  <c r="AZ19" i="23" s="1"/>
  <c r="BA102" i="23" a="1"/>
  <c r="BA102" i="23"/>
  <c r="AZ128" i="23" a="1"/>
  <c r="AZ128" i="23" s="1"/>
  <c r="BA21" i="23" a="1"/>
  <c r="BA21" i="23"/>
  <c r="BA162" i="23" a="1"/>
  <c r="BA162" i="23"/>
  <c r="BA117" i="23" a="1"/>
  <c r="BA117" i="23"/>
  <c r="AZ80" i="23" a="1"/>
  <c r="AZ80" i="23" s="1"/>
  <c r="AZ109" i="23" a="1"/>
  <c r="AZ109" i="23" s="1"/>
  <c r="BA55" i="23" a="1"/>
  <c r="BA55" i="23" s="1"/>
  <c r="AZ72" i="23" a="1"/>
  <c r="AZ72" i="23"/>
  <c r="C98" i="30"/>
  <c r="B98" i="30"/>
  <c r="T4" i="23" a="1"/>
  <c r="T4" i="23"/>
  <c r="D101" i="30"/>
  <c r="BA159" i="23" a="1"/>
  <c r="BA159" i="23" s="1"/>
  <c r="BA74" i="23" a="1"/>
  <c r="BA74" i="23"/>
  <c r="AZ160" i="23" a="1"/>
  <c r="AZ160" i="23"/>
  <c r="AZ28" i="23" a="1"/>
  <c r="AZ28" i="23" s="1"/>
  <c r="BA72" i="23" a="1"/>
  <c r="BA72" i="23" s="1"/>
  <c r="BA115" i="23" a="1"/>
  <c r="BA115" i="23" s="1"/>
  <c r="AZ144" i="23" a="1"/>
  <c r="AZ144" i="23" s="1"/>
  <c r="BA135" i="23" a="1"/>
  <c r="BA135" i="23"/>
  <c r="BA109" i="23" a="1"/>
  <c r="BA109" i="23" s="1"/>
  <c r="BA34" i="23" a="1"/>
  <c r="BA34" i="23" s="1"/>
  <c r="BA112" i="23" a="1"/>
  <c r="BA112" i="23"/>
  <c r="AZ104" i="23" a="1"/>
  <c r="AZ104" i="23" s="1"/>
  <c r="AZ63" i="23" a="1"/>
  <c r="AZ63" i="23" s="1"/>
  <c r="AZ27" i="23" a="1"/>
  <c r="AZ27" i="23" s="1"/>
  <c r="BA66" i="23" a="1"/>
  <c r="BA66" i="23" s="1"/>
  <c r="AZ9" i="23" a="1"/>
  <c r="AZ9" i="23"/>
  <c r="BA176" i="23" a="1"/>
  <c r="BA176" i="23" s="1"/>
  <c r="AZ49" i="23" a="1"/>
  <c r="AZ49" i="23"/>
  <c r="BA123" i="23" a="1"/>
  <c r="BA123" i="23" s="1"/>
  <c r="AZ77" i="23" a="1"/>
  <c r="AZ77" i="23" s="1"/>
  <c r="AZ171" i="23" a="1"/>
  <c r="AZ171" i="23" s="1"/>
  <c r="BA32" i="23" a="1"/>
  <c r="BA32" i="23" s="1"/>
  <c r="AZ40" i="23" a="1"/>
  <c r="AZ40" i="23" s="1"/>
  <c r="BA7" i="23" a="1"/>
  <c r="BA7" i="23"/>
  <c r="BA163" i="23" a="1"/>
  <c r="BA163" i="23" s="1"/>
  <c r="BA193" i="23" a="1"/>
  <c r="BA193" i="23" s="1"/>
  <c r="AZ44" i="23" a="1"/>
  <c r="AZ44" i="23"/>
  <c r="K37" i="23"/>
  <c r="J36" i="23"/>
  <c r="F118" i="23"/>
  <c r="AO118" i="23" a="1"/>
  <c r="AO118" i="23" s="1"/>
  <c r="K55" i="23"/>
  <c r="AO49" i="23" a="1"/>
  <c r="AO49" i="23" s="1"/>
  <c r="AO37" i="23" a="1"/>
  <c r="AO37" i="23" s="1"/>
  <c r="AX37" i="23" a="1"/>
  <c r="AX37" i="23" s="1"/>
  <c r="AP86" i="23" a="1"/>
  <c r="AP86" i="23"/>
  <c r="AQ86" i="23" s="1" a="1"/>
  <c r="AQ86" i="23" s="1"/>
  <c r="AW49" i="23" a="1"/>
  <c r="AW49" i="23" s="1"/>
  <c r="X49" i="23"/>
  <c r="AW16" i="23" a="1"/>
  <c r="AW16" i="23"/>
  <c r="Y55" i="23"/>
  <c r="X86" i="23"/>
  <c r="Z77" i="23"/>
  <c r="U16" i="23"/>
  <c r="W118" i="23"/>
  <c r="AW77" i="23" a="1"/>
  <c r="AW77" i="23" s="1"/>
  <c r="O49" i="23"/>
  <c r="AW55" i="23" a="1"/>
  <c r="AW55" i="23" s="1"/>
  <c r="Y49" i="23"/>
  <c r="X23" i="23"/>
  <c r="X55" i="23"/>
  <c r="F36" i="23"/>
  <c r="U77" i="23"/>
  <c r="AO16" i="23" a="1"/>
  <c r="AO16" i="23" s="1"/>
  <c r="J118" i="23"/>
  <c r="W77" i="23"/>
  <c r="W16" i="23"/>
  <c r="V16" i="23"/>
  <c r="K77" i="23"/>
  <c r="K36" i="23"/>
  <c r="AP16" i="23" a="1"/>
  <c r="AP16" i="23" s="1"/>
  <c r="AQ16" i="23" s="1" a="1"/>
  <c r="AQ16" i="23" s="1"/>
  <c r="AY49" i="23" a="1"/>
  <c r="AY49" i="23" s="1"/>
  <c r="F77" i="23"/>
  <c r="AY16" i="23" a="1"/>
  <c r="AY16" i="23" s="1"/>
  <c r="V36" i="23"/>
  <c r="AW118" i="23" a="1"/>
  <c r="AW118" i="23" s="1"/>
  <c r="AY86" i="23" a="1"/>
  <c r="AY86" i="23" s="1"/>
  <c r="AY118" i="23" a="1"/>
  <c r="AY118" i="23" s="1"/>
  <c r="Z49" i="23"/>
  <c r="J49" i="23"/>
  <c r="O37" i="23"/>
  <c r="AO36" i="23" a="1"/>
  <c r="AO36" i="23" s="1"/>
  <c r="W37" i="23"/>
  <c r="X16" i="23"/>
  <c r="AY55" i="23" a="1"/>
  <c r="AY55" i="23"/>
  <c r="AO86" i="23" a="1"/>
  <c r="AO86" i="23" s="1"/>
  <c r="AX23" i="23" a="1"/>
  <c r="AX23" i="23"/>
  <c r="V49" i="23"/>
  <c r="V118" i="23"/>
  <c r="V55" i="23"/>
  <c r="O36" i="23"/>
  <c r="J23" i="23"/>
  <c r="F16" i="23"/>
  <c r="X37" i="23"/>
  <c r="AP49" i="23" a="1"/>
  <c r="AP49" i="23" s="1"/>
  <c r="AQ49" i="23" s="1" a="1"/>
  <c r="AQ49" i="23" s="1"/>
  <c r="AO55" i="23" a="1"/>
  <c r="AO55" i="23" s="1"/>
  <c r="O23" i="23"/>
  <c r="J55" i="23"/>
  <c r="O16" i="23"/>
  <c r="J16" i="23"/>
  <c r="AW86" i="23" a="1"/>
  <c r="AW86" i="23" s="1"/>
  <c r="O118" i="23"/>
  <c r="Z86" i="23"/>
  <c r="K49" i="23"/>
  <c r="W55" i="23"/>
  <c r="Z36" i="23"/>
  <c r="F37" i="23"/>
  <c r="K23" i="23"/>
  <c r="AO23" i="23" a="1"/>
  <c r="AO23" i="23" s="1"/>
  <c r="X77" i="23"/>
  <c r="W23" i="23"/>
  <c r="AP55" i="23" a="1"/>
  <c r="AP55" i="23" s="1"/>
  <c r="AQ55" i="23" s="1" a="1"/>
  <c r="AQ55" i="23" s="1"/>
  <c r="AX49" i="23" a="1"/>
  <c r="AX49" i="23"/>
  <c r="Y86" i="23"/>
  <c r="Y16" i="23"/>
  <c r="U86" i="23"/>
  <c r="K86" i="23"/>
  <c r="J86" i="23"/>
  <c r="AW36" i="23" a="1"/>
  <c r="AW36" i="23" s="1"/>
  <c r="U55" i="23"/>
  <c r="AX36" i="23" a="1"/>
  <c r="AX36" i="23" s="1"/>
  <c r="AX77" i="23" a="1"/>
  <c r="AX77" i="23"/>
  <c r="AW23" i="23" a="1"/>
  <c r="AW23" i="23"/>
  <c r="U37" i="23"/>
  <c r="F23" i="23"/>
  <c r="AP36" i="23" a="1"/>
  <c r="AP36" i="23"/>
  <c r="AQ36" i="23" s="1" a="1"/>
  <c r="AQ36" i="23" s="1"/>
  <c r="AY77" i="23" a="1"/>
  <c r="AY77" i="23" s="1"/>
  <c r="AY37" i="23" a="1"/>
  <c r="AY37" i="23"/>
  <c r="AX55" i="23" a="1"/>
  <c r="AX55" i="23"/>
  <c r="AW37" i="23" a="1"/>
  <c r="AW37" i="23" s="1"/>
  <c r="AX86" i="23" a="1"/>
  <c r="AX86" i="23"/>
  <c r="U49" i="23"/>
  <c r="J77" i="23"/>
  <c r="Y36" i="23"/>
  <c r="U118" i="23"/>
  <c r="K118" i="23"/>
  <c r="AO77" i="23" a="1"/>
  <c r="AO77" i="23" s="1"/>
  <c r="X118" i="23"/>
  <c r="Y23" i="23"/>
  <c r="F86" i="23"/>
  <c r="Y77" i="23"/>
  <c r="K16" i="23"/>
  <c r="V37" i="23"/>
  <c r="W49" i="23"/>
  <c r="Z23" i="23"/>
  <c r="U36" i="23"/>
  <c r="Z16" i="23"/>
  <c r="AX16" i="23" a="1"/>
  <c r="AX16" i="23" s="1"/>
  <c r="W86" i="23"/>
  <c r="Z37" i="23"/>
  <c r="AP37" i="23" a="1"/>
  <c r="AP37" i="23" s="1"/>
  <c r="AQ37" i="23" s="1" a="1"/>
  <c r="AQ37" i="23" s="1"/>
  <c r="AP77" i="23" a="1"/>
  <c r="AP77" i="23" s="1"/>
  <c r="AQ77" i="23" s="1" a="1"/>
  <c r="AQ77" i="23" s="1"/>
  <c r="AY23" i="23" a="1"/>
  <c r="AY23" i="23" s="1"/>
  <c r="F49" i="23"/>
  <c r="O86" i="23"/>
  <c r="AX118" i="23" a="1"/>
  <c r="AX118" i="23"/>
  <c r="U23" i="23"/>
  <c r="V77" i="23"/>
  <c r="X36" i="23"/>
  <c r="AP118" i="23" a="1"/>
  <c r="AP118" i="23"/>
  <c r="AQ118" i="23" s="1" a="1"/>
  <c r="AQ118" i="23" s="1"/>
  <c r="O77" i="23"/>
  <c r="V23" i="23"/>
  <c r="Z118" i="23"/>
  <c r="AP23" i="23" a="1"/>
  <c r="AP23" i="23" s="1"/>
  <c r="AQ23" i="23" s="1" a="1"/>
  <c r="AQ23" i="23" s="1"/>
  <c r="Y118" i="23"/>
  <c r="AY36" i="23" a="1"/>
  <c r="AY36" i="23"/>
  <c r="Y37" i="23"/>
  <c r="O55" i="23"/>
  <c r="V86" i="23"/>
  <c r="Z55" i="23"/>
  <c r="J37" i="23"/>
  <c r="F55" i="23"/>
  <c r="W36" i="23"/>
  <c r="U126" i="23"/>
  <c r="Z110" i="23"/>
  <c r="K68" i="23"/>
  <c r="AW52" i="23" a="1"/>
  <c r="AW52" i="23" s="1"/>
  <c r="O122" i="23"/>
  <c r="Y85" i="23"/>
  <c r="AW174" i="23" a="1"/>
  <c r="AW174" i="23"/>
  <c r="AY126" i="23" a="1"/>
  <c r="AY126" i="23" s="1"/>
  <c r="X91" i="23"/>
  <c r="X174" i="23"/>
  <c r="F110" i="23"/>
  <c r="U193" i="23"/>
  <c r="X25" i="23"/>
  <c r="V126" i="23"/>
  <c r="Y122" i="23"/>
  <c r="J193" i="23"/>
  <c r="U68" i="23"/>
  <c r="K52" i="23"/>
  <c r="AY52" i="23" a="1"/>
  <c r="AY52" i="23"/>
  <c r="AX122" i="23" a="1"/>
  <c r="AX122" i="23" s="1"/>
  <c r="AP193" i="23" a="1"/>
  <c r="AP193" i="23" s="1"/>
  <c r="AQ193" i="23" s="1" a="1"/>
  <c r="AQ193" i="23" s="1"/>
  <c r="AW193" i="23" a="1"/>
  <c r="AW193" i="23"/>
  <c r="AO126" i="23" a="1"/>
  <c r="AO126" i="23"/>
  <c r="Y126" i="23"/>
  <c r="Y25" i="23"/>
  <c r="O52" i="23"/>
  <c r="W122" i="23"/>
  <c r="X193" i="23"/>
  <c r="O110" i="23"/>
  <c r="X52" i="23"/>
  <c r="J122" i="23"/>
  <c r="U110" i="23"/>
  <c r="AO174" i="23" a="1"/>
  <c r="AO174" i="23" s="1"/>
  <c r="AP126" i="23" a="1"/>
  <c r="AP126" i="23" s="1"/>
  <c r="AQ126" i="23" s="1" a="1"/>
  <c r="AQ126" i="23" s="1"/>
  <c r="AW126" i="23" a="1"/>
  <c r="AW126" i="23" s="1"/>
  <c r="Z25" i="23"/>
  <c r="Z122" i="23"/>
  <c r="U52" i="23"/>
  <c r="AW25" i="23" a="1"/>
  <c r="AW25" i="23"/>
  <c r="AO193" i="23" a="1"/>
  <c r="AO193" i="23"/>
  <c r="K122" i="23"/>
  <c r="J126" i="23"/>
  <c r="AO122" i="23" a="1"/>
  <c r="AO122" i="23"/>
  <c r="W126" i="23"/>
  <c r="V68" i="23"/>
  <c r="AY193" i="23" a="1"/>
  <c r="AY193" i="23" s="1"/>
  <c r="O193" i="23"/>
  <c r="K85" i="23"/>
  <c r="F91" i="23"/>
  <c r="X85" i="23"/>
  <c r="J85" i="23"/>
  <c r="AO52" i="23" a="1"/>
  <c r="AO52" i="23" s="1"/>
  <c r="W85" i="23"/>
  <c r="AW91" i="23" a="1"/>
  <c r="AW91" i="23"/>
  <c r="O174" i="23"/>
  <c r="X126" i="23"/>
  <c r="AO68" i="23" a="1"/>
  <c r="AO68" i="23" s="1"/>
  <c r="J110" i="23"/>
  <c r="X68" i="23"/>
  <c r="W174" i="23"/>
  <c r="AW85" i="23" a="1"/>
  <c r="AW85" i="23" s="1"/>
  <c r="AX52" i="23" a="1"/>
  <c r="AX52" i="23" s="1"/>
  <c r="AP52" i="23" a="1"/>
  <c r="AP52" i="23" s="1"/>
  <c r="AQ52" i="23" s="1" a="1"/>
  <c r="AQ52" i="23" s="1"/>
  <c r="AP91" i="23" a="1"/>
  <c r="AP91" i="23" s="1"/>
  <c r="AQ91" i="23" s="1" a="1"/>
  <c r="AQ91" i="23" s="1"/>
  <c r="AP68" i="23" a="1"/>
  <c r="AP68" i="23" s="1"/>
  <c r="AQ68" i="23" s="1" a="1"/>
  <c r="AQ68" i="23" s="1"/>
  <c r="U25" i="23"/>
  <c r="U122" i="23"/>
  <c r="J25" i="23"/>
  <c r="Z91" i="23"/>
  <c r="Y193" i="23"/>
  <c r="W110" i="23"/>
  <c r="O25" i="23"/>
  <c r="Y174" i="23"/>
  <c r="V174" i="23"/>
  <c r="V85" i="23"/>
  <c r="F193" i="23"/>
  <c r="J174" i="23"/>
  <c r="AP25" i="23" a="1"/>
  <c r="AP25" i="23" s="1"/>
  <c r="AQ25" i="23" s="1" a="1"/>
  <c r="AQ25" i="23" s="1"/>
  <c r="X110" i="23"/>
  <c r="AY122" i="23" a="1"/>
  <c r="AY122" i="23" s="1"/>
  <c r="AX85" i="23" a="1"/>
  <c r="AX85" i="23" s="1"/>
  <c r="AX174" i="23" a="1"/>
  <c r="AX174" i="23" s="1"/>
  <c r="AX110" i="23" a="1"/>
  <c r="AX110" i="23" s="1"/>
  <c r="K174" i="23"/>
  <c r="AY25" i="23" a="1"/>
  <c r="AY25" i="23" s="1"/>
  <c r="U85" i="23"/>
  <c r="AW68" i="23" a="1"/>
  <c r="AW68" i="23"/>
  <c r="V193" i="23"/>
  <c r="AP122" i="23" a="1"/>
  <c r="AP122" i="23" s="1"/>
  <c r="AQ122" i="23" s="1" a="1"/>
  <c r="AQ122" i="23" s="1"/>
  <c r="K91" i="23"/>
  <c r="F68" i="23"/>
  <c r="V91" i="23"/>
  <c r="AP174" i="23" a="1"/>
  <c r="AP174" i="23"/>
  <c r="AQ174" i="23" s="1" a="1"/>
  <c r="AQ174" i="23" s="1"/>
  <c r="AW122" i="23" a="1"/>
  <c r="AW122" i="23" s="1"/>
  <c r="F25" i="23"/>
  <c r="O91" i="23"/>
  <c r="W25" i="23"/>
  <c r="Z85" i="23"/>
  <c r="Z174" i="23"/>
  <c r="Y110" i="23"/>
  <c r="J91" i="23"/>
  <c r="W52" i="23"/>
  <c r="J52" i="23"/>
  <c r="AO110" i="23" a="1"/>
  <c r="AO110" i="23" s="1"/>
  <c r="AY174" i="23" a="1"/>
  <c r="AY174" i="23" s="1"/>
  <c r="Z52" i="23"/>
  <c r="AX126" i="23" a="1"/>
  <c r="AX126" i="23"/>
  <c r="AY68" i="23" a="1"/>
  <c r="AY68" i="23" s="1"/>
  <c r="AO91" i="23" a="1"/>
  <c r="AO91" i="23" s="1"/>
  <c r="Y68" i="23"/>
  <c r="AP85" i="23" a="1"/>
  <c r="AP85" i="23" s="1"/>
  <c r="AQ85" i="23" s="1" a="1"/>
  <c r="AQ85" i="23" s="1"/>
  <c r="F122" i="23"/>
  <c r="O68" i="23"/>
  <c r="Y52" i="23"/>
  <c r="W193" i="23"/>
  <c r="X122" i="23"/>
  <c r="U91" i="23"/>
  <c r="AY85" i="23" a="1"/>
  <c r="AY85" i="23" s="1"/>
  <c r="Y91" i="23"/>
  <c r="Z193" i="23"/>
  <c r="AX193" i="23" a="1"/>
  <c r="AX193" i="23" s="1"/>
  <c r="AW110" i="23" a="1"/>
  <c r="AW110" i="23" s="1"/>
  <c r="AO25" i="23" a="1"/>
  <c r="AO25" i="23" s="1"/>
  <c r="K110" i="23"/>
  <c r="V25" i="23"/>
  <c r="O85" i="23"/>
  <c r="K25" i="23"/>
  <c r="U174" i="23"/>
  <c r="AY110" i="23" a="1"/>
  <c r="AY110" i="23"/>
  <c r="W91" i="23"/>
  <c r="AO85" i="23" a="1"/>
  <c r="AO85" i="23" s="1"/>
  <c r="O126" i="23"/>
  <c r="V52" i="23"/>
  <c r="F52" i="23"/>
  <c r="AX25" i="23" a="1"/>
  <c r="AX25" i="23"/>
  <c r="AP110" i="23" a="1"/>
  <c r="AP110" i="23" s="1"/>
  <c r="AQ110" i="23" s="1" a="1"/>
  <c r="AQ110" i="23" s="1"/>
  <c r="J68" i="23"/>
  <c r="AX68" i="23" a="1"/>
  <c r="AX68" i="23" s="1"/>
  <c r="AY91" i="23" a="1"/>
  <c r="AY91" i="23" s="1"/>
  <c r="F174" i="23"/>
  <c r="V110" i="23"/>
  <c r="Z68" i="23"/>
  <c r="Z126" i="23"/>
  <c r="K193" i="23"/>
  <c r="V122" i="23"/>
  <c r="K126" i="23"/>
  <c r="AX91" i="23" a="1"/>
  <c r="AX91" i="23" s="1"/>
  <c r="F85" i="23"/>
  <c r="W68" i="23"/>
  <c r="F126" i="23"/>
  <c r="J160" i="23"/>
  <c r="K152" i="23"/>
  <c r="AW159" i="23" a="1"/>
  <c r="AW159" i="23" s="1"/>
  <c r="AP152" i="23" a="1"/>
  <c r="AP152" i="23" s="1"/>
  <c r="AQ152" i="23" s="1" a="1"/>
  <c r="AQ152" i="23" s="1"/>
  <c r="AW152" i="23" a="1"/>
  <c r="AW152" i="23" s="1"/>
  <c r="F150" i="23"/>
  <c r="U160" i="23"/>
  <c r="W158" i="23"/>
  <c r="AY153" i="23" a="1"/>
  <c r="AY153" i="23" s="1"/>
  <c r="J159" i="23"/>
  <c r="U159" i="23"/>
  <c r="AX152" i="23" a="1"/>
  <c r="AX152" i="23" s="1"/>
  <c r="V155" i="23"/>
  <c r="X160" i="23"/>
  <c r="AP155" i="23" a="1"/>
  <c r="AP155" i="23"/>
  <c r="AQ155" i="23" s="1" a="1"/>
  <c r="AQ155" i="23" s="1"/>
  <c r="X152" i="23"/>
  <c r="AO153" i="23" a="1"/>
  <c r="AO153" i="23" s="1"/>
  <c r="AW153" i="23" a="1"/>
  <c r="AW153" i="23" s="1"/>
  <c r="W150" i="23"/>
  <c r="Y158" i="23"/>
  <c r="F153" i="23"/>
  <c r="X150" i="23"/>
  <c r="W161" i="23"/>
  <c r="K153" i="23"/>
  <c r="W160" i="23"/>
  <c r="AX151" i="23" a="1"/>
  <c r="AX151" i="23" s="1"/>
  <c r="K150" i="23"/>
  <c r="AP150" i="23" a="1"/>
  <c r="AP150" i="23" s="1"/>
  <c r="AQ150" i="23" s="1" a="1"/>
  <c r="AQ150" i="23" s="1"/>
  <c r="K161" i="23"/>
  <c r="AW150" i="23" a="1"/>
  <c r="AW150" i="23"/>
  <c r="K151" i="23"/>
  <c r="Y161" i="23"/>
  <c r="X153" i="23"/>
  <c r="X151" i="23"/>
  <c r="Y152" i="23"/>
  <c r="J150" i="23"/>
  <c r="AY157" i="23" a="1"/>
  <c r="AY157" i="23" s="1"/>
  <c r="AP160" i="23" a="1"/>
  <c r="AP160" i="23" s="1"/>
  <c r="AQ160" i="23" s="1" a="1"/>
  <c r="AQ160" i="23" s="1"/>
  <c r="AX153" i="23" a="1"/>
  <c r="AX153" i="23" s="1"/>
  <c r="AO155" i="23" a="1"/>
  <c r="AO155" i="23"/>
  <c r="U155" i="23"/>
  <c r="AP159" i="23" a="1"/>
  <c r="AP159" i="23" s="1"/>
  <c r="AQ159" i="23" s="1" a="1"/>
  <c r="AQ159" i="23" s="1"/>
  <c r="X161" i="23"/>
  <c r="K158" i="23"/>
  <c r="Z160" i="23"/>
  <c r="J158" i="23"/>
  <c r="AO159" i="23" a="1"/>
  <c r="AO159" i="23" s="1"/>
  <c r="Z152" i="23"/>
  <c r="F158" i="23"/>
  <c r="AO150" i="23" a="1"/>
  <c r="AO150" i="23" s="1"/>
  <c r="V151" i="23"/>
  <c r="AW160" i="23" a="1"/>
  <c r="AW160" i="23"/>
  <c r="Z153" i="23"/>
  <c r="AO158" i="23" a="1"/>
  <c r="AO158" i="23" s="1"/>
  <c r="W153" i="23"/>
  <c r="AP157" i="23" a="1"/>
  <c r="AP157" i="23" s="1"/>
  <c r="AQ157" i="23" s="1" a="1"/>
  <c r="AQ157" i="23" s="1"/>
  <c r="Y155" i="23"/>
  <c r="AY161" i="23" a="1"/>
  <c r="AY161" i="23" s="1"/>
  <c r="Y159" i="23"/>
  <c r="V158" i="23"/>
  <c r="V160" i="23"/>
  <c r="F157" i="23"/>
  <c r="U152" i="23"/>
  <c r="Y150" i="23"/>
  <c r="AX159" i="23" a="1"/>
  <c r="AX159" i="23" s="1"/>
  <c r="AO151" i="23" a="1"/>
  <c r="AO151" i="23" s="1"/>
  <c r="K157" i="23"/>
  <c r="J151" i="23"/>
  <c r="Z159" i="23"/>
  <c r="AY155" i="23" a="1"/>
  <c r="AY155" i="23"/>
  <c r="AY150" i="23" a="1"/>
  <c r="AY150" i="23"/>
  <c r="AW161" i="23" a="1"/>
  <c r="AW161" i="23" s="1"/>
  <c r="K159" i="23"/>
  <c r="X157" i="23"/>
  <c r="X159" i="23"/>
  <c r="F151" i="23"/>
  <c r="J153" i="23"/>
  <c r="Y157" i="23"/>
  <c r="F161" i="23"/>
  <c r="V152" i="23"/>
  <c r="AX158" i="23" a="1"/>
  <c r="AX158" i="23" s="1"/>
  <c r="AP158" i="23" a="1"/>
  <c r="AP158" i="23"/>
  <c r="AQ158" i="23" s="1" a="1"/>
  <c r="AQ158" i="23" s="1"/>
  <c r="Z157" i="23"/>
  <c r="X155" i="23"/>
  <c r="V161" i="23"/>
  <c r="V150" i="23"/>
  <c r="U153" i="23"/>
  <c r="AP151" i="23" a="1"/>
  <c r="AP151" i="23" s="1"/>
  <c r="AQ151" i="23" s="1" a="1"/>
  <c r="AQ151" i="23" s="1"/>
  <c r="W155" i="23"/>
  <c r="Z158" i="23"/>
  <c r="X158" i="23"/>
  <c r="AX160" i="23" a="1"/>
  <c r="AX160" i="23" s="1"/>
  <c r="AX157" i="23" a="1"/>
  <c r="AX157" i="23"/>
  <c r="F160" i="23"/>
  <c r="Y151" i="23"/>
  <c r="V153" i="23"/>
  <c r="W151" i="23"/>
  <c r="Z151" i="23"/>
  <c r="AY152" i="23" a="1"/>
  <c r="AY152" i="23" s="1"/>
  <c r="AO157" i="23" a="1"/>
  <c r="AO157" i="23" s="1"/>
  <c r="F159" i="23"/>
  <c r="U158" i="23"/>
  <c r="U157" i="23"/>
  <c r="J157" i="23"/>
  <c r="AX155" i="23" a="1"/>
  <c r="AX155" i="23" s="1"/>
  <c r="Z150" i="23"/>
  <c r="U150" i="23"/>
  <c r="AW157" i="23" a="1"/>
  <c r="AW157" i="23" s="1"/>
  <c r="AX161" i="23" a="1"/>
  <c r="AX161" i="23" s="1"/>
  <c r="J152" i="23"/>
  <c r="F155" i="23"/>
  <c r="U151" i="23"/>
  <c r="U161" i="23"/>
  <c r="AO160" i="23" a="1"/>
  <c r="AO160" i="23" s="1"/>
  <c r="V157" i="23"/>
  <c r="Z155" i="23"/>
  <c r="AY159" i="23" a="1"/>
  <c r="AY159" i="23" s="1"/>
  <c r="AP161" i="23" a="1"/>
  <c r="AP161" i="23" s="1"/>
  <c r="AQ161" i="23" s="1" a="1"/>
  <c r="AQ161" i="23" s="1"/>
  <c r="K160" i="23"/>
  <c r="AP153" i="23" a="1"/>
  <c r="AP153" i="23" s="1"/>
  <c r="AQ153" i="23" s="1" a="1"/>
  <c r="AQ153" i="23" s="1"/>
  <c r="AW158" i="23" a="1"/>
  <c r="AW158" i="23" s="1"/>
  <c r="AX150" i="23" a="1"/>
  <c r="AX150" i="23"/>
  <c r="J161" i="23"/>
  <c r="W152" i="23"/>
  <c r="AW151" i="23" a="1"/>
  <c r="AW151" i="23"/>
  <c r="W159" i="23"/>
  <c r="AO161" i="23" a="1"/>
  <c r="AO161" i="23" s="1"/>
  <c r="AY158" i="23" a="1"/>
  <c r="AY158" i="23" s="1"/>
  <c r="V159" i="23"/>
  <c r="AW155" i="23" a="1"/>
  <c r="AW155" i="23"/>
  <c r="AO152" i="23" a="1"/>
  <c r="AO152" i="23" s="1"/>
  <c r="K155" i="23"/>
  <c r="Y153" i="23"/>
  <c r="Y160" i="23"/>
  <c r="F152" i="23"/>
  <c r="J155" i="23"/>
  <c r="Z161" i="23"/>
  <c r="AY151" i="23" a="1"/>
  <c r="AY151" i="23"/>
  <c r="W157" i="23"/>
  <c r="AY160" i="23" a="1"/>
  <c r="AY160" i="23" s="1"/>
  <c r="O8" i="23"/>
  <c r="V111" i="23"/>
  <c r="W8" i="23"/>
  <c r="AO88" i="23" a="1"/>
  <c r="AO88" i="23" s="1"/>
  <c r="AW8" i="23" a="1"/>
  <c r="AW8" i="23" s="1"/>
  <c r="U87" i="23"/>
  <c r="AP87" i="23" a="1"/>
  <c r="AP87" i="23" s="1"/>
  <c r="AQ87" i="23" s="1" a="1"/>
  <c r="AQ87" i="23" s="1"/>
  <c r="W145" i="23"/>
  <c r="V145" i="23"/>
  <c r="O102" i="23"/>
  <c r="X102" i="23"/>
  <c r="AW88" i="23" a="1"/>
  <c r="AW88" i="23" s="1"/>
  <c r="W39" i="23"/>
  <c r="O111" i="23"/>
  <c r="AY87" i="23" a="1"/>
  <c r="AY87" i="23"/>
  <c r="K134" i="23"/>
  <c r="W111" i="23"/>
  <c r="O39" i="23"/>
  <c r="AP102" i="23" a="1"/>
  <c r="AP102" i="23" s="1"/>
  <c r="AQ102" i="23" s="1" a="1"/>
  <c r="AQ102" i="23" s="1"/>
  <c r="AP134" i="23" a="1"/>
  <c r="AP134" i="23" s="1"/>
  <c r="AQ134" i="23" s="1" a="1"/>
  <c r="AQ134" i="23" s="1"/>
  <c r="U96" i="23"/>
  <c r="AX111" i="23" a="1"/>
  <c r="AX111" i="23" s="1"/>
  <c r="V134" i="23"/>
  <c r="J39" i="23"/>
  <c r="AO87" i="23" a="1"/>
  <c r="AO87" i="23" s="1"/>
  <c r="AY39" i="23" a="1"/>
  <c r="AY39" i="23" s="1"/>
  <c r="X96" i="23"/>
  <c r="X87" i="23"/>
  <c r="X111" i="23"/>
  <c r="Z111" i="23"/>
  <c r="Z102" i="23"/>
  <c r="AP128" i="23" a="1"/>
  <c r="AP128" i="23"/>
  <c r="AQ128" i="23" s="1" a="1"/>
  <c r="AQ128" i="23" s="1"/>
  <c r="AO39" i="23" a="1"/>
  <c r="AO39" i="23"/>
  <c r="AW102" i="23" a="1"/>
  <c r="AW102" i="23" s="1"/>
  <c r="AY145" i="23" a="1"/>
  <c r="AY145" i="23"/>
  <c r="AO134" i="23" a="1"/>
  <c r="AO134" i="23" s="1"/>
  <c r="AX96" i="23" a="1"/>
  <c r="AX96" i="23" s="1"/>
  <c r="V96" i="23"/>
  <c r="AX102" i="23" a="1"/>
  <c r="AX102" i="23" s="1"/>
  <c r="U88" i="23"/>
  <c r="W96" i="23"/>
  <c r="AX87" i="23" a="1"/>
  <c r="AX87" i="23" s="1"/>
  <c r="J96" i="23"/>
  <c r="U134" i="23"/>
  <c r="Y87" i="23"/>
  <c r="J111" i="23"/>
  <c r="Z128" i="23"/>
  <c r="O88" i="23"/>
  <c r="Z96" i="23"/>
  <c r="U111" i="23"/>
  <c r="F145" i="23"/>
  <c r="W128" i="23"/>
  <c r="O87" i="23"/>
  <c r="AY8" i="23" a="1"/>
  <c r="AY8" i="23" s="1"/>
  <c r="X134" i="23"/>
  <c r="Z87" i="23"/>
  <c r="J87" i="23"/>
  <c r="AY96" i="23" a="1"/>
  <c r="AY96" i="23" s="1"/>
  <c r="X128" i="23"/>
  <c r="AO8" i="23" a="1"/>
  <c r="AO8" i="23" s="1"/>
  <c r="K102" i="23"/>
  <c r="O96" i="23"/>
  <c r="AO111" i="23" a="1"/>
  <c r="AO111" i="23" s="1"/>
  <c r="O134" i="23"/>
  <c r="U145" i="23"/>
  <c r="Y134" i="23"/>
  <c r="F96" i="23"/>
  <c r="Y8" i="23"/>
  <c r="U128" i="23"/>
  <c r="U8" i="23"/>
  <c r="Y88" i="23"/>
  <c r="AX8" i="23" a="1"/>
  <c r="AX8" i="23"/>
  <c r="AP145" i="23" a="1"/>
  <c r="AP145" i="23" s="1"/>
  <c r="AQ145" i="23" s="1" a="1"/>
  <c r="AQ145" i="23" s="1"/>
  <c r="V39" i="23"/>
  <c r="AY111" i="23" a="1"/>
  <c r="AY111" i="23" s="1"/>
  <c r="AX145" i="23" a="1"/>
  <c r="AX145" i="23" s="1"/>
  <c r="K88" i="23"/>
  <c r="K96" i="23"/>
  <c r="F87" i="23"/>
  <c r="K145" i="23"/>
  <c r="AW145" i="23" a="1"/>
  <c r="AW145" i="23" s="1"/>
  <c r="AW111" i="23" a="1"/>
  <c r="AW111" i="23" s="1"/>
  <c r="K87" i="23"/>
  <c r="U102" i="23"/>
  <c r="AW96" i="23" a="1"/>
  <c r="AW96" i="23" s="1"/>
  <c r="J134" i="23"/>
  <c r="O128" i="23"/>
  <c r="Z39" i="23"/>
  <c r="AW134" i="23" a="1"/>
  <c r="AW134" i="23" s="1"/>
  <c r="AO128" i="23" a="1"/>
  <c r="AO128" i="23" s="1"/>
  <c r="AP39" i="23" a="1"/>
  <c r="AP39" i="23"/>
  <c r="AQ39" i="23" s="1" a="1"/>
  <c r="AQ39" i="23" s="1"/>
  <c r="AW87" i="23" a="1"/>
  <c r="AW87" i="23" s="1"/>
  <c r="AY134" i="23" a="1"/>
  <c r="AY134" i="23"/>
  <c r="AP88" i="23" a="1"/>
  <c r="AP88" i="23"/>
  <c r="AQ88" i="23" s="1" a="1"/>
  <c r="AQ88" i="23" s="1"/>
  <c r="Y111" i="23"/>
  <c r="AO145" i="23" a="1"/>
  <c r="AO145" i="23"/>
  <c r="AX128" i="23" a="1"/>
  <c r="AX128" i="23" s="1"/>
  <c r="J88" i="23"/>
  <c r="F88" i="23"/>
  <c r="AY128" i="23" a="1"/>
  <c r="AY128" i="23" s="1"/>
  <c r="X39" i="23"/>
  <c r="F128" i="23"/>
  <c r="K8" i="23"/>
  <c r="F111" i="23"/>
  <c r="AP111" i="23" a="1"/>
  <c r="AP111" i="23" s="1"/>
  <c r="AQ111" i="23" s="1" a="1"/>
  <c r="AQ111" i="23" s="1"/>
  <c r="W134" i="23"/>
  <c r="AP96" i="23" a="1"/>
  <c r="AP96" i="23" s="1"/>
  <c r="AQ96" i="23" s="1" a="1"/>
  <c r="AQ96" i="23" s="1"/>
  <c r="Y96" i="23"/>
  <c r="V87" i="23"/>
  <c r="AY102" i="23" a="1"/>
  <c r="AY102" i="23"/>
  <c r="Z88" i="23"/>
  <c r="Y145" i="23"/>
  <c r="J102" i="23"/>
  <c r="F39" i="23"/>
  <c r="F8" i="23"/>
  <c r="X145" i="23"/>
  <c r="X88" i="23"/>
  <c r="J128" i="23"/>
  <c r="J145" i="23"/>
  <c r="J8" i="23"/>
  <c r="W88" i="23"/>
  <c r="Z134" i="23"/>
  <c r="W102" i="23"/>
  <c r="AP8" i="23" a="1"/>
  <c r="AP8" i="23" s="1"/>
  <c r="AQ8" i="23" s="1" a="1"/>
  <c r="AQ8" i="23" s="1"/>
  <c r="AX134" i="23" a="1"/>
  <c r="AX134" i="23" s="1"/>
  <c r="V128" i="23"/>
  <c r="AW128" i="23" a="1"/>
  <c r="AW128" i="23" s="1"/>
  <c r="AY88" i="23" a="1"/>
  <c r="AY88" i="23" s="1"/>
  <c r="AX88" i="23" a="1"/>
  <c r="AX88" i="23"/>
  <c r="X8" i="23"/>
  <c r="AO102" i="23" a="1"/>
  <c r="AO102" i="23" s="1"/>
  <c r="AX39" i="23" a="1"/>
  <c r="AX39" i="23"/>
  <c r="U39" i="23"/>
  <c r="F102" i="23"/>
  <c r="V102" i="23"/>
  <c r="Z8" i="23"/>
  <c r="Y39" i="23"/>
  <c r="Y128" i="23"/>
  <c r="Z145" i="23"/>
  <c r="W87" i="23"/>
  <c r="AO96" i="23" a="1"/>
  <c r="AO96" i="23" s="1"/>
  <c r="AW39" i="23" a="1"/>
  <c r="AW39" i="23" s="1"/>
  <c r="V88" i="23"/>
  <c r="K128" i="23"/>
  <c r="F134" i="23"/>
  <c r="Y102" i="23"/>
  <c r="O145" i="23"/>
  <c r="K39" i="23"/>
  <c r="V8" i="23"/>
  <c r="K111" i="23"/>
  <c r="J131" i="23"/>
  <c r="U180" i="23"/>
  <c r="J15" i="23"/>
  <c r="F92" i="23"/>
  <c r="Z35" i="23"/>
  <c r="X124" i="23"/>
  <c r="K92" i="23"/>
  <c r="AO180" i="23" a="1"/>
  <c r="AO180" i="23"/>
  <c r="AX133" i="23" a="1"/>
  <c r="AX133" i="23" s="1"/>
  <c r="U12" i="23"/>
  <c r="Z180" i="23"/>
  <c r="O92" i="23"/>
  <c r="AX92" i="23" a="1"/>
  <c r="AX92" i="23" s="1"/>
  <c r="Y30" i="23"/>
  <c r="W33" i="23"/>
  <c r="F30" i="23"/>
  <c r="AX12" i="23" a="1"/>
  <c r="AX12" i="23"/>
  <c r="K12" i="23"/>
  <c r="Y92" i="23"/>
  <c r="W12" i="23"/>
  <c r="K131" i="23"/>
  <c r="K15" i="23"/>
  <c r="V30" i="23"/>
  <c r="AY133" i="23" a="1"/>
  <c r="AY133" i="23" s="1"/>
  <c r="AP58" i="23" a="1"/>
  <c r="AP58" i="23"/>
  <c r="AQ58" i="23" s="1" a="1"/>
  <c r="AQ58" i="23" s="1"/>
  <c r="Y12" i="23"/>
  <c r="Y15" i="23"/>
  <c r="J124" i="23"/>
  <c r="V180" i="23"/>
  <c r="V133" i="23"/>
  <c r="AW92" i="23" a="1"/>
  <c r="AW92" i="23" s="1"/>
  <c r="K133" i="23"/>
  <c r="Z131" i="23"/>
  <c r="AP33" i="23" a="1"/>
  <c r="AP33" i="23" s="1"/>
  <c r="AQ33" i="23" s="1" a="1"/>
  <c r="AQ33" i="23" s="1"/>
  <c r="V124" i="23"/>
  <c r="AP180" i="23" a="1"/>
  <c r="AP180" i="23" s="1"/>
  <c r="AQ180" i="23" s="1" a="1"/>
  <c r="AQ180" i="23" s="1"/>
  <c r="AW33" i="23" a="1"/>
  <c r="AW33" i="23"/>
  <c r="J35" i="23"/>
  <c r="V15" i="23"/>
  <c r="AX30" i="23" a="1"/>
  <c r="AX30" i="23"/>
  <c r="AW133" i="23" a="1"/>
  <c r="AW133" i="23"/>
  <c r="U35" i="23"/>
  <c r="X33" i="23"/>
  <c r="F131" i="23"/>
  <c r="W131" i="23"/>
  <c r="X35" i="23"/>
  <c r="AP30" i="23" a="1"/>
  <c r="AP30" i="23" s="1"/>
  <c r="AQ30" i="23" s="1" a="1"/>
  <c r="AQ30" i="23" s="1"/>
  <c r="F15" i="23"/>
  <c r="AY58" i="23" a="1"/>
  <c r="AY58" i="23"/>
  <c r="X92" i="23"/>
  <c r="O124" i="23"/>
  <c r="AW35" i="23" a="1"/>
  <c r="AW35" i="23"/>
  <c r="J33" i="23"/>
  <c r="U15" i="23"/>
  <c r="AW12" i="23" a="1"/>
  <c r="AW12" i="23" s="1"/>
  <c r="F58" i="23"/>
  <c r="U92" i="23"/>
  <c r="F33" i="23"/>
  <c r="AX35" i="23" a="1"/>
  <c r="AX35" i="23" s="1"/>
  <c r="W92" i="23"/>
  <c r="X30" i="23"/>
  <c r="AY124" i="23" a="1"/>
  <c r="AY124" i="23" s="1"/>
  <c r="Y33" i="23"/>
  <c r="AW124" i="23" a="1"/>
  <c r="AW124" i="23" s="1"/>
  <c r="K180" i="23"/>
  <c r="X180" i="23"/>
  <c r="W30" i="23"/>
  <c r="AW15" i="23" a="1"/>
  <c r="AW15" i="23" s="1"/>
  <c r="V35" i="23"/>
  <c r="J12" i="23"/>
  <c r="J92" i="23"/>
  <c r="Z30" i="23"/>
  <c r="F180" i="23"/>
  <c r="X131" i="23"/>
  <c r="Z58" i="23"/>
  <c r="AW30" i="23" a="1"/>
  <c r="AW30" i="23" s="1"/>
  <c r="K58" i="23"/>
  <c r="J180" i="23"/>
  <c r="U124" i="23"/>
  <c r="O133" i="23"/>
  <c r="W133" i="23"/>
  <c r="Y58" i="23"/>
  <c r="AO12" i="23" a="1"/>
  <c r="AO12" i="23"/>
  <c r="Z92" i="23"/>
  <c r="X58" i="23"/>
  <c r="AY180" i="23" a="1"/>
  <c r="AY180" i="23" s="1"/>
  <c r="O15" i="23"/>
  <c r="J30" i="23"/>
  <c r="AP12" i="23" a="1"/>
  <c r="AP12" i="23" s="1"/>
  <c r="AQ12" i="23" s="1" a="1"/>
  <c r="AQ12" i="23" s="1"/>
  <c r="O12" i="23"/>
  <c r="K30" i="23"/>
  <c r="J133" i="23"/>
  <c r="K124" i="23"/>
  <c r="V131" i="23"/>
  <c r="Z15" i="23"/>
  <c r="O180" i="23"/>
  <c r="F133" i="23"/>
  <c r="AO133" i="23" a="1"/>
  <c r="AO133" i="23" s="1"/>
  <c r="AX131" i="23" a="1"/>
  <c r="AX131" i="23" s="1"/>
  <c r="AY30" i="23" a="1"/>
  <c r="AY30" i="23"/>
  <c r="Z33" i="23"/>
  <c r="AO124" i="23" a="1"/>
  <c r="AO124" i="23" s="1"/>
  <c r="F12" i="23"/>
  <c r="V12" i="23"/>
  <c r="AY12" i="23" a="1"/>
  <c r="AY12" i="23" s="1"/>
  <c r="Z133" i="23"/>
  <c r="AO58" i="23" a="1"/>
  <c r="AO58" i="23" s="1"/>
  <c r="F35" i="23"/>
  <c r="W180" i="23"/>
  <c r="O131" i="23"/>
  <c r="AY131" i="23" a="1"/>
  <c r="AY131" i="23" s="1"/>
  <c r="AX33" i="23" a="1"/>
  <c r="AX33" i="23" s="1"/>
  <c r="U133" i="23"/>
  <c r="AO92" i="23" a="1"/>
  <c r="AO92" i="23"/>
  <c r="AP92" i="23" a="1"/>
  <c r="AP92" i="23" s="1"/>
  <c r="AQ92" i="23" s="1" a="1"/>
  <c r="AQ92" i="23" s="1"/>
  <c r="AX15" i="23" a="1"/>
  <c r="AX15" i="23" s="1"/>
  <c r="F124" i="23"/>
  <c r="X12" i="23"/>
  <c r="AP35" i="23" a="1"/>
  <c r="AP35" i="23" s="1"/>
  <c r="AQ35" i="23" s="1" a="1"/>
  <c r="AQ35" i="23" s="1"/>
  <c r="AX58" i="23" a="1"/>
  <c r="AX58" i="23" s="1"/>
  <c r="AX180" i="23" a="1"/>
  <c r="AX180" i="23" s="1"/>
  <c r="AO15" i="23" a="1"/>
  <c r="AO15" i="23" s="1"/>
  <c r="AX124" i="23" a="1"/>
  <c r="AX124" i="23" s="1"/>
  <c r="U30" i="23"/>
  <c r="O33" i="23"/>
  <c r="K33" i="23"/>
  <c r="V33" i="23"/>
  <c r="U131" i="23"/>
  <c r="Z124" i="23"/>
  <c r="Y133" i="23"/>
  <c r="AO131" i="23" a="1"/>
  <c r="AO131" i="23" s="1"/>
  <c r="AP124" i="23" a="1"/>
  <c r="AP124" i="23" s="1"/>
  <c r="AQ124" i="23" s="1" a="1"/>
  <c r="AQ124" i="23" s="1"/>
  <c r="U58" i="23"/>
  <c r="Y124" i="23"/>
  <c r="AP15" i="23" a="1"/>
  <c r="AP15" i="23" s="1"/>
  <c r="AQ15" i="23" s="1" a="1"/>
  <c r="AQ15" i="23" s="1"/>
  <c r="K35" i="23"/>
  <c r="W58" i="23"/>
  <c r="O35" i="23"/>
  <c r="AY33" i="23" a="1"/>
  <c r="AY33" i="23"/>
  <c r="W35" i="23"/>
  <c r="W15" i="23"/>
  <c r="X15" i="23"/>
  <c r="AY35" i="23" a="1"/>
  <c r="AY35" i="23"/>
  <c r="AO33" i="23" a="1"/>
  <c r="AO33" i="23" s="1"/>
  <c r="AO30" i="23" a="1"/>
  <c r="AO30" i="23" s="1"/>
  <c r="V58" i="23"/>
  <c r="AW131" i="23" a="1"/>
  <c r="AW131" i="23"/>
  <c r="AW58" i="23" a="1"/>
  <c r="AW58" i="23"/>
  <c r="X133" i="23"/>
  <c r="AO35" i="23" a="1"/>
  <c r="AO35" i="23" s="1"/>
  <c r="AW180" i="23" a="1"/>
  <c r="AW180" i="23" s="1"/>
  <c r="AP131" i="23" a="1"/>
  <c r="AP131" i="23" s="1"/>
  <c r="AQ131" i="23" s="1" a="1"/>
  <c r="AQ131" i="23" s="1"/>
  <c r="Z12" i="23"/>
  <c r="AY92" i="23" a="1"/>
  <c r="AY92" i="23" s="1"/>
  <c r="O58" i="23"/>
  <c r="J58" i="23"/>
  <c r="W124" i="23"/>
  <c r="AY15" i="23" a="1"/>
  <c r="AY15" i="23" s="1"/>
  <c r="AP133" i="23" a="1"/>
  <c r="AP133" i="23" s="1"/>
  <c r="AQ133" i="23" s="1" a="1"/>
  <c r="AQ133" i="23" s="1"/>
  <c r="Y35" i="23"/>
  <c r="V92" i="23"/>
  <c r="O30" i="23"/>
  <c r="U33" i="23"/>
  <c r="Y180" i="23"/>
  <c r="Y131" i="23"/>
  <c r="BA51" i="23" a="1"/>
  <c r="BA51" i="23" s="1"/>
  <c r="O101" i="23"/>
  <c r="F79" i="23"/>
  <c r="V53" i="23"/>
  <c r="O79" i="23"/>
  <c r="K54" i="23"/>
  <c r="AO130" i="23" a="1"/>
  <c r="AO130" i="23" s="1"/>
  <c r="J101" i="23"/>
  <c r="AX101" i="23" a="1"/>
  <c r="AX101" i="23"/>
  <c r="Z101" i="23"/>
  <c r="F69" i="23"/>
  <c r="O69" i="23"/>
  <c r="Z104" i="23"/>
  <c r="X144" i="23"/>
  <c r="O130" i="23"/>
  <c r="W83" i="23"/>
  <c r="AW144" i="23" a="1"/>
  <c r="AW144" i="23" s="1"/>
  <c r="X69" i="23"/>
  <c r="Z54" i="23"/>
  <c r="K83" i="23"/>
  <c r="X104" i="23"/>
  <c r="O54" i="23"/>
  <c r="K101" i="23"/>
  <c r="F104" i="23"/>
  <c r="W130" i="23"/>
  <c r="V54" i="23"/>
  <c r="K79" i="23"/>
  <c r="V69" i="23"/>
  <c r="AX48" i="23" a="1"/>
  <c r="AX48" i="23" s="1"/>
  <c r="AO54" i="23" a="1"/>
  <c r="AO54" i="23" s="1"/>
  <c r="U79" i="23"/>
  <c r="AY130" i="23" a="1"/>
  <c r="AY130" i="23" s="1"/>
  <c r="J79" i="23"/>
  <c r="X54" i="23"/>
  <c r="AY104" i="23" a="1"/>
  <c r="AY104" i="23" s="1"/>
  <c r="X53" i="23"/>
  <c r="Y69" i="23"/>
  <c r="W79" i="23"/>
  <c r="U69" i="23"/>
  <c r="AP53" i="23" a="1"/>
  <c r="AP53" i="23" s="1"/>
  <c r="AQ53" i="23" s="1" a="1"/>
  <c r="AQ53" i="23" s="1"/>
  <c r="J54" i="23"/>
  <c r="O144" i="23"/>
  <c r="J48" i="23"/>
  <c r="Z144" i="23"/>
  <c r="AP101" i="23" a="1"/>
  <c r="AP101" i="23" s="1"/>
  <c r="AQ101" i="23" s="1" a="1"/>
  <c r="AQ101" i="23" s="1"/>
  <c r="AY54" i="23" a="1"/>
  <c r="AY54" i="23" s="1"/>
  <c r="AY101" i="23" a="1"/>
  <c r="AY101" i="23"/>
  <c r="AP69" i="23" a="1"/>
  <c r="AP69" i="23" s="1"/>
  <c r="AQ69" i="23" s="1" a="1"/>
  <c r="AQ69" i="23" s="1"/>
  <c r="AX54" i="23" a="1"/>
  <c r="AX54" i="23"/>
  <c r="V101" i="23"/>
  <c r="K69" i="23"/>
  <c r="AY48" i="23" a="1"/>
  <c r="AY48" i="23"/>
  <c r="U104" i="23"/>
  <c r="Z48" i="23"/>
  <c r="AW54" i="23" a="1"/>
  <c r="AW54" i="23" s="1"/>
  <c r="F53" i="23"/>
  <c r="J53" i="23"/>
  <c r="U130" i="23"/>
  <c r="U53" i="23"/>
  <c r="W144" i="23"/>
  <c r="X130" i="23"/>
  <c r="Z53" i="23"/>
  <c r="Z130" i="23"/>
  <c r="Y53" i="23"/>
  <c r="AO79" i="23" a="1"/>
  <c r="AO79" i="23" s="1"/>
  <c r="O53" i="23"/>
  <c r="AX79" i="23" a="1"/>
  <c r="AX79" i="23" s="1"/>
  <c r="J130" i="23"/>
  <c r="Y101" i="23"/>
  <c r="AP130" i="23" a="1"/>
  <c r="AP130" i="23" s="1"/>
  <c r="AQ130" i="23" s="1" a="1"/>
  <c r="AQ130" i="23" s="1"/>
  <c r="J69" i="23"/>
  <c r="Y83" i="23"/>
  <c r="W48" i="23"/>
  <c r="K48" i="23"/>
  <c r="AX104" i="23" a="1"/>
  <c r="AX104" i="23"/>
  <c r="Z69" i="23"/>
  <c r="X79" i="23"/>
  <c r="AY79" i="23" a="1"/>
  <c r="AY79" i="23" s="1"/>
  <c r="U48" i="23"/>
  <c r="AX144" i="23" a="1"/>
  <c r="AX144" i="23" s="1"/>
  <c r="J83" i="23"/>
  <c r="W101" i="23"/>
  <c r="W53" i="23"/>
  <c r="O104" i="23"/>
  <c r="Y144" i="23"/>
  <c r="AW104" i="23" a="1"/>
  <c r="AW104" i="23"/>
  <c r="AX83" i="23" a="1"/>
  <c r="AX83" i="23" s="1"/>
  <c r="V144" i="23"/>
  <c r="X83" i="23"/>
  <c r="AO104" i="23" a="1"/>
  <c r="AO104" i="23"/>
  <c r="Y104" i="23"/>
  <c r="U83" i="23"/>
  <c r="AW83" i="23" a="1"/>
  <c r="AW83" i="23"/>
  <c r="Y48" i="23"/>
  <c r="AO69" i="23" a="1"/>
  <c r="AO69" i="23" s="1"/>
  <c r="U144" i="23"/>
  <c r="F83" i="23"/>
  <c r="V104" i="23"/>
  <c r="AY144" i="23" a="1"/>
  <c r="AY144" i="23" s="1"/>
  <c r="Y54" i="23"/>
  <c r="AP79" i="23" a="1"/>
  <c r="AP79" i="23" s="1"/>
  <c r="AQ79" i="23" s="1" a="1"/>
  <c r="AQ79" i="23" s="1"/>
  <c r="AW48" i="23" a="1"/>
  <c r="AW48" i="23" s="1"/>
  <c r="AP144" i="23" a="1"/>
  <c r="AP144" i="23" s="1"/>
  <c r="AQ144" i="23" s="1" a="1"/>
  <c r="AQ144" i="23" s="1"/>
  <c r="K53" i="23"/>
  <c r="AW130" i="23" a="1"/>
  <c r="AW130" i="23"/>
  <c r="W69" i="23"/>
  <c r="AY83" i="23" a="1"/>
  <c r="AY83" i="23" s="1"/>
  <c r="K144" i="23"/>
  <c r="Z83" i="23"/>
  <c r="O83" i="23"/>
  <c r="U54" i="23"/>
  <c r="AW53" i="23" a="1"/>
  <c r="AW53" i="23" s="1"/>
  <c r="AO83" i="23" a="1"/>
  <c r="AO83" i="23" s="1"/>
  <c r="X48" i="23"/>
  <c r="F144" i="23"/>
  <c r="Z79" i="23"/>
  <c r="V130" i="23"/>
  <c r="Y130" i="23"/>
  <c r="AO101" i="23" a="1"/>
  <c r="AO101" i="23"/>
  <c r="X101" i="23"/>
  <c r="F101" i="23"/>
  <c r="AO53" i="23" a="1"/>
  <c r="AO53" i="23" s="1"/>
  <c r="V79" i="23"/>
  <c r="AP48" i="23" a="1"/>
  <c r="AP48" i="23" s="1"/>
  <c r="AQ48" i="23" s="1" a="1"/>
  <c r="AQ48" i="23" s="1"/>
  <c r="AW101" i="23" a="1"/>
  <c r="AW101" i="23" s="1"/>
  <c r="AY69" i="23" a="1"/>
  <c r="AY69" i="23" s="1"/>
  <c r="K104" i="23"/>
  <c r="AP83" i="23" a="1"/>
  <c r="AP83" i="23"/>
  <c r="AQ83" i="23" s="1" a="1"/>
  <c r="AQ83" i="23" s="1"/>
  <c r="W104" i="23"/>
  <c r="AX69" i="23" a="1"/>
  <c r="AX69" i="23"/>
  <c r="J104" i="23"/>
  <c r="W54" i="23"/>
  <c r="AO144" i="23" a="1"/>
  <c r="AO144" i="23"/>
  <c r="AY53" i="23" a="1"/>
  <c r="AY53" i="23" s="1"/>
  <c r="AW79" i="23" a="1"/>
  <c r="AW79" i="23" s="1"/>
  <c r="K130" i="23"/>
  <c r="F48" i="23"/>
  <c r="O48" i="23"/>
  <c r="F130" i="23"/>
  <c r="AO48" i="23" a="1"/>
  <c r="AO48" i="23" s="1"/>
  <c r="AP54" i="23" a="1"/>
  <c r="AP54" i="23"/>
  <c r="AQ54" i="23" s="1" a="1"/>
  <c r="AQ54" i="23" s="1"/>
  <c r="AP104" i="23" a="1"/>
  <c r="AP104" i="23" s="1"/>
  <c r="AQ104" i="23" s="1" a="1"/>
  <c r="AQ104" i="23" s="1"/>
  <c r="V83" i="23"/>
  <c r="U101" i="23"/>
  <c r="J144" i="23"/>
  <c r="Y79" i="23"/>
  <c r="AW69" i="23" a="1"/>
  <c r="AW69" i="23" s="1"/>
  <c r="F54" i="23"/>
  <c r="AX130" i="23" a="1"/>
  <c r="AX130" i="23" s="1"/>
  <c r="AX53" i="23" a="1"/>
  <c r="AX53" i="23" s="1"/>
  <c r="V48" i="23"/>
  <c r="AZ103" i="23" a="1"/>
  <c r="AZ103" i="23" s="1"/>
  <c r="AZ111" i="23" a="1"/>
  <c r="AZ111" i="23" s="1"/>
  <c r="AP119" i="23" a="1"/>
  <c r="AP119" i="23" s="1"/>
  <c r="AQ119" i="23" s="1" a="1"/>
  <c r="AQ119" i="23" s="1"/>
  <c r="J142" i="23"/>
  <c r="AY141" i="23" a="1"/>
  <c r="AY141" i="23"/>
  <c r="Z119" i="23"/>
  <c r="K146" i="23"/>
  <c r="V141" i="23"/>
  <c r="Z142" i="23"/>
  <c r="J141" i="23"/>
  <c r="K148" i="23"/>
  <c r="W120" i="23"/>
  <c r="O109" i="23"/>
  <c r="AP141" i="23" a="1"/>
  <c r="AP141" i="23"/>
  <c r="AQ141" i="23" s="1" a="1"/>
  <c r="AQ141" i="23" s="1"/>
  <c r="V109" i="23"/>
  <c r="O7" i="23"/>
  <c r="Y142" i="23"/>
  <c r="K7" i="23"/>
  <c r="W146" i="23"/>
  <c r="W7" i="23"/>
  <c r="AY148" i="23" a="1"/>
  <c r="AY148" i="23"/>
  <c r="X7" i="23"/>
  <c r="AW120" i="23" a="1"/>
  <c r="AW120" i="23" s="1"/>
  <c r="U7" i="23"/>
  <c r="AX109" i="23" a="1"/>
  <c r="AX109" i="23" s="1"/>
  <c r="AP44" i="23" a="1"/>
  <c r="AP44" i="23"/>
  <c r="AQ44" i="23" s="1" a="1"/>
  <c r="AQ44" i="23" s="1"/>
  <c r="AW142" i="23" a="1"/>
  <c r="AW142" i="23" s="1"/>
  <c r="AX141" i="23" a="1"/>
  <c r="AX141" i="23" s="1"/>
  <c r="AO148" i="23" a="1"/>
  <c r="AO148" i="23" s="1"/>
  <c r="V7" i="23"/>
  <c r="Z141" i="23"/>
  <c r="AX119" i="23" a="1"/>
  <c r="AX119" i="23" s="1"/>
  <c r="AP166" i="23" a="1"/>
  <c r="AP166" i="23" s="1"/>
  <c r="AQ166" i="23" s="1" a="1"/>
  <c r="AQ166" i="23" s="1"/>
  <c r="AW148" i="23" a="1"/>
  <c r="AW148" i="23" s="1"/>
  <c r="U120" i="23"/>
  <c r="J166" i="23"/>
  <c r="AO146" i="23" a="1"/>
  <c r="AO146" i="23"/>
  <c r="J148" i="23"/>
  <c r="U166" i="23"/>
  <c r="AW44" i="23" a="1"/>
  <c r="AW44" i="23"/>
  <c r="Z44" i="23"/>
  <c r="AW119" i="23" a="1"/>
  <c r="AW119" i="23" s="1"/>
  <c r="Y148" i="23"/>
  <c r="AP7" i="23" a="1"/>
  <c r="AP7" i="23"/>
  <c r="AQ7" i="23" s="1" a="1"/>
  <c r="AQ7" i="23" s="1"/>
  <c r="AO109" i="23" a="1"/>
  <c r="AO109" i="23"/>
  <c r="U109" i="23"/>
  <c r="O142" i="23"/>
  <c r="AY119" i="23" a="1"/>
  <c r="AY119" i="23" s="1"/>
  <c r="F119" i="23"/>
  <c r="AW109" i="23" a="1"/>
  <c r="AW109" i="23" s="1"/>
  <c r="AY166" i="23" a="1"/>
  <c r="AY166" i="23" s="1"/>
  <c r="U141" i="23"/>
  <c r="F141" i="23"/>
  <c r="AO142" i="23" a="1"/>
  <c r="AO142" i="23" s="1"/>
  <c r="V119" i="23"/>
  <c r="AW7" i="23" a="1"/>
  <c r="AW7" i="23"/>
  <c r="U44" i="23"/>
  <c r="J146" i="23"/>
  <c r="AP148" i="23" a="1"/>
  <c r="AP148" i="23" s="1"/>
  <c r="AQ148" i="23" s="1" a="1"/>
  <c r="AQ148" i="23" s="1"/>
  <c r="K119" i="23"/>
  <c r="X166" i="23"/>
  <c r="Z120" i="23"/>
  <c r="AO44" i="23" a="1"/>
  <c r="AO44" i="23" s="1"/>
  <c r="J44" i="23"/>
  <c r="AX148" i="23" a="1"/>
  <c r="AX148" i="23" s="1"/>
  <c r="U146" i="23"/>
  <c r="K142" i="23"/>
  <c r="K109" i="23"/>
  <c r="AX166" i="23" a="1"/>
  <c r="AX166" i="23" s="1"/>
  <c r="AY7" i="23" a="1"/>
  <c r="AY7" i="23" s="1"/>
  <c r="V148" i="23"/>
  <c r="Y109" i="23"/>
  <c r="Z7" i="23"/>
  <c r="W44" i="23"/>
  <c r="W119" i="23"/>
  <c r="AY44" i="23" a="1"/>
  <c r="AY44" i="23" s="1"/>
  <c r="V44" i="23"/>
  <c r="Y141" i="23"/>
  <c r="V166" i="23"/>
  <c r="J120" i="23"/>
  <c r="F142" i="23"/>
  <c r="AX120" i="23" a="1"/>
  <c r="AX120" i="23" s="1"/>
  <c r="X44" i="23"/>
  <c r="Z109" i="23"/>
  <c r="W141" i="23"/>
  <c r="X109" i="23"/>
  <c r="X141" i="23"/>
  <c r="AW146" i="23" a="1"/>
  <c r="AW146" i="23" s="1"/>
  <c r="AX146" i="23" a="1"/>
  <c r="AX146" i="23" s="1"/>
  <c r="K120" i="23"/>
  <c r="AP120" i="23" a="1"/>
  <c r="AP120" i="23" s="1"/>
  <c r="AQ120" i="23" s="1" a="1"/>
  <c r="AQ120" i="23" s="1"/>
  <c r="Y44" i="23"/>
  <c r="O119" i="23"/>
  <c r="J7" i="23"/>
  <c r="F120" i="23"/>
  <c r="O44" i="23"/>
  <c r="AO119" i="23" a="1"/>
  <c r="AO119" i="23"/>
  <c r="K141" i="23"/>
  <c r="V146" i="23"/>
  <c r="AW166" i="23" a="1"/>
  <c r="AW166" i="23" s="1"/>
  <c r="Y120" i="23"/>
  <c r="AO141" i="23" a="1"/>
  <c r="AO141" i="23" s="1"/>
  <c r="O146" i="23"/>
  <c r="F166" i="23"/>
  <c r="X146" i="23"/>
  <c r="AP142" i="23" a="1"/>
  <c r="AP142" i="23"/>
  <c r="AQ142" i="23" s="1" a="1"/>
  <c r="AQ142" i="23" s="1"/>
  <c r="J119" i="23"/>
  <c r="AO120" i="23" a="1"/>
  <c r="AO120" i="23" s="1"/>
  <c r="F146" i="23"/>
  <c r="AY142" i="23" a="1"/>
  <c r="AY142" i="23" s="1"/>
  <c r="K166" i="23"/>
  <c r="O120" i="23"/>
  <c r="V142" i="23"/>
  <c r="W166" i="23"/>
  <c r="Y119" i="23"/>
  <c r="O148" i="23"/>
  <c r="Y146" i="23"/>
  <c r="F44" i="23"/>
  <c r="Y166" i="23"/>
  <c r="X148" i="23"/>
  <c r="AO7" i="23" a="1"/>
  <c r="AO7" i="23"/>
  <c r="F148" i="23"/>
  <c r="AX7" i="23" a="1"/>
  <c r="AX7" i="23"/>
  <c r="J109" i="23"/>
  <c r="AY146" i="23" a="1"/>
  <c r="AY146" i="23" s="1"/>
  <c r="AP109" i="23" a="1"/>
  <c r="AP109" i="23" s="1"/>
  <c r="AQ109" i="23" s="1" a="1"/>
  <c r="AQ109" i="23" s="1"/>
  <c r="AX44" i="23" a="1"/>
  <c r="AX44" i="23" s="1"/>
  <c r="W148" i="23"/>
  <c r="F109" i="23"/>
  <c r="W142" i="23"/>
  <c r="AW141" i="23" a="1"/>
  <c r="AW141" i="23" s="1"/>
  <c r="Z166" i="23"/>
  <c r="X142" i="23"/>
  <c r="AO166" i="23" a="1"/>
  <c r="AO166" i="23" s="1"/>
  <c r="X119" i="23"/>
  <c r="Y7" i="23"/>
  <c r="AX142" i="23" a="1"/>
  <c r="AX142" i="23" s="1"/>
  <c r="AY120" i="23" a="1"/>
  <c r="AY120" i="23" s="1"/>
  <c r="Z146" i="23"/>
  <c r="Z148" i="23"/>
  <c r="AY109" i="23" a="1"/>
  <c r="AY109" i="23" s="1"/>
  <c r="AP146" i="23" a="1"/>
  <c r="AP146" i="23"/>
  <c r="AQ146" i="23" s="1" a="1"/>
  <c r="AQ146" i="23" s="1"/>
  <c r="X120" i="23"/>
  <c r="U148" i="23"/>
  <c r="F7" i="23"/>
  <c r="V120" i="23"/>
  <c r="O166" i="23"/>
  <c r="K44" i="23"/>
  <c r="W109" i="23"/>
  <c r="O141" i="23"/>
  <c r="U142" i="23"/>
  <c r="U119" i="23"/>
  <c r="H21" i="29" a="1"/>
  <c r="H21" i="29" s="1"/>
  <c r="A23" i="29" a="1"/>
  <c r="A23" i="29" s="1"/>
  <c r="C7" i="29" a="1"/>
  <c r="C7" i="29" s="1"/>
  <c r="D19" i="29" a="1"/>
  <c r="D19" i="29" s="1"/>
  <c r="D21" i="29" a="1"/>
  <c r="D21" i="29" s="1"/>
  <c r="H22" i="29" a="1"/>
  <c r="H22" i="29" s="1"/>
  <c r="G16" i="29" a="1"/>
  <c r="G16" i="29" s="1"/>
  <c r="E24" i="29" a="1"/>
  <c r="E24" i="29" s="1"/>
  <c r="E33" i="29" a="1"/>
  <c r="E33" i="29" s="1"/>
  <c r="H16" i="29" a="1"/>
  <c r="H16" i="29" s="1"/>
  <c r="F19" i="29" a="1"/>
  <c r="F19" i="29" s="1"/>
  <c r="G33" i="29" a="1"/>
  <c r="G33" i="29" s="1"/>
  <c r="G23" i="29" a="1"/>
  <c r="G23" i="29" s="1"/>
  <c r="D16" i="29" a="1"/>
  <c r="D16" i="29" s="1"/>
  <c r="E4" i="29" a="1"/>
  <c r="E4" i="29" s="1"/>
  <c r="E19" i="29" a="1"/>
  <c r="E19" i="29" s="1"/>
  <c r="H4" i="29" a="1"/>
  <c r="H4" i="29" s="1"/>
  <c r="D24" i="29" a="1"/>
  <c r="D24" i="29" s="1"/>
  <c r="A19" i="29" a="1"/>
  <c r="A19" i="29" s="1"/>
  <c r="D33" i="29" a="1"/>
  <c r="D33" i="29" s="1"/>
  <c r="B16" i="29" a="1"/>
  <c r="B16" i="29" s="1"/>
  <c r="E21" i="29" a="1"/>
  <c r="E21" i="29" s="1"/>
  <c r="B22" i="29" a="1"/>
  <c r="B22" i="29" s="1"/>
  <c r="A21" i="29" a="1"/>
  <c r="A21" i="29" s="1"/>
  <c r="G4" i="29" a="1"/>
  <c r="G4" i="29" s="1"/>
  <c r="F23" i="29" a="1"/>
  <c r="F23" i="29" s="1"/>
  <c r="B7" i="29" a="1"/>
  <c r="B7" i="29" s="1"/>
  <c r="A7" i="29" a="1"/>
  <c r="A7" i="29" s="1"/>
  <c r="G22" i="29" a="1"/>
  <c r="G22" i="29" s="1"/>
  <c r="B33" i="29" a="1"/>
  <c r="B33" i="29" s="1"/>
  <c r="H7" i="29" a="1"/>
  <c r="H7" i="29" s="1"/>
  <c r="E22" i="29" a="1"/>
  <c r="E22" i="29" s="1"/>
  <c r="H33" i="29" a="1"/>
  <c r="H33" i="29" s="1"/>
  <c r="F16" i="29" a="1"/>
  <c r="F16" i="29" s="1"/>
  <c r="D22" i="29" a="1"/>
  <c r="D22" i="29" s="1"/>
  <c r="F7" i="29" a="1"/>
  <c r="F7" i="29" s="1"/>
  <c r="B19" i="29" a="1"/>
  <c r="B19" i="29" s="1"/>
  <c r="C21" i="29" a="1"/>
  <c r="C21" i="29" s="1"/>
  <c r="F4" i="29" a="1"/>
  <c r="F4" i="29"/>
  <c r="B4" i="29" a="1"/>
  <c r="B4" i="29" s="1"/>
  <c r="C19" i="29" a="1"/>
  <c r="C19" i="29" s="1"/>
  <c r="C4" i="29" a="1"/>
  <c r="C4" i="29" s="1"/>
  <c r="F24" i="29" a="1"/>
  <c r="F24" i="29" s="1"/>
  <c r="C24" i="29" a="1"/>
  <c r="C24" i="29" s="1"/>
  <c r="B24" i="29" a="1"/>
  <c r="B24" i="29" s="1"/>
  <c r="E7" i="29" a="1"/>
  <c r="E7" i="29" s="1"/>
  <c r="E16" i="29" a="1"/>
  <c r="E16" i="29"/>
  <c r="D4" i="29" a="1"/>
  <c r="D4" i="29" s="1"/>
  <c r="H23" i="29" a="1"/>
  <c r="H23" i="29" s="1"/>
  <c r="H19" i="29" a="1"/>
  <c r="H19" i="29" s="1"/>
  <c r="D23" i="29" a="1"/>
  <c r="D23" i="29" s="1"/>
  <c r="G24" i="29" a="1"/>
  <c r="G24" i="29" s="1"/>
  <c r="G21" i="29" a="1"/>
  <c r="G21" i="29" s="1"/>
  <c r="C23" i="29" a="1"/>
  <c r="C23" i="29" s="1"/>
  <c r="C33" i="29" a="1"/>
  <c r="C33" i="29"/>
  <c r="A22" i="29" a="1"/>
  <c r="A22" i="29" s="1"/>
  <c r="F22" i="29" a="1"/>
  <c r="F22" i="29" s="1"/>
  <c r="B23" i="29" a="1"/>
  <c r="B23" i="29" s="1"/>
  <c r="C16" i="29" a="1"/>
  <c r="C16" i="29" s="1"/>
  <c r="D7" i="29" a="1"/>
  <c r="D7" i="29" s="1"/>
  <c r="B21" i="29" a="1"/>
  <c r="B21" i="29"/>
  <c r="A24" i="29" a="1"/>
  <c r="A24" i="29" s="1"/>
  <c r="G7" i="29" a="1"/>
  <c r="G7" i="29" s="1"/>
  <c r="A33" i="29" a="1"/>
  <c r="A33" i="29" s="1"/>
  <c r="F21" i="29" a="1"/>
  <c r="F21" i="29" s="1"/>
  <c r="H24" i="29" a="1"/>
  <c r="H24" i="29" s="1"/>
  <c r="G19" i="29" a="1"/>
  <c r="G19" i="29" s="1"/>
  <c r="C22" i="29" a="1"/>
  <c r="C22" i="29" s="1"/>
  <c r="A16" i="29" a="1"/>
  <c r="A16" i="29" s="1"/>
  <c r="A4" i="29" a="1"/>
  <c r="A4" i="29" s="1"/>
  <c r="E23" i="29" a="1"/>
  <c r="E23" i="29" s="1"/>
  <c r="F33" i="29" a="1"/>
  <c r="F33" i="29" s="1"/>
  <c r="W129" i="23"/>
  <c r="U80" i="23"/>
  <c r="J129" i="23"/>
  <c r="K182" i="23"/>
  <c r="AP182" i="23" a="1"/>
  <c r="AP182" i="23" s="1"/>
  <c r="AQ182" i="23" s="1" a="1"/>
  <c r="AQ182" i="23" s="1"/>
  <c r="Z147" i="23"/>
  <c r="V63" i="23"/>
  <c r="AX43" i="23" a="1"/>
  <c r="AX43" i="23" s="1"/>
  <c r="O45" i="23"/>
  <c r="AO99" i="23" a="1"/>
  <c r="AO99" i="23"/>
  <c r="AX147" i="23" a="1"/>
  <c r="AX147" i="23" s="1"/>
  <c r="J80" i="23"/>
  <c r="AO28" i="23" a="1"/>
  <c r="AO28" i="23" s="1"/>
  <c r="AX187" i="23" a="1"/>
  <c r="AX187" i="23" s="1"/>
  <c r="AP147" i="23" a="1"/>
  <c r="AP147" i="23" s="1"/>
  <c r="AQ147" i="23" s="1" a="1"/>
  <c r="AQ147" i="23" s="1"/>
  <c r="K28" i="23"/>
  <c r="AW63" i="23" a="1"/>
  <c r="AW63" i="23" s="1"/>
  <c r="Z99" i="23"/>
  <c r="AP99" i="23" a="1"/>
  <c r="AP99" i="23" s="1"/>
  <c r="AQ99" i="23" s="1" a="1"/>
  <c r="AQ99" i="23" s="1"/>
  <c r="Y147" i="23"/>
  <c r="V45" i="23"/>
  <c r="AW165" i="23" a="1"/>
  <c r="AW165" i="23" s="1"/>
  <c r="AP80" i="23" a="1"/>
  <c r="AP80" i="23" s="1"/>
  <c r="AQ80" i="23" s="1" a="1"/>
  <c r="AQ80" i="23" s="1"/>
  <c r="K80" i="23"/>
  <c r="F147" i="23"/>
  <c r="Y99" i="23"/>
  <c r="AW80" i="23" a="1"/>
  <c r="AW80" i="23" s="1"/>
  <c r="AO63" i="23" a="1"/>
  <c r="AO63" i="23" s="1"/>
  <c r="F63" i="23"/>
  <c r="X63" i="23"/>
  <c r="Y45" i="23"/>
  <c r="V80" i="23"/>
  <c r="AY129" i="23" a="1"/>
  <c r="AY129" i="23" s="1"/>
  <c r="X182" i="23"/>
  <c r="K147" i="23"/>
  <c r="AY182" i="23" a="1"/>
  <c r="AY182" i="23" s="1"/>
  <c r="O80" i="23"/>
  <c r="X28" i="23"/>
  <c r="J182" i="23"/>
  <c r="K63" i="23"/>
  <c r="AY43" i="23" a="1"/>
  <c r="AY43" i="23"/>
  <c r="X99" i="23"/>
  <c r="Y28" i="23"/>
  <c r="U147" i="23"/>
  <c r="K45" i="23"/>
  <c r="Y129" i="23"/>
  <c r="U63" i="23"/>
  <c r="AX99" i="23" a="1"/>
  <c r="AX99" i="23" s="1"/>
  <c r="W165" i="23"/>
  <c r="AX165" i="23" a="1"/>
  <c r="AX165" i="23" s="1"/>
  <c r="O99" i="23"/>
  <c r="O165" i="23"/>
  <c r="U187" i="23"/>
  <c r="AP45" i="23" a="1"/>
  <c r="AP45" i="23" s="1"/>
  <c r="AQ45" i="23" s="1" a="1"/>
  <c r="AQ45" i="23" s="1"/>
  <c r="AO129" i="23" a="1"/>
  <c r="AO129" i="23" s="1"/>
  <c r="V182" i="23"/>
  <c r="AO187" i="23" a="1"/>
  <c r="AO187" i="23" s="1"/>
  <c r="O182" i="23"/>
  <c r="J187" i="23"/>
  <c r="W99" i="23"/>
  <c r="AP28" i="23" a="1"/>
  <c r="AP28" i="23" s="1"/>
  <c r="AQ28" i="23" s="1" a="1"/>
  <c r="AQ28" i="23" s="1"/>
  <c r="W147" i="23"/>
  <c r="Y63" i="23"/>
  <c r="F182" i="23"/>
  <c r="AP129" i="23" a="1"/>
  <c r="AP129" i="23" s="1"/>
  <c r="AQ129" i="23" s="1" a="1"/>
  <c r="AQ129" i="23" s="1"/>
  <c r="Z80" i="23"/>
  <c r="V147" i="23"/>
  <c r="J43" i="23"/>
  <c r="AO182" i="23" a="1"/>
  <c r="AO182" i="23"/>
  <c r="J99" i="23"/>
  <c r="X147" i="23"/>
  <c r="W63" i="23"/>
  <c r="X45" i="23"/>
  <c r="AP187" i="23" a="1"/>
  <c r="AP187" i="23"/>
  <c r="AQ187" i="23" s="1" a="1"/>
  <c r="AQ187" i="23" s="1"/>
  <c r="U45" i="23"/>
  <c r="AY28" i="23" a="1"/>
  <c r="AY28" i="23" s="1"/>
  <c r="Y43" i="23"/>
  <c r="AW129" i="23" a="1"/>
  <c r="AW129" i="23" s="1"/>
  <c r="AY147" i="23" a="1"/>
  <c r="AY147" i="23" s="1"/>
  <c r="AW147" i="23" a="1"/>
  <c r="AW147" i="23"/>
  <c r="U129" i="23"/>
  <c r="AO147" i="23" a="1"/>
  <c r="AO147" i="23" s="1"/>
  <c r="AO43" i="23" a="1"/>
  <c r="AO43" i="23" s="1"/>
  <c r="J165" i="23"/>
  <c r="AP43" i="23" a="1"/>
  <c r="AP43" i="23" s="1"/>
  <c r="AQ43" i="23" s="1" a="1"/>
  <c r="AQ43" i="23" s="1"/>
  <c r="AW187" i="23" a="1"/>
  <c r="AW187" i="23"/>
  <c r="Z129" i="23"/>
  <c r="Z63" i="23"/>
  <c r="O187" i="23"/>
  <c r="W28" i="23"/>
  <c r="X165" i="23"/>
  <c r="Y187" i="23"/>
  <c r="J45" i="23"/>
  <c r="U182" i="23"/>
  <c r="V43" i="23"/>
  <c r="AO45" i="23" a="1"/>
  <c r="AO45" i="23" s="1"/>
  <c r="AW182" i="23" a="1"/>
  <c r="AW182" i="23" s="1"/>
  <c r="X80" i="23"/>
  <c r="V28" i="23"/>
  <c r="O43" i="23"/>
  <c r="V99" i="23"/>
  <c r="AW99" i="23" a="1"/>
  <c r="AW99" i="23" s="1"/>
  <c r="AX80" i="23" a="1"/>
  <c r="AX80" i="23" s="1"/>
  <c r="F43" i="23"/>
  <c r="V129" i="23"/>
  <c r="Z187" i="23"/>
  <c r="AO165" i="23" a="1"/>
  <c r="AO165" i="23"/>
  <c r="F80" i="23"/>
  <c r="K129" i="23"/>
  <c r="AY187" i="23" a="1"/>
  <c r="AY187" i="23"/>
  <c r="AX63" i="23" a="1"/>
  <c r="AX63" i="23" s="1"/>
  <c r="AY45" i="23" a="1"/>
  <c r="AY45" i="23" s="1"/>
  <c r="AY99" i="23" a="1"/>
  <c r="AY99" i="23" s="1"/>
  <c r="K43" i="23"/>
  <c r="Z43" i="23"/>
  <c r="AW28" i="23" a="1"/>
  <c r="AW28" i="23"/>
  <c r="AY165" i="23" a="1"/>
  <c r="AY165" i="23" s="1"/>
  <c r="W45" i="23"/>
  <c r="W80" i="23"/>
  <c r="W187" i="23"/>
  <c r="W182" i="23"/>
  <c r="U28" i="23"/>
  <c r="AX129" i="23" a="1"/>
  <c r="AX129" i="23" s="1"/>
  <c r="V165" i="23"/>
  <c r="AW43" i="23" a="1"/>
  <c r="AW43" i="23" s="1"/>
  <c r="F187" i="23"/>
  <c r="Y165" i="23"/>
  <c r="AP63" i="23" a="1"/>
  <c r="AP63" i="23" s="1"/>
  <c r="AQ63" i="23" s="1" a="1"/>
  <c r="AQ63" i="23" s="1"/>
  <c r="X129" i="23"/>
  <c r="O129" i="23"/>
  <c r="AY80" i="23" a="1"/>
  <c r="AY80" i="23" s="1"/>
  <c r="V187" i="23"/>
  <c r="J147" i="23"/>
  <c r="F28" i="23"/>
  <c r="F99" i="23"/>
  <c r="K187" i="23"/>
  <c r="J63" i="23"/>
  <c r="AY63" i="23" a="1"/>
  <c r="AY63" i="23" s="1"/>
  <c r="X43" i="23"/>
  <c r="AP165" i="23" a="1"/>
  <c r="AP165" i="23" s="1"/>
  <c r="AQ165" i="23" s="1" a="1"/>
  <c r="AQ165" i="23" s="1"/>
  <c r="Z28" i="23"/>
  <c r="U43" i="23"/>
  <c r="O63" i="23"/>
  <c r="Z182" i="23"/>
  <c r="AX28" i="23" a="1"/>
  <c r="AX28" i="23" s="1"/>
  <c r="U99" i="23"/>
  <c r="F165" i="23"/>
  <c r="Z165" i="23"/>
  <c r="AX45" i="23" a="1"/>
  <c r="AX45" i="23"/>
  <c r="Y182" i="23"/>
  <c r="Z45" i="23"/>
  <c r="F45" i="23"/>
  <c r="U165" i="23"/>
  <c r="Y80" i="23"/>
  <c r="J28" i="23"/>
  <c r="O28" i="23"/>
  <c r="W43" i="23"/>
  <c r="AW45" i="23" a="1"/>
  <c r="AW45" i="23" s="1"/>
  <c r="F129" i="23"/>
  <c r="AX182" i="23" a="1"/>
  <c r="AX182" i="23" s="1"/>
  <c r="AO80" i="23" a="1"/>
  <c r="AO80" i="23" s="1"/>
  <c r="X187" i="23"/>
  <c r="K99" i="23"/>
  <c r="O147" i="23"/>
  <c r="K165" i="23"/>
  <c r="E20" i="29" a="1"/>
  <c r="E20" i="29"/>
  <c r="E11" i="29" a="1"/>
  <c r="E11" i="29" s="1"/>
  <c r="A12" i="29" a="1"/>
  <c r="A12" i="29" s="1"/>
  <c r="D20" i="29" a="1"/>
  <c r="D20" i="29" s="1"/>
  <c r="C20" i="29" a="1"/>
  <c r="C20" i="29" s="1"/>
  <c r="D32" i="29" a="1"/>
  <c r="D32" i="29" s="1"/>
  <c r="E32" i="29" a="1"/>
  <c r="E32" i="29" s="1"/>
  <c r="H5" i="29" a="1"/>
  <c r="H5" i="29" s="1"/>
  <c r="A26" i="29" a="1"/>
  <c r="A26" i="29" s="1"/>
  <c r="B26" i="29" a="1"/>
  <c r="B26" i="29" s="1"/>
  <c r="H32" i="29" a="1"/>
  <c r="H32" i="29" s="1"/>
  <c r="G6" i="29" a="1"/>
  <c r="G6" i="29" s="1"/>
  <c r="C32" i="29" a="1"/>
  <c r="C32" i="29"/>
  <c r="D26" i="29" a="1"/>
  <c r="D26" i="29" s="1"/>
  <c r="C5" i="29" a="1"/>
  <c r="C5" i="29" s="1"/>
  <c r="H20" i="29" a="1"/>
  <c r="H20" i="29" s="1"/>
  <c r="F11" i="29" a="1"/>
  <c r="F11" i="29"/>
  <c r="E3" i="29" a="1"/>
  <c r="E3" i="29" s="1"/>
  <c r="G5" i="29" a="1"/>
  <c r="G5" i="29" s="1"/>
  <c r="D6" i="29" a="1"/>
  <c r="D6" i="29" s="1"/>
  <c r="A3" i="29" a="1"/>
  <c r="A3" i="29" s="1"/>
  <c r="F20" i="29" a="1"/>
  <c r="F20" i="29" s="1"/>
  <c r="G32" i="29" a="1"/>
  <c r="G32" i="29"/>
  <c r="B12" i="29" a="1"/>
  <c r="B12" i="29" s="1"/>
  <c r="G3" i="29" a="1"/>
  <c r="G3" i="29" s="1"/>
  <c r="G20" i="29" a="1"/>
  <c r="G20" i="29" s="1"/>
  <c r="H12" i="29" a="1"/>
  <c r="H12" i="29" s="1"/>
  <c r="F12" i="29" a="1"/>
  <c r="F12" i="29" s="1"/>
  <c r="C3" i="29" a="1"/>
  <c r="C3" i="29" s="1"/>
  <c r="B6" i="29" a="1"/>
  <c r="B6" i="29" s="1"/>
  <c r="B32" i="29" a="1"/>
  <c r="B32" i="29" s="1"/>
  <c r="B11" i="29" a="1"/>
  <c r="B11" i="29" s="1"/>
  <c r="C26" i="29" a="1"/>
  <c r="C26" i="29" s="1"/>
  <c r="E26" i="29" a="1"/>
  <c r="E26" i="29" s="1"/>
  <c r="E6" i="29" a="1"/>
  <c r="E6" i="29" s="1"/>
  <c r="D5" i="29" a="1"/>
  <c r="D5" i="29" s="1"/>
  <c r="G11" i="29" a="1"/>
  <c r="G11" i="29" s="1"/>
  <c r="C11" i="29" a="1"/>
  <c r="C11" i="29" s="1"/>
  <c r="E12" i="29" a="1"/>
  <c r="E12" i="29"/>
  <c r="F3" i="29" a="1"/>
  <c r="F3" i="29" s="1"/>
  <c r="E5" i="29" a="1"/>
  <c r="E5" i="29" s="1"/>
  <c r="A20" i="29" a="1"/>
  <c r="A20" i="29" s="1"/>
  <c r="G12" i="29" a="1"/>
  <c r="G12" i="29" s="1"/>
  <c r="H11" i="29" a="1"/>
  <c r="H11" i="29" s="1"/>
  <c r="H26" i="29" a="1"/>
  <c r="H26" i="29" s="1"/>
  <c r="C12" i="29" a="1"/>
  <c r="C12" i="29" s="1"/>
  <c r="A6" i="29" a="1"/>
  <c r="A6" i="29"/>
  <c r="G26" i="29" a="1"/>
  <c r="G26" i="29" s="1"/>
  <c r="D11" i="29" a="1"/>
  <c r="D11" i="29" s="1"/>
  <c r="H6" i="29" a="1"/>
  <c r="H6" i="29" s="1"/>
  <c r="C6" i="29" a="1"/>
  <c r="C6" i="29" s="1"/>
  <c r="D3" i="29" a="1"/>
  <c r="D3" i="29" s="1"/>
  <c r="F32" i="29" a="1"/>
  <c r="F32" i="29" s="1"/>
  <c r="A5" i="29" a="1"/>
  <c r="A5" i="29" s="1"/>
  <c r="B3" i="29" a="1"/>
  <c r="B3" i="29" s="1"/>
  <c r="B20" i="29" a="1"/>
  <c r="B20" i="29" s="1"/>
  <c r="F6" i="29" a="1"/>
  <c r="F6" i="29" s="1"/>
  <c r="F26" i="29" a="1"/>
  <c r="F26" i="29" s="1"/>
  <c r="B5" i="29" a="1"/>
  <c r="B5" i="29" s="1"/>
  <c r="A11" i="29" a="1"/>
  <c r="A11" i="29" s="1"/>
  <c r="H3" i="29" a="1"/>
  <c r="H3" i="29" s="1"/>
  <c r="F5" i="29" a="1"/>
  <c r="F5" i="29" s="1"/>
  <c r="A32" i="29" a="1"/>
  <c r="A32" i="29" s="1"/>
  <c r="D12" i="29" a="1"/>
  <c r="D12" i="29" s="1"/>
  <c r="O50" i="23"/>
  <c r="AX127" i="23" a="1"/>
  <c r="AX127" i="23"/>
  <c r="Y29" i="23"/>
  <c r="W84" i="23"/>
  <c r="V50" i="23"/>
  <c r="F50" i="23"/>
  <c r="W184" i="23"/>
  <c r="O190" i="23"/>
  <c r="Z50" i="23"/>
  <c r="J106" i="23"/>
  <c r="O84" i="23"/>
  <c r="AO190" i="23" a="1"/>
  <c r="AO190" i="23"/>
  <c r="K178" i="23"/>
  <c r="U84" i="23"/>
  <c r="Z183" i="23"/>
  <c r="W190" i="23"/>
  <c r="X183" i="23"/>
  <c r="AX184" i="23" a="1"/>
  <c r="AX184" i="23"/>
  <c r="AX50" i="23" a="1"/>
  <c r="AX50" i="23"/>
  <c r="AP127" i="23" a="1"/>
  <c r="AP127" i="23" s="1"/>
  <c r="AQ127" i="23" s="1" a="1"/>
  <c r="AQ127" i="23" s="1"/>
  <c r="Y190" i="23"/>
  <c r="Y106" i="23"/>
  <c r="J50" i="23"/>
  <c r="F29" i="23"/>
  <c r="AO184" i="23" a="1"/>
  <c r="AO184" i="23" s="1"/>
  <c r="AP190" i="23" a="1"/>
  <c r="AP190" i="23" s="1"/>
  <c r="AQ190" i="23" s="1" a="1"/>
  <c r="AQ190" i="23" s="1"/>
  <c r="K127" i="23"/>
  <c r="U127" i="23"/>
  <c r="AX29" i="23" a="1"/>
  <c r="AX29" i="23" s="1"/>
  <c r="AP178" i="23" a="1"/>
  <c r="AP178" i="23" s="1"/>
  <c r="AQ178" i="23" s="1" a="1"/>
  <c r="AQ178" i="23" s="1"/>
  <c r="Z29" i="23"/>
  <c r="AX178" i="23" a="1"/>
  <c r="AX178" i="23" s="1"/>
  <c r="AW138" i="23" a="1"/>
  <c r="AW138" i="23" s="1"/>
  <c r="AY138" i="23" a="1"/>
  <c r="AY138" i="23" s="1"/>
  <c r="F190" i="23"/>
  <c r="F84" i="23"/>
  <c r="X29" i="23"/>
  <c r="AO183" i="23" a="1"/>
  <c r="AO183" i="23" s="1"/>
  <c r="AP183" i="23" a="1"/>
  <c r="AP183" i="23"/>
  <c r="AQ183" i="23" s="1" a="1"/>
  <c r="AQ183" i="23" s="1"/>
  <c r="AP106" i="23" a="1"/>
  <c r="AP106" i="23"/>
  <c r="AQ106" i="23" s="1" a="1"/>
  <c r="AQ106" i="23" s="1"/>
  <c r="J184" i="23"/>
  <c r="AW29" i="23" a="1"/>
  <c r="AW29" i="23" s="1"/>
  <c r="W106" i="23"/>
  <c r="Z106" i="23"/>
  <c r="U190" i="23"/>
  <c r="AX190" i="23" a="1"/>
  <c r="AX190" i="23" s="1"/>
  <c r="AY178" i="23" a="1"/>
  <c r="AY178" i="23"/>
  <c r="AO50" i="23" a="1"/>
  <c r="AO50" i="23" s="1"/>
  <c r="J178" i="23"/>
  <c r="V29" i="23"/>
  <c r="V84" i="23"/>
  <c r="V138" i="23"/>
  <c r="U183" i="23"/>
  <c r="AX183" i="23" a="1"/>
  <c r="AX183" i="23" s="1"/>
  <c r="AW84" i="23" a="1"/>
  <c r="AW84" i="23" s="1"/>
  <c r="F138" i="23"/>
  <c r="AO106" i="23" a="1"/>
  <c r="AO106" i="23" s="1"/>
  <c r="Y50" i="23"/>
  <c r="Y183" i="23"/>
  <c r="Z84" i="23"/>
  <c r="AY184" i="23" a="1"/>
  <c r="AY184" i="23" s="1"/>
  <c r="Y178" i="23"/>
  <c r="K138" i="23"/>
  <c r="X84" i="23"/>
  <c r="Y184" i="23"/>
  <c r="Z127" i="23"/>
  <c r="AW50" i="23" a="1"/>
  <c r="AW50" i="23"/>
  <c r="O178" i="23"/>
  <c r="AW178" i="23" a="1"/>
  <c r="AW178" i="23"/>
  <c r="Z178" i="23"/>
  <c r="W50" i="23"/>
  <c r="AW106" i="23" a="1"/>
  <c r="AW106" i="23" s="1"/>
  <c r="F184" i="23"/>
  <c r="AY29" i="23" a="1"/>
  <c r="AY29" i="23"/>
  <c r="U50" i="23"/>
  <c r="AP84" i="23" a="1"/>
  <c r="AP84" i="23" s="1"/>
  <c r="AQ84" i="23" s="1" a="1"/>
  <c r="AQ84" i="23" s="1"/>
  <c r="X50" i="23"/>
  <c r="O138" i="23"/>
  <c r="AP29" i="23" a="1"/>
  <c r="AP29" i="23" s="1"/>
  <c r="AQ29" i="23" s="1" a="1"/>
  <c r="AQ29" i="23" s="1"/>
  <c r="O127" i="23"/>
  <c r="J29" i="23"/>
  <c r="U106" i="23"/>
  <c r="AP50" i="23" a="1"/>
  <c r="AP50" i="23"/>
  <c r="AQ50" i="23" s="1" a="1"/>
  <c r="AQ50" i="23" s="1"/>
  <c r="W127" i="23"/>
  <c r="F127" i="23"/>
  <c r="W138" i="23"/>
  <c r="W178" i="23"/>
  <c r="AO127" i="23" a="1"/>
  <c r="AO127" i="23"/>
  <c r="AO84" i="23" a="1"/>
  <c r="AO84" i="23" s="1"/>
  <c r="O184" i="23"/>
  <c r="K106" i="23"/>
  <c r="J127" i="23"/>
  <c r="AP184" i="23" a="1"/>
  <c r="AP184" i="23" s="1"/>
  <c r="AQ184" i="23" s="1" a="1"/>
  <c r="AQ184" i="23" s="1"/>
  <c r="X127" i="23"/>
  <c r="V106" i="23"/>
  <c r="F183" i="23"/>
  <c r="K183" i="23"/>
  <c r="AY106" i="23" a="1"/>
  <c r="AY106" i="23" s="1"/>
  <c r="F178" i="23"/>
  <c r="J84" i="23"/>
  <c r="J183" i="23"/>
  <c r="AW190" i="23" a="1"/>
  <c r="AW190" i="23"/>
  <c r="AW127" i="23" a="1"/>
  <c r="AW127" i="23" s="1"/>
  <c r="X190" i="23"/>
  <c r="O106" i="23"/>
  <c r="F106" i="23"/>
  <c r="AX106" i="23" a="1"/>
  <c r="AX106" i="23" s="1"/>
  <c r="J138" i="23"/>
  <c r="U138" i="23"/>
  <c r="U184" i="23"/>
  <c r="X184" i="23"/>
  <c r="AP138" i="23" a="1"/>
  <c r="AP138" i="23" s="1"/>
  <c r="AQ138" i="23" s="1" a="1"/>
  <c r="AQ138" i="23" s="1"/>
  <c r="W29" i="23"/>
  <c r="AW184" i="23" a="1"/>
  <c r="AW184" i="23" s="1"/>
  <c r="X178" i="23"/>
  <c r="V190" i="23"/>
  <c r="Z138" i="23"/>
  <c r="AX84" i="23" a="1"/>
  <c r="AX84" i="23" s="1"/>
  <c r="K29" i="23"/>
  <c r="AO178" i="23" a="1"/>
  <c r="AO178" i="23" s="1"/>
  <c r="Y84" i="23"/>
  <c r="K184" i="23"/>
  <c r="AY127" i="23" a="1"/>
  <c r="AY127" i="23" s="1"/>
  <c r="K190" i="23"/>
  <c r="AO29" i="23" a="1"/>
  <c r="AO29" i="23" s="1"/>
  <c r="V183" i="23"/>
  <c r="O29" i="23"/>
  <c r="AW183" i="23" a="1"/>
  <c r="AW183" i="23" s="1"/>
  <c r="X138" i="23"/>
  <c r="AX138" i="23" a="1"/>
  <c r="AX138" i="23" s="1"/>
  <c r="AO138" i="23" a="1"/>
  <c r="AO138" i="23" s="1"/>
  <c r="Z190" i="23"/>
  <c r="Z184" i="23"/>
  <c r="U178" i="23"/>
  <c r="O183" i="23"/>
  <c r="AY190" i="23" a="1"/>
  <c r="AY190" i="23"/>
  <c r="K84" i="23"/>
  <c r="Y127" i="23"/>
  <c r="AY50" i="23" a="1"/>
  <c r="AY50" i="23" s="1"/>
  <c r="AY84" i="23" a="1"/>
  <c r="AY84" i="23" s="1"/>
  <c r="AY183" i="23" a="1"/>
  <c r="AY183" i="23" s="1"/>
  <c r="W183" i="23"/>
  <c r="J190" i="23"/>
  <c r="Y138" i="23"/>
  <c r="V178" i="23"/>
  <c r="K50" i="23"/>
  <c r="X106" i="23"/>
  <c r="V127" i="23"/>
  <c r="U29" i="23"/>
  <c r="V184" i="23"/>
  <c r="F34" i="29" a="1"/>
  <c r="F34" i="29" s="1"/>
  <c r="B34" i="29" a="1"/>
  <c r="B34" i="29" s="1"/>
  <c r="A8" i="29" a="1"/>
  <c r="A8" i="29" s="1"/>
  <c r="G8" i="29" a="1"/>
  <c r="G8" i="29" s="1"/>
  <c r="E25" i="29" a="1"/>
  <c r="E25" i="29" s="1"/>
  <c r="B13" i="29" a="1"/>
  <c r="B13" i="29" s="1"/>
  <c r="H34" i="29" a="1"/>
  <c r="H34" i="29" s="1"/>
  <c r="G9" i="29" a="1"/>
  <c r="G9" i="29" s="1"/>
  <c r="G25" i="29" a="1"/>
  <c r="G25" i="29" s="1"/>
  <c r="A13" i="29" a="1"/>
  <c r="A13" i="29" s="1"/>
  <c r="E13" i="29" a="1"/>
  <c r="E13" i="29" s="1"/>
  <c r="C8" i="29" a="1"/>
  <c r="C8" i="29" s="1"/>
  <c r="G34" i="29" a="1"/>
  <c r="G34" i="29" s="1"/>
  <c r="C25" i="29" a="1"/>
  <c r="C25" i="29" s="1"/>
  <c r="D13" i="29" a="1"/>
  <c r="D13" i="29" s="1"/>
  <c r="B9" i="29" a="1"/>
  <c r="B9" i="29" s="1"/>
  <c r="D34" i="29" a="1"/>
  <c r="D34" i="29" s="1"/>
  <c r="H13" i="29" a="1"/>
  <c r="H13" i="29" s="1"/>
  <c r="B25" i="29" a="1"/>
  <c r="B25" i="29" s="1"/>
  <c r="A25" i="29" a="1"/>
  <c r="A25" i="29" s="1"/>
  <c r="C34" i="29" a="1"/>
  <c r="C34" i="29"/>
  <c r="F25" i="29" a="1"/>
  <c r="F25" i="29" s="1"/>
  <c r="F8" i="29" a="1"/>
  <c r="F8" i="29" s="1"/>
  <c r="C9" i="29" a="1"/>
  <c r="C9" i="29" s="1"/>
  <c r="H8" i="29" a="1"/>
  <c r="H8" i="29" s="1"/>
  <c r="B8" i="29" a="1"/>
  <c r="B8" i="29" s="1"/>
  <c r="F13" i="29" a="1"/>
  <c r="F13" i="29" s="1"/>
  <c r="F9" i="29" a="1"/>
  <c r="F9" i="29" s="1"/>
  <c r="E9" i="29" a="1"/>
  <c r="E9" i="29" s="1"/>
  <c r="E8" i="29" a="1"/>
  <c r="E8" i="29" s="1"/>
  <c r="E34" i="29" a="1"/>
  <c r="E34" i="29" s="1"/>
  <c r="H9" i="29" a="1"/>
  <c r="H9" i="29" s="1"/>
  <c r="A9" i="29" a="1"/>
  <c r="A9" i="29" s="1"/>
  <c r="D25" i="29" a="1"/>
  <c r="D25" i="29" s="1"/>
  <c r="A34" i="29" a="1"/>
  <c r="A34" i="29"/>
  <c r="H25" i="29" a="1"/>
  <c r="H25" i="29" s="1"/>
  <c r="C13" i="29" a="1"/>
  <c r="C13" i="29" s="1"/>
  <c r="G13" i="29" a="1"/>
  <c r="G13" i="29" s="1"/>
  <c r="D9" i="29" a="1"/>
  <c r="D9" i="29" s="1"/>
  <c r="D8" i="29" a="1"/>
  <c r="D8" i="29" s="1"/>
  <c r="F194" i="23"/>
  <c r="AP181" i="23" a="1"/>
  <c r="AP181" i="23"/>
  <c r="AQ181" i="23" s="1" a="1"/>
  <c r="AQ181" i="23" s="1"/>
  <c r="F137" i="23"/>
  <c r="F112" i="23"/>
  <c r="V40" i="23"/>
  <c r="Y21" i="23"/>
  <c r="AX112" i="23" a="1"/>
  <c r="AX112" i="23" s="1"/>
  <c r="Y112" i="23"/>
  <c r="W112" i="23"/>
  <c r="K21" i="23"/>
  <c r="U40" i="23"/>
  <c r="V105" i="23"/>
  <c r="W140" i="23"/>
  <c r="X105" i="23"/>
  <c r="W181" i="23"/>
  <c r="K137" i="23"/>
  <c r="AW112" i="23" a="1"/>
  <c r="AW112" i="23" s="1"/>
  <c r="Y40" i="23"/>
  <c r="K194" i="23"/>
  <c r="AX21" i="23" a="1"/>
  <c r="AX21" i="23" s="1"/>
  <c r="AX181" i="23" a="1"/>
  <c r="AX181" i="23" s="1"/>
  <c r="AP40" i="23" a="1"/>
  <c r="AP40" i="23" s="1"/>
  <c r="AQ40" i="23" s="1" a="1"/>
  <c r="AQ40" i="23" s="1"/>
  <c r="K112" i="23"/>
  <c r="O14" i="23"/>
  <c r="AP14" i="23" a="1"/>
  <c r="AP14" i="23" s="1"/>
  <c r="AQ14" i="23" s="1" a="1"/>
  <c r="AQ14" i="23" s="1"/>
  <c r="F181" i="23"/>
  <c r="O123" i="23"/>
  <c r="AP137" i="23" a="1"/>
  <c r="AP137" i="23" s="1"/>
  <c r="AQ137" i="23" s="1" a="1"/>
  <c r="AQ137" i="23" s="1"/>
  <c r="Z112" i="23"/>
  <c r="AX14" i="23" a="1"/>
  <c r="AX14" i="23" s="1"/>
  <c r="AX140" i="23" a="1"/>
  <c r="AX140" i="23"/>
  <c r="AW137" i="23" a="1"/>
  <c r="AW137" i="23"/>
  <c r="U112" i="23"/>
  <c r="V112" i="23"/>
  <c r="Z137" i="23"/>
  <c r="K123" i="23"/>
  <c r="U21" i="23"/>
  <c r="W21" i="23"/>
  <c r="Z40" i="23"/>
  <c r="X123" i="23"/>
  <c r="AW181" i="23" a="1"/>
  <c r="AW181" i="23" s="1"/>
  <c r="F105" i="23"/>
  <c r="K181" i="23"/>
  <c r="O137" i="23"/>
  <c r="K14" i="23"/>
  <c r="AO21" i="23" a="1"/>
  <c r="AO21" i="23"/>
  <c r="AX105" i="23" a="1"/>
  <c r="AX105" i="23"/>
  <c r="X14" i="23"/>
  <c r="X21" i="23"/>
  <c r="AY14" i="23" a="1"/>
  <c r="AY14" i="23"/>
  <c r="U194" i="23"/>
  <c r="Z123" i="23"/>
  <c r="X194" i="23"/>
  <c r="O181" i="23"/>
  <c r="Y194" i="23"/>
  <c r="O140" i="23"/>
  <c r="X40" i="23"/>
  <c r="O112" i="23"/>
  <c r="J181" i="23"/>
  <c r="AY21" i="23" a="1"/>
  <c r="AY21" i="23" s="1"/>
  <c r="AW105" i="23" a="1"/>
  <c r="AW105" i="23" s="1"/>
  <c r="Y181" i="23"/>
  <c r="J21" i="23"/>
  <c r="Y140" i="23"/>
  <c r="F21" i="23"/>
  <c r="Y105" i="23"/>
  <c r="Z105" i="23"/>
  <c r="Z14" i="23"/>
  <c r="Z21" i="23"/>
  <c r="AX123" i="23" a="1"/>
  <c r="AX123" i="23" s="1"/>
  <c r="U14" i="23"/>
  <c r="W40" i="23"/>
  <c r="AY137" i="23" a="1"/>
  <c r="AY137" i="23" s="1"/>
  <c r="AY123" i="23" a="1"/>
  <c r="AY123" i="23" s="1"/>
  <c r="W137" i="23"/>
  <c r="U140" i="23"/>
  <c r="AO112" i="23" a="1"/>
  <c r="AO112" i="23"/>
  <c r="Z194" i="23"/>
  <c r="AP123" i="23" a="1"/>
  <c r="AP123" i="23"/>
  <c r="AQ123" i="23" s="1" a="1"/>
  <c r="AQ123" i="23" s="1"/>
  <c r="J140" i="23"/>
  <c r="AO123" i="23" a="1"/>
  <c r="AO123" i="23" s="1"/>
  <c r="J194" i="23"/>
  <c r="AO105" i="23" a="1"/>
  <c r="AO105" i="23" s="1"/>
  <c r="AP140" i="23" a="1"/>
  <c r="AP140" i="23" s="1"/>
  <c r="AQ140" i="23" s="1" a="1"/>
  <c r="AQ140" i="23" s="1"/>
  <c r="AO137" i="23" a="1"/>
  <c r="AO137" i="23"/>
  <c r="V123" i="23"/>
  <c r="V137" i="23"/>
  <c r="AY181" i="23" a="1"/>
  <c r="AY181" i="23" s="1"/>
  <c r="X112" i="23"/>
  <c r="AW21" i="23" a="1"/>
  <c r="AW21" i="23" s="1"/>
  <c r="AO14" i="23" a="1"/>
  <c r="AO14" i="23" s="1"/>
  <c r="W105" i="23"/>
  <c r="AP105" i="23" a="1"/>
  <c r="AP105" i="23" s="1"/>
  <c r="AQ105" i="23" s="1" a="1"/>
  <c r="AQ105" i="23" s="1"/>
  <c r="F40" i="23"/>
  <c r="K40" i="23"/>
  <c r="K105" i="23"/>
  <c r="Y123" i="23"/>
  <c r="Y14" i="23"/>
  <c r="W14" i="23"/>
  <c r="Z140" i="23"/>
  <c r="AO40" i="23" a="1"/>
  <c r="AO40" i="23"/>
  <c r="V21" i="23"/>
  <c r="V194" i="23"/>
  <c r="AO181" i="23" a="1"/>
  <c r="AO181" i="23" s="1"/>
  <c r="J14" i="23"/>
  <c r="O40" i="23"/>
  <c r="AY194" i="23" a="1"/>
  <c r="AY194" i="23" s="1"/>
  <c r="Y137" i="23"/>
  <c r="AX137" i="23" a="1"/>
  <c r="AX137" i="23"/>
  <c r="AO194" i="23" a="1"/>
  <c r="AO194" i="23" s="1"/>
  <c r="AY40" i="23" a="1"/>
  <c r="AY40" i="23"/>
  <c r="V140" i="23"/>
  <c r="AY112" i="23" a="1"/>
  <c r="AY112" i="23"/>
  <c r="Z181" i="23"/>
  <c r="AP112" i="23" a="1"/>
  <c r="AP112" i="23" s="1"/>
  <c r="AQ112" i="23" s="1" a="1"/>
  <c r="AQ112" i="23" s="1"/>
  <c r="W194" i="23"/>
  <c r="O194" i="23"/>
  <c r="X181" i="23"/>
  <c r="V14" i="23"/>
  <c r="U105" i="23"/>
  <c r="J137" i="23"/>
  <c r="AO140" i="23" a="1"/>
  <c r="AO140" i="23" s="1"/>
  <c r="AW140" i="23" a="1"/>
  <c r="AW140" i="23"/>
  <c r="F140" i="23"/>
  <c r="K140" i="23"/>
  <c r="AY105" i="23" a="1"/>
  <c r="AY105" i="23" s="1"/>
  <c r="O21" i="23"/>
  <c r="U181" i="23"/>
  <c r="AX40" i="23" a="1"/>
  <c r="AX40" i="23" s="1"/>
  <c r="U123" i="23"/>
  <c r="J105" i="23"/>
  <c r="J40" i="23"/>
  <c r="X137" i="23"/>
  <c r="F123" i="23"/>
  <c r="AY140" i="23" a="1"/>
  <c r="AY140" i="23" s="1"/>
  <c r="W123" i="23"/>
  <c r="AX194" i="23" a="1"/>
  <c r="AX194" i="23"/>
  <c r="AP194" i="23" a="1"/>
  <c r="AP194" i="23" s="1"/>
  <c r="AQ194" i="23" s="1" a="1"/>
  <c r="AQ194" i="23" s="1"/>
  <c r="AW14" i="23" a="1"/>
  <c r="AW14" i="23" s="1"/>
  <c r="AW123" i="23" a="1"/>
  <c r="AW123" i="23" s="1"/>
  <c r="J112" i="23"/>
  <c r="X140" i="23"/>
  <c r="U137" i="23"/>
  <c r="O105" i="23"/>
  <c r="V181" i="23"/>
  <c r="J123" i="23"/>
  <c r="F14" i="23"/>
  <c r="AW40" i="23" a="1"/>
  <c r="AW40" i="23" s="1"/>
  <c r="AP21" i="23" a="1"/>
  <c r="AP21" i="23"/>
  <c r="AQ21" i="23" s="1" a="1"/>
  <c r="AQ21" i="23" s="1"/>
  <c r="AW194" i="23" a="1"/>
  <c r="AW194" i="23" s="1"/>
  <c r="X179" i="23"/>
  <c r="AX90" i="23" a="1"/>
  <c r="AX90" i="23"/>
  <c r="K172" i="23"/>
  <c r="K179" i="23"/>
  <c r="X192" i="23"/>
  <c r="Z38" i="23"/>
  <c r="AY171" i="23" a="1"/>
  <c r="AY171" i="23"/>
  <c r="X97" i="23"/>
  <c r="F90" i="23"/>
  <c r="W81" i="23"/>
  <c r="Y57" i="23"/>
  <c r="W188" i="23"/>
  <c r="U171" i="23"/>
  <c r="AW57" i="23" a="1"/>
  <c r="AW57" i="23"/>
  <c r="Z172" i="23"/>
  <c r="Y191" i="23"/>
  <c r="Y171" i="23"/>
  <c r="W172" i="23"/>
  <c r="J179" i="23"/>
  <c r="AX188" i="23" a="1"/>
  <c r="AX188" i="23" s="1"/>
  <c r="AP46" i="23" a="1"/>
  <c r="AP46" i="23" s="1"/>
  <c r="AQ46" i="23" s="1" a="1"/>
  <c r="AQ46" i="23" s="1"/>
  <c r="Z97" i="23"/>
  <c r="K171" i="23"/>
  <c r="U60" i="23"/>
  <c r="O38" i="23"/>
  <c r="U81" i="23"/>
  <c r="J46" i="23"/>
  <c r="AW177" i="23" a="1"/>
  <c r="AW177" i="23"/>
  <c r="U139" i="23"/>
  <c r="AX95" i="23" a="1"/>
  <c r="AX95" i="23"/>
  <c r="AO97" i="23" a="1"/>
  <c r="AO97" i="23"/>
  <c r="AX191" i="23" a="1"/>
  <c r="AX191" i="23" s="1"/>
  <c r="Z95" i="23"/>
  <c r="O188" i="23"/>
  <c r="Z57" i="23"/>
  <c r="V171" i="23"/>
  <c r="AY46" i="23" a="1"/>
  <c r="AY46" i="23" s="1"/>
  <c r="W192" i="23"/>
  <c r="AY60" i="23" a="1"/>
  <c r="AY60" i="23" s="1"/>
  <c r="AX149" i="23" a="1"/>
  <c r="AX149" i="23" s="1"/>
  <c r="W57" i="23"/>
  <c r="Z93" i="23"/>
  <c r="AX57" i="23" a="1"/>
  <c r="AX57" i="23" s="1"/>
  <c r="AW149" i="23" a="1"/>
  <c r="AW149" i="23" s="1"/>
  <c r="U97" i="23"/>
  <c r="AP90" i="23" a="1"/>
  <c r="AP90" i="23" s="1"/>
  <c r="AQ90" i="23" s="1" a="1"/>
  <c r="AQ90" i="23" s="1"/>
  <c r="J81" i="23"/>
  <c r="X171" i="23"/>
  <c r="W38" i="23"/>
  <c r="F191" i="23"/>
  <c r="AP97" i="23" a="1"/>
  <c r="AP97" i="23" s="1"/>
  <c r="AQ97" i="23" s="1" a="1"/>
  <c r="AQ97" i="23" s="1"/>
  <c r="AX81" i="23" a="1"/>
  <c r="AX81" i="23" s="1"/>
  <c r="Y136" i="23"/>
  <c r="X46" i="23"/>
  <c r="F93" i="23"/>
  <c r="V177" i="23"/>
  <c r="J149" i="23"/>
  <c r="AO34" i="23" a="1"/>
  <c r="AO34" i="23" s="1"/>
  <c r="V34" i="23"/>
  <c r="AO179" i="23" a="1"/>
  <c r="AO179" i="23" s="1"/>
  <c r="AX179" i="23" a="1"/>
  <c r="AX179" i="23" s="1"/>
  <c r="V97" i="23"/>
  <c r="J60" i="23"/>
  <c r="AO46" i="23" a="1"/>
  <c r="AO46" i="23" s="1"/>
  <c r="X60" i="23"/>
  <c r="V191" i="23"/>
  <c r="Z139" i="23"/>
  <c r="O97" i="23"/>
  <c r="F139" i="23"/>
  <c r="Z188" i="23"/>
  <c r="AO90" i="23" a="1"/>
  <c r="AO90" i="23" s="1"/>
  <c r="O173" i="23"/>
  <c r="F171" i="23"/>
  <c r="Y173" i="23"/>
  <c r="Y90" i="23"/>
  <c r="Z81" i="23"/>
  <c r="J173" i="23"/>
  <c r="V95" i="23"/>
  <c r="O172" i="23"/>
  <c r="K38" i="23"/>
  <c r="Z177" i="23"/>
  <c r="AP192" i="23" a="1"/>
  <c r="AP192" i="23" s="1"/>
  <c r="AQ192" i="23" s="1" a="1"/>
  <c r="AQ192" i="23" s="1"/>
  <c r="O81" i="23"/>
  <c r="O60" i="23"/>
  <c r="AO81" i="23" a="1"/>
  <c r="AO81" i="23" s="1"/>
  <c r="AO171" i="23" a="1"/>
  <c r="AO171" i="23" s="1"/>
  <c r="Y95" i="23"/>
  <c r="J192" i="23"/>
  <c r="O149" i="23"/>
  <c r="AW93" i="23" a="1"/>
  <c r="AW93" i="23" s="1"/>
  <c r="W171" i="23"/>
  <c r="AO191" i="23" a="1"/>
  <c r="AO191" i="23"/>
  <c r="X173" i="23"/>
  <c r="V38" i="23"/>
  <c r="U192" i="23"/>
  <c r="AW34" i="23" a="1"/>
  <c r="AW34" i="23" s="1"/>
  <c r="AW139" i="23" a="1"/>
  <c r="AW139" i="23"/>
  <c r="AX173" i="23" a="1"/>
  <c r="AX173" i="23" s="1"/>
  <c r="U179" i="23"/>
  <c r="AP38" i="23" a="1"/>
  <c r="AP38" i="23" s="1"/>
  <c r="AQ38" i="23" s="1" a="1"/>
  <c r="AQ38" i="23" s="1"/>
  <c r="AP172" i="23" a="1"/>
  <c r="AP172" i="23" s="1"/>
  <c r="AQ172" i="23" s="1" a="1"/>
  <c r="AQ172" i="23" s="1"/>
  <c r="V173" i="23"/>
  <c r="J191" i="23"/>
  <c r="W46" i="23"/>
  <c r="AP81" i="23" a="1"/>
  <c r="AP81" i="23"/>
  <c r="AQ81" i="23" s="1" a="1"/>
  <c r="AQ81" i="23" s="1"/>
  <c r="AO93" i="23" a="1"/>
  <c r="AO93" i="23" s="1"/>
  <c r="AY57" i="23" a="1"/>
  <c r="AY57" i="23" s="1"/>
  <c r="F188" i="23"/>
  <c r="F57" i="23"/>
  <c r="O171" i="23"/>
  <c r="W95" i="23"/>
  <c r="AP191" i="23" a="1"/>
  <c r="AP191" i="23" s="1"/>
  <c r="AQ191" i="23" s="1" a="1"/>
  <c r="AQ191" i="23" s="1"/>
  <c r="X95" i="23"/>
  <c r="Z60" i="23"/>
  <c r="K173" i="23"/>
  <c r="AW46" i="23" a="1"/>
  <c r="AW46" i="23" s="1"/>
  <c r="AP93" i="23" a="1"/>
  <c r="AP93" i="23"/>
  <c r="AQ93" i="23" s="1" a="1"/>
  <c r="AQ93" i="23" s="1"/>
  <c r="K192" i="23"/>
  <c r="W93" i="23"/>
  <c r="AP57" i="23" a="1"/>
  <c r="AP57" i="23" s="1"/>
  <c r="AQ57" i="23" s="1" a="1"/>
  <c r="AQ57" i="23" s="1"/>
  <c r="W60" i="23"/>
  <c r="K149" i="23"/>
  <c r="V93" i="23"/>
  <c r="F46" i="23"/>
  <c r="AX34" i="23" a="1"/>
  <c r="AX34" i="23" s="1"/>
  <c r="AO57" i="23" a="1"/>
  <c r="AO57" i="23" s="1"/>
  <c r="U90" i="23"/>
  <c r="U34" i="23"/>
  <c r="AO60" i="23" a="1"/>
  <c r="AO60" i="23" s="1"/>
  <c r="W97" i="23"/>
  <c r="AY188" i="23" a="1"/>
  <c r="AY188" i="23" s="1"/>
  <c r="AX192" i="23" a="1"/>
  <c r="AX192" i="23" s="1"/>
  <c r="F136" i="23"/>
  <c r="AW192" i="23" a="1"/>
  <c r="AW192" i="23"/>
  <c r="AO136" i="23" a="1"/>
  <c r="AO136" i="23" s="1"/>
  <c r="J136" i="23"/>
  <c r="F38" i="23"/>
  <c r="J171" i="23"/>
  <c r="AX97" i="23" a="1"/>
  <c r="AX97" i="23" s="1"/>
  <c r="AW191" i="23" a="1"/>
  <c r="AW191" i="23"/>
  <c r="AY34" i="23" a="1"/>
  <c r="AY34" i="23"/>
  <c r="X191" i="23"/>
  <c r="AX177" i="23" a="1"/>
  <c r="AX177" i="23"/>
  <c r="O192" i="23"/>
  <c r="U95" i="23"/>
  <c r="J90" i="23"/>
  <c r="V90" i="23"/>
  <c r="AX139" i="23" a="1"/>
  <c r="AX139" i="23" s="1"/>
  <c r="K34" i="23"/>
  <c r="K136" i="23"/>
  <c r="F172" i="23"/>
  <c r="Y192" i="23"/>
  <c r="U38" i="23"/>
  <c r="W34" i="23"/>
  <c r="V179" i="23"/>
  <c r="K97" i="23"/>
  <c r="K188" i="23"/>
  <c r="Y34" i="23"/>
  <c r="Y38" i="23"/>
  <c r="W136" i="23"/>
  <c r="U177" i="23"/>
  <c r="V46" i="23"/>
  <c r="K177" i="23"/>
  <c r="X38" i="23"/>
  <c r="AP173" i="23" a="1"/>
  <c r="AP173" i="23"/>
  <c r="AQ173" i="23" s="1" a="1"/>
  <c r="AQ173" i="23" s="1"/>
  <c r="AY136" i="23" a="1"/>
  <c r="AY136" i="23" s="1"/>
  <c r="J177" i="23"/>
  <c r="W139" i="23"/>
  <c r="K191" i="23"/>
  <c r="X172" i="23"/>
  <c r="AO95" i="23" a="1"/>
  <c r="AO95" i="23"/>
  <c r="AO192" i="23" a="1"/>
  <c r="AO192" i="23" s="1"/>
  <c r="AW60" i="23" a="1"/>
  <c r="AW60" i="23" s="1"/>
  <c r="U46" i="23"/>
  <c r="W179" i="23"/>
  <c r="Y149" i="23"/>
  <c r="Z192" i="23"/>
  <c r="AO173" i="23" a="1"/>
  <c r="AO173" i="23"/>
  <c r="AW188" i="23" a="1"/>
  <c r="AW188" i="23" s="1"/>
  <c r="J95" i="23"/>
  <c r="AO38" i="23" a="1"/>
  <c r="AO38" i="23" s="1"/>
  <c r="W173" i="23"/>
  <c r="F97" i="23"/>
  <c r="V139" i="23"/>
  <c r="Y97" i="23"/>
  <c r="AP179" i="23" a="1"/>
  <c r="AP179" i="23" s="1"/>
  <c r="AQ179" i="23" s="1" a="1"/>
  <c r="AQ179" i="23" s="1"/>
  <c r="W90" i="23"/>
  <c r="K90" i="23"/>
  <c r="Z179" i="23"/>
  <c r="Y81" i="23"/>
  <c r="X34" i="23"/>
  <c r="X188" i="23"/>
  <c r="AY93" i="23" a="1"/>
  <c r="AY93" i="23"/>
  <c r="V172" i="23"/>
  <c r="F95" i="23"/>
  <c r="AP188" i="23" a="1"/>
  <c r="AP188" i="23" s="1"/>
  <c r="AQ188" i="23" s="1" a="1"/>
  <c r="AQ188" i="23" s="1"/>
  <c r="W149" i="23"/>
  <c r="U172" i="23"/>
  <c r="K46" i="23"/>
  <c r="K60" i="23"/>
  <c r="AO188" i="23" a="1"/>
  <c r="AO188" i="23" s="1"/>
  <c r="U188" i="23"/>
  <c r="AY139" i="23" a="1"/>
  <c r="AY139" i="23"/>
  <c r="U191" i="23"/>
  <c r="AW95" i="23" a="1"/>
  <c r="AW95" i="23"/>
  <c r="V188" i="23"/>
  <c r="AO139" i="23" a="1"/>
  <c r="AO139" i="23" s="1"/>
  <c r="Y60" i="23"/>
  <c r="AY192" i="23" a="1"/>
  <c r="AY192" i="23"/>
  <c r="U93" i="23"/>
  <c r="V149" i="23"/>
  <c r="AW172" i="23" a="1"/>
  <c r="AW172" i="23" s="1"/>
  <c r="Y172" i="23"/>
  <c r="K95" i="23"/>
  <c r="O179" i="23"/>
  <c r="AP139" i="23" a="1"/>
  <c r="AP139" i="23" s="1"/>
  <c r="AQ139" i="23" s="1" a="1"/>
  <c r="AQ139" i="23" s="1"/>
  <c r="W177" i="23"/>
  <c r="AX60" i="23" a="1"/>
  <c r="AX60" i="23" s="1"/>
  <c r="AX136" i="23" a="1"/>
  <c r="AX136" i="23"/>
  <c r="Z136" i="23"/>
  <c r="U173" i="23"/>
  <c r="AP60" i="23" a="1"/>
  <c r="AP60" i="23" s="1"/>
  <c r="AQ60" i="23" s="1" a="1"/>
  <c r="AQ60" i="23" s="1"/>
  <c r="F173" i="23"/>
  <c r="AY177" i="23" a="1"/>
  <c r="AY177" i="23" s="1"/>
  <c r="K93" i="23"/>
  <c r="U149" i="23"/>
  <c r="W191" i="23"/>
  <c r="AO177" i="23" a="1"/>
  <c r="AO177" i="23" s="1"/>
  <c r="O34" i="23"/>
  <c r="K57" i="23"/>
  <c r="V136" i="23"/>
  <c r="AO172" i="23" a="1"/>
  <c r="AO172" i="23"/>
  <c r="F81" i="23"/>
  <c r="AP149" i="23" a="1"/>
  <c r="AP149" i="23" s="1"/>
  <c r="AQ149" i="23" s="1" a="1"/>
  <c r="AQ149" i="23" s="1"/>
  <c r="J34" i="23"/>
  <c r="X177" i="23"/>
  <c r="O136" i="23"/>
  <c r="F149" i="23"/>
  <c r="AY191" i="23" a="1"/>
  <c r="AY191" i="23" s="1"/>
  <c r="X93" i="23"/>
  <c r="AW97" i="23" a="1"/>
  <c r="AW97" i="23" s="1"/>
  <c r="X57" i="23"/>
  <c r="O177" i="23"/>
  <c r="AP136" i="23" a="1"/>
  <c r="AP136" i="23" s="1"/>
  <c r="AQ136" i="23" s="1" a="1"/>
  <c r="AQ136" i="23" s="1"/>
  <c r="Z173" i="23"/>
  <c r="X149" i="23"/>
  <c r="AX171" i="23" a="1"/>
  <c r="AX171" i="23"/>
  <c r="K139" i="23"/>
  <c r="V60" i="23"/>
  <c r="J188" i="23"/>
  <c r="Y179" i="23"/>
  <c r="Z171" i="23"/>
  <c r="AW38" i="23" a="1"/>
  <c r="AW38" i="23" s="1"/>
  <c r="F177" i="23"/>
  <c r="AP177" i="23" a="1"/>
  <c r="AP177" i="23" s="1"/>
  <c r="AQ177" i="23" s="1" a="1"/>
  <c r="AQ177" i="23" s="1"/>
  <c r="Z34" i="23"/>
  <c r="AY95" i="23" a="1"/>
  <c r="AY95" i="23" s="1"/>
  <c r="AX38" i="23" a="1"/>
  <c r="AX38" i="23" s="1"/>
  <c r="AY173" i="23" a="1"/>
  <c r="AY173" i="23" s="1"/>
  <c r="V81" i="23"/>
  <c r="X136" i="23"/>
  <c r="AP34" i="23" a="1"/>
  <c r="AP34" i="23"/>
  <c r="AQ34" i="23" s="1" a="1"/>
  <c r="AQ34" i="23" s="1"/>
  <c r="J57" i="23"/>
  <c r="AY97" i="23" a="1"/>
  <c r="AY97" i="23" s="1"/>
  <c r="AX93" i="23" a="1"/>
  <c r="AX93" i="23" s="1"/>
  <c r="AY81" i="23" a="1"/>
  <c r="AY81" i="23" s="1"/>
  <c r="U57" i="23"/>
  <c r="O95" i="23"/>
  <c r="V192" i="23"/>
  <c r="O46" i="23"/>
  <c r="AW90" i="23" a="1"/>
  <c r="AW90" i="23" s="1"/>
  <c r="AW179" i="23" a="1"/>
  <c r="AW179" i="23" s="1"/>
  <c r="X90" i="23"/>
  <c r="J93" i="23"/>
  <c r="K81" i="23"/>
  <c r="O139" i="23"/>
  <c r="J38" i="23"/>
  <c r="X139" i="23"/>
  <c r="AX172" i="23" a="1"/>
  <c r="AX172" i="23" s="1"/>
  <c r="Z149" i="23"/>
  <c r="Y188" i="23"/>
  <c r="AW171" i="23" a="1"/>
  <c r="AW171" i="23" s="1"/>
  <c r="AW136" i="23" a="1"/>
  <c r="AW136" i="23"/>
  <c r="O93" i="23"/>
  <c r="AW81" i="23" a="1"/>
  <c r="AW81" i="23"/>
  <c r="Z90" i="23"/>
  <c r="AY90" i="23" a="1"/>
  <c r="AY90" i="23" s="1"/>
  <c r="AY149" i="23" a="1"/>
  <c r="AY149" i="23"/>
  <c r="AY38" i="23" a="1"/>
  <c r="AY38" i="23"/>
  <c r="Y177" i="23"/>
  <c r="AP171" i="23" a="1"/>
  <c r="AP171" i="23" s="1"/>
  <c r="AQ171" i="23" s="1" a="1"/>
  <c r="AQ171" i="23" s="1"/>
  <c r="O90" i="23"/>
  <c r="X81" i="23"/>
  <c r="Y139" i="23"/>
  <c r="F179" i="23"/>
  <c r="O191" i="23"/>
  <c r="Y93" i="23"/>
  <c r="J139" i="23"/>
  <c r="AY172" i="23" a="1"/>
  <c r="AY172" i="23" s="1"/>
  <c r="F34" i="23"/>
  <c r="AO149" i="23" a="1"/>
  <c r="AO149" i="23" s="1"/>
  <c r="F192" i="23"/>
  <c r="Y46" i="23"/>
  <c r="AX46" i="23" a="1"/>
  <c r="AX46" i="23" s="1"/>
  <c r="AP95" i="23" a="1"/>
  <c r="AP95" i="23" s="1"/>
  <c r="AQ95" i="23" s="1" a="1"/>
  <c r="AQ95" i="23" s="1"/>
  <c r="O57" i="23"/>
  <c r="F60" i="23"/>
  <c r="Z46" i="23"/>
  <c r="AY179" i="23" a="1"/>
  <c r="AY179" i="23" s="1"/>
  <c r="J97" i="23"/>
  <c r="Z191" i="23"/>
  <c r="AW173" i="23" a="1"/>
  <c r="AW173" i="23"/>
  <c r="U136" i="23"/>
  <c r="J172" i="23"/>
  <c r="V57" i="23"/>
  <c r="J42" i="23"/>
  <c r="AX176" i="23" a="1"/>
  <c r="AX176" i="23"/>
  <c r="K11" i="23"/>
  <c r="AX42" i="23" a="1"/>
  <c r="AX42" i="23" s="1"/>
  <c r="X175" i="23"/>
  <c r="J11" i="23"/>
  <c r="Y169" i="23"/>
  <c r="U24" i="23"/>
  <c r="O24" i="23"/>
  <c r="W72" i="23"/>
  <c r="Y59" i="23"/>
  <c r="W24" i="23"/>
  <c r="X169" i="23"/>
  <c r="AX169" i="23" a="1"/>
  <c r="AX169" i="23" s="1"/>
  <c r="AP72" i="23" a="1"/>
  <c r="AP72" i="23"/>
  <c r="AQ72" i="23" s="1" a="1"/>
  <c r="AQ72" i="23" s="1"/>
  <c r="Y176" i="23"/>
  <c r="W176" i="23"/>
  <c r="F116" i="23"/>
  <c r="AW116" i="23" a="1"/>
  <c r="AW116" i="23"/>
  <c r="AO73" i="23" a="1"/>
  <c r="AO73" i="23" s="1"/>
  <c r="AP175" i="23" a="1"/>
  <c r="AP175" i="23"/>
  <c r="AQ175" i="23" s="1" a="1"/>
  <c r="AQ175" i="23" s="1"/>
  <c r="Y116" i="23"/>
  <c r="V116" i="23"/>
  <c r="AW59" i="23" a="1"/>
  <c r="AW59" i="23"/>
  <c r="Z59" i="23"/>
  <c r="O169" i="23"/>
  <c r="O176" i="23"/>
  <c r="W42" i="23"/>
  <c r="F175" i="23"/>
  <c r="F9" i="23"/>
  <c r="X59" i="23"/>
  <c r="F11" i="23"/>
  <c r="Z24" i="23"/>
  <c r="J72" i="23"/>
  <c r="AO9" i="23" a="1"/>
  <c r="AO9" i="23"/>
  <c r="J59" i="23"/>
  <c r="Y11" i="23"/>
  <c r="W9" i="23"/>
  <c r="Z9" i="23"/>
  <c r="K176" i="23"/>
  <c r="AW42" i="23" a="1"/>
  <c r="AW42" i="23"/>
  <c r="X176" i="23"/>
  <c r="U176" i="23"/>
  <c r="U175" i="23"/>
  <c r="AO11" i="23" a="1"/>
  <c r="AO11" i="23"/>
  <c r="AP176" i="23" a="1"/>
  <c r="AP176" i="23" s="1"/>
  <c r="AQ176" i="23" s="1" a="1"/>
  <c r="AQ176" i="23" s="1"/>
  <c r="AY72" i="23" a="1"/>
  <c r="AY72" i="23"/>
  <c r="K9" i="23"/>
  <c r="Z11" i="23"/>
  <c r="J116" i="23"/>
  <c r="V72" i="23"/>
  <c r="O175" i="23"/>
  <c r="AO72" i="23" a="1"/>
  <c r="AO72" i="23"/>
  <c r="U9" i="23"/>
  <c r="Z73" i="23"/>
  <c r="O42" i="23"/>
  <c r="F176" i="23"/>
  <c r="W11" i="23"/>
  <c r="K169" i="23"/>
  <c r="K175" i="23"/>
  <c r="K73" i="23"/>
  <c r="AX73" i="23" a="1"/>
  <c r="AX73" i="23" s="1"/>
  <c r="V9" i="23"/>
  <c r="AP11" i="23" a="1"/>
  <c r="AP11" i="23"/>
  <c r="AQ11" i="23" s="1" a="1"/>
  <c r="AQ11" i="23" s="1"/>
  <c r="V175" i="23"/>
  <c r="O116" i="23"/>
  <c r="F73" i="23"/>
  <c r="AP59" i="23" a="1"/>
  <c r="AP59" i="23"/>
  <c r="AQ59" i="23" s="1" a="1"/>
  <c r="AQ59" i="23" s="1"/>
  <c r="AO175" i="23" a="1"/>
  <c r="AO175" i="23" s="1"/>
  <c r="AY42" i="23" a="1"/>
  <c r="AY42" i="23"/>
  <c r="AP9" i="23" a="1"/>
  <c r="AP9" i="23" s="1"/>
  <c r="AQ9" i="23" s="1" a="1"/>
  <c r="AQ9" i="23" s="1"/>
  <c r="U59" i="23"/>
  <c r="AW73" i="23" a="1"/>
  <c r="AW73" i="23" s="1"/>
  <c r="AP169" i="23" a="1"/>
  <c r="AP169" i="23" s="1"/>
  <c r="AQ169" i="23" s="1" a="1"/>
  <c r="AQ169" i="23" s="1"/>
  <c r="Z176" i="23"/>
  <c r="AY175" i="23" a="1"/>
  <c r="AY175" i="23"/>
  <c r="F72" i="23"/>
  <c r="X11" i="23"/>
  <c r="O73" i="23"/>
  <c r="AX116" i="23" a="1"/>
  <c r="AX116" i="23" s="1"/>
  <c r="F24" i="23"/>
  <c r="J73" i="23"/>
  <c r="AY24" i="23" a="1"/>
  <c r="AY24" i="23" s="1"/>
  <c r="Y73" i="23"/>
  <c r="U42" i="23"/>
  <c r="AY169" i="23" a="1"/>
  <c r="AY169" i="23" s="1"/>
  <c r="F169" i="23"/>
  <c r="Y175" i="23"/>
  <c r="K72" i="23"/>
  <c r="AX9" i="23" a="1"/>
  <c r="AX9" i="23" s="1"/>
  <c r="AX24" i="23" a="1"/>
  <c r="AX24" i="23" s="1"/>
  <c r="AP116" i="23" a="1"/>
  <c r="AP116" i="23"/>
  <c r="AQ116" i="23" s="1" a="1"/>
  <c r="AQ116" i="23" s="1"/>
  <c r="AX72" i="23" a="1"/>
  <c r="AX72" i="23" s="1"/>
  <c r="AP42" i="23" a="1"/>
  <c r="AP42" i="23" s="1"/>
  <c r="AQ42" i="23" s="1" a="1"/>
  <c r="AQ42" i="23" s="1"/>
  <c r="V11" i="23"/>
  <c r="O9" i="23"/>
  <c r="Z116" i="23"/>
  <c r="AW9" i="23" a="1"/>
  <c r="AW9" i="23" s="1"/>
  <c r="K24" i="23"/>
  <c r="Z72" i="23"/>
  <c r="V169" i="23"/>
  <c r="AO169" i="23" a="1"/>
  <c r="AO169" i="23" s="1"/>
  <c r="V176" i="23"/>
  <c r="O72" i="23"/>
  <c r="X9" i="23"/>
  <c r="U169" i="23"/>
  <c r="AY9" i="23" a="1"/>
  <c r="AY9" i="23"/>
  <c r="AX11" i="23" a="1"/>
  <c r="AX11" i="23" s="1"/>
  <c r="U116" i="23"/>
  <c r="U72" i="23"/>
  <c r="AY73" i="23" a="1"/>
  <c r="AY73" i="23" s="1"/>
  <c r="W169" i="23"/>
  <c r="J24" i="23"/>
  <c r="AW176" i="23" a="1"/>
  <c r="AW176" i="23" s="1"/>
  <c r="X24" i="23"/>
  <c r="O59" i="23"/>
  <c r="X116" i="23"/>
  <c r="J9" i="23"/>
  <c r="AO24" i="23" a="1"/>
  <c r="AO24" i="23"/>
  <c r="Y24" i="23"/>
  <c r="AO59" i="23" a="1"/>
  <c r="AO59" i="23" s="1"/>
  <c r="AO176" i="23" a="1"/>
  <c r="AO176" i="23" s="1"/>
  <c r="AP24" i="23" a="1"/>
  <c r="AP24" i="23" s="1"/>
  <c r="AQ24" i="23" s="1" a="1"/>
  <c r="AQ24" i="23" s="1"/>
  <c r="V42" i="23"/>
  <c r="AO42" i="23" a="1"/>
  <c r="AO42" i="23" s="1"/>
  <c r="Y72" i="23"/>
  <c r="AY59" i="23" a="1"/>
  <c r="AY59" i="23" s="1"/>
  <c r="AX175" i="23" a="1"/>
  <c r="AX175" i="23" s="1"/>
  <c r="V73" i="23"/>
  <c r="Z175" i="23"/>
  <c r="Z169" i="23"/>
  <c r="AO116" i="23" a="1"/>
  <c r="AO116" i="23" s="1"/>
  <c r="Z42" i="23"/>
  <c r="K42" i="23"/>
  <c r="Y9" i="23"/>
  <c r="U73" i="23"/>
  <c r="AP73" i="23" a="1"/>
  <c r="AP73" i="23" s="1"/>
  <c r="AQ73" i="23" s="1" a="1"/>
  <c r="AQ73" i="23" s="1"/>
  <c r="F42" i="23"/>
  <c r="W175" i="23"/>
  <c r="Y42" i="23"/>
  <c r="W59" i="23"/>
  <c r="AY11" i="23" a="1"/>
  <c r="AY11" i="23" s="1"/>
  <c r="F59" i="23"/>
  <c r="K116" i="23"/>
  <c r="K59" i="23"/>
  <c r="V59" i="23"/>
  <c r="AW24" i="23" a="1"/>
  <c r="AW24" i="23"/>
  <c r="U11" i="23"/>
  <c r="AW11" i="23" a="1"/>
  <c r="AW11" i="23" s="1"/>
  <c r="X72" i="23"/>
  <c r="AW175" i="23" a="1"/>
  <c r="AW175" i="23" s="1"/>
  <c r="X73" i="23"/>
  <c r="J169" i="23"/>
  <c r="AX59" i="23" a="1"/>
  <c r="AX59" i="23" s="1"/>
  <c r="J176" i="23"/>
  <c r="O11" i="23"/>
  <c r="W73" i="23"/>
  <c r="X42" i="23"/>
  <c r="AY116" i="23" a="1"/>
  <c r="AY116" i="23"/>
  <c r="AW72" i="23" a="1"/>
  <c r="AW72" i="23"/>
  <c r="AW169" i="23" a="1"/>
  <c r="AW169" i="23" s="1"/>
  <c r="AY176" i="23" a="1"/>
  <c r="AY176" i="23" s="1"/>
  <c r="J175" i="23"/>
  <c r="W116" i="23"/>
  <c r="V24" i="23"/>
  <c r="W18" i="23"/>
  <c r="X18" i="23"/>
  <c r="Z98" i="23"/>
  <c r="AX167" i="23" a="1"/>
  <c r="AX167" i="23" s="1"/>
  <c r="F186" i="23"/>
  <c r="AW163" i="23" a="1"/>
  <c r="AW163" i="23" s="1"/>
  <c r="K98" i="23"/>
  <c r="U62" i="23"/>
  <c r="U162" i="23"/>
  <c r="AX107" i="23" a="1"/>
  <c r="AX107" i="23"/>
  <c r="Z65" i="23"/>
  <c r="W94" i="23"/>
  <c r="U26" i="23"/>
  <c r="X89" i="23"/>
  <c r="X26" i="23"/>
  <c r="AP114" i="23" a="1"/>
  <c r="AP114" i="23" s="1"/>
  <c r="AQ114" i="23" s="1" a="1"/>
  <c r="AQ114" i="23" s="1"/>
  <c r="U65" i="23"/>
  <c r="U167" i="23"/>
  <c r="AX71" i="23" a="1"/>
  <c r="AX71" i="23" s="1"/>
  <c r="AY27" i="23" a="1"/>
  <c r="AY27" i="23" s="1"/>
  <c r="Z103" i="23"/>
  <c r="AY107" i="23" a="1"/>
  <c r="AY107" i="23" s="1"/>
  <c r="K27" i="23"/>
  <c r="X162" i="23"/>
  <c r="K162" i="23"/>
  <c r="J18" i="23"/>
  <c r="Y167" i="23"/>
  <c r="O18" i="23"/>
  <c r="AP121" i="23" a="1"/>
  <c r="AP121" i="23"/>
  <c r="AQ121" i="23" s="1" a="1"/>
  <c r="AQ121" i="23" s="1"/>
  <c r="AW170" i="23" a="1"/>
  <c r="AW170" i="23" s="1"/>
  <c r="AX65" i="23" a="1"/>
  <c r="AX65" i="23" s="1"/>
  <c r="O89" i="23"/>
  <c r="AO121" i="23" a="1"/>
  <c r="AO121" i="23" s="1"/>
  <c r="K107" i="23"/>
  <c r="U98" i="23"/>
  <c r="X103" i="23"/>
  <c r="U121" i="23"/>
  <c r="AO94" i="23" a="1"/>
  <c r="AO94" i="23" s="1"/>
  <c r="AO71" i="23" a="1"/>
  <c r="AO71" i="23"/>
  <c r="Y26" i="23"/>
  <c r="O162" i="23"/>
  <c r="K170" i="23"/>
  <c r="Z94" i="23"/>
  <c r="AY103" i="23" a="1"/>
  <c r="AY103" i="23" s="1"/>
  <c r="Y27" i="23"/>
  <c r="Z121" i="23"/>
  <c r="X167" i="23"/>
  <c r="V98" i="23"/>
  <c r="K121" i="23"/>
  <c r="F71" i="23"/>
  <c r="Z66" i="23"/>
  <c r="AX168" i="23" a="1"/>
  <c r="AX168" i="23" s="1"/>
  <c r="W66" i="23"/>
  <c r="AW114" i="23" a="1"/>
  <c r="AW114" i="23" s="1"/>
  <c r="AP170" i="23" a="1"/>
  <c r="AP170" i="23" s="1"/>
  <c r="AQ170" i="23" s="1" a="1"/>
  <c r="AQ170" i="23" s="1"/>
  <c r="AP65" i="23" a="1"/>
  <c r="AP65" i="23" s="1"/>
  <c r="AQ65" i="23" s="1" a="1"/>
  <c r="AQ65" i="23" s="1"/>
  <c r="J162" i="23"/>
  <c r="AX94" i="23" a="1"/>
  <c r="AX94" i="23" s="1"/>
  <c r="Y18" i="23"/>
  <c r="AX18" i="23" a="1"/>
  <c r="AX18" i="23" s="1"/>
  <c r="AO18" i="23" a="1"/>
  <c r="AO18" i="23" s="1"/>
  <c r="V103" i="23"/>
  <c r="AO98" i="23" a="1"/>
  <c r="AO98" i="23"/>
  <c r="O114" i="23"/>
  <c r="AX186" i="23" a="1"/>
  <c r="AX186" i="23" s="1"/>
  <c r="AW107" i="23" a="1"/>
  <c r="AW107" i="23"/>
  <c r="J94" i="23"/>
  <c r="V121" i="23"/>
  <c r="W65" i="23"/>
  <c r="X107" i="23"/>
  <c r="AX98" i="23" a="1"/>
  <c r="AX98" i="23"/>
  <c r="Z167" i="23"/>
  <c r="K18" i="23"/>
  <c r="AY121" i="23" a="1"/>
  <c r="AY121" i="23" s="1"/>
  <c r="AP162" i="23" a="1"/>
  <c r="AP162" i="23" s="1"/>
  <c r="AQ162" i="23" s="1" a="1"/>
  <c r="AQ162" i="23" s="1"/>
  <c r="F89" i="23"/>
  <c r="V65" i="23"/>
  <c r="W114" i="23"/>
  <c r="AP62" i="23" a="1"/>
  <c r="AP62" i="23"/>
  <c r="AQ62" i="23" s="1" a="1"/>
  <c r="AQ62" i="23" s="1"/>
  <c r="J186" i="23"/>
  <c r="AY62" i="23" a="1"/>
  <c r="AY62" i="23" s="1"/>
  <c r="AX114" i="23" a="1"/>
  <c r="AX114" i="23" s="1"/>
  <c r="W186" i="23"/>
  <c r="W26" i="23"/>
  <c r="J114" i="23"/>
  <c r="K65" i="23"/>
  <c r="U170" i="23"/>
  <c r="AO103" i="23" a="1"/>
  <c r="AO103" i="23" s="1"/>
  <c r="F18" i="23"/>
  <c r="F107" i="23"/>
  <c r="Y162" i="23"/>
  <c r="K186" i="23"/>
  <c r="J66" i="23"/>
  <c r="W103" i="23"/>
  <c r="K71" i="23"/>
  <c r="Y89" i="23"/>
  <c r="V94" i="23"/>
  <c r="U89" i="23"/>
  <c r="W162" i="23"/>
  <c r="O170" i="23"/>
  <c r="K89" i="23"/>
  <c r="J27" i="23"/>
  <c r="AP163" i="23" a="1"/>
  <c r="AP163" i="23" s="1"/>
  <c r="AQ163" i="23" s="1" a="1"/>
  <c r="AQ163" i="23" s="1"/>
  <c r="AO62" i="23" a="1"/>
  <c r="AO62" i="23"/>
  <c r="J65" i="23"/>
  <c r="V27" i="23"/>
  <c r="AX103" i="23" a="1"/>
  <c r="AX103" i="23"/>
  <c r="U94" i="23"/>
  <c r="X71" i="23"/>
  <c r="AO163" i="23" a="1"/>
  <c r="AO163" i="23" s="1"/>
  <c r="F167" i="23"/>
  <c r="AP66" i="23" a="1"/>
  <c r="AP66" i="23" s="1"/>
  <c r="AQ66" i="23" s="1" a="1"/>
  <c r="AQ66" i="23" s="1"/>
  <c r="AP27" i="23" a="1"/>
  <c r="AP27" i="23" s="1"/>
  <c r="AQ27" i="23" s="1" a="1"/>
  <c r="AQ27" i="23" s="1"/>
  <c r="AY162" i="23" a="1"/>
  <c r="AY162" i="23" s="1"/>
  <c r="U27" i="23"/>
  <c r="AO107" i="23" a="1"/>
  <c r="AO107" i="23"/>
  <c r="U168" i="23"/>
  <c r="AX89" i="23" a="1"/>
  <c r="AX89" i="23" s="1"/>
  <c r="AO66" i="23" a="1"/>
  <c r="AO66" i="23" s="1"/>
  <c r="V163" i="23"/>
  <c r="AW167" i="23" a="1"/>
  <c r="AW167" i="23" s="1"/>
  <c r="AO27" i="23" a="1"/>
  <c r="AO27" i="23" s="1"/>
  <c r="U66" i="23"/>
  <c r="AY98" i="23" a="1"/>
  <c r="AY98" i="23" s="1"/>
  <c r="AO167" i="23" a="1"/>
  <c r="AO167" i="23" s="1"/>
  <c r="V170" i="23"/>
  <c r="V167" i="23"/>
  <c r="X121" i="23"/>
  <c r="AW94" i="23" a="1"/>
  <c r="AW94" i="23"/>
  <c r="Y163" i="23"/>
  <c r="AW186" i="23" a="1"/>
  <c r="AW186" i="23" s="1"/>
  <c r="AY26" i="23" a="1"/>
  <c r="AY26" i="23"/>
  <c r="AY66" i="23" a="1"/>
  <c r="AY66" i="23" s="1"/>
  <c r="AO168" i="23" a="1"/>
  <c r="AO168" i="23" s="1"/>
  <c r="X66" i="23"/>
  <c r="AY114" i="23" a="1"/>
  <c r="AY114" i="23" s="1"/>
  <c r="V114" i="23"/>
  <c r="X186" i="23"/>
  <c r="Z89" i="23"/>
  <c r="AP186" i="23" a="1"/>
  <c r="AP186" i="23" s="1"/>
  <c r="AQ186" i="23" s="1" a="1"/>
  <c r="AQ186" i="23" s="1"/>
  <c r="W98" i="23"/>
  <c r="AW66" i="23" a="1"/>
  <c r="AW66" i="23"/>
  <c r="AW71" i="23" a="1"/>
  <c r="AW71" i="23" s="1"/>
  <c r="F170" i="23"/>
  <c r="AO26" i="23" a="1"/>
  <c r="AO26" i="23"/>
  <c r="F65" i="23"/>
  <c r="K94" i="23"/>
  <c r="AW162" i="23" a="1"/>
  <c r="AW162" i="23" s="1"/>
  <c r="Y103" i="23"/>
  <c r="AY65" i="23" a="1"/>
  <c r="AY65" i="23" s="1"/>
  <c r="O27" i="23"/>
  <c r="V162" i="23"/>
  <c r="F168" i="23"/>
  <c r="U163" i="23"/>
  <c r="Y168" i="23"/>
  <c r="AY71" i="23" a="1"/>
  <c r="AY71" i="23" s="1"/>
  <c r="O186" i="23"/>
  <c r="AP107" i="23" a="1"/>
  <c r="AP107" i="23"/>
  <c r="AQ107" i="23" s="1" a="1"/>
  <c r="AQ107" i="23" s="1"/>
  <c r="Y121" i="23"/>
  <c r="AO65" i="23" a="1"/>
  <c r="AO65" i="23" s="1"/>
  <c r="W89" i="23"/>
  <c r="U103" i="23"/>
  <c r="O66" i="23"/>
  <c r="V71" i="23"/>
  <c r="X27" i="23"/>
  <c r="J103" i="23"/>
  <c r="AW62" i="23" a="1"/>
  <c r="AW62" i="23" s="1"/>
  <c r="Z186" i="23"/>
  <c r="W121" i="23"/>
  <c r="AW168" i="23" a="1"/>
  <c r="AW168" i="23"/>
  <c r="K103" i="23"/>
  <c r="O107" i="23"/>
  <c r="AP103" i="23" a="1"/>
  <c r="AP103" i="23" s="1"/>
  <c r="AQ103" i="23" s="1" a="1"/>
  <c r="AQ103" i="23" s="1"/>
  <c r="AP26" i="23" a="1"/>
  <c r="AP26" i="23"/>
  <c r="AQ26" i="23" s="1" a="1"/>
  <c r="AQ26" i="23" s="1"/>
  <c r="Z170" i="23"/>
  <c r="U107" i="23"/>
  <c r="Z26" i="23"/>
  <c r="AY89" i="23" a="1"/>
  <c r="AY89" i="23" s="1"/>
  <c r="AO89" i="23" a="1"/>
  <c r="AO89" i="23"/>
  <c r="V66" i="23"/>
  <c r="AW89" i="23" a="1"/>
  <c r="AW89" i="23"/>
  <c r="Y98" i="23"/>
  <c r="U71" i="23"/>
  <c r="V89" i="23"/>
  <c r="F121" i="23"/>
  <c r="V62" i="23"/>
  <c r="X98" i="23"/>
  <c r="F162" i="23"/>
  <c r="W107" i="23"/>
  <c r="K167" i="23"/>
  <c r="J163" i="23"/>
  <c r="X65" i="23"/>
  <c r="V26" i="23"/>
  <c r="AY94" i="23" a="1"/>
  <c r="AY94" i="23" s="1"/>
  <c r="F94" i="23"/>
  <c r="Y65" i="23"/>
  <c r="AW18" i="23" a="1"/>
  <c r="AW18" i="23"/>
  <c r="Y114" i="23"/>
  <c r="AY167" i="23" a="1"/>
  <c r="AY167" i="23"/>
  <c r="V18" i="23"/>
  <c r="AW26" i="23" a="1"/>
  <c r="AW26" i="23" s="1"/>
  <c r="AP71" i="23" a="1"/>
  <c r="AP71" i="23" s="1"/>
  <c r="AQ71" i="23" s="1" a="1"/>
  <c r="AQ71" i="23" s="1"/>
  <c r="AX62" i="23" a="1"/>
  <c r="AX62" i="23"/>
  <c r="AX26" i="23" a="1"/>
  <c r="AX26" i="23" s="1"/>
  <c r="AY168" i="23" a="1"/>
  <c r="AY168" i="23"/>
  <c r="J121" i="23"/>
  <c r="AY170" i="23" a="1"/>
  <c r="AY170" i="23" s="1"/>
  <c r="F114" i="23"/>
  <c r="AO186" i="23" a="1"/>
  <c r="AO186" i="23"/>
  <c r="AW98" i="23" a="1"/>
  <c r="AW98" i="23"/>
  <c r="F66" i="23"/>
  <c r="U114" i="23"/>
  <c r="O62" i="23"/>
  <c r="J89" i="23"/>
  <c r="AW121" i="23" a="1"/>
  <c r="AW121" i="23" s="1"/>
  <c r="J71" i="23"/>
  <c r="X62" i="23"/>
  <c r="O168" i="23"/>
  <c r="F163" i="23"/>
  <c r="AO170" i="23" a="1"/>
  <c r="AO170" i="23" s="1"/>
  <c r="Z162" i="23"/>
  <c r="Z62" i="23"/>
  <c r="AW27" i="23" a="1"/>
  <c r="AW27" i="23"/>
  <c r="AP167" i="23" a="1"/>
  <c r="AP167" i="23" s="1"/>
  <c r="AQ167" i="23" s="1" a="1"/>
  <c r="AQ167" i="23" s="1"/>
  <c r="J62" i="23"/>
  <c r="F98" i="23"/>
  <c r="X168" i="23"/>
  <c r="J98" i="23"/>
  <c r="Z27" i="23"/>
  <c r="AP94" i="23" a="1"/>
  <c r="AP94" i="23"/>
  <c r="AQ94" i="23" s="1" a="1"/>
  <c r="AQ94" i="23" s="1"/>
  <c r="V107" i="23"/>
  <c r="O167" i="23"/>
  <c r="Z107" i="23"/>
  <c r="Y62" i="23"/>
  <c r="AX66" i="23" a="1"/>
  <c r="AX66" i="23" s="1"/>
  <c r="AW65" i="23" a="1"/>
  <c r="AW65" i="23" s="1"/>
  <c r="O121" i="23"/>
  <c r="F62" i="23"/>
  <c r="O26" i="23"/>
  <c r="W168" i="23"/>
  <c r="V186" i="23"/>
  <c r="AW103" i="23" a="1"/>
  <c r="AW103" i="23" s="1"/>
  <c r="AP18" i="23" a="1"/>
  <c r="AP18" i="23"/>
  <c r="AQ18" i="23" s="1" a="1"/>
  <c r="AQ18" i="23" s="1"/>
  <c r="F26" i="23"/>
  <c r="AO114" i="23" a="1"/>
  <c r="AO114" i="23" s="1"/>
  <c r="Y94" i="23"/>
  <c r="AO162" i="23" a="1"/>
  <c r="AO162" i="23"/>
  <c r="Y170" i="23"/>
  <c r="J167" i="23"/>
  <c r="AY163" i="23" a="1"/>
  <c r="AY163" i="23" s="1"/>
  <c r="O94" i="23"/>
  <c r="U18" i="23"/>
  <c r="Z168" i="23"/>
  <c r="O103" i="23"/>
  <c r="X114" i="23"/>
  <c r="W170" i="23"/>
  <c r="J26" i="23"/>
  <c r="Y71" i="23"/>
  <c r="AP168" i="23" a="1"/>
  <c r="AP168" i="23"/>
  <c r="AQ168" i="23" s="1" a="1"/>
  <c r="AQ168" i="23" s="1"/>
  <c r="Y107" i="23"/>
  <c r="K163" i="23"/>
  <c r="V168" i="23"/>
  <c r="X170" i="23"/>
  <c r="O98" i="23"/>
  <c r="Y66" i="23"/>
  <c r="O71" i="23"/>
  <c r="Z163" i="23"/>
  <c r="Z71" i="23"/>
  <c r="J170" i="23"/>
  <c r="Y186" i="23"/>
  <c r="AY18" i="23" a="1"/>
  <c r="AY18" i="23" s="1"/>
  <c r="K62" i="23"/>
  <c r="O65" i="23"/>
  <c r="K114" i="23"/>
  <c r="Z18" i="23"/>
  <c r="J107" i="23"/>
  <c r="U186" i="23"/>
  <c r="AX162" i="23" a="1"/>
  <c r="AX162" i="23"/>
  <c r="X94" i="23"/>
  <c r="W71" i="23"/>
  <c r="AP98" i="23" a="1"/>
  <c r="AP98" i="23"/>
  <c r="AQ98" i="23" s="1" a="1"/>
  <c r="AQ98" i="23" s="1"/>
  <c r="W167" i="23"/>
  <c r="F103" i="23"/>
  <c r="AX27" i="23" a="1"/>
  <c r="AX27" i="23" s="1"/>
  <c r="AY186" i="23" a="1"/>
  <c r="AY186" i="23"/>
  <c r="X163" i="23"/>
  <c r="W163" i="23"/>
  <c r="F27" i="23"/>
  <c r="AX163" i="23" a="1"/>
  <c r="AX163" i="23" s="1"/>
  <c r="K168" i="23"/>
  <c r="W27" i="23"/>
  <c r="AP89" i="23" a="1"/>
  <c r="AP89" i="23" s="1"/>
  <c r="AQ89" i="23" s="1" a="1"/>
  <c r="AQ89" i="23" s="1"/>
  <c r="AX170" i="23" a="1"/>
  <c r="AX170" i="23" s="1"/>
  <c r="AX121" i="23" a="1"/>
  <c r="AX121" i="23"/>
  <c r="J168" i="23"/>
  <c r="Z114" i="23"/>
  <c r="K26" i="23"/>
  <c r="W62" i="23"/>
  <c r="O163" i="23"/>
  <c r="K66" i="23"/>
  <c r="AW20" i="23" a="1"/>
  <c r="AW20" i="23" s="1"/>
  <c r="O143" i="23"/>
  <c r="AY108" i="23" a="1"/>
  <c r="AY108" i="23" s="1"/>
  <c r="AX143" i="23" a="1"/>
  <c r="AX143" i="23"/>
  <c r="AO132" i="23" a="1"/>
  <c r="AO132" i="23" s="1"/>
  <c r="X10" i="23"/>
  <c r="AO108" i="23" a="1"/>
  <c r="AO108" i="23" s="1"/>
  <c r="O100" i="23"/>
  <c r="Y74" i="23"/>
  <c r="U64" i="23"/>
  <c r="AO135" i="23" a="1"/>
  <c r="AO135" i="23" s="1"/>
  <c r="AX132" i="23" a="1"/>
  <c r="AX132" i="23" s="1"/>
  <c r="V135" i="23"/>
  <c r="Z70" i="23"/>
  <c r="K70" i="23"/>
  <c r="W64" i="23"/>
  <c r="W189" i="23"/>
  <c r="U20" i="23"/>
  <c r="F74" i="23"/>
  <c r="J100" i="23"/>
  <c r="AO143" i="23" a="1"/>
  <c r="AO143" i="23"/>
  <c r="V20" i="23"/>
  <c r="Z10" i="23"/>
  <c r="AX189" i="23" a="1"/>
  <c r="AX189" i="23" s="1"/>
  <c r="AP189" i="23" a="1"/>
  <c r="AP189" i="23"/>
  <c r="AQ189" i="23" s="1" a="1"/>
  <c r="AQ189" i="23" s="1"/>
  <c r="AW74" i="23" a="1"/>
  <c r="AW74" i="23" s="1"/>
  <c r="V132" i="23"/>
  <c r="U108" i="23"/>
  <c r="J132" i="23"/>
  <c r="AP108" i="23" a="1"/>
  <c r="AP108" i="23"/>
  <c r="AQ108" i="23" s="1" a="1"/>
  <c r="AQ108" i="23" s="1"/>
  <c r="K132" i="23"/>
  <c r="Z132" i="23"/>
  <c r="U100" i="23"/>
  <c r="K20" i="23"/>
  <c r="U143" i="23"/>
  <c r="W132" i="23"/>
  <c r="J20" i="23"/>
  <c r="AY64" i="23" a="1"/>
  <c r="AY64" i="23"/>
  <c r="Y10" i="23"/>
  <c r="AP64" i="23" a="1"/>
  <c r="AP64" i="23" s="1"/>
  <c r="AQ64" i="23" s="1" a="1"/>
  <c r="AQ64" i="23" s="1"/>
  <c r="X189" i="23"/>
  <c r="AO64" i="23" a="1"/>
  <c r="AO64" i="23" s="1"/>
  <c r="AO74" i="23" a="1"/>
  <c r="AO74" i="23"/>
  <c r="AY189" i="23" a="1"/>
  <c r="AY189" i="23" s="1"/>
  <c r="O189" i="23"/>
  <c r="W108" i="23"/>
  <c r="AX64" i="23" a="1"/>
  <c r="AX64" i="23" s="1"/>
  <c r="Y20" i="23"/>
  <c r="AX108" i="23" a="1"/>
  <c r="AX108" i="23"/>
  <c r="AP132" i="23" a="1"/>
  <c r="AP132" i="23" s="1"/>
  <c r="AQ132" i="23" s="1" a="1"/>
  <c r="AQ132" i="23" s="1"/>
  <c r="AP20" i="23" a="1"/>
  <c r="AP20" i="23" s="1"/>
  <c r="AQ20" i="23" s="1" a="1"/>
  <c r="AQ20" i="23" s="1"/>
  <c r="V74" i="23"/>
  <c r="Z189" i="23"/>
  <c r="K10" i="23"/>
  <c r="F100" i="23"/>
  <c r="W20" i="23"/>
  <c r="J74" i="23"/>
  <c r="J135" i="23"/>
  <c r="K143" i="23"/>
  <c r="J64" i="23"/>
  <c r="Z108" i="23"/>
  <c r="AW132" i="23" a="1"/>
  <c r="AW132" i="23" s="1"/>
  <c r="AW64" i="23" a="1"/>
  <c r="AW64" i="23" s="1"/>
  <c r="AP70" i="23" a="1"/>
  <c r="AP70" i="23" s="1"/>
  <c r="AQ70" i="23" s="1" a="1"/>
  <c r="AQ70" i="23" s="1"/>
  <c r="V143" i="23"/>
  <c r="Y189" i="23"/>
  <c r="AY74" i="23" a="1"/>
  <c r="AY74" i="23" s="1"/>
  <c r="K108" i="23"/>
  <c r="W143" i="23"/>
  <c r="V10" i="23"/>
  <c r="AY135" i="23" a="1"/>
  <c r="AY135" i="23" s="1"/>
  <c r="AW70" i="23" a="1"/>
  <c r="AW70" i="23"/>
  <c r="AO189" i="23" a="1"/>
  <c r="AO189" i="23"/>
  <c r="K64" i="23"/>
  <c r="F70" i="23"/>
  <c r="W74" i="23"/>
  <c r="AO100" i="23" a="1"/>
  <c r="AO100" i="23" s="1"/>
  <c r="AY132" i="23" a="1"/>
  <c r="AY132" i="23" s="1"/>
  <c r="W135" i="23"/>
  <c r="AY10" i="23" a="1"/>
  <c r="AY10" i="23" s="1"/>
  <c r="O20" i="23"/>
  <c r="Y100" i="23"/>
  <c r="F189" i="23"/>
  <c r="J108" i="23"/>
  <c r="W70" i="23"/>
  <c r="O10" i="23"/>
  <c r="Z74" i="23"/>
  <c r="X135" i="23"/>
  <c r="Z143" i="23"/>
  <c r="X143" i="23"/>
  <c r="AW135" i="23" a="1"/>
  <c r="AW135" i="23" s="1"/>
  <c r="AX74" i="23" a="1"/>
  <c r="AX74" i="23" s="1"/>
  <c r="V70" i="23"/>
  <c r="J10" i="23"/>
  <c r="X70" i="23"/>
  <c r="Z100" i="23"/>
  <c r="Z64" i="23"/>
  <c r="AX100" i="23" a="1"/>
  <c r="AX100" i="23"/>
  <c r="AX20" i="23" a="1"/>
  <c r="AX20" i="23" s="1"/>
  <c r="AP10" i="23" a="1"/>
  <c r="AP10" i="23"/>
  <c r="AQ10" i="23" s="1" a="1"/>
  <c r="AQ10" i="23" s="1"/>
  <c r="K74" i="23"/>
  <c r="K100" i="23"/>
  <c r="AP100" i="23" a="1"/>
  <c r="AP100" i="23" s="1"/>
  <c r="AQ100" i="23" s="1" a="1"/>
  <c r="AQ100" i="23" s="1"/>
  <c r="AO20" i="23" a="1"/>
  <c r="AO20" i="23"/>
  <c r="U132" i="23"/>
  <c r="U70" i="23"/>
  <c r="O74" i="23"/>
  <c r="V108" i="23"/>
  <c r="X64" i="23"/>
  <c r="AW189" i="23" a="1"/>
  <c r="AW189" i="23"/>
  <c r="J143" i="23"/>
  <c r="F108" i="23"/>
  <c r="O70" i="23"/>
  <c r="Z20" i="23"/>
  <c r="AP74" i="23" a="1"/>
  <c r="AP74" i="23" s="1"/>
  <c r="AQ74" i="23" s="1" a="1"/>
  <c r="AQ74" i="23" s="1"/>
  <c r="AP143" i="23" a="1"/>
  <c r="AP143" i="23"/>
  <c r="AQ143" i="23" s="1" a="1"/>
  <c r="AQ143" i="23" s="1"/>
  <c r="Y64" i="23"/>
  <c r="K135" i="23"/>
  <c r="V64" i="23"/>
  <c r="AO70" i="23" a="1"/>
  <c r="AO70" i="23" s="1"/>
  <c r="AY100" i="23" a="1"/>
  <c r="AY100" i="23" s="1"/>
  <c r="X74" i="23"/>
  <c r="F143" i="23"/>
  <c r="AP135" i="23" a="1"/>
  <c r="AP135" i="23" s="1"/>
  <c r="AQ135" i="23" s="1" a="1"/>
  <c r="AQ135" i="23" s="1"/>
  <c r="AO10" i="23" a="1"/>
  <c r="AO10" i="23"/>
  <c r="V189" i="23"/>
  <c r="Y143" i="23"/>
  <c r="O64" i="23"/>
  <c r="AW108" i="23" a="1"/>
  <c r="AW108" i="23" s="1"/>
  <c r="AW100" i="23" a="1"/>
  <c r="AW100" i="23" s="1"/>
  <c r="AY143" i="23" a="1"/>
  <c r="AY143" i="23" s="1"/>
  <c r="W100" i="23"/>
  <c r="AX70" i="23" a="1"/>
  <c r="AX70" i="23" s="1"/>
  <c r="U135" i="23"/>
  <c r="AW10" i="23" a="1"/>
  <c r="AW10" i="23"/>
  <c r="J70" i="23"/>
  <c r="O135" i="23"/>
  <c r="X108" i="23"/>
  <c r="J189" i="23"/>
  <c r="AY70" i="23" a="1"/>
  <c r="AY70" i="23" s="1"/>
  <c r="F10" i="23"/>
  <c r="X132" i="23"/>
  <c r="AX10" i="23" a="1"/>
  <c r="AX10" i="23"/>
  <c r="F135" i="23"/>
  <c r="AX135" i="23" a="1"/>
  <c r="AX135" i="23" s="1"/>
  <c r="F132" i="23"/>
  <c r="Y135" i="23"/>
  <c r="X20" i="23"/>
  <c r="AY20" i="23" a="1"/>
  <c r="AY20" i="23"/>
  <c r="Y132" i="23"/>
  <c r="F64" i="23"/>
  <c r="U10" i="23"/>
  <c r="V100" i="23"/>
  <c r="K189" i="23"/>
  <c r="Z135" i="23"/>
  <c r="O108" i="23"/>
  <c r="U74" i="23"/>
  <c r="O132" i="23"/>
  <c r="X100" i="23"/>
  <c r="Y70" i="23"/>
  <c r="U189" i="23"/>
  <c r="F20" i="23"/>
  <c r="AW143" i="23" a="1"/>
  <c r="AW143" i="23" s="1"/>
  <c r="W10" i="23"/>
  <c r="Y108" i="23"/>
  <c r="AZ7" i="23" a="1"/>
  <c r="AZ7" i="23"/>
  <c r="F56" i="23"/>
  <c r="F22" i="23"/>
  <c r="F164" i="23"/>
  <c r="U56" i="23"/>
  <c r="K56" i="23"/>
  <c r="V61" i="23"/>
  <c r="K19" i="23"/>
  <c r="U67" i="23"/>
  <c r="AP125" i="23" a="1"/>
  <c r="AP125" i="23"/>
  <c r="AQ125" i="23" s="1" a="1"/>
  <c r="AQ125" i="23" s="1"/>
  <c r="AO22" i="23" a="1"/>
  <c r="AO22" i="23" s="1"/>
  <c r="J164" i="23"/>
  <c r="W56" i="23"/>
  <c r="AY56" i="23" a="1"/>
  <c r="AY56" i="23"/>
  <c r="AO19" i="23" a="1"/>
  <c r="AO19" i="23"/>
  <c r="V125" i="23"/>
  <c r="V19" i="23"/>
  <c r="X82" i="23"/>
  <c r="Y82" i="23"/>
  <c r="J41" i="23"/>
  <c r="O125" i="23"/>
  <c r="J56" i="23"/>
  <c r="F67" i="23"/>
  <c r="AW67" i="23" a="1"/>
  <c r="AW67" i="23" s="1"/>
  <c r="AX164" i="23" a="1"/>
  <c r="AX164" i="23" s="1"/>
  <c r="Z41" i="23"/>
  <c r="X67" i="23"/>
  <c r="W164" i="23"/>
  <c r="F125" i="23"/>
  <c r="U47" i="23"/>
  <c r="AW47" i="23" a="1"/>
  <c r="AW47" i="23" s="1"/>
  <c r="AP164" i="23" a="1"/>
  <c r="AP164" i="23"/>
  <c r="AQ164" i="23" s="1" a="1"/>
  <c r="AQ164" i="23" s="1"/>
  <c r="AX41" i="23" a="1"/>
  <c r="AX41" i="23" s="1"/>
  <c r="AW56" i="23" a="1"/>
  <c r="AW56" i="23"/>
  <c r="AY82" i="23" a="1"/>
  <c r="AY82" i="23" s="1"/>
  <c r="W82" i="23"/>
  <c r="AO82" i="23" a="1"/>
  <c r="AO82" i="23" s="1"/>
  <c r="AO61" i="23" a="1"/>
  <c r="AO61" i="23"/>
  <c r="AW82" i="23" a="1"/>
  <c r="AW82" i="23" s="1"/>
  <c r="Y164" i="23"/>
  <c r="V82" i="23"/>
  <c r="U41" i="23"/>
  <c r="AY164" i="23" a="1"/>
  <c r="AY164" i="23" s="1"/>
  <c r="Z67" i="23"/>
  <c r="AP22" i="23" a="1"/>
  <c r="AP22" i="23"/>
  <c r="AQ22" i="23" s="1" a="1"/>
  <c r="AQ22" i="23" s="1"/>
  <c r="X41" i="23"/>
  <c r="AW22" i="23" a="1"/>
  <c r="AW22" i="23"/>
  <c r="Y125" i="23"/>
  <c r="AO47" i="23" a="1"/>
  <c r="AO47" i="23"/>
  <c r="J125" i="23"/>
  <c r="U82" i="23"/>
  <c r="AW125" i="23" a="1"/>
  <c r="AW125" i="23" s="1"/>
  <c r="J22" i="23"/>
  <c r="Y61" i="23"/>
  <c r="AO67" i="23" a="1"/>
  <c r="AO67" i="23" s="1"/>
  <c r="Y41" i="23"/>
  <c r="AP67" i="23" a="1"/>
  <c r="AP67" i="23" s="1"/>
  <c r="AQ67" i="23" s="1" a="1"/>
  <c r="AQ67" i="23" s="1"/>
  <c r="W41" i="23"/>
  <c r="W22" i="23"/>
  <c r="U22" i="23"/>
  <c r="AW19" i="23" a="1"/>
  <c r="AW19" i="23"/>
  <c r="V41" i="23"/>
  <c r="J47" i="23"/>
  <c r="W47" i="23"/>
  <c r="AP82" i="23" a="1"/>
  <c r="AP82" i="23"/>
  <c r="AQ82" i="23" s="1" a="1"/>
  <c r="AQ82" i="23" s="1"/>
  <c r="V56" i="23"/>
  <c r="AO41" i="23" a="1"/>
  <c r="AO41" i="23" s="1"/>
  <c r="AX47" i="23" a="1"/>
  <c r="AX47" i="23"/>
  <c r="AO125" i="23" a="1"/>
  <c r="AO125" i="23" s="1"/>
  <c r="Z56" i="23"/>
  <c r="F41" i="23"/>
  <c r="AO164" i="23" a="1"/>
  <c r="AO164" i="23" s="1"/>
  <c r="AP41" i="23" a="1"/>
  <c r="AP41" i="23" s="1"/>
  <c r="AQ41" i="23" s="1" a="1"/>
  <c r="AQ41" i="23" s="1"/>
  <c r="X56" i="23"/>
  <c r="F19" i="23"/>
  <c r="Y67" i="23"/>
  <c r="W67" i="23"/>
  <c r="AY47" i="23" a="1"/>
  <c r="AY47" i="23"/>
  <c r="AO56" i="23" a="1"/>
  <c r="AO56" i="23" s="1"/>
  <c r="O22" i="23"/>
  <c r="K82" i="23"/>
  <c r="AX67" i="23" a="1"/>
  <c r="AX67" i="23" s="1"/>
  <c r="AP47" i="23" a="1"/>
  <c r="AP47" i="23"/>
  <c r="AQ47" i="23" s="1" a="1"/>
  <c r="AQ47" i="23" s="1"/>
  <c r="O164" i="23"/>
  <c r="Z61" i="23"/>
  <c r="K22" i="23"/>
  <c r="W125" i="23"/>
  <c r="K164" i="23"/>
  <c r="K125" i="23"/>
  <c r="AX61" i="23" a="1"/>
  <c r="AX61" i="23"/>
  <c r="AP19" i="23" a="1"/>
  <c r="AP19" i="23" s="1"/>
  <c r="AQ19" i="23" s="1" a="1"/>
  <c r="AQ19" i="23" s="1"/>
  <c r="AX125" i="23" a="1"/>
  <c r="AX125" i="23" s="1"/>
  <c r="K61" i="23"/>
  <c r="J61" i="23"/>
  <c r="Y22" i="23"/>
  <c r="J82" i="23"/>
  <c r="F61" i="23"/>
  <c r="K47" i="23"/>
  <c r="AX56" i="23" a="1"/>
  <c r="AX56" i="23"/>
  <c r="AY19" i="23" a="1"/>
  <c r="AY19" i="23" s="1"/>
  <c r="J19" i="23"/>
  <c r="K41" i="23"/>
  <c r="W19" i="23"/>
  <c r="X19" i="23"/>
  <c r="U125" i="23"/>
  <c r="J67" i="23"/>
  <c r="Z125" i="23"/>
  <c r="Z164" i="23"/>
  <c r="F82" i="23"/>
  <c r="U61" i="23"/>
  <c r="O41" i="23"/>
  <c r="AY61" i="23" a="1"/>
  <c r="AY61" i="23" s="1"/>
  <c r="Y19" i="23"/>
  <c r="V22" i="23"/>
  <c r="AW164" i="23" a="1"/>
  <c r="AW164" i="23" s="1"/>
  <c r="X47" i="23"/>
  <c r="X125" i="23"/>
  <c r="V164" i="23"/>
  <c r="O56" i="23"/>
  <c r="AP61" i="23" a="1"/>
  <c r="AP61" i="23"/>
  <c r="AQ61" i="23" s="1" a="1"/>
  <c r="AQ61" i="23" s="1"/>
  <c r="AW61" i="23" a="1"/>
  <c r="AW61" i="23" s="1"/>
  <c r="X22" i="23"/>
  <c r="AY22" i="23" a="1"/>
  <c r="AY22" i="23" s="1"/>
  <c r="O47" i="23"/>
  <c r="O67" i="23"/>
  <c r="W61" i="23"/>
  <c r="V67" i="23"/>
  <c r="AX19" i="23" a="1"/>
  <c r="AX19" i="23"/>
  <c r="U164" i="23"/>
  <c r="Z82" i="23"/>
  <c r="Z19" i="23"/>
  <c r="AX22" i="23" a="1"/>
  <c r="AX22" i="23" s="1"/>
  <c r="U19" i="23"/>
  <c r="V47" i="23"/>
  <c r="Y56" i="23"/>
  <c r="AY41" i="23" a="1"/>
  <c r="AY41" i="23" s="1"/>
  <c r="O61" i="23"/>
  <c r="Y47" i="23"/>
  <c r="K67" i="23"/>
  <c r="Z47" i="23"/>
  <c r="O82" i="23"/>
  <c r="AP56" i="23" a="1"/>
  <c r="AP56" i="23"/>
  <c r="AQ56" i="23" s="1" a="1"/>
  <c r="AQ56" i="23" s="1"/>
  <c r="AY125" i="23" a="1"/>
  <c r="AY125" i="23" s="1"/>
  <c r="Z22" i="23"/>
  <c r="AW41" i="23" a="1"/>
  <c r="AW41" i="23"/>
  <c r="AY67" i="23" a="1"/>
  <c r="AY67" i="23" s="1"/>
  <c r="AX82" i="23" a="1"/>
  <c r="AX82" i="23" s="1"/>
  <c r="X164" i="23"/>
  <c r="F47" i="23"/>
  <c r="X61" i="23"/>
  <c r="O19" i="23"/>
  <c r="K185" i="23"/>
  <c r="AW51" i="23" a="1"/>
  <c r="AW51" i="23"/>
  <c r="Z13" i="23"/>
  <c r="Z78" i="23"/>
  <c r="F78" i="23"/>
  <c r="AX51" i="23" a="1"/>
  <c r="AX51" i="23"/>
  <c r="X75" i="23"/>
  <c r="Y76" i="23"/>
  <c r="F113" i="23"/>
  <c r="Y32" i="23"/>
  <c r="O78" i="23"/>
  <c r="V113" i="23"/>
  <c r="AO117" i="23" a="1"/>
  <c r="AO117" i="23" s="1"/>
  <c r="F185" i="23"/>
  <c r="W75" i="23"/>
  <c r="AW115" i="23" a="1"/>
  <c r="AW115" i="23"/>
  <c r="F32" i="23"/>
  <c r="Y78" i="23"/>
  <c r="Z75" i="23"/>
  <c r="K78" i="23"/>
  <c r="O117" i="23"/>
  <c r="Y51" i="23"/>
  <c r="X113" i="23"/>
  <c r="AO78" i="23" a="1"/>
  <c r="AO78" i="23"/>
  <c r="J117" i="23"/>
  <c r="AO76" i="23" a="1"/>
  <c r="AO76" i="23" s="1"/>
  <c r="AO113" i="23" a="1"/>
  <c r="AO113" i="23"/>
  <c r="AW13" i="23" a="1"/>
  <c r="AW13" i="23"/>
  <c r="F51" i="23"/>
  <c r="V51" i="23"/>
  <c r="F75" i="23"/>
  <c r="AY113" i="23" a="1"/>
  <c r="AY113" i="23" s="1"/>
  <c r="AX76" i="23" a="1"/>
  <c r="AX76" i="23" s="1"/>
  <c r="Z76" i="23"/>
  <c r="Z32" i="23"/>
  <c r="AW117" i="23" a="1"/>
  <c r="AW117" i="23" s="1"/>
  <c r="Z115" i="23"/>
  <c r="F76" i="23"/>
  <c r="X76" i="23"/>
  <c r="Y117" i="23"/>
  <c r="X13" i="23"/>
  <c r="W185" i="23"/>
  <c r="AW32" i="23" a="1"/>
  <c r="AW32" i="23"/>
  <c r="K75" i="23"/>
  <c r="U185" i="23"/>
  <c r="AW78" i="23" a="1"/>
  <c r="AW78" i="23" s="1"/>
  <c r="AX13" i="23" a="1"/>
  <c r="AX13" i="23"/>
  <c r="U51" i="23"/>
  <c r="W78" i="23"/>
  <c r="W51" i="23"/>
  <c r="AP32" i="23" a="1"/>
  <c r="AP32" i="23"/>
  <c r="AQ32" i="23" s="1" a="1"/>
  <c r="AQ32" i="23" s="1"/>
  <c r="AP76" i="23" a="1"/>
  <c r="AP76" i="23" s="1"/>
  <c r="AQ76" i="23" s="1" a="1"/>
  <c r="AQ76" i="23" s="1"/>
  <c r="AY117" i="23" a="1"/>
  <c r="AY117" i="23" s="1"/>
  <c r="V115" i="23"/>
  <c r="Z117" i="23"/>
  <c r="U78" i="23"/>
  <c r="AO13" i="23" a="1"/>
  <c r="AO13" i="23" s="1"/>
  <c r="J13" i="23"/>
  <c r="U117" i="23"/>
  <c r="K115" i="23"/>
  <c r="O115" i="23"/>
  <c r="X51" i="23"/>
  <c r="O185" i="23"/>
  <c r="J78" i="23"/>
  <c r="AX185" i="23" a="1"/>
  <c r="AX185" i="23"/>
  <c r="V75" i="23"/>
  <c r="Z185" i="23"/>
  <c r="X32" i="23"/>
  <c r="AX113" i="23" a="1"/>
  <c r="AX113" i="23" s="1"/>
  <c r="O32" i="23"/>
  <c r="U75" i="23"/>
  <c r="X185" i="23"/>
  <c r="Y185" i="23"/>
  <c r="Z113" i="23"/>
  <c r="W13" i="23"/>
  <c r="K32" i="23"/>
  <c r="AO185" i="23" a="1"/>
  <c r="AO185" i="23"/>
  <c r="AY75" i="23" a="1"/>
  <c r="AY75" i="23"/>
  <c r="AP75" i="23" a="1"/>
  <c r="AP75" i="23" s="1"/>
  <c r="AQ75" i="23" s="1" a="1"/>
  <c r="AQ75" i="23" s="1"/>
  <c r="K13" i="23"/>
  <c r="K51" i="23"/>
  <c r="X78" i="23"/>
  <c r="AY51" i="23" a="1"/>
  <c r="AY51" i="23" s="1"/>
  <c r="K76" i="23"/>
  <c r="AW113" i="23" a="1"/>
  <c r="AW113" i="23"/>
  <c r="Y13" i="23"/>
  <c r="J185" i="23"/>
  <c r="W32" i="23"/>
  <c r="F13" i="23"/>
  <c r="O75" i="23"/>
  <c r="Y113" i="23"/>
  <c r="AP13" i="23" a="1"/>
  <c r="AP13" i="23" s="1"/>
  <c r="AQ13" i="23" s="1" a="1"/>
  <c r="AQ13" i="23" s="1"/>
  <c r="AY115" i="23" a="1"/>
  <c r="AY115" i="23"/>
  <c r="AO75" i="23" a="1"/>
  <c r="AO75" i="23" s="1"/>
  <c r="AW185" i="23" a="1"/>
  <c r="AW185" i="23" s="1"/>
  <c r="U115" i="23"/>
  <c r="AO32" i="23" a="1"/>
  <c r="AO32" i="23"/>
  <c r="AP78" i="23" a="1"/>
  <c r="AP78" i="23" s="1"/>
  <c r="AQ78" i="23" s="1" a="1"/>
  <c r="AQ78" i="23" s="1"/>
  <c r="O13" i="23"/>
  <c r="W115" i="23"/>
  <c r="V32" i="23"/>
  <c r="F115" i="23"/>
  <c r="K113" i="23"/>
  <c r="X115" i="23"/>
  <c r="AX78" i="23" a="1"/>
  <c r="AX78" i="23" s="1"/>
  <c r="J51" i="23"/>
  <c r="V185" i="23"/>
  <c r="W117" i="23"/>
  <c r="AP117" i="23" a="1"/>
  <c r="AP117" i="23"/>
  <c r="AQ117" i="23" s="1" a="1"/>
  <c r="AQ117" i="23" s="1"/>
  <c r="AX117" i="23" a="1"/>
  <c r="AX117" i="23" s="1"/>
  <c r="J113" i="23"/>
  <c r="AY76" i="23" a="1"/>
  <c r="AY76" i="23"/>
  <c r="AP113" i="23" a="1"/>
  <c r="AP113" i="23" s="1"/>
  <c r="AQ113" i="23" s="1" a="1"/>
  <c r="AQ113" i="23" s="1"/>
  <c r="AX75" i="23" a="1"/>
  <c r="AX75" i="23"/>
  <c r="AY185" i="23" a="1"/>
  <c r="AY185" i="23" s="1"/>
  <c r="AO115" i="23" a="1"/>
  <c r="AO115" i="23" s="1"/>
  <c r="J115" i="23"/>
  <c r="Y75" i="23"/>
  <c r="U113" i="23"/>
  <c r="O76" i="23"/>
  <c r="V13" i="23"/>
  <c r="AW76" i="23" a="1"/>
  <c r="AW76" i="23"/>
  <c r="U32" i="23"/>
  <c r="F117" i="23"/>
  <c r="O113" i="23"/>
  <c r="AY13" i="23" a="1"/>
  <c r="AY13" i="23" s="1"/>
  <c r="V76" i="23"/>
  <c r="AX115" i="23" a="1"/>
  <c r="AX115" i="23"/>
  <c r="AW75" i="23" a="1"/>
  <c r="AW75" i="23" s="1"/>
  <c r="J76" i="23"/>
  <c r="AX32" i="23" a="1"/>
  <c r="AX32" i="23"/>
  <c r="V78" i="23"/>
  <c r="O51" i="23"/>
  <c r="V117" i="23"/>
  <c r="K117" i="23"/>
  <c r="AY32" i="23" a="1"/>
  <c r="AY32" i="23"/>
  <c r="W76" i="23"/>
  <c r="AO51" i="23" a="1"/>
  <c r="AO51" i="23" s="1"/>
  <c r="AP115" i="23" a="1"/>
  <c r="AP115" i="23"/>
  <c r="AQ115" i="23" s="1" a="1"/>
  <c r="AQ115" i="23" s="1"/>
  <c r="Z51" i="23"/>
  <c r="W113" i="23"/>
  <c r="J75" i="23"/>
  <c r="X117" i="23"/>
  <c r="AP185" i="23" a="1"/>
  <c r="AP185" i="23" s="1"/>
  <c r="AQ185" i="23" s="1" a="1"/>
  <c r="AQ185" i="23" s="1"/>
  <c r="Y115" i="23"/>
  <c r="U76" i="23"/>
  <c r="AY78" i="23" a="1"/>
  <c r="AY78" i="23"/>
  <c r="AP51" i="23" a="1"/>
  <c r="AP51" i="23" s="1"/>
  <c r="AQ51" i="23" s="1" a="1"/>
  <c r="AQ51" i="23" s="1"/>
  <c r="U13" i="23"/>
  <c r="J32" i="23"/>
  <c r="AZ135" i="23" a="1"/>
  <c r="AZ135" i="23" s="1"/>
  <c r="BA44" i="23" a="1"/>
  <c r="BA44" i="23" s="1"/>
  <c r="AZ188" i="23" a="1"/>
  <c r="AZ188" i="23"/>
  <c r="BA18" i="23" a="1"/>
  <c r="BA18" i="23" s="1"/>
  <c r="BA173" i="23" a="1"/>
  <c r="BA173" i="23"/>
  <c r="BA33" i="23" a="1"/>
  <c r="BA33" i="23" s="1"/>
  <c r="BA61" i="23" a="1"/>
  <c r="BA61" i="23" s="1"/>
  <c r="AZ78" i="23" a="1"/>
  <c r="AZ78" i="23"/>
  <c r="I3" i="2"/>
  <c r="E3" i="2"/>
  <c r="G3" i="2"/>
  <c r="AZ73" i="23" a="1"/>
  <c r="AZ73" i="23" s="1"/>
  <c r="AZ170" i="23" a="1"/>
  <c r="AZ170" i="23"/>
  <c r="AZ191" i="23" a="1"/>
  <c r="AZ191" i="23" s="1"/>
  <c r="BA175" i="23" a="1"/>
  <c r="BA175" i="23" s="1"/>
  <c r="BA113" i="23" a="1"/>
  <c r="BA113" i="23"/>
  <c r="AZ81" i="23" a="1"/>
  <c r="AZ81" i="23" s="1"/>
  <c r="H29" i="29" a="1"/>
  <c r="H29" i="29" s="1"/>
  <c r="B29" i="29" a="1"/>
  <c r="B29" i="29" s="1"/>
  <c r="E29" i="29" a="1"/>
  <c r="E29" i="29"/>
  <c r="C29" i="29" a="1"/>
  <c r="C29" i="29"/>
  <c r="G29" i="29" a="1"/>
  <c r="G29" i="29" s="1"/>
  <c r="A29" i="29" a="1"/>
  <c r="A29" i="29"/>
  <c r="F29" i="29" a="1"/>
  <c r="F29" i="29"/>
  <c r="D29" i="29" a="1"/>
  <c r="D29" i="29"/>
  <c r="BA129" i="23" a="1"/>
  <c r="BA129" i="23" s="1"/>
  <c r="AZ59" i="23" a="1"/>
  <c r="AZ59" i="23" s="1"/>
  <c r="BA39" i="23" a="1"/>
  <c r="BA39" i="23"/>
  <c r="BA126" i="23" a="1"/>
  <c r="BA126" i="23"/>
  <c r="BA171" i="23" a="1"/>
  <c r="BA171" i="23" s="1"/>
  <c r="BA54" i="23" a="1"/>
  <c r="BA54" i="23"/>
  <c r="BA75" i="23" a="1"/>
  <c r="BA75" i="23" s="1"/>
  <c r="AY17" i="23" a="1"/>
  <c r="AY17" i="23"/>
  <c r="Z17" i="23"/>
  <c r="J17" i="23"/>
  <c r="U17" i="23"/>
  <c r="V31" i="23"/>
  <c r="W17" i="23"/>
  <c r="AO31" i="23" a="1"/>
  <c r="AO31" i="23"/>
  <c r="Y17" i="23"/>
  <c r="AP17" i="23" a="1"/>
  <c r="AP17" i="23" s="1"/>
  <c r="AQ17" i="23" s="1" a="1"/>
  <c r="AQ17" i="23" s="1"/>
  <c r="Y31" i="23"/>
  <c r="O17" i="23"/>
  <c r="O31" i="23"/>
  <c r="X17" i="23"/>
  <c r="J31" i="23"/>
  <c r="U31" i="23"/>
  <c r="AY31" i="23" a="1"/>
  <c r="AY31" i="23" s="1"/>
  <c r="AP31" i="23" a="1"/>
  <c r="AP31" i="23" s="1"/>
  <c r="AQ31" i="23" s="1" a="1"/>
  <c r="AQ31" i="23" s="1"/>
  <c r="AW31" i="23" a="1"/>
  <c r="AW31" i="23"/>
  <c r="K17" i="23"/>
  <c r="W31" i="23"/>
  <c r="AX17" i="23" a="1"/>
  <c r="AX17" i="23" s="1"/>
  <c r="AX31" i="23" a="1"/>
  <c r="AX31" i="23"/>
  <c r="AO17" i="23" a="1"/>
  <c r="AO17" i="23"/>
  <c r="V17" i="23"/>
  <c r="Z31" i="23"/>
  <c r="X31" i="23"/>
  <c r="AW17" i="23" a="1"/>
  <c r="AW17" i="23"/>
  <c r="K31" i="23"/>
  <c r="Y154" i="23"/>
  <c r="U154" i="23"/>
  <c r="AW156" i="23" a="1"/>
  <c r="AW156" i="23"/>
  <c r="X154" i="23"/>
  <c r="J154" i="23"/>
  <c r="Z154" i="23"/>
  <c r="AX156" i="23" a="1"/>
  <c r="AX156" i="23"/>
  <c r="AP154" i="23" a="1"/>
  <c r="AP154" i="23" s="1"/>
  <c r="AQ154" i="23" s="1" a="1"/>
  <c r="AQ154" i="23" s="1"/>
  <c r="V156" i="23"/>
  <c r="AW154" i="23" a="1"/>
  <c r="AW154" i="23" s="1"/>
  <c r="AX154" i="23" a="1"/>
  <c r="AX154" i="23" s="1"/>
  <c r="W154" i="23"/>
  <c r="K154" i="23"/>
  <c r="U156" i="23"/>
  <c r="J156" i="23"/>
  <c r="K156" i="23"/>
  <c r="Z156" i="23"/>
  <c r="Y156" i="23"/>
  <c r="AP156" i="23" a="1"/>
  <c r="AP156" i="23" s="1"/>
  <c r="AQ156" i="23" s="1" a="1"/>
  <c r="AQ156" i="23" s="1"/>
  <c r="F156" i="23"/>
  <c r="AO154" i="23" a="1"/>
  <c r="AO154" i="23"/>
  <c r="AY156" i="23" a="1"/>
  <c r="AY156" i="23" s="1"/>
  <c r="F154" i="23"/>
  <c r="W156" i="23"/>
  <c r="AY154" i="23" a="1"/>
  <c r="AY154" i="23" s="1"/>
  <c r="AO156" i="23" a="1"/>
  <c r="AO156" i="23"/>
  <c r="V154" i="23"/>
  <c r="X156" i="23"/>
  <c r="BA229" i="23" a="1"/>
  <c r="BA229" i="23"/>
  <c r="BA228" i="23" a="1"/>
  <c r="BA228" i="23" s="1"/>
  <c r="BA227" i="23" a="1"/>
  <c r="BA227" i="23"/>
  <c r="BA226" i="23" a="1"/>
  <c r="BA226" i="23" s="1"/>
  <c r="BA225" i="23" a="1"/>
  <c r="BA225" i="23" s="1"/>
  <c r="BA224" i="23" a="1"/>
  <c r="BA224" i="23"/>
  <c r="BA223" i="23" a="1"/>
  <c r="BA223" i="23" s="1"/>
  <c r="BA220" i="23" a="1"/>
  <c r="BA220" i="23" s="1"/>
  <c r="BA219" i="23" a="1"/>
  <c r="BA219" i="23"/>
  <c r="BA218" i="23" a="1"/>
  <c r="BA218" i="23"/>
  <c r="BA217" i="23" a="1"/>
  <c r="BA217" i="23" s="1"/>
  <c r="BA216" i="23" a="1"/>
  <c r="BA216" i="23" s="1"/>
  <c r="BA215" i="23" a="1"/>
  <c r="BA215" i="23" s="1"/>
  <c r="BA214" i="23" a="1"/>
  <c r="BA214" i="23"/>
  <c r="BA213" i="23" a="1"/>
  <c r="BA213" i="23"/>
  <c r="BA212" i="23" a="1"/>
  <c r="BA212" i="23" s="1"/>
  <c r="BA209" i="23" a="1"/>
  <c r="BA209" i="23" s="1"/>
  <c r="BA208" i="23" a="1"/>
  <c r="BA208" i="23"/>
  <c r="BA207" i="23" a="1"/>
  <c r="BA207" i="23" s="1"/>
  <c r="BA206" i="23" a="1"/>
  <c r="BA206" i="23" s="1"/>
  <c r="BA205" i="23" a="1"/>
  <c r="BA205" i="23" s="1"/>
  <c r="BA204" i="23" a="1"/>
  <c r="BA204" i="23" s="1"/>
  <c r="BA203" i="23" a="1"/>
  <c r="BA203" i="23"/>
  <c r="BA202" i="23" a="1"/>
  <c r="BA202" i="23" s="1"/>
  <c r="BA201" i="23" a="1"/>
  <c r="BA201" i="23"/>
  <c r="BA200" i="23" a="1"/>
  <c r="BA200" i="23" s="1"/>
  <c r="BA199" i="23" a="1"/>
  <c r="BA199" i="23"/>
  <c r="BA198" i="23" a="1"/>
  <c r="BA198" i="23" s="1"/>
  <c r="AX229" i="23" a="1"/>
  <c r="AX229" i="23" s="1"/>
  <c r="AX228" i="23" a="1"/>
  <c r="AX228" i="23"/>
  <c r="AX227" i="23" a="1"/>
  <c r="AX227" i="23" s="1"/>
  <c r="AX226" i="23" a="1"/>
  <c r="AX226" i="23" s="1"/>
  <c r="AX225" i="23" a="1"/>
  <c r="AX225" i="23"/>
  <c r="AX224" i="23" a="1"/>
  <c r="AX224" i="23"/>
  <c r="AX223" i="23" a="1"/>
  <c r="AX223" i="23"/>
  <c r="AX220" i="23" a="1"/>
  <c r="AX220" i="23" s="1"/>
  <c r="AX219" i="23" a="1"/>
  <c r="AX219" i="23" s="1"/>
  <c r="AX218" i="23" a="1"/>
  <c r="AX218" i="23"/>
  <c r="AX217" i="23" a="1"/>
  <c r="AX217" i="23" s="1"/>
  <c r="AX216" i="23" a="1"/>
  <c r="AX216" i="23" s="1"/>
  <c r="AX215" i="23" a="1"/>
  <c r="AX215" i="23" s="1"/>
  <c r="AX214" i="23" a="1"/>
  <c r="AX214" i="23"/>
  <c r="AX213" i="23" a="1"/>
  <c r="AX213" i="23"/>
  <c r="AX212" i="23" a="1"/>
  <c r="AX212" i="23" s="1"/>
  <c r="AX209" i="23" a="1"/>
  <c r="AX209" i="23" s="1"/>
  <c r="AX208" i="23" a="1"/>
  <c r="AX208" i="23" s="1"/>
  <c r="AX207" i="23" a="1"/>
  <c r="AX207" i="23"/>
  <c r="AX206" i="23" a="1"/>
  <c r="AX206" i="23" s="1"/>
  <c r="AX205" i="23" a="1"/>
  <c r="AX205" i="23" s="1"/>
  <c r="AX204" i="23" a="1"/>
  <c r="AX204" i="23"/>
  <c r="AX203" i="23" a="1"/>
  <c r="AX203" i="23" s="1"/>
  <c r="AX202" i="23" a="1"/>
  <c r="AX202" i="23" s="1"/>
  <c r="AX201" i="23" a="1"/>
  <c r="AX201" i="23" s="1"/>
  <c r="AX200" i="23" a="1"/>
  <c r="AX200" i="23"/>
  <c r="AX199" i="23" a="1"/>
  <c r="AX199" i="23"/>
  <c r="AX198" i="23" a="1"/>
  <c r="AX198" i="23" s="1"/>
  <c r="AW229" i="23" a="1"/>
  <c r="AW229" i="23"/>
  <c r="AW228" i="23" a="1"/>
  <c r="AW228" i="23"/>
  <c r="AW227" i="23" a="1"/>
  <c r="AW227" i="23"/>
  <c r="AW226" i="23" a="1"/>
  <c r="AW226" i="23" s="1"/>
  <c r="AW225" i="23" a="1"/>
  <c r="AW225" i="23" s="1"/>
  <c r="AW224" i="23" a="1"/>
  <c r="AW224" i="23"/>
  <c r="AW223" i="23" a="1"/>
  <c r="AW223" i="23"/>
  <c r="AW220" i="23" a="1"/>
  <c r="AW220" i="23" s="1"/>
  <c r="AW219" i="23" a="1"/>
  <c r="AW219" i="23"/>
  <c r="AW218" i="23" a="1"/>
  <c r="AW218" i="23" s="1"/>
  <c r="AW217" i="23" a="1"/>
  <c r="AW217" i="23"/>
  <c r="AW216" i="23" a="1"/>
  <c r="AW216" i="23" s="1"/>
  <c r="AW215" i="23" a="1"/>
  <c r="AW215" i="23" s="1"/>
  <c r="AW214" i="23" a="1"/>
  <c r="AW214" i="23"/>
  <c r="AW213" i="23" a="1"/>
  <c r="AW213" i="23" s="1"/>
  <c r="AW212" i="23" a="1"/>
  <c r="AW212" i="23" s="1"/>
  <c r="AW209" i="23" a="1"/>
  <c r="AW209" i="23"/>
  <c r="AW208" i="23" a="1"/>
  <c r="AW208" i="23"/>
  <c r="AW207" i="23" a="1"/>
  <c r="AW207" i="23" s="1"/>
  <c r="AW206" i="23" a="1"/>
  <c r="AW206" i="23" s="1"/>
  <c r="AW205" i="23" a="1"/>
  <c r="AW205" i="23" s="1"/>
  <c r="AW204" i="23" a="1"/>
  <c r="AW204" i="23"/>
  <c r="AW203" i="23" a="1"/>
  <c r="AW203" i="23"/>
  <c r="AW202" i="23" a="1"/>
  <c r="AW202" i="23" s="1"/>
  <c r="AW201" i="23" a="1"/>
  <c r="AW201" i="23" s="1"/>
  <c r="AW200" i="23" a="1"/>
  <c r="AW200" i="23"/>
  <c r="AW199" i="23" a="1"/>
  <c r="AW199" i="23"/>
  <c r="AW198" i="23" a="1"/>
  <c r="AW198" i="23" s="1"/>
  <c r="AY229" i="23" a="1"/>
  <c r="AY229" i="23" s="1"/>
  <c r="AY228" i="23" a="1"/>
  <c r="AY228" i="23" s="1"/>
  <c r="AY227" i="23" a="1"/>
  <c r="AY227" i="23"/>
  <c r="AY226" i="23" a="1"/>
  <c r="AY226" i="23" s="1"/>
  <c r="AY225" i="23" a="1"/>
  <c r="AY225" i="23"/>
  <c r="AY224" i="23" a="1"/>
  <c r="AY224" i="23" s="1"/>
  <c r="AY223" i="23" a="1"/>
  <c r="AY223" i="23"/>
  <c r="AY220" i="23" a="1"/>
  <c r="AY220" i="23" s="1"/>
  <c r="AY219" i="23" a="1"/>
  <c r="AY219" i="23" s="1"/>
  <c r="AY218" i="23" a="1"/>
  <c r="AY218" i="23"/>
  <c r="AY217" i="23" a="1"/>
  <c r="AY217" i="23" s="1"/>
  <c r="AY216" i="23" a="1"/>
  <c r="AY216" i="23" s="1"/>
  <c r="AY215" i="23" a="1"/>
  <c r="AY215" i="23"/>
  <c r="AY214" i="23" a="1"/>
  <c r="AY214" i="23" s="1"/>
  <c r="AY213" i="23" a="1"/>
  <c r="AY213" i="23"/>
  <c r="AY212" i="23" a="1"/>
  <c r="AY212" i="23" s="1"/>
  <c r="AY209" i="23" a="1"/>
  <c r="AY209" i="23" s="1"/>
  <c r="AY208" i="23" a="1"/>
  <c r="AY208" i="23"/>
  <c r="AY207" i="23" a="1"/>
  <c r="AY207" i="23"/>
  <c r="AY206" i="23" a="1"/>
  <c r="AY206" i="23" s="1"/>
  <c r="AY205" i="23" a="1"/>
  <c r="AY205" i="23" s="1"/>
  <c r="AY204" i="23" a="1"/>
  <c r="AY204" i="23"/>
  <c r="AY203" i="23" a="1"/>
  <c r="AY203" i="23"/>
  <c r="AY202" i="23" a="1"/>
  <c r="AY202" i="23" s="1"/>
  <c r="AY201" i="23" a="1"/>
  <c r="AY201" i="23" s="1"/>
  <c r="AY200" i="23" a="1"/>
  <c r="AY200" i="23" s="1"/>
  <c r="AY199" i="23" a="1"/>
  <c r="AY199" i="23"/>
  <c r="AY198" i="23" a="1"/>
  <c r="AY198" i="23" s="1"/>
  <c r="AZ229" i="23" a="1"/>
  <c r="AZ229" i="23"/>
  <c r="AZ228" i="23" a="1"/>
  <c r="AZ228" i="23"/>
  <c r="AZ227" i="23" a="1"/>
  <c r="AZ227" i="23" s="1"/>
  <c r="AZ226" i="23" a="1"/>
  <c r="AZ226" i="23" s="1"/>
  <c r="AZ225" i="23" a="1"/>
  <c r="AZ225" i="23" s="1"/>
  <c r="AZ224" i="23" a="1"/>
  <c r="AZ224" i="23" s="1"/>
  <c r="AZ223" i="23" a="1"/>
  <c r="AZ223" i="23"/>
  <c r="AZ220" i="23" a="1"/>
  <c r="AZ220" i="23" s="1"/>
  <c r="AZ219" i="23" a="1"/>
  <c r="AZ219" i="23"/>
  <c r="AZ218" i="23" a="1"/>
  <c r="AZ218" i="23"/>
  <c r="AZ217" i="23" a="1"/>
  <c r="AZ217" i="23"/>
  <c r="AZ216" i="23" a="1"/>
  <c r="AZ216" i="23" s="1"/>
  <c r="AZ215" i="23" a="1"/>
  <c r="AZ215" i="23" s="1"/>
  <c r="AZ214" i="23" a="1"/>
  <c r="AZ214" i="23"/>
  <c r="AZ213" i="23" a="1"/>
  <c r="AZ213" i="23"/>
  <c r="AZ212" i="23" a="1"/>
  <c r="AZ212" i="23" s="1"/>
  <c r="AZ209" i="23" a="1"/>
  <c r="AZ209" i="23"/>
  <c r="AZ208" i="23" a="1"/>
  <c r="AZ208" i="23" s="1"/>
  <c r="AZ207" i="23" a="1"/>
  <c r="AZ207" i="23"/>
  <c r="AZ206" i="23" a="1"/>
  <c r="AZ206" i="23" s="1"/>
  <c r="AZ205" i="23" a="1"/>
  <c r="AZ205" i="23" s="1"/>
  <c r="AZ204" i="23" a="1"/>
  <c r="AZ204" i="23"/>
  <c r="AZ203" i="23" a="1"/>
  <c r="AZ203" i="23" s="1"/>
  <c r="AZ202" i="23" a="1"/>
  <c r="AZ202" i="23" s="1"/>
  <c r="AZ201" i="23" a="1"/>
  <c r="AZ201" i="23"/>
  <c r="AZ200" i="23" a="1"/>
  <c r="AZ200" i="23"/>
  <c r="AZ199" i="23" a="1"/>
  <c r="AZ199" i="23" s="1"/>
  <c r="AZ198" i="23" a="1"/>
  <c r="AZ198" i="23" s="1"/>
  <c r="J22" i="26" l="1"/>
  <c r="J23" i="26"/>
  <c r="AL64" i="1" l="1"/>
  <c r="AL65" i="1"/>
  <c r="AL66" i="1"/>
  <c r="AL67" i="1"/>
  <c r="AL63" i="1" l="1"/>
  <c r="A23" i="26"/>
  <c r="AL62" i="1" l="1"/>
  <c r="AL61" i="1" l="1"/>
  <c r="J18" i="26"/>
  <c r="J19" i="26"/>
  <c r="J20" i="26"/>
  <c r="J21" i="26"/>
  <c r="AL60" i="1" l="1"/>
  <c r="J15" i="26"/>
  <c r="J16" i="26"/>
  <c r="J17" i="26"/>
  <c r="J24" i="26"/>
  <c r="AL59" i="1" l="1"/>
  <c r="A21" i="26"/>
  <c r="A20" i="26"/>
  <c r="A19" i="26"/>
  <c r="A18" i="26"/>
  <c r="AL58" i="1" l="1"/>
  <c r="AL57" i="1"/>
  <c r="AL56" i="1" l="1"/>
  <c r="A15" i="26"/>
  <c r="A16" i="26"/>
  <c r="A22" i="26"/>
  <c r="A17" i="26"/>
  <c r="AL55" i="1" l="1"/>
  <c r="AL54" i="1" l="1"/>
  <c r="J10" i="26"/>
  <c r="J11" i="26"/>
  <c r="J12" i="26"/>
  <c r="J13" i="26"/>
  <c r="J14" i="26"/>
  <c r="AL53" i="1" l="1"/>
  <c r="A10" i="26" l="1"/>
  <c r="A24" i="26"/>
  <c r="A13" i="26"/>
  <c r="A12" i="26"/>
  <c r="A14" i="26"/>
  <c r="A11" i="26"/>
  <c r="J7" i="26" l="1"/>
  <c r="J8" i="26"/>
  <c r="J9" i="26"/>
  <c r="J6" i="26"/>
  <c r="J5" i="26"/>
  <c r="AL79" i="1" l="1"/>
  <c r="AL68" i="1"/>
  <c r="AL80" i="1"/>
  <c r="AL69" i="1"/>
  <c r="AL76" i="1"/>
  <c r="AL72" i="1"/>
  <c r="AL71" i="1"/>
  <c r="AL78" i="1"/>
  <c r="AL75" i="1"/>
  <c r="AL81" i="1"/>
  <c r="AL77" i="1"/>
  <c r="AL74" i="1"/>
  <c r="AL73" i="1"/>
  <c r="AL70" i="1"/>
  <c r="AL52" i="1"/>
  <c r="AX5" i="1" l="1"/>
  <c r="AL48" i="1" l="1"/>
  <c r="AL49" i="1"/>
  <c r="AL51" i="1"/>
  <c r="AL50" i="1"/>
  <c r="BD31" i="1"/>
  <c r="BL31" i="1" s="1"/>
  <c r="BD12" i="1"/>
  <c r="BN12" i="1" s="1"/>
  <c r="BD25" i="1"/>
  <c r="BN25" i="1" s="1"/>
  <c r="BD9" i="1"/>
  <c r="BM9" i="1" s="1"/>
  <c r="BD10" i="1"/>
  <c r="BE10" i="1" s="1"/>
  <c r="BD22" i="1"/>
  <c r="BH22" i="1" s="1"/>
  <c r="BD14" i="1"/>
  <c r="BO14" i="1" s="1"/>
  <c r="BD29" i="1"/>
  <c r="BM29" i="1" s="1"/>
  <c r="BD21" i="1"/>
  <c r="BM21" i="1" s="1"/>
  <c r="BD16" i="1"/>
  <c r="BB16" i="1" s="1"/>
  <c r="BD8" i="1"/>
  <c r="BB8" i="1" s="1"/>
  <c r="BD20" i="1"/>
  <c r="BM20" i="1" s="1"/>
  <c r="BD28" i="1"/>
  <c r="BO28" i="1" s="1"/>
  <c r="BD7" i="1"/>
  <c r="BD13" i="1"/>
  <c r="BF13" i="1" s="1"/>
  <c r="BD24" i="1"/>
  <c r="BB24" i="1" s="1"/>
  <c r="BD30" i="1"/>
  <c r="BO30" i="1" s="1"/>
  <c r="BD15" i="1"/>
  <c r="BM15" i="1" s="1"/>
  <c r="BD23" i="1"/>
  <c r="BN23" i="1" s="1"/>
  <c r="BD27" i="1"/>
  <c r="BM27" i="1" s="1"/>
  <c r="BD19" i="1"/>
  <c r="BF19" i="1" s="1"/>
  <c r="BD26" i="1"/>
  <c r="BF26" i="1" s="1"/>
  <c r="BD18" i="1"/>
  <c r="BL18" i="1" s="1"/>
  <c r="BD11" i="1"/>
  <c r="BL11" i="1" s="1"/>
  <c r="BD17" i="1"/>
  <c r="BM17" i="1" s="1"/>
  <c r="P1" i="1"/>
  <c r="BE7" i="1" l="1"/>
  <c r="BH7" i="1"/>
  <c r="BB29" i="1"/>
  <c r="BM13" i="1"/>
  <c r="BE14" i="1"/>
  <c r="BO13" i="1"/>
  <c r="BH13" i="1"/>
  <c r="BF14" i="1"/>
  <c r="BN29" i="1"/>
  <c r="BH17" i="1"/>
  <c r="BE29" i="1"/>
  <c r="BL29" i="1"/>
  <c r="BE28" i="1"/>
  <c r="BN28" i="1"/>
  <c r="BL13" i="1"/>
  <c r="BB17" i="1"/>
  <c r="BL14" i="1"/>
  <c r="BH14" i="1"/>
  <c r="BN14" i="1"/>
  <c r="BO24" i="1"/>
  <c r="BM14" i="1"/>
  <c r="BO29" i="1"/>
  <c r="BM25" i="1"/>
  <c r="BH24" i="1"/>
  <c r="BL17" i="1"/>
  <c r="BH11" i="1"/>
  <c r="BF17" i="1"/>
  <c r="BN13" i="1"/>
  <c r="BB7" i="1"/>
  <c r="BB13" i="1"/>
  <c r="BF11" i="1"/>
  <c r="BE13" i="1"/>
  <c r="BN17" i="1"/>
  <c r="BE17" i="1"/>
  <c r="BH29" i="1"/>
  <c r="BF29" i="1"/>
  <c r="BH18" i="1"/>
  <c r="BB12" i="1"/>
  <c r="BF12" i="1"/>
  <c r="BO17" i="1"/>
  <c r="BB11" i="1"/>
  <c r="BF21" i="1"/>
  <c r="BO12" i="1"/>
  <c r="BH21" i="1"/>
  <c r="BH12" i="1"/>
  <c r="BM31" i="1"/>
  <c r="BM12" i="1"/>
  <c r="BE21" i="1"/>
  <c r="BF23" i="1"/>
  <c r="BO26" i="1"/>
  <c r="BH16" i="1"/>
  <c r="BL12" i="1"/>
  <c r="BF18" i="1"/>
  <c r="BH31" i="1"/>
  <c r="BO18" i="1"/>
  <c r="BN31" i="1"/>
  <c r="BE25" i="1"/>
  <c r="BB23" i="1"/>
  <c r="BF31" i="1"/>
  <c r="BO31" i="1"/>
  <c r="BL30" i="1"/>
  <c r="BL16" i="1"/>
  <c r="BE12" i="1"/>
  <c r="BE18" i="1"/>
  <c r="BF16" i="1"/>
  <c r="BN16" i="1"/>
  <c r="BN21" i="1"/>
  <c r="BM23" i="1"/>
  <c r="BO16" i="1"/>
  <c r="BM7" i="1"/>
  <c r="BE23" i="1"/>
  <c r="BL21" i="1"/>
  <c r="BE16" i="1"/>
  <c r="BE19" i="1"/>
  <c r="BF9" i="1"/>
  <c r="BB31" i="1"/>
  <c r="BN18" i="1"/>
  <c r="BB27" i="1"/>
  <c r="BE9" i="1"/>
  <c r="BB9" i="1"/>
  <c r="BM8" i="1"/>
  <c r="BO21" i="1"/>
  <c r="BB20" i="1"/>
  <c r="BB21" i="1"/>
  <c r="BH25" i="1"/>
  <c r="BB18" i="1"/>
  <c r="BM16" i="1"/>
  <c r="BM10" i="1"/>
  <c r="BB10" i="1"/>
  <c r="BM19" i="1"/>
  <c r="A59" i="26"/>
  <c r="A85" i="26"/>
  <c r="A78" i="26"/>
  <c r="A107" i="26"/>
  <c r="A69" i="26"/>
  <c r="A84" i="26"/>
  <c r="A73" i="26"/>
  <c r="A67" i="26"/>
  <c r="A28" i="26"/>
  <c r="A41" i="26"/>
  <c r="A63" i="26"/>
  <c r="A64" i="26"/>
  <c r="A34" i="26"/>
  <c r="A35" i="26"/>
  <c r="A101" i="26"/>
  <c r="A44" i="26"/>
  <c r="A89" i="26"/>
  <c r="A72" i="26"/>
  <c r="A8" i="26"/>
  <c r="A97" i="26"/>
  <c r="A88" i="26"/>
  <c r="A52" i="26"/>
  <c r="A86" i="26"/>
  <c r="A106" i="26"/>
  <c r="AR52" i="1"/>
  <c r="A54" i="26"/>
  <c r="A32" i="26"/>
  <c r="A58" i="26"/>
  <c r="A45" i="26"/>
  <c r="A95" i="26"/>
  <c r="A94" i="26"/>
  <c r="A57" i="26"/>
  <c r="A76" i="26"/>
  <c r="A48" i="26"/>
  <c r="A96" i="26"/>
  <c r="A53" i="26"/>
  <c r="A47" i="26"/>
  <c r="A91" i="26"/>
  <c r="A40" i="26"/>
  <c r="A27" i="26"/>
  <c r="A93" i="26"/>
  <c r="A103" i="26"/>
  <c r="A49" i="26"/>
  <c r="A104" i="26"/>
  <c r="A90" i="26"/>
  <c r="A6" i="26"/>
  <c r="BI30" i="1"/>
  <c r="A80" i="26"/>
  <c r="A38" i="26"/>
  <c r="A31" i="26"/>
  <c r="A100" i="26"/>
  <c r="A77" i="26"/>
  <c r="A51" i="26"/>
  <c r="A33" i="26"/>
  <c r="A25" i="26"/>
  <c r="A79" i="26"/>
  <c r="A56" i="26"/>
  <c r="A7" i="26"/>
  <c r="A42" i="26"/>
  <c r="A39" i="26"/>
  <c r="A46" i="26"/>
  <c r="A68" i="26"/>
  <c r="A81" i="26"/>
  <c r="A36" i="26"/>
  <c r="A61" i="26"/>
  <c r="A83" i="26"/>
  <c r="A99" i="26"/>
  <c r="A74" i="26"/>
  <c r="A87" i="26"/>
  <c r="A92" i="26"/>
  <c r="A50" i="26"/>
  <c r="A70" i="26"/>
  <c r="A55" i="26"/>
  <c r="A98" i="26"/>
  <c r="A82" i="26"/>
  <c r="A66" i="26"/>
  <c r="A75" i="26"/>
  <c r="A71" i="26"/>
  <c r="A105" i="26"/>
  <c r="A26" i="26"/>
  <c r="A62" i="26"/>
  <c r="A60" i="26"/>
  <c r="A102" i="26"/>
  <c r="A29" i="26"/>
  <c r="A65" i="26"/>
  <c r="A9" i="26"/>
  <c r="A43" i="26"/>
  <c r="AT60" i="1"/>
  <c r="AM60" i="1"/>
  <c r="AV60" i="1"/>
  <c r="AW60" i="1"/>
  <c r="AU60" i="1"/>
  <c r="AN60" i="1"/>
  <c r="AJ60" i="1"/>
  <c r="AQ60" i="1"/>
  <c r="AP60" i="1"/>
  <c r="BH20" i="1"/>
  <c r="BF10" i="1"/>
  <c r="BN9" i="1"/>
  <c r="AU63" i="1"/>
  <c r="AW63" i="1"/>
  <c r="AM63" i="1"/>
  <c r="AT63" i="1"/>
  <c r="AV63" i="1"/>
  <c r="AN63" i="1"/>
  <c r="AP63" i="1"/>
  <c r="AJ63" i="1"/>
  <c r="BN8" i="1"/>
  <c r="BE8" i="1"/>
  <c r="BI23" i="1"/>
  <c r="BM11" i="1"/>
  <c r="BN15" i="1"/>
  <c r="BE26" i="1"/>
  <c r="AU65" i="1"/>
  <c r="AM65" i="1"/>
  <c r="AW65" i="1"/>
  <c r="AT65" i="1"/>
  <c r="AV65" i="1"/>
  <c r="AP65" i="1"/>
  <c r="AN65" i="1"/>
  <c r="AJ65" i="1"/>
  <c r="AM66" i="1"/>
  <c r="AV66" i="1"/>
  <c r="AW66" i="1"/>
  <c r="AU66" i="1"/>
  <c r="AT66" i="1"/>
  <c r="AJ66" i="1"/>
  <c r="AN66" i="1"/>
  <c r="AP66" i="1"/>
  <c r="BB25" i="1"/>
  <c r="BM22" i="1"/>
  <c r="BE15" i="1"/>
  <c r="BF7" i="1"/>
  <c r="BL27" i="1"/>
  <c r="BF8" i="1"/>
  <c r="BL28" i="1"/>
  <c r="BO9" i="1"/>
  <c r="BL24" i="1"/>
  <c r="AT59" i="1"/>
  <c r="AV59" i="1"/>
  <c r="AU59" i="1"/>
  <c r="AW59" i="1"/>
  <c r="AM59" i="1"/>
  <c r="AJ59" i="1"/>
  <c r="AP59" i="1"/>
  <c r="AN59" i="1"/>
  <c r="BE27" i="1"/>
  <c r="BF28" i="1"/>
  <c r="AN79" i="1"/>
  <c r="AJ79" i="1"/>
  <c r="AM79" i="1"/>
  <c r="AW79" i="1"/>
  <c r="AV79" i="1"/>
  <c r="AU79" i="1"/>
  <c r="AT79" i="1"/>
  <c r="AP79" i="1"/>
  <c r="BF15" i="1"/>
  <c r="AT55" i="1"/>
  <c r="AV55" i="1"/>
  <c r="AM55" i="1"/>
  <c r="AW55" i="1"/>
  <c r="AU55" i="1"/>
  <c r="AJ55" i="1"/>
  <c r="AN55" i="1"/>
  <c r="AP55" i="1"/>
  <c r="BE11" i="1"/>
  <c r="BB30" i="1"/>
  <c r="BL9" i="1"/>
  <c r="BB19" i="1"/>
  <c r="BC11" i="1"/>
  <c r="BO15" i="1"/>
  <c r="BL19" i="1"/>
  <c r="BN11" i="1"/>
  <c r="BB26" i="1"/>
  <c r="BN20" i="1"/>
  <c r="BF25" i="1"/>
  <c r="BL15" i="1"/>
  <c r="BM18" i="1"/>
  <c r="BM26" i="1"/>
  <c r="AV61" i="1"/>
  <c r="AW61" i="1"/>
  <c r="AU61" i="1"/>
  <c r="AT61" i="1"/>
  <c r="AM61" i="1"/>
  <c r="AJ61" i="1"/>
  <c r="AK61" i="1"/>
  <c r="AN61" i="1"/>
  <c r="AP61" i="1"/>
  <c r="BO22" i="1"/>
  <c r="BH9" i="1"/>
  <c r="BN7" i="1"/>
  <c r="BN26" i="1"/>
  <c r="AT51" i="1"/>
  <c r="AU51" i="1"/>
  <c r="AV51" i="1"/>
  <c r="AW51" i="1"/>
  <c r="AM51" i="1"/>
  <c r="AN51" i="1"/>
  <c r="AP51" i="1"/>
  <c r="AS51" i="1"/>
  <c r="AJ51" i="1"/>
  <c r="BO8" i="1"/>
  <c r="BF24" i="1"/>
  <c r="BH10" i="1"/>
  <c r="BE24" i="1"/>
  <c r="BB14" i="1"/>
  <c r="BB22" i="1"/>
  <c r="BF22" i="1"/>
  <c r="BE31" i="1"/>
  <c r="AV64" i="1"/>
  <c r="AU64" i="1"/>
  <c r="AT64" i="1"/>
  <c r="AW64" i="1"/>
  <c r="AM64" i="1"/>
  <c r="AP64" i="1"/>
  <c r="AN64" i="1"/>
  <c r="AJ64" i="1"/>
  <c r="BL22" i="1"/>
  <c r="BM24" i="1"/>
  <c r="AW77" i="1"/>
  <c r="AM77" i="1"/>
  <c r="AU77" i="1"/>
  <c r="AV77" i="1"/>
  <c r="AT77" i="1"/>
  <c r="AJ77" i="1"/>
  <c r="AN77" i="1"/>
  <c r="AP77" i="1"/>
  <c r="BO27" i="1"/>
  <c r="AP52" i="1"/>
  <c r="AT52" i="1"/>
  <c r="AM52" i="1"/>
  <c r="AW52" i="1"/>
  <c r="AJ52" i="1"/>
  <c r="AV52" i="1"/>
  <c r="AN52" i="1"/>
  <c r="AS52" i="1"/>
  <c r="AU52" i="1"/>
  <c r="BL10" i="1"/>
  <c r="BN30" i="1"/>
  <c r="BL7" i="1"/>
  <c r="BF27" i="1"/>
  <c r="AU81" i="1"/>
  <c r="AM81" i="1"/>
  <c r="AN81" i="1"/>
  <c r="AT81" i="1"/>
  <c r="AV81" i="1"/>
  <c r="AW81" i="1"/>
  <c r="AJ81" i="1"/>
  <c r="AP81" i="1"/>
  <c r="AP80" i="1"/>
  <c r="AJ80" i="1"/>
  <c r="AT80" i="1"/>
  <c r="AM80" i="1"/>
  <c r="AV80" i="1"/>
  <c r="AW80" i="1"/>
  <c r="AU80" i="1"/>
  <c r="AN80" i="1"/>
  <c r="AU75" i="1"/>
  <c r="AW75" i="1"/>
  <c r="AT75" i="1"/>
  <c r="AM75" i="1"/>
  <c r="AV75" i="1"/>
  <c r="AP75" i="1"/>
  <c r="AJ75" i="1"/>
  <c r="AN75" i="1"/>
  <c r="AV69" i="1"/>
  <c r="AT69" i="1"/>
  <c r="AU69" i="1"/>
  <c r="AW69" i="1"/>
  <c r="AM69" i="1"/>
  <c r="AN69" i="1"/>
  <c r="AJ69" i="1"/>
  <c r="AP69" i="1"/>
  <c r="AU62" i="1"/>
  <c r="AV62" i="1"/>
  <c r="AW62" i="1"/>
  <c r="AM62" i="1"/>
  <c r="AT62" i="1"/>
  <c r="AJ62" i="1"/>
  <c r="AP62" i="1"/>
  <c r="AN62" i="1"/>
  <c r="BB15" i="1"/>
  <c r="BN19" i="1"/>
  <c r="BH19" i="1"/>
  <c r="BF20" i="1"/>
  <c r="BE30" i="1"/>
  <c r="BM30" i="1"/>
  <c r="BH26" i="1"/>
  <c r="BO25" i="1"/>
  <c r="BH30" i="1"/>
  <c r="BH28" i="1"/>
  <c r="BO10" i="1"/>
  <c r="BL26" i="1"/>
  <c r="BO20" i="1"/>
  <c r="BH15" i="1"/>
  <c r="BO23" i="1"/>
  <c r="BN22" i="1"/>
  <c r="BL20" i="1"/>
  <c r="BF30" i="1"/>
  <c r="AW58" i="1"/>
  <c r="AT58" i="1"/>
  <c r="AV58" i="1"/>
  <c r="AM58" i="1"/>
  <c r="AU58" i="1"/>
  <c r="AN58" i="1"/>
  <c r="AJ58" i="1"/>
  <c r="AP58" i="1"/>
  <c r="AW49" i="1"/>
  <c r="AU49" i="1"/>
  <c r="AV49" i="1"/>
  <c r="AT49" i="1"/>
  <c r="AM49" i="1"/>
  <c r="AJ49" i="1"/>
  <c r="AN49" i="1"/>
  <c r="AP49" i="1"/>
  <c r="AU78" i="1"/>
  <c r="AV78" i="1"/>
  <c r="AW78" i="1"/>
  <c r="AM78" i="1"/>
  <c r="AT78" i="1"/>
  <c r="AJ78" i="1"/>
  <c r="AP78" i="1"/>
  <c r="AN78" i="1"/>
  <c r="AW68" i="1"/>
  <c r="AT68" i="1"/>
  <c r="AU68" i="1"/>
  <c r="AM68" i="1"/>
  <c r="AV68" i="1"/>
  <c r="AJ68" i="1"/>
  <c r="AP68" i="1"/>
  <c r="AN68" i="1"/>
  <c r="AW50" i="1"/>
  <c r="AV50" i="1"/>
  <c r="AT50" i="1"/>
  <c r="AM50" i="1"/>
  <c r="AU50" i="1"/>
  <c r="AP50" i="1"/>
  <c r="AJ50" i="1"/>
  <c r="AN50" i="1"/>
  <c r="AV73" i="1"/>
  <c r="AT73" i="1"/>
  <c r="AW73" i="1"/>
  <c r="AU73" i="1"/>
  <c r="AM73" i="1"/>
  <c r="AP73" i="1"/>
  <c r="AJ73" i="1"/>
  <c r="AN73" i="1"/>
  <c r="AW57" i="1"/>
  <c r="AM57" i="1"/>
  <c r="AU57" i="1"/>
  <c r="AV57" i="1"/>
  <c r="AT57" i="1"/>
  <c r="AP57" i="1"/>
  <c r="AN57" i="1"/>
  <c r="AJ57" i="1"/>
  <c r="AT74" i="1"/>
  <c r="AW74" i="1"/>
  <c r="AU74" i="1"/>
  <c r="AV74" i="1"/>
  <c r="AM74" i="1"/>
  <c r="AN74" i="1"/>
  <c r="AJ74" i="1"/>
  <c r="AP74" i="1"/>
  <c r="BN24" i="1"/>
  <c r="BE20" i="1"/>
  <c r="BO11" i="1"/>
  <c r="BN10" i="1"/>
  <c r="BL23" i="1"/>
  <c r="AW76" i="1"/>
  <c r="AV76" i="1"/>
  <c r="AT76" i="1"/>
  <c r="AU76" i="1"/>
  <c r="AM76" i="1"/>
  <c r="AP76" i="1"/>
  <c r="AN76" i="1"/>
  <c r="AJ76" i="1"/>
  <c r="AV71" i="1"/>
  <c r="AU71" i="1"/>
  <c r="AM71" i="1"/>
  <c r="AT71" i="1"/>
  <c r="AW71" i="1"/>
  <c r="AN71" i="1"/>
  <c r="AJ71" i="1"/>
  <c r="AP71" i="1"/>
  <c r="AT72" i="1"/>
  <c r="AV72" i="1"/>
  <c r="AU72" i="1"/>
  <c r="AW72" i="1"/>
  <c r="AM72" i="1"/>
  <c r="AN72" i="1"/>
  <c r="AJ72" i="1"/>
  <c r="AP72" i="1"/>
  <c r="AU67" i="1"/>
  <c r="AM67" i="1"/>
  <c r="AV67" i="1"/>
  <c r="AT67" i="1"/>
  <c r="AW67" i="1"/>
  <c r="AP67" i="1"/>
  <c r="AJ67" i="1"/>
  <c r="AN67" i="1"/>
  <c r="AW54" i="1"/>
  <c r="AT54" i="1"/>
  <c r="AM54" i="1"/>
  <c r="AU54" i="1"/>
  <c r="AV54" i="1"/>
  <c r="AJ54" i="1"/>
  <c r="AN54" i="1"/>
  <c r="AP54" i="1"/>
  <c r="AV56" i="1"/>
  <c r="AW56" i="1"/>
  <c r="AM56" i="1"/>
  <c r="AU56" i="1"/>
  <c r="AT56" i="1"/>
  <c r="AP56" i="1"/>
  <c r="AN56" i="1"/>
  <c r="AJ56" i="1"/>
  <c r="AK56" i="1"/>
  <c r="AS56" i="1"/>
  <c r="BH8" i="1"/>
  <c r="BH27" i="1"/>
  <c r="BL8" i="1"/>
  <c r="BO19" i="1"/>
  <c r="BO7" i="1"/>
  <c r="AW53" i="1"/>
  <c r="AU53" i="1"/>
  <c r="AM53" i="1"/>
  <c r="AP53" i="1"/>
  <c r="AV53" i="1"/>
  <c r="AN53" i="1"/>
  <c r="AT53" i="1"/>
  <c r="AJ53" i="1"/>
  <c r="BL25" i="1"/>
  <c r="BB28" i="1"/>
  <c r="BE22" i="1"/>
  <c r="BH23" i="1"/>
  <c r="BN27" i="1"/>
  <c r="BM28" i="1"/>
  <c r="AT70" i="1"/>
  <c r="AV70" i="1"/>
  <c r="AM70" i="1"/>
  <c r="AU70" i="1"/>
  <c r="AW70" i="1"/>
  <c r="AJ70" i="1"/>
  <c r="AP70" i="1"/>
  <c r="AN70" i="1"/>
  <c r="AN48" i="1"/>
  <c r="AT48" i="1"/>
  <c r="AM48" i="1"/>
  <c r="AJ48" i="1"/>
  <c r="AV48" i="1"/>
  <c r="AP48" i="1"/>
  <c r="AW48" i="1"/>
  <c r="AU48" i="1"/>
  <c r="A30" i="26"/>
  <c r="T186" i="23"/>
  <c r="AK51" i="1" l="1"/>
  <c r="BC7" i="1"/>
  <c r="AR61" i="1"/>
  <c r="AQ79" i="1"/>
  <c r="AR51" i="1"/>
  <c r="AR63" i="1"/>
  <c r="AQ62" i="1"/>
  <c r="AQ80" i="1"/>
  <c r="AQ74" i="1"/>
  <c r="AR73" i="1"/>
  <c r="AQ76" i="1"/>
  <c r="AR68" i="1"/>
  <c r="AR76" i="1"/>
  <c r="AS81" i="1"/>
  <c r="BC22" i="1"/>
  <c r="AS67" i="1"/>
  <c r="BI31" i="1"/>
  <c r="AS68" i="1"/>
  <c r="AS63" i="1"/>
  <c r="AR53" i="1"/>
  <c r="AR49" i="1"/>
  <c r="AQ52" i="1"/>
  <c r="AQ53" i="1"/>
  <c r="BK30" i="1"/>
  <c r="AQ55" i="1"/>
  <c r="BC8" i="1"/>
  <c r="BK22" i="1"/>
  <c r="AK53" i="1"/>
  <c r="AQ54" i="1"/>
  <c r="BJ30" i="1"/>
  <c r="AQ78" i="1"/>
  <c r="AS77" i="1"/>
  <c r="AR55" i="1"/>
  <c r="AS60" i="1"/>
  <c r="AS62" i="1"/>
  <c r="BK11" i="1"/>
  <c r="AR69" i="1"/>
  <c r="AS59" i="1"/>
  <c r="AK73" i="1"/>
  <c r="AK75" i="1"/>
  <c r="AK55" i="1"/>
  <c r="AK72" i="1"/>
  <c r="AS65" i="1"/>
  <c r="BK25" i="1"/>
  <c r="AS58" i="1"/>
  <c r="AS74" i="1"/>
  <c r="AK78" i="1"/>
  <c r="AQ58" i="1"/>
  <c r="AR64" i="1"/>
  <c r="BI27" i="1"/>
  <c r="BK14" i="1"/>
  <c r="AR75" i="1"/>
  <c r="BC24" i="1"/>
  <c r="AK68" i="1"/>
  <c r="BI22" i="1"/>
  <c r="AS53" i="1"/>
  <c r="BI26" i="1"/>
  <c r="AQ77" i="1"/>
  <c r="BJ15" i="1"/>
  <c r="AS70" i="1"/>
  <c r="AS54" i="1"/>
  <c r="AR58" i="1"/>
  <c r="BJ7" i="1"/>
  <c r="AS64" i="1"/>
  <c r="BK23" i="1"/>
  <c r="BK15" i="1"/>
  <c r="BJ25" i="1"/>
  <c r="BI19" i="1"/>
  <c r="BK28" i="1"/>
  <c r="AS72" i="1"/>
  <c r="AQ67" i="1"/>
  <c r="AS61" i="1"/>
  <c r="AR60" i="1"/>
  <c r="AQ65" i="1"/>
  <c r="AK67" i="1"/>
  <c r="AQ75" i="1"/>
  <c r="BJ10" i="1"/>
  <c r="AQ63" i="1"/>
  <c r="BK7" i="1"/>
  <c r="AQ50" i="1"/>
  <c r="AQ69" i="1"/>
  <c r="BI20" i="1"/>
  <c r="AK69" i="1"/>
  <c r="AR70" i="1"/>
  <c r="AS50" i="1"/>
  <c r="AS69" i="1"/>
  <c r="AQ70" i="1"/>
  <c r="AR71" i="1"/>
  <c r="AR74" i="1"/>
  <c r="BI9" i="1"/>
  <c r="AR78" i="1"/>
  <c r="AR77" i="1"/>
  <c r="AK64" i="1"/>
  <c r="BI10" i="1"/>
  <c r="AR59" i="1"/>
  <c r="BC30" i="1"/>
  <c r="AR57" i="1"/>
  <c r="AK54" i="1"/>
  <c r="AK70" i="1"/>
  <c r="AR80" i="1"/>
  <c r="AK76" i="1"/>
  <c r="BK26" i="1"/>
  <c r="BI25" i="1"/>
  <c r="AQ61" i="1"/>
  <c r="AQ72" i="1"/>
  <c r="AR81" i="1"/>
  <c r="AR72" i="1"/>
  <c r="AQ81" i="1"/>
  <c r="AK52" i="1"/>
  <c r="AR65" i="1"/>
  <c r="AQ49" i="1"/>
  <c r="AR79" i="1"/>
  <c r="BI28" i="1"/>
  <c r="BI15" i="1"/>
  <c r="AS55" i="1"/>
  <c r="AR50" i="1"/>
  <c r="BJ19" i="1"/>
  <c r="AQ71" i="1"/>
  <c r="AK74" i="1"/>
  <c r="AS73" i="1"/>
  <c r="AS78" i="1"/>
  <c r="AK58" i="1"/>
  <c r="A5" i="26"/>
  <c r="AS76" i="1"/>
  <c r="AQ73" i="1"/>
  <c r="AQ64" i="1"/>
  <c r="AQ51" i="1"/>
  <c r="AK63" i="1"/>
  <c r="A37" i="26"/>
  <c r="BC17" i="1"/>
  <c r="BC20" i="1"/>
  <c r="BC16" i="1"/>
  <c r="BC18" i="1"/>
  <c r="BC13" i="1"/>
  <c r="BC10" i="1"/>
  <c r="BC29" i="1"/>
  <c r="BC14" i="1"/>
  <c r="BC21" i="1"/>
  <c r="BC23" i="1"/>
  <c r="BC12" i="1"/>
  <c r="AK60" i="1"/>
  <c r="BI13" i="1"/>
  <c r="BK31" i="1"/>
  <c r="BK29" i="1"/>
  <c r="BK21" i="1"/>
  <c r="BK10" i="1"/>
  <c r="BK19" i="1"/>
  <c r="BK13" i="1"/>
  <c r="BI16" i="1"/>
  <c r="BK16" i="1"/>
  <c r="BI18" i="1"/>
  <c r="BI14" i="1"/>
  <c r="BK18" i="1"/>
  <c r="BK24" i="1"/>
  <c r="BK12" i="1"/>
  <c r="AQ48" i="1"/>
  <c r="BI24" i="1"/>
  <c r="BI7" i="1"/>
  <c r="BK27" i="1"/>
  <c r="BI17" i="1"/>
  <c r="BI29" i="1"/>
  <c r="BK20" i="1"/>
  <c r="BI21" i="1"/>
  <c r="BK17" i="1"/>
  <c r="BI12" i="1"/>
  <c r="BK8" i="1"/>
  <c r="BI11" i="1"/>
  <c r="AK65" i="1"/>
  <c r="BJ17" i="1"/>
  <c r="BJ29" i="1"/>
  <c r="BJ12" i="1"/>
  <c r="BJ16" i="1"/>
  <c r="BJ28" i="1"/>
  <c r="BJ21" i="1"/>
  <c r="BJ13" i="1"/>
  <c r="BJ24" i="1"/>
  <c r="BJ26" i="1"/>
  <c r="BJ27" i="1"/>
  <c r="BJ14" i="1"/>
  <c r="BJ11" i="1"/>
  <c r="BJ18" i="1"/>
  <c r="BJ31" i="1"/>
  <c r="BJ8" i="1"/>
  <c r="AR54" i="1"/>
  <c r="BJ9" i="1"/>
  <c r="AS57" i="1"/>
  <c r="AK81" i="1"/>
  <c r="BC15" i="1"/>
  <c r="AS79" i="1"/>
  <c r="AQ59" i="1"/>
  <c r="BC25" i="1"/>
  <c r="AK49" i="1"/>
  <c r="BC9" i="1"/>
  <c r="BC26" i="1"/>
  <c r="AS66" i="1"/>
  <c r="AK59" i="1"/>
  <c r="AK66" i="1"/>
  <c r="AR56" i="1"/>
  <c r="AS71" i="1"/>
  <c r="AQ68" i="1"/>
  <c r="AR62" i="1"/>
  <c r="AK80" i="1"/>
  <c r="BJ20" i="1"/>
  <c r="AK77" i="1"/>
  <c r="BJ23" i="1"/>
  <c r="AQ66" i="1"/>
  <c r="BI8" i="1"/>
  <c r="AK57" i="1"/>
  <c r="BC19" i="1"/>
  <c r="BJ22" i="1"/>
  <c r="AK62" i="1"/>
  <c r="AS80" i="1"/>
  <c r="BK9" i="1"/>
  <c r="AK79" i="1"/>
  <c r="AR66" i="1"/>
  <c r="BC28" i="1"/>
  <c r="AQ56" i="1"/>
  <c r="AR67" i="1"/>
  <c r="AK71" i="1"/>
  <c r="AQ57" i="1"/>
  <c r="AK50" i="1"/>
  <c r="AS49" i="1"/>
  <c r="AS75" i="1"/>
  <c r="BC27" i="1"/>
  <c r="BC31" i="1"/>
  <c r="AR48" i="1"/>
  <c r="AS48" i="1"/>
  <c r="AK48" i="1"/>
  <c r="BB166" i="23"/>
  <c r="BB152" i="23"/>
  <c r="BB163" i="23"/>
  <c r="BB67" i="23"/>
  <c r="BB154" i="23"/>
  <c r="BB162" i="23"/>
  <c r="BB157" i="23"/>
  <c r="BB91" i="23"/>
  <c r="BB190" i="23"/>
  <c r="BB108" i="23"/>
  <c r="BB175" i="23"/>
  <c r="BV16" i="1"/>
  <c r="BV27" i="1"/>
  <c r="BB62" i="23"/>
  <c r="BV13" i="1"/>
  <c r="BV22" i="1"/>
  <c r="BV14" i="1"/>
  <c r="BB159" i="23"/>
  <c r="BB106" i="23"/>
  <c r="BV25" i="1"/>
  <c r="BV24" i="1"/>
  <c r="BB147" i="23"/>
  <c r="BV11" i="1"/>
  <c r="BV17" i="1"/>
  <c r="BV23" i="1"/>
  <c r="BB180" i="23"/>
  <c r="BV18" i="1"/>
  <c r="BW18" i="1" s="1"/>
  <c r="BV15" i="1"/>
  <c r="BV26" i="1"/>
  <c r="BB115" i="23"/>
  <c r="BV20" i="1"/>
  <c r="Z81" i="1"/>
  <c r="U85" i="1"/>
  <c r="AB82" i="1"/>
  <c r="U83" i="1"/>
  <c r="T84" i="1"/>
  <c r="AC85" i="1"/>
  <c r="AC84" i="1"/>
  <c r="AA87" i="1"/>
  <c r="AB86" i="1"/>
  <c r="T82" i="1"/>
  <c r="AA80" i="1"/>
  <c r="T95" i="1"/>
  <c r="AC82" i="1"/>
  <c r="AC93" i="1"/>
  <c r="T7" i="1"/>
  <c r="AA79" i="1"/>
  <c r="AC86" i="1"/>
  <c r="T80" i="1"/>
  <c r="T83" i="1"/>
  <c r="AB84" i="1"/>
  <c r="AC95" i="1"/>
  <c r="U90" i="1"/>
  <c r="U84" i="1"/>
  <c r="U87" i="1"/>
  <c r="U86" i="1"/>
  <c r="AB85" i="1"/>
  <c r="AC91" i="1"/>
  <c r="T87" i="1"/>
  <c r="T86" i="1"/>
  <c r="U92" i="1"/>
  <c r="AA89" i="1"/>
  <c r="AB93" i="1"/>
  <c r="AB94" i="1"/>
  <c r="AB79" i="1"/>
  <c r="T96" i="1"/>
  <c r="AA94" i="1"/>
  <c r="AA82" i="1"/>
  <c r="AC80" i="1"/>
  <c r="AB83" i="1"/>
  <c r="U78" i="1"/>
  <c r="AC78" i="1"/>
  <c r="AB91" i="1"/>
  <c r="AB89" i="1"/>
  <c r="U82" i="1"/>
  <c r="AB90" i="1"/>
  <c r="AC96" i="1"/>
  <c r="U79" i="1"/>
  <c r="AB92" i="1"/>
  <c r="U80" i="1"/>
  <c r="AC87" i="1"/>
  <c r="AB96" i="1"/>
  <c r="AA57" i="1"/>
  <c r="AC89" i="1"/>
  <c r="AA96" i="1"/>
  <c r="U95" i="1"/>
  <c r="AA95" i="1"/>
  <c r="U93" i="1"/>
  <c r="AA83" i="1"/>
  <c r="U91" i="1"/>
  <c r="AA85" i="1"/>
  <c r="AC92" i="1"/>
  <c r="AA84" i="1"/>
  <c r="T85" i="1"/>
  <c r="AC94" i="1"/>
  <c r="T90" i="1"/>
  <c r="T93" i="1"/>
  <c r="AB78" i="1"/>
  <c r="AC79" i="1"/>
  <c r="AB80" i="1"/>
  <c r="T14" i="1"/>
  <c r="T79" i="1"/>
  <c r="AB95" i="1"/>
  <c r="AC83" i="1"/>
  <c r="U89" i="1"/>
  <c r="T89" i="1"/>
  <c r="AA93" i="1"/>
  <c r="AC88" i="1"/>
  <c r="U96" i="1"/>
  <c r="U94" i="1"/>
  <c r="AA78" i="1"/>
  <c r="T91" i="1"/>
  <c r="T94" i="1"/>
  <c r="AB87" i="1"/>
  <c r="T78" i="1"/>
  <c r="AA92" i="1"/>
  <c r="AB57" i="1"/>
  <c r="T92" i="1"/>
  <c r="AC90" i="1"/>
  <c r="AA90" i="1"/>
  <c r="AA86" i="1"/>
  <c r="AA91" i="1"/>
  <c r="AA14" i="1"/>
  <c r="AC81" i="1"/>
  <c r="AB81" i="1"/>
  <c r="T81" i="1"/>
  <c r="AB14" i="1"/>
  <c r="U57" i="1"/>
  <c r="U14" i="1"/>
  <c r="T88" i="1"/>
  <c r="AA81" i="1"/>
  <c r="U88" i="1"/>
  <c r="AC57" i="1"/>
  <c r="AB88" i="1"/>
  <c r="AB31" i="1"/>
  <c r="AB8" i="1"/>
  <c r="AB20" i="1"/>
  <c r="AB21" i="1"/>
  <c r="U81" i="1"/>
  <c r="AC14" i="1"/>
  <c r="AA88" i="1"/>
  <c r="T57" i="1"/>
  <c r="AB24" i="1"/>
  <c r="AB30" i="1"/>
  <c r="AB34" i="1"/>
  <c r="AB33" i="1"/>
  <c r="AB29" i="1"/>
  <c r="AB40" i="1"/>
  <c r="AB11" i="1"/>
  <c r="AB27" i="1"/>
  <c r="AB23" i="1"/>
  <c r="AB37" i="1"/>
  <c r="AB32" i="1"/>
  <c r="AB22" i="1"/>
  <c r="AB10" i="1"/>
  <c r="AB41" i="1"/>
  <c r="AB13" i="1"/>
  <c r="AB25" i="1"/>
  <c r="BV10" i="1"/>
  <c r="AB39" i="1"/>
  <c r="AB26" i="1"/>
  <c r="AB36" i="1"/>
  <c r="AB9" i="1"/>
  <c r="AB15" i="1"/>
  <c r="BV9" i="1"/>
  <c r="AB38" i="1"/>
  <c r="AB12" i="1"/>
  <c r="AB35" i="1"/>
  <c r="BV19" i="1"/>
  <c r="BV21" i="1"/>
  <c r="BV12" i="1"/>
  <c r="BV8" i="1"/>
  <c r="BT8" i="1" s="1"/>
  <c r="AB42" i="1"/>
  <c r="AB52" i="1"/>
  <c r="AA50" i="1"/>
  <c r="AA76" i="1"/>
  <c r="U53" i="1"/>
  <c r="AB51" i="1"/>
  <c r="U50" i="1"/>
  <c r="AC48" i="1"/>
  <c r="AC53" i="1"/>
  <c r="AB55" i="1"/>
  <c r="AA48" i="1"/>
  <c r="AA49" i="1"/>
  <c r="U76" i="1"/>
  <c r="U48" i="1"/>
  <c r="T54" i="1"/>
  <c r="AB50" i="1"/>
  <c r="AC54" i="1"/>
  <c r="AA75" i="1"/>
  <c r="AC52" i="1"/>
  <c r="T50" i="1"/>
  <c r="AB53" i="1"/>
  <c r="U55" i="1"/>
  <c r="T48" i="1"/>
  <c r="AB54" i="1"/>
  <c r="T52" i="1"/>
  <c r="T76" i="1"/>
  <c r="U56" i="1"/>
  <c r="AA53" i="1"/>
  <c r="AB48" i="1"/>
  <c r="U49" i="1"/>
  <c r="AC49" i="1"/>
  <c r="AA51" i="1"/>
  <c r="T55" i="1"/>
  <c r="T56" i="1"/>
  <c r="AB75" i="1"/>
  <c r="AA55" i="1"/>
  <c r="T75" i="1"/>
  <c r="T49" i="1"/>
  <c r="AA54" i="1"/>
  <c r="U51" i="1"/>
  <c r="AA52" i="1"/>
  <c r="AA56" i="1"/>
  <c r="AC76" i="1"/>
  <c r="U52" i="1"/>
  <c r="T53" i="1"/>
  <c r="U54" i="1"/>
  <c r="AC56" i="1"/>
  <c r="AC51" i="1"/>
  <c r="AC75" i="1"/>
  <c r="T51" i="1"/>
  <c r="AC55" i="1"/>
  <c r="AB49" i="1"/>
  <c r="AC50" i="1"/>
  <c r="AB56" i="1"/>
  <c r="U75" i="1"/>
  <c r="AB76" i="1"/>
  <c r="BB130" i="23"/>
  <c r="BB38" i="23"/>
  <c r="BB68" i="23"/>
  <c r="BB123" i="23"/>
  <c r="BB103" i="23"/>
  <c r="BB142" i="23"/>
  <c r="BB37" i="23"/>
  <c r="BB129" i="23"/>
  <c r="BB173" i="23"/>
  <c r="BB153" i="23"/>
  <c r="BB17" i="23"/>
  <c r="BB30" i="23"/>
  <c r="BB18" i="23"/>
  <c r="BB27" i="23"/>
  <c r="T149" i="23"/>
  <c r="T34" i="23"/>
  <c r="BB81" i="23" l="1"/>
  <c r="BB13" i="23"/>
  <c r="BB110" i="23"/>
  <c r="BB169" i="23"/>
  <c r="BB55" i="23"/>
  <c r="BB194" i="23"/>
  <c r="BB156" i="23"/>
  <c r="BB78" i="23"/>
  <c r="BB128" i="23"/>
  <c r="BB155" i="23"/>
  <c r="BB116" i="23"/>
  <c r="AR59" i="23"/>
  <c r="AR98" i="23"/>
  <c r="AR73" i="23"/>
  <c r="AR120" i="23"/>
  <c r="AR137" i="23"/>
  <c r="AR168" i="23"/>
  <c r="AR83" i="23"/>
  <c r="AR169" i="23"/>
  <c r="AR170" i="23"/>
  <c r="AR46" i="23"/>
  <c r="AR183" i="23"/>
  <c r="AR88" i="23"/>
  <c r="AR171" i="23"/>
  <c r="AR23" i="23"/>
  <c r="AR189" i="23"/>
  <c r="AR133" i="23"/>
  <c r="AR187" i="23"/>
  <c r="AR190" i="23"/>
  <c r="AR9" i="23"/>
  <c r="AR128" i="23"/>
  <c r="AR136" i="23"/>
  <c r="AR179" i="23"/>
  <c r="AR37" i="23"/>
  <c r="AR148" i="23"/>
  <c r="AR86" i="23"/>
  <c r="AR165" i="23"/>
  <c r="AR178" i="23"/>
  <c r="AR94" i="23"/>
  <c r="AR156" i="23"/>
  <c r="AR104" i="23"/>
  <c r="AR74" i="23"/>
  <c r="AR38" i="23"/>
  <c r="AR142" i="23"/>
  <c r="AR90" i="23"/>
  <c r="AR193" i="23"/>
  <c r="AR100" i="23"/>
  <c r="AR53" i="23"/>
  <c r="AR139" i="23"/>
  <c r="AR191" i="23"/>
  <c r="AR64" i="23"/>
  <c r="AR71" i="23"/>
  <c r="AR176" i="23"/>
  <c r="AR112" i="23"/>
  <c r="AR24" i="23"/>
  <c r="AR111" i="23"/>
  <c r="AR32" i="23"/>
  <c r="AR122" i="23"/>
  <c r="AR125" i="23"/>
  <c r="AR150" i="23"/>
  <c r="AR99" i="23"/>
  <c r="AR40" i="23"/>
  <c r="AR70" i="23"/>
  <c r="AR15" i="23"/>
  <c r="AR158" i="23"/>
  <c r="AR82" i="23"/>
  <c r="AR159" i="23"/>
  <c r="AR103" i="23"/>
  <c r="AR12" i="23"/>
  <c r="AR145" i="23"/>
  <c r="AR55" i="23"/>
  <c r="AR188" i="23"/>
  <c r="AR10" i="23"/>
  <c r="AR186" i="23"/>
  <c r="AR167" i="23"/>
  <c r="AR151" i="23"/>
  <c r="AR48" i="23"/>
  <c r="AR49" i="23"/>
  <c r="AR60" i="23"/>
  <c r="AR97" i="23"/>
  <c r="AR130" i="23"/>
  <c r="AR36" i="23"/>
  <c r="AR172" i="23"/>
  <c r="AR26" i="23"/>
  <c r="AR61" i="23"/>
  <c r="AR154" i="23"/>
  <c r="AR194" i="23"/>
  <c r="AR92" i="23"/>
  <c r="AR117" i="23"/>
  <c r="AR25" i="23"/>
  <c r="AR29" i="23"/>
  <c r="AR113" i="23"/>
  <c r="AR149" i="23"/>
  <c r="AR95" i="23"/>
  <c r="AR18" i="23"/>
  <c r="AR8" i="23"/>
  <c r="AR96" i="23"/>
  <c r="AR81" i="23"/>
  <c r="AR164" i="23"/>
  <c r="AR75" i="23"/>
  <c r="AR110" i="23"/>
  <c r="AR102" i="23"/>
  <c r="AR78" i="23"/>
  <c r="AR44" i="23"/>
  <c r="AR109" i="23"/>
  <c r="AR166" i="23"/>
  <c r="AR42" i="23"/>
  <c r="AR27" i="23"/>
  <c r="AR126" i="23"/>
  <c r="AR146" i="23"/>
  <c r="AR56" i="23"/>
  <c r="AR31" i="23"/>
  <c r="CF11" i="1"/>
  <c r="CB11" i="1"/>
  <c r="CD11" i="1"/>
  <c r="CE11" i="1"/>
  <c r="CC11" i="1"/>
  <c r="BW11" i="1"/>
  <c r="CA11" i="1"/>
  <c r="CC12" i="1"/>
  <c r="CB12" i="1"/>
  <c r="CA12" i="1"/>
  <c r="BW12" i="1"/>
  <c r="CD12" i="1"/>
  <c r="CE12" i="1"/>
  <c r="CF12" i="1"/>
  <c r="CA24" i="1"/>
  <c r="CD24" i="1"/>
  <c r="CE24" i="1"/>
  <c r="CF24" i="1"/>
  <c r="CC24" i="1"/>
  <c r="CB24" i="1"/>
  <c r="BW24" i="1"/>
  <c r="CF19" i="1"/>
  <c r="CA19" i="1"/>
  <c r="CE19" i="1"/>
  <c r="CB19" i="1"/>
  <c r="CD19" i="1"/>
  <c r="CC19" i="1"/>
  <c r="BW19" i="1"/>
  <c r="CD10" i="1"/>
  <c r="CE10" i="1"/>
  <c r="CB10" i="1"/>
  <c r="CF10" i="1"/>
  <c r="BW10" i="1"/>
  <c r="CC10" i="1"/>
  <c r="CA10" i="1"/>
  <c r="CC21" i="1"/>
  <c r="CB21" i="1"/>
  <c r="CA21" i="1"/>
  <c r="BW21" i="1"/>
  <c r="CE21" i="1"/>
  <c r="CD21" i="1"/>
  <c r="CF21" i="1"/>
  <c r="CA27" i="1"/>
  <c r="BW27" i="1"/>
  <c r="CF27" i="1"/>
  <c r="CC27" i="1"/>
  <c r="CB27" i="1"/>
  <c r="CD27" i="1"/>
  <c r="CE27" i="1"/>
  <c r="CE26" i="1"/>
  <c r="CF26" i="1"/>
  <c r="CC26" i="1"/>
  <c r="CB26" i="1"/>
  <c r="CA26" i="1"/>
  <c r="BW26" i="1"/>
  <c r="CD26" i="1"/>
  <c r="CF14" i="1"/>
  <c r="CB14" i="1"/>
  <c r="CC14" i="1"/>
  <c r="BW14" i="1"/>
  <c r="CA14" i="1"/>
  <c r="CD14" i="1"/>
  <c r="CE14" i="1"/>
  <c r="CC22" i="1"/>
  <c r="CB22" i="1"/>
  <c r="CA22" i="1"/>
  <c r="BW22" i="1"/>
  <c r="CE22" i="1"/>
  <c r="CD22" i="1"/>
  <c r="CF22" i="1"/>
  <c r="CE18" i="1"/>
  <c r="CB18" i="1"/>
  <c r="CA18" i="1"/>
  <c r="CD18" i="1"/>
  <c r="CF18" i="1"/>
  <c r="CC18" i="1"/>
  <c r="CE23" i="1"/>
  <c r="CF23" i="1"/>
  <c r="CA23" i="1"/>
  <c r="CD23" i="1"/>
  <c r="CC23" i="1"/>
  <c r="CB23" i="1"/>
  <c r="BW23" i="1"/>
  <c r="CC17" i="1"/>
  <c r="CB17" i="1"/>
  <c r="CA17" i="1"/>
  <c r="BW17" i="1"/>
  <c r="CD17" i="1"/>
  <c r="CF17" i="1"/>
  <c r="CE17" i="1"/>
  <c r="CD13" i="1"/>
  <c r="CE13" i="1"/>
  <c r="CC13" i="1"/>
  <c r="CB13" i="1"/>
  <c r="CA13" i="1"/>
  <c r="BW13" i="1"/>
  <c r="CF13" i="1"/>
  <c r="CD20" i="1"/>
  <c r="CA20" i="1"/>
  <c r="CE20" i="1"/>
  <c r="CF20" i="1"/>
  <c r="CC20" i="1"/>
  <c r="CB20" i="1"/>
  <c r="BW20" i="1"/>
  <c r="CF16" i="1"/>
  <c r="CB16" i="1"/>
  <c r="BW16" i="1"/>
  <c r="CA16" i="1"/>
  <c r="CC16" i="1"/>
  <c r="CD16" i="1"/>
  <c r="CE16" i="1"/>
  <c r="CD25" i="1"/>
  <c r="CA25" i="1"/>
  <c r="CB25" i="1"/>
  <c r="CE25" i="1"/>
  <c r="CC25" i="1"/>
  <c r="CF25" i="1"/>
  <c r="BW25" i="1"/>
  <c r="CF15" i="1"/>
  <c r="CB15" i="1"/>
  <c r="CC15" i="1"/>
  <c r="CD15" i="1"/>
  <c r="BW15" i="1"/>
  <c r="CE15" i="1"/>
  <c r="CA15" i="1"/>
  <c r="CC9" i="1"/>
  <c r="CB9" i="1"/>
  <c r="CA9" i="1"/>
  <c r="BW9" i="1"/>
  <c r="CD9" i="1"/>
  <c r="CE9" i="1"/>
  <c r="CF9" i="1"/>
  <c r="CF8" i="1"/>
  <c r="CC8" i="1"/>
  <c r="CA8" i="1"/>
  <c r="CB8" i="1"/>
  <c r="CE8" i="1"/>
  <c r="BW8" i="1"/>
  <c r="CD8" i="1"/>
  <c r="BX10" i="1"/>
  <c r="BZ10" i="1"/>
  <c r="BZ18" i="1"/>
  <c r="BX18" i="1"/>
  <c r="BZ11" i="1"/>
  <c r="BX11" i="1"/>
  <c r="BZ20" i="1"/>
  <c r="BX20" i="1"/>
  <c r="BX8" i="1"/>
  <c r="BZ15" i="1"/>
  <c r="BX15" i="1"/>
  <c r="BZ19" i="1"/>
  <c r="BX19" i="1"/>
  <c r="BX27" i="1"/>
  <c r="BZ27" i="1"/>
  <c r="BZ22" i="1"/>
  <c r="BX22" i="1"/>
  <c r="BX12" i="1"/>
  <c r="BZ12" i="1"/>
  <c r="BZ9" i="1"/>
  <c r="BX9" i="1"/>
  <c r="BZ26" i="1"/>
  <c r="BX26" i="1"/>
  <c r="BZ24" i="1"/>
  <c r="BX24" i="1"/>
  <c r="BZ21" i="1"/>
  <c r="BX21" i="1"/>
  <c r="BX25" i="1"/>
  <c r="BZ25" i="1"/>
  <c r="BZ23" i="1"/>
  <c r="BX23" i="1"/>
  <c r="BX14" i="1"/>
  <c r="BZ14" i="1"/>
  <c r="BZ17" i="1"/>
  <c r="BX17" i="1"/>
  <c r="BZ16" i="1"/>
  <c r="BX16" i="1"/>
  <c r="BX13" i="1"/>
  <c r="BZ13" i="1"/>
  <c r="Z88" i="1"/>
  <c r="AR144" i="23"/>
  <c r="AR163" i="23"/>
  <c r="AR77" i="23"/>
  <c r="AR41" i="23"/>
  <c r="BT19" i="1"/>
  <c r="BU19" i="1"/>
  <c r="BU20" i="1"/>
  <c r="BT20" i="1"/>
  <c r="BT13" i="1"/>
  <c r="BU13" i="1"/>
  <c r="BU16" i="1"/>
  <c r="BT16" i="1"/>
  <c r="BU24" i="1"/>
  <c r="BT24" i="1"/>
  <c r="BT26" i="1"/>
  <c r="BU26" i="1"/>
  <c r="BT12" i="1"/>
  <c r="BU12" i="1"/>
  <c r="BT10" i="1"/>
  <c r="BU10" i="1"/>
  <c r="BU21" i="1"/>
  <c r="BT21" i="1"/>
  <c r="BU25" i="1"/>
  <c r="BT25" i="1"/>
  <c r="BU18" i="1"/>
  <c r="BT18" i="1"/>
  <c r="BU17" i="1"/>
  <c r="BT17" i="1"/>
  <c r="BU15" i="1"/>
  <c r="BT15" i="1"/>
  <c r="BT14" i="1"/>
  <c r="BU14" i="1"/>
  <c r="BT27" i="1"/>
  <c r="BU27" i="1"/>
  <c r="BT23" i="1"/>
  <c r="BU23" i="1"/>
  <c r="BU11" i="1"/>
  <c r="BT11" i="1"/>
  <c r="BT22" i="1"/>
  <c r="BU22" i="1"/>
  <c r="BZ8" i="1"/>
  <c r="BU8" i="1"/>
  <c r="BT9" i="1"/>
  <c r="BU9" i="1"/>
  <c r="U8" i="1"/>
  <c r="AB72" i="1"/>
  <c r="T31" i="1"/>
  <c r="T67" i="1"/>
  <c r="T32" i="1"/>
  <c r="AC29" i="1"/>
  <c r="U72" i="1"/>
  <c r="AA23" i="1"/>
  <c r="AA46" i="1"/>
  <c r="AC20" i="1"/>
  <c r="T13" i="1"/>
  <c r="T10" i="1"/>
  <c r="AR58" i="23"/>
  <c r="AC11" i="1"/>
  <c r="T35" i="1"/>
  <c r="AC30" i="1"/>
  <c r="AA26" i="1"/>
  <c r="T73" i="1"/>
  <c r="T45" i="1"/>
  <c r="U71" i="1"/>
  <c r="AC33" i="1"/>
  <c r="AA69" i="1"/>
  <c r="AA66" i="1"/>
  <c r="AA43" i="1"/>
  <c r="AA11" i="1"/>
  <c r="AA77" i="1"/>
  <c r="AC9" i="1"/>
  <c r="U30" i="1"/>
  <c r="U45" i="1"/>
  <c r="U34" i="1"/>
  <c r="U66" i="1"/>
  <c r="T20" i="1"/>
  <c r="U44" i="1"/>
  <c r="AC71" i="1"/>
  <c r="AA25" i="1"/>
  <c r="U37" i="1"/>
  <c r="T65" i="1"/>
  <c r="AA61" i="1"/>
  <c r="AC28" i="1"/>
  <c r="U65" i="1"/>
  <c r="T11" i="1"/>
  <c r="T25" i="1"/>
  <c r="AA59" i="1"/>
  <c r="U35" i="1"/>
  <c r="AC43" i="1"/>
  <c r="U21" i="1"/>
  <c r="AA28" i="1"/>
  <c r="AA10" i="1"/>
  <c r="AA39" i="1"/>
  <c r="AB43" i="1"/>
  <c r="AB73" i="1"/>
  <c r="AA34" i="1"/>
  <c r="T63" i="1"/>
  <c r="AB68" i="1"/>
  <c r="AC24" i="1"/>
  <c r="U10" i="1"/>
  <c r="AB60" i="1"/>
  <c r="AC64" i="1"/>
  <c r="AC25" i="1"/>
  <c r="AA63" i="1"/>
  <c r="U60" i="1"/>
  <c r="AA21" i="1"/>
  <c r="AC58" i="1"/>
  <c r="AC27" i="1"/>
  <c r="T74" i="1"/>
  <c r="AC40" i="1"/>
  <c r="AA65" i="1"/>
  <c r="AC18" i="1"/>
  <c r="AC39" i="1"/>
  <c r="AA37" i="1"/>
  <c r="U9" i="1"/>
  <c r="T33" i="1"/>
  <c r="AC42" i="1"/>
  <c r="AA64" i="1"/>
  <c r="AC16" i="1"/>
  <c r="T9" i="1"/>
  <c r="U62" i="1"/>
  <c r="T72" i="1"/>
  <c r="T28" i="1"/>
  <c r="AA8" i="1"/>
  <c r="T70" i="1"/>
  <c r="AB17" i="1"/>
  <c r="T21" i="1"/>
  <c r="T22" i="1"/>
  <c r="T27" i="1"/>
  <c r="AA72" i="1"/>
  <c r="AC67" i="1"/>
  <c r="T23" i="1"/>
  <c r="U17" i="1"/>
  <c r="T71" i="1"/>
  <c r="T39" i="1"/>
  <c r="T38" i="1"/>
  <c r="AB66" i="1"/>
  <c r="T40" i="1"/>
  <c r="AR180" i="23"/>
  <c r="AR91" i="23"/>
  <c r="AA47" i="1"/>
  <c r="AC37" i="1"/>
  <c r="U46" i="1"/>
  <c r="T59" i="1"/>
  <c r="AC61" i="1"/>
  <c r="AC62" i="1"/>
  <c r="AC69" i="1"/>
  <c r="U16" i="1"/>
  <c r="T64" i="1"/>
  <c r="AC41" i="1"/>
  <c r="AC19" i="1"/>
  <c r="AA42" i="1"/>
  <c r="U40" i="1"/>
  <c r="AA62" i="1"/>
  <c r="U15" i="1"/>
  <c r="AC36" i="1"/>
  <c r="U26" i="1"/>
  <c r="U69" i="1"/>
  <c r="AC45" i="1"/>
  <c r="AB59" i="1"/>
  <c r="AA58" i="1"/>
  <c r="T16" i="1"/>
  <c r="AA16" i="1"/>
  <c r="AC44" i="1"/>
  <c r="U32" i="1"/>
  <c r="AC23" i="1"/>
  <c r="T77" i="1"/>
  <c r="T18" i="1"/>
  <c r="AA33" i="1"/>
  <c r="U73" i="1"/>
  <c r="AC74" i="1"/>
  <c r="AC22" i="1"/>
  <c r="AA60" i="1"/>
  <c r="AB19" i="1"/>
  <c r="AC72" i="1"/>
  <c r="AA15" i="1"/>
  <c r="AC73" i="1"/>
  <c r="AA68" i="1"/>
  <c r="AC15" i="1"/>
  <c r="T47" i="1"/>
  <c r="U67" i="1"/>
  <c r="U29" i="1"/>
  <c r="AB71" i="1"/>
  <c r="AA70" i="1"/>
  <c r="T61" i="1"/>
  <c r="U11" i="1"/>
  <c r="U33" i="1"/>
  <c r="U31" i="1"/>
  <c r="AB69" i="1"/>
  <c r="AC66" i="1"/>
  <c r="AC68" i="1"/>
  <c r="T26" i="1"/>
  <c r="U38" i="1"/>
  <c r="AA12" i="1"/>
  <c r="T15" i="1"/>
  <c r="AC35" i="1"/>
  <c r="AA73" i="1"/>
  <c r="AA44" i="1"/>
  <c r="T60" i="1"/>
  <c r="AB61" i="1"/>
  <c r="AC60" i="1"/>
  <c r="AA38" i="1"/>
  <c r="AR35" i="23"/>
  <c r="AC26" i="1"/>
  <c r="AA19" i="1"/>
  <c r="T29" i="1"/>
  <c r="T44" i="1"/>
  <c r="AC32" i="1"/>
  <c r="AA30" i="1"/>
  <c r="AA18" i="1"/>
  <c r="U64" i="1"/>
  <c r="U25" i="1"/>
  <c r="AB18" i="1"/>
  <c r="T69" i="1"/>
  <c r="AB47" i="1"/>
  <c r="U77" i="1"/>
  <c r="AA24" i="1"/>
  <c r="T41" i="1"/>
  <c r="T62" i="1"/>
  <c r="U41" i="1"/>
  <c r="AC13" i="1"/>
  <c r="U36" i="1"/>
  <c r="AA41" i="1"/>
  <c r="AC34" i="1"/>
  <c r="AB63" i="1"/>
  <c r="T43" i="1"/>
  <c r="AR19" i="23"/>
  <c r="T42" i="1"/>
  <c r="AA36" i="1"/>
  <c r="U23" i="1"/>
  <c r="AB70" i="1"/>
  <c r="AC8" i="1"/>
  <c r="AA17" i="1"/>
  <c r="U68" i="1"/>
  <c r="U74" i="1"/>
  <c r="AC31" i="1"/>
  <c r="AC47" i="1"/>
  <c r="T68" i="1"/>
  <c r="AC10" i="1"/>
  <c r="U61" i="1"/>
  <c r="AA29" i="1"/>
  <c r="AB65" i="1"/>
  <c r="U70" i="1"/>
  <c r="U43" i="1"/>
  <c r="AR57" i="23"/>
  <c r="T8" i="1"/>
  <c r="AC77" i="1"/>
  <c r="AB67" i="1"/>
  <c r="T17" i="1"/>
  <c r="AC63" i="1"/>
  <c r="AR65" i="23"/>
  <c r="AB74" i="1"/>
  <c r="AA13" i="1"/>
  <c r="T66" i="1"/>
  <c r="AA9" i="1"/>
  <c r="U59" i="1"/>
  <c r="U58" i="1"/>
  <c r="U19" i="1"/>
  <c r="U47" i="1"/>
  <c r="T30" i="1"/>
  <c r="AC46" i="1"/>
  <c r="AB62" i="1"/>
  <c r="AC12" i="1"/>
  <c r="U27" i="1"/>
  <c r="U20" i="1"/>
  <c r="AR177" i="23"/>
  <c r="AR52" i="23"/>
  <c r="AB58" i="1"/>
  <c r="U22" i="1"/>
  <c r="T12" i="1"/>
  <c r="U12" i="1"/>
  <c r="AA32" i="1"/>
  <c r="AA40" i="1"/>
  <c r="AC65" i="1"/>
  <c r="U63" i="1"/>
  <c r="T19" i="1"/>
  <c r="AC21" i="1"/>
  <c r="AA31" i="1"/>
  <c r="U42" i="1"/>
  <c r="T34" i="1"/>
  <c r="T36" i="1"/>
  <c r="U13" i="1"/>
  <c r="AA20" i="1"/>
  <c r="AB45" i="1"/>
  <c r="AA74" i="1"/>
  <c r="U18" i="1"/>
  <c r="U39" i="1"/>
  <c r="AB46" i="1"/>
  <c r="U28" i="1"/>
  <c r="U24" i="1"/>
  <c r="T46" i="1"/>
  <c r="AR20" i="23"/>
  <c r="AB16" i="1"/>
  <c r="AA67" i="1"/>
  <c r="AR30" i="23"/>
  <c r="AB28" i="1"/>
  <c r="AA45" i="1"/>
  <c r="AB77" i="1"/>
  <c r="AC70" i="1"/>
  <c r="AA71" i="1"/>
  <c r="AC59" i="1"/>
  <c r="AC17" i="1"/>
  <c r="T58" i="1"/>
  <c r="T24" i="1"/>
  <c r="AA35" i="1"/>
  <c r="AC38" i="1"/>
  <c r="AA22" i="1"/>
  <c r="T37" i="1"/>
  <c r="AA27" i="1"/>
  <c r="AB44" i="1"/>
  <c r="AB64" i="1"/>
  <c r="AR143" i="23"/>
  <c r="AR51" i="23"/>
  <c r="BB51" i="23"/>
  <c r="BB42" i="23"/>
  <c r="BB40" i="23"/>
  <c r="BB59" i="23"/>
  <c r="BB35" i="23"/>
  <c r="BB111" i="23"/>
  <c r="BB98" i="23"/>
  <c r="BB93" i="23"/>
  <c r="BB193" i="23"/>
  <c r="BB176" i="23"/>
  <c r="BB66" i="23"/>
  <c r="BB185" i="23"/>
  <c r="BB95" i="23"/>
  <c r="BB47" i="23"/>
  <c r="BB70" i="23"/>
  <c r="BB56" i="23"/>
  <c r="BB97" i="23"/>
  <c r="BB178" i="23"/>
  <c r="BB25" i="23"/>
  <c r="BB24" i="23"/>
  <c r="BB167" i="23"/>
  <c r="BB69" i="23"/>
  <c r="BB92" i="23"/>
  <c r="BB21" i="23"/>
  <c r="BB187" i="23"/>
  <c r="BB143" i="23"/>
  <c r="BB82" i="23"/>
  <c r="BB105" i="23"/>
  <c r="BB86" i="23"/>
  <c r="BB14" i="23"/>
  <c r="BB117" i="23"/>
  <c r="BB53" i="23"/>
  <c r="BB43" i="23"/>
  <c r="BB36" i="23"/>
  <c r="BB76" i="23"/>
  <c r="BB74" i="23"/>
  <c r="BB54" i="23"/>
  <c r="BB126" i="23"/>
  <c r="BB48" i="23"/>
  <c r="BB23" i="23"/>
  <c r="BB191" i="23"/>
  <c r="BB172" i="23"/>
  <c r="BB113" i="23"/>
  <c r="BB80" i="23"/>
  <c r="BB46" i="23"/>
  <c r="BB109" i="23"/>
  <c r="BB71" i="23"/>
  <c r="BB138" i="23"/>
  <c r="AR119" i="23"/>
  <c r="AR155" i="23"/>
  <c r="AR68" i="23"/>
  <c r="AR127" i="23"/>
  <c r="AR28" i="23"/>
  <c r="AR17" i="23"/>
  <c r="AR135" i="23"/>
  <c r="AR175" i="23"/>
  <c r="AR115" i="23"/>
  <c r="AR140" i="23"/>
  <c r="AR45" i="23"/>
  <c r="AR147" i="23"/>
  <c r="AR72" i="23"/>
  <c r="AR84" i="23"/>
  <c r="AR184" i="23"/>
  <c r="AR185" i="23"/>
  <c r="AR114" i="23"/>
  <c r="AR101" i="23"/>
  <c r="AR16" i="23"/>
  <c r="AR33" i="23"/>
  <c r="AR118" i="23"/>
  <c r="AR174" i="23"/>
  <c r="AR129" i="23"/>
  <c r="AA7" i="1"/>
  <c r="AR123" i="23"/>
  <c r="AR14" i="23"/>
  <c r="U7" i="1"/>
  <c r="AR63" i="23"/>
  <c r="AR11" i="23"/>
  <c r="AR132" i="23"/>
  <c r="AC7" i="1"/>
  <c r="AB7" i="1"/>
  <c r="AR131" i="23"/>
  <c r="AR85" i="23"/>
  <c r="AR107" i="23"/>
  <c r="AR160" i="23"/>
  <c r="AR87" i="23"/>
  <c r="AR124" i="23"/>
  <c r="AR152" i="23"/>
  <c r="AR134" i="23"/>
  <c r="AR80" i="23"/>
  <c r="AR106" i="23"/>
  <c r="AR50" i="23"/>
  <c r="AR108" i="23"/>
  <c r="AR22" i="23"/>
  <c r="AR192" i="23"/>
  <c r="AR67" i="23"/>
  <c r="AR66" i="23"/>
  <c r="AR76" i="23"/>
  <c r="AR34" i="23"/>
  <c r="G34" i="23" s="1"/>
  <c r="AR173" i="23"/>
  <c r="AR43" i="23"/>
  <c r="AR47" i="23"/>
  <c r="AR62" i="23"/>
  <c r="AR93" i="23"/>
  <c r="AR39" i="23"/>
  <c r="BB101" i="23"/>
  <c r="BB10" i="23"/>
  <c r="BB165" i="23"/>
  <c r="BB127" i="23"/>
  <c r="BB107" i="23"/>
  <c r="BB148" i="23"/>
  <c r="BB49" i="23"/>
  <c r="BB192" i="23"/>
  <c r="BB137" i="23"/>
  <c r="BB146" i="23"/>
  <c r="BB124" i="23"/>
  <c r="AR116" i="23"/>
  <c r="AR141" i="23"/>
  <c r="AR121" i="23"/>
  <c r="AR21" i="23"/>
  <c r="BB160" i="23"/>
  <c r="BB83" i="23"/>
  <c r="BB145" i="23"/>
  <c r="BB64" i="23"/>
  <c r="BB132" i="23"/>
  <c r="BB182" i="23"/>
  <c r="BB164" i="23"/>
  <c r="BB179" i="23"/>
  <c r="BB96" i="23"/>
  <c r="BB131" i="23"/>
  <c r="BB63" i="23"/>
  <c r="BB170" i="23"/>
  <c r="BB144" i="23"/>
  <c r="BB122" i="23"/>
  <c r="BB120" i="23"/>
  <c r="BB41" i="23"/>
  <c r="AR182" i="23"/>
  <c r="AR162" i="23"/>
  <c r="AR69" i="23"/>
  <c r="AR105" i="23"/>
  <c r="AR13" i="23"/>
  <c r="BB57" i="23"/>
  <c r="BB140" i="23"/>
  <c r="BB65" i="23"/>
  <c r="BB52" i="23"/>
  <c r="BB88" i="23"/>
  <c r="AR138" i="23"/>
  <c r="AR181" i="23"/>
  <c r="AR54" i="23"/>
  <c r="AR161" i="23"/>
  <c r="AR157" i="23"/>
  <c r="BB189" i="23"/>
  <c r="BB150" i="23"/>
  <c r="BB72" i="23"/>
  <c r="BB100" i="23"/>
  <c r="BB58" i="23"/>
  <c r="BB135" i="23"/>
  <c r="BB61" i="23"/>
  <c r="BB141" i="23"/>
  <c r="BB118" i="23"/>
  <c r="BB77" i="23"/>
  <c r="BB102" i="23"/>
  <c r="BB174" i="23"/>
  <c r="BB151" i="23"/>
  <c r="BB73" i="23"/>
  <c r="BB39" i="23"/>
  <c r="BB60" i="23"/>
  <c r="BB50" i="23"/>
  <c r="AR79" i="23"/>
  <c r="BB188" i="23"/>
  <c r="BB186" i="23"/>
  <c r="BB75" i="23"/>
  <c r="BB133" i="23"/>
  <c r="BB136" i="23"/>
  <c r="BB121" i="23"/>
  <c r="BB119" i="23"/>
  <c r="AR153" i="23"/>
  <c r="BB183" i="23"/>
  <c r="BB161" i="23"/>
  <c r="BB149" i="23"/>
  <c r="BB177" i="23"/>
  <c r="BB114" i="23"/>
  <c r="BB94" i="23"/>
  <c r="BB134" i="23"/>
  <c r="BB45" i="23"/>
  <c r="BB125" i="23"/>
  <c r="BB99" i="23"/>
  <c r="BB84" i="23"/>
  <c r="BB139" i="23"/>
  <c r="BB79" i="23"/>
  <c r="AR89" i="23"/>
  <c r="BB184" i="23"/>
  <c r="BB171" i="23"/>
  <c r="BB87" i="23"/>
  <c r="BB90" i="23"/>
  <c r="BB22" i="23"/>
  <c r="BB158" i="23"/>
  <c r="BB168" i="23"/>
  <c r="BB181" i="23"/>
  <c r="BB85" i="23"/>
  <c r="BB44" i="23"/>
  <c r="BB112" i="23"/>
  <c r="BB89" i="23"/>
  <c r="BB104" i="23"/>
  <c r="BB34" i="23"/>
  <c r="BB28" i="23"/>
  <c r="BB11" i="23"/>
  <c r="BB29" i="23"/>
  <c r="BB32" i="23"/>
  <c r="BB33" i="23"/>
  <c r="BB16" i="23"/>
  <c r="BB12" i="23"/>
  <c r="BB8" i="23"/>
  <c r="BB20" i="23"/>
  <c r="BB15" i="23"/>
  <c r="BB26" i="23"/>
  <c r="BB9" i="23"/>
  <c r="BB19" i="23"/>
  <c r="BB31" i="23"/>
  <c r="AI132" i="23" l="1"/>
  <c r="AI116" i="23"/>
  <c r="AI126" i="23"/>
  <c r="AI125" i="23"/>
  <c r="AI109" i="23"/>
  <c r="AI113" i="23"/>
  <c r="AI135" i="23"/>
  <c r="AI105" i="23"/>
  <c r="AI111" i="23"/>
  <c r="AI118" i="23"/>
  <c r="AI103" i="23"/>
  <c r="AI96" i="23"/>
  <c r="AI95" i="23"/>
  <c r="AI98" i="23"/>
  <c r="AI112" i="23"/>
  <c r="AI124" i="23"/>
  <c r="AI97" i="23"/>
  <c r="AI134" i="23"/>
  <c r="AI133" i="23"/>
  <c r="AI127" i="23"/>
  <c r="AI92" i="23"/>
  <c r="AI120" i="23"/>
  <c r="AI100" i="23"/>
  <c r="AI117" i="23"/>
  <c r="AI102" i="23"/>
  <c r="AI122" i="23"/>
  <c r="AI130" i="23"/>
  <c r="AI110" i="23"/>
  <c r="AI142" i="23"/>
  <c r="AI128" i="23"/>
  <c r="AI107" i="23"/>
  <c r="AI104" i="23"/>
  <c r="AI106" i="23"/>
  <c r="AI108" i="23"/>
  <c r="AI129" i="23"/>
  <c r="AI99" i="23"/>
  <c r="AI123" i="23"/>
  <c r="AI131" i="23"/>
  <c r="AI91" i="23"/>
  <c r="AI90" i="23"/>
  <c r="AI148" i="23"/>
  <c r="AI114" i="23"/>
  <c r="AI119" i="23"/>
  <c r="AI147" i="23"/>
  <c r="AI101" i="23"/>
  <c r="AI93" i="23"/>
  <c r="AI94" i="23"/>
  <c r="AI115" i="23"/>
  <c r="AI121" i="23"/>
  <c r="AM22" i="23" l="1"/>
  <c r="AI26" i="23"/>
  <c r="AH11" i="23"/>
  <c r="AJ25" i="23"/>
  <c r="AI10" i="23"/>
  <c r="AH28" i="23"/>
  <c r="AI27" i="23"/>
  <c r="AI11" i="23"/>
  <c r="AJ10" i="23"/>
  <c r="AK24" i="23"/>
  <c r="AJ9" i="23"/>
  <c r="AH27" i="23"/>
  <c r="AJ26" i="23"/>
  <c r="AM23" i="23"/>
  <c r="AL8" i="23"/>
  <c r="AH12" i="23"/>
  <c r="AK25" i="23"/>
  <c r="AL24" i="23"/>
  <c r="AK9" i="23"/>
  <c r="AL23" i="23"/>
  <c r="AK8" i="23"/>
  <c r="AL22" i="23"/>
  <c r="AK21" i="23"/>
  <c r="AJ21" i="23"/>
  <c r="AM33" i="23"/>
  <c r="AH22" i="23"/>
  <c r="AI21" i="23"/>
  <c r="AJ20" i="23"/>
  <c r="AK19" i="23"/>
  <c r="AL18" i="23"/>
  <c r="AM17" i="23"/>
  <c r="AL33" i="23"/>
  <c r="AM32" i="23"/>
  <c r="AH21" i="23"/>
  <c r="AI20" i="23"/>
  <c r="AJ19" i="23"/>
  <c r="AK18" i="23"/>
  <c r="AL17" i="23"/>
  <c r="AM16" i="23"/>
  <c r="AI25" i="23"/>
  <c r="AK23" i="23"/>
  <c r="AM21" i="23"/>
  <c r="AI9" i="23"/>
  <c r="AH25" i="23"/>
  <c r="AK22" i="23"/>
  <c r="AI8" i="23"/>
  <c r="AI23" i="23"/>
  <c r="AH8" i="23"/>
  <c r="AK20" i="23"/>
  <c r="AJ32" i="23"/>
  <c r="AL30" i="23"/>
  <c r="AH18" i="23"/>
  <c r="AK15" i="23"/>
  <c r="AL14" i="23"/>
  <c r="AM13" i="23"/>
  <c r="AJ23" i="23"/>
  <c r="AH24" i="23"/>
  <c r="AL20" i="23"/>
  <c r="AI22" i="23"/>
  <c r="AL19" i="23"/>
  <c r="AK33" i="23"/>
  <c r="AM31" i="23"/>
  <c r="AI33" i="23"/>
  <c r="AM29" i="23"/>
  <c r="AJ16" i="23"/>
  <c r="AH33" i="23"/>
  <c r="AI32" i="23"/>
  <c r="AJ31" i="23"/>
  <c r="AK30" i="23"/>
  <c r="AL29" i="23"/>
  <c r="AM28" i="23"/>
  <c r="AH17" i="23"/>
  <c r="AI16" i="23"/>
  <c r="AJ15" i="23"/>
  <c r="AK14" i="23"/>
  <c r="AL13" i="23"/>
  <c r="AM12" i="23"/>
  <c r="AJ24" i="23"/>
  <c r="AJ8" i="23"/>
  <c r="AL21" i="23"/>
  <c r="AK29" i="23"/>
  <c r="AL28" i="23"/>
  <c r="AM27" i="23"/>
  <c r="AH16" i="23"/>
  <c r="AI15" i="23"/>
  <c r="AJ14" i="23"/>
  <c r="AK13" i="23"/>
  <c r="AL12" i="23"/>
  <c r="AM11" i="23"/>
  <c r="AK31" i="23"/>
  <c r="AI17" i="23"/>
  <c r="AH32" i="23"/>
  <c r="AI31" i="23"/>
  <c r="AJ30" i="23"/>
  <c r="AH31" i="23"/>
  <c r="AI30" i="23"/>
  <c r="AJ29" i="23"/>
  <c r="AK28" i="23"/>
  <c r="AL27" i="23"/>
  <c r="AM26" i="23"/>
  <c r="AH15" i="23"/>
  <c r="AI14" i="23"/>
  <c r="AJ13" i="23"/>
  <c r="AK12" i="23"/>
  <c r="AL11" i="23"/>
  <c r="AM10" i="23"/>
  <c r="AJ28" i="23"/>
  <c r="AL26" i="23"/>
  <c r="AM25" i="23"/>
  <c r="AH14" i="23"/>
  <c r="AI13" i="23"/>
  <c r="AJ12" i="23"/>
  <c r="AK11" i="23"/>
  <c r="AL10" i="23"/>
  <c r="AM9" i="23"/>
  <c r="AH26" i="23"/>
  <c r="AH10" i="23"/>
  <c r="AI24" i="23"/>
  <c r="AM20" i="23"/>
  <c r="AH9" i="23"/>
  <c r="AJ22" i="23"/>
  <c r="AM19" i="23"/>
  <c r="AH23" i="23"/>
  <c r="AM18" i="23"/>
  <c r="AL32" i="23"/>
  <c r="AH20" i="23"/>
  <c r="AI19" i="23"/>
  <c r="AJ18" i="23"/>
  <c r="AK17" i="23"/>
  <c r="AL16" i="23"/>
  <c r="AM15" i="23"/>
  <c r="AJ33" i="23"/>
  <c r="AK32" i="23"/>
  <c r="AL31" i="23"/>
  <c r="AM30" i="23"/>
  <c r="AH19" i="23"/>
  <c r="AI18" i="23"/>
  <c r="AJ17" i="23"/>
  <c r="AK16" i="23"/>
  <c r="AL15" i="23"/>
  <c r="AM14" i="23"/>
  <c r="AH30" i="23"/>
  <c r="AI29" i="23"/>
  <c r="AK27" i="23"/>
  <c r="AH29" i="23"/>
  <c r="AI28" i="23"/>
  <c r="AJ27" i="23"/>
  <c r="AK26" i="23"/>
  <c r="AL25" i="23"/>
  <c r="AM24" i="23"/>
  <c r="AH13" i="23"/>
  <c r="AI12" i="23"/>
  <c r="AJ11" i="23"/>
  <c r="AK10" i="23"/>
  <c r="AL9" i="23"/>
  <c r="AM8" i="23"/>
  <c r="AH37" i="23"/>
  <c r="AI36" i="23"/>
  <c r="AK37" i="23"/>
  <c r="AJ36" i="23"/>
  <c r="AM37" i="23"/>
  <c r="AH36" i="23"/>
  <c r="AL37" i="23"/>
  <c r="AM36" i="23"/>
  <c r="AJ37" i="23"/>
  <c r="AI37" i="23"/>
  <c r="AL36" i="23"/>
  <c r="AK36" i="23"/>
  <c r="AK129" i="23"/>
  <c r="AM127" i="23"/>
  <c r="AK140" i="23"/>
  <c r="AM134" i="23"/>
  <c r="AL127" i="23"/>
  <c r="AL108" i="23"/>
  <c r="AH143" i="23"/>
  <c r="AH139" i="23"/>
  <c r="AK144" i="23"/>
  <c r="AJ144" i="23"/>
  <c r="AJ140" i="23"/>
  <c r="AM137" i="23"/>
  <c r="AL134" i="23"/>
  <c r="AK127" i="23"/>
  <c r="AM125" i="23"/>
  <c r="AJ108" i="23"/>
  <c r="AH108" i="23"/>
  <c r="AK107" i="23"/>
  <c r="AI140" i="23"/>
  <c r="AM130" i="23"/>
  <c r="AK123" i="23"/>
  <c r="AK121" i="23"/>
  <c r="AJ107" i="23"/>
  <c r="AI143" i="23"/>
  <c r="AM117" i="23"/>
  <c r="AL144" i="23"/>
  <c r="AL137" i="23"/>
  <c r="AM119" i="23"/>
  <c r="AM145" i="23"/>
  <c r="AK145" i="23"/>
  <c r="AK132" i="23"/>
  <c r="AJ145" i="23"/>
  <c r="AJ141" i="23"/>
  <c r="AL130" i="23"/>
  <c r="AJ123" i="23"/>
  <c r="AJ121" i="23"/>
  <c r="AL101" i="23"/>
  <c r="AM135" i="23"/>
  <c r="AK130" i="23"/>
  <c r="AM128" i="23"/>
  <c r="AM111" i="23"/>
  <c r="AL138" i="23"/>
  <c r="AL135" i="23"/>
  <c r="AL128" i="23"/>
  <c r="AJ106" i="23"/>
  <c r="AK136" i="23"/>
  <c r="AK134" i="23"/>
  <c r="AH140" i="23"/>
  <c r="AM123" i="23"/>
  <c r="AI141" i="23"/>
  <c r="AL146" i="23"/>
  <c r="AK142" i="23"/>
  <c r="AK138" i="23"/>
  <c r="AK135" i="23"/>
  <c r="AK128" i="23"/>
  <c r="AM126" i="23"/>
  <c r="AM118" i="23"/>
  <c r="AH106" i="23"/>
  <c r="AK97" i="23"/>
  <c r="AL129" i="23"/>
  <c r="AH147" i="23"/>
  <c r="AK137" i="23"/>
  <c r="AJ119" i="23"/>
  <c r="AH145" i="23"/>
  <c r="AH141" i="23"/>
  <c r="AJ142" i="23"/>
  <c r="AJ138" i="23"/>
  <c r="AJ118" i="23"/>
  <c r="AI139" i="23"/>
  <c r="AL140" i="23"/>
  <c r="AM141" i="23"/>
  <c r="AM132" i="23"/>
  <c r="AL125" i="23"/>
  <c r="AH144" i="23"/>
  <c r="AL132" i="23"/>
  <c r="AJ137" i="23"/>
  <c r="AM142" i="23"/>
  <c r="AM138" i="23"/>
  <c r="AL142" i="23"/>
  <c r="AJ146" i="23"/>
  <c r="AM133" i="23"/>
  <c r="AL126" i="23"/>
  <c r="AI146" i="23"/>
  <c r="AM143" i="23"/>
  <c r="AM139" i="23"/>
  <c r="AI138" i="23"/>
  <c r="AL133" i="23"/>
  <c r="AK126" i="23"/>
  <c r="AM124" i="23"/>
  <c r="AL110" i="23"/>
  <c r="AM94" i="23"/>
  <c r="AH148" i="23"/>
  <c r="AK125" i="23"/>
  <c r="AH146" i="23"/>
  <c r="AL143" i="23"/>
  <c r="AH142" i="23"/>
  <c r="AL139" i="23"/>
  <c r="AK133" i="23"/>
  <c r="AM131" i="23"/>
  <c r="AL124" i="23"/>
  <c r="AM120" i="23"/>
  <c r="AJ148" i="23"/>
  <c r="AI144" i="23"/>
  <c r="AL141" i="23"/>
  <c r="AM121" i="23"/>
  <c r="AK141" i="23"/>
  <c r="AI145" i="23"/>
  <c r="AK143" i="23"/>
  <c r="AK139" i="23"/>
  <c r="AM136" i="23"/>
  <c r="AL131" i="23"/>
  <c r="AJ124" i="23"/>
  <c r="AK122" i="23"/>
  <c r="AJ120" i="23"/>
  <c r="AM140" i="23"/>
  <c r="AK147" i="23"/>
  <c r="AJ143" i="23"/>
  <c r="AJ139" i="23"/>
  <c r="AL136" i="23"/>
  <c r="AK131" i="23"/>
  <c r="AM129" i="23"/>
  <c r="AJ122" i="23"/>
  <c r="AM109" i="23"/>
  <c r="AI89" i="23"/>
  <c r="AK101" i="23"/>
  <c r="AJ97" i="23"/>
  <c r="AH89" i="23"/>
  <c r="AK87" i="23"/>
  <c r="AL85" i="23"/>
  <c r="AL83" i="23"/>
  <c r="AK81" i="23"/>
  <c r="AK70" i="23"/>
  <c r="AJ68" i="23"/>
  <c r="AL63" i="23"/>
  <c r="AI55" i="23"/>
  <c r="AJ101" i="23"/>
  <c r="AJ87" i="23"/>
  <c r="AK85" i="23"/>
  <c r="AK83" i="23"/>
  <c r="AJ81" i="23"/>
  <c r="AJ72" i="23"/>
  <c r="AJ70" i="23"/>
  <c r="AH68" i="23"/>
  <c r="AH55" i="23"/>
  <c r="AM51" i="23"/>
  <c r="AM110" i="23"/>
  <c r="AK109" i="23"/>
  <c r="AH107" i="23"/>
  <c r="AL102" i="23"/>
  <c r="AM98" i="23"/>
  <c r="AI87" i="23"/>
  <c r="AJ85" i="23"/>
  <c r="AI83" i="23"/>
  <c r="AI72" i="23"/>
  <c r="AI70" i="23"/>
  <c r="AM65" i="23"/>
  <c r="AL51" i="23"/>
  <c r="AH42" i="23"/>
  <c r="AK102" i="23"/>
  <c r="AL98" i="23"/>
  <c r="AH92" i="23"/>
  <c r="AH87" i="23"/>
  <c r="AI85" i="23"/>
  <c r="AH83" i="23"/>
  <c r="AH74" i="23"/>
  <c r="AH72" i="23"/>
  <c r="AH70" i="23"/>
  <c r="AK65" i="23"/>
  <c r="AK51" i="23"/>
  <c r="AM116" i="23"/>
  <c r="AM115" i="23"/>
  <c r="AM114" i="23"/>
  <c r="AM113" i="23"/>
  <c r="AM112" i="23"/>
  <c r="AL111" i="23"/>
  <c r="AJ110" i="23"/>
  <c r="AH109" i="23"/>
  <c r="AJ102" i="23"/>
  <c r="AJ98" i="23"/>
  <c r="AM95" i="23"/>
  <c r="AK90" i="23"/>
  <c r="AM67" i="23"/>
  <c r="AJ65" i="23"/>
  <c r="AL54" i="23"/>
  <c r="AL122" i="23"/>
  <c r="AL121" i="23"/>
  <c r="AL120" i="23"/>
  <c r="AL119" i="23"/>
  <c r="AL118" i="23"/>
  <c r="AL117" i="23"/>
  <c r="AL116" i="23"/>
  <c r="AL115" i="23"/>
  <c r="AL114" i="23"/>
  <c r="AL113" i="23"/>
  <c r="AL112" i="23"/>
  <c r="AK111" i="23"/>
  <c r="AH110" i="23"/>
  <c r="AM103" i="23"/>
  <c r="AL95" i="23"/>
  <c r="AJ90" i="23"/>
  <c r="AL67" i="23"/>
  <c r="AI57" i="23"/>
  <c r="AJ54" i="23"/>
  <c r="AI41" i="23"/>
  <c r="AK120" i="23"/>
  <c r="AK119" i="23"/>
  <c r="AK118" i="23"/>
  <c r="AK117" i="23"/>
  <c r="AK116" i="23"/>
  <c r="AK115" i="23"/>
  <c r="AK114" i="23"/>
  <c r="AK113" i="23"/>
  <c r="AK112" i="23"/>
  <c r="AK103" i="23"/>
  <c r="AH102" i="23"/>
  <c r="AM99" i="23"/>
  <c r="AH90" i="23"/>
  <c r="AM88" i="23"/>
  <c r="AM78" i="23"/>
  <c r="AM69" i="23"/>
  <c r="AK67" i="23"/>
  <c r="AM62" i="23"/>
  <c r="AI54" i="23"/>
  <c r="AM50" i="23"/>
  <c r="AL80" i="23"/>
  <c r="AI67" i="23"/>
  <c r="AH54" i="23"/>
  <c r="AL50" i="23"/>
  <c r="AJ117" i="23"/>
  <c r="AJ115" i="23"/>
  <c r="AL69" i="23"/>
  <c r="AJ131" i="23"/>
  <c r="AJ130" i="23"/>
  <c r="AJ129" i="23"/>
  <c r="AJ128" i="23"/>
  <c r="AJ127" i="23"/>
  <c r="AJ126" i="23"/>
  <c r="AH112" i="23"/>
  <c r="AM104" i="23"/>
  <c r="AK99" i="23"/>
  <c r="AJ88" i="23"/>
  <c r="AL86" i="23"/>
  <c r="AL84" i="23"/>
  <c r="AL82" i="23"/>
  <c r="AK80" i="23"/>
  <c r="AK71" i="23"/>
  <c r="AK69" i="23"/>
  <c r="AH67" i="23"/>
  <c r="AM53" i="23"/>
  <c r="AJ40" i="23"/>
  <c r="AJ114" i="23"/>
  <c r="AJ103" i="23"/>
  <c r="AL99" i="23"/>
  <c r="AL88" i="23"/>
  <c r="AH138" i="23"/>
  <c r="AJ135" i="23"/>
  <c r="AJ134" i="23"/>
  <c r="AM148" i="23"/>
  <c r="AH124" i="23"/>
  <c r="AH118" i="23"/>
  <c r="AH117" i="23"/>
  <c r="AH116" i="23"/>
  <c r="AH115" i="23"/>
  <c r="AH114" i="23"/>
  <c r="AH113" i="23"/>
  <c r="AL104" i="23"/>
  <c r="AH103" i="23"/>
  <c r="AH93" i="23"/>
  <c r="AI88" i="23"/>
  <c r="AK86" i="23"/>
  <c r="AK84" i="23"/>
  <c r="AJ82" i="23"/>
  <c r="AJ71" i="23"/>
  <c r="AJ69" i="23"/>
  <c r="AL64" i="23"/>
  <c r="AK53" i="23"/>
  <c r="AH40" i="23"/>
  <c r="AJ116" i="23"/>
  <c r="AJ113" i="23"/>
  <c r="AM84" i="23"/>
  <c r="AI137" i="23"/>
  <c r="AJ132" i="23"/>
  <c r="AH137" i="23"/>
  <c r="AH126" i="23"/>
  <c r="AH123" i="23"/>
  <c r="AH122" i="23"/>
  <c r="AH121" i="23"/>
  <c r="AH120" i="23"/>
  <c r="AH119" i="23"/>
  <c r="AL148" i="23"/>
  <c r="AM147" i="23"/>
  <c r="AH136" i="23"/>
  <c r="AH135" i="23"/>
  <c r="AH134" i="23"/>
  <c r="AH133" i="23"/>
  <c r="AH132" i="23"/>
  <c r="AH131" i="23"/>
  <c r="AH130" i="23"/>
  <c r="AH129" i="23"/>
  <c r="AH128" i="23"/>
  <c r="AM105" i="23"/>
  <c r="AJ104" i="23"/>
  <c r="AM100" i="23"/>
  <c r="AH99" i="23"/>
  <c r="AL96" i="23"/>
  <c r="AH88" i="23"/>
  <c r="AJ86" i="23"/>
  <c r="AJ84" i="23"/>
  <c r="AI82" i="23"/>
  <c r="AI73" i="23"/>
  <c r="AI71" i="23"/>
  <c r="AI69" i="23"/>
  <c r="AK64" i="23"/>
  <c r="AJ56" i="23"/>
  <c r="AJ53" i="23"/>
  <c r="AJ112" i="23"/>
  <c r="AM82" i="23"/>
  <c r="AJ136" i="23"/>
  <c r="AJ133" i="23"/>
  <c r="AI136" i="23"/>
  <c r="AH125" i="23"/>
  <c r="AK148" i="23"/>
  <c r="AL147" i="23"/>
  <c r="AM146" i="23"/>
  <c r="AL105" i="23"/>
  <c r="AL100" i="23"/>
  <c r="AK96" i="23"/>
  <c r="AJ91" i="23"/>
  <c r="AI86" i="23"/>
  <c r="AH84" i="23"/>
  <c r="AH73" i="23"/>
  <c r="AH71" i="23"/>
  <c r="AM66" i="23"/>
  <c r="AH56" i="23"/>
  <c r="AI53" i="23"/>
  <c r="AM49" i="23"/>
  <c r="AK39" i="23"/>
  <c r="AK105" i="23"/>
  <c r="AH104" i="23"/>
  <c r="AK100" i="23"/>
  <c r="AH86" i="23"/>
  <c r="AL66" i="23"/>
  <c r="AI39" i="23"/>
  <c r="AJ147" i="23"/>
  <c r="AK146" i="23"/>
  <c r="AL145" i="23"/>
  <c r="AM144" i="23"/>
  <c r="AL106" i="23"/>
  <c r="AJ100" i="23"/>
  <c r="AL89" i="23"/>
  <c r="AJ66" i="23"/>
  <c r="AL52" i="23"/>
  <c r="AH39" i="23"/>
  <c r="AM107" i="23"/>
  <c r="AK106" i="23"/>
  <c r="AH105" i="23"/>
  <c r="AM101" i="23"/>
  <c r="AH100" i="23"/>
  <c r="AM97" i="23"/>
  <c r="AK89" i="23"/>
  <c r="AM79" i="23"/>
  <c r="AL68" i="23"/>
  <c r="AI66" i="23"/>
  <c r="AK52" i="23"/>
  <c r="AL38" i="23"/>
  <c r="AM87" i="23"/>
  <c r="AM85" i="23"/>
  <c r="AM83" i="23"/>
  <c r="AM81" i="23"/>
  <c r="AL79" i="23"/>
  <c r="AL70" i="23"/>
  <c r="AK68" i="23"/>
  <c r="AM63" i="23"/>
  <c r="AH58" i="23"/>
  <c r="AK55" i="23"/>
  <c r="AJ52" i="23"/>
  <c r="AJ38" i="23"/>
  <c r="AM68" i="23"/>
  <c r="AH57" i="23"/>
  <c r="AI56" i="23"/>
  <c r="AJ55" i="23"/>
  <c r="AK54" i="23"/>
  <c r="AL53" i="23"/>
  <c r="AM52" i="23"/>
  <c r="AH41" i="23"/>
  <c r="AI40" i="23"/>
  <c r="AJ39" i="23"/>
  <c r="AK38" i="23"/>
  <c r="AI38" i="23"/>
  <c r="AH38" i="23"/>
  <c r="AH101" i="23"/>
  <c r="AJ99" i="23"/>
  <c r="AK98" i="23"/>
  <c r="AL97" i="23"/>
  <c r="AM96" i="23"/>
  <c r="AH85" i="23"/>
  <c r="AI84" i="23"/>
  <c r="AJ83" i="23"/>
  <c r="AK82" i="23"/>
  <c r="AL81" i="23"/>
  <c r="AM80" i="23"/>
  <c r="AH69" i="23"/>
  <c r="AI68" i="23"/>
  <c r="AJ67" i="23"/>
  <c r="AK66" i="23"/>
  <c r="AL65" i="23"/>
  <c r="AM64" i="23"/>
  <c r="AH53" i="23"/>
  <c r="AI52" i="23"/>
  <c r="AJ51" i="23"/>
  <c r="AK50" i="23"/>
  <c r="AL49" i="23"/>
  <c r="AM48" i="23"/>
  <c r="AH52" i="23"/>
  <c r="AI51" i="23"/>
  <c r="AJ50" i="23"/>
  <c r="AK49" i="23"/>
  <c r="AL48" i="23"/>
  <c r="AM47" i="23"/>
  <c r="AH51" i="23"/>
  <c r="AI50" i="23"/>
  <c r="AJ49" i="23"/>
  <c r="AK48" i="23"/>
  <c r="AL47" i="23"/>
  <c r="AM46" i="23"/>
  <c r="AH98" i="23"/>
  <c r="AJ96" i="23"/>
  <c r="AK95" i="23"/>
  <c r="AL94" i="23"/>
  <c r="AM93" i="23"/>
  <c r="AH82" i="23"/>
  <c r="AI81" i="23"/>
  <c r="AJ80" i="23"/>
  <c r="AK79" i="23"/>
  <c r="AL78" i="23"/>
  <c r="AM77" i="23"/>
  <c r="AH66" i="23"/>
  <c r="AI65" i="23"/>
  <c r="AJ64" i="23"/>
  <c r="AK63" i="23"/>
  <c r="AL62" i="23"/>
  <c r="AM61" i="23"/>
  <c r="AH50" i="23"/>
  <c r="AI49" i="23"/>
  <c r="AJ48" i="23"/>
  <c r="AK47" i="23"/>
  <c r="AL46" i="23"/>
  <c r="AM45" i="23"/>
  <c r="AJ111" i="23"/>
  <c r="AK110" i="23"/>
  <c r="AL109" i="23"/>
  <c r="AM108" i="23"/>
  <c r="AH97" i="23"/>
  <c r="AJ95" i="23"/>
  <c r="AK94" i="23"/>
  <c r="AL93" i="23"/>
  <c r="AM92" i="23"/>
  <c r="AH81" i="23"/>
  <c r="AI80" i="23"/>
  <c r="AJ79" i="23"/>
  <c r="AK78" i="23"/>
  <c r="AL77" i="23"/>
  <c r="AM76" i="23"/>
  <c r="AH65" i="23"/>
  <c r="AI64" i="23"/>
  <c r="AJ63" i="23"/>
  <c r="AK62" i="23"/>
  <c r="AL61" i="23"/>
  <c r="AM60" i="23"/>
  <c r="AH49" i="23"/>
  <c r="AI48" i="23"/>
  <c r="AJ47" i="23"/>
  <c r="AK46" i="23"/>
  <c r="AL45" i="23"/>
  <c r="AM44" i="23"/>
  <c r="AH96" i="23"/>
  <c r="AJ94" i="23"/>
  <c r="AK93" i="23"/>
  <c r="AL92" i="23"/>
  <c r="AM91" i="23"/>
  <c r="AH80" i="23"/>
  <c r="AI79" i="23"/>
  <c r="AJ78" i="23"/>
  <c r="AK77" i="23"/>
  <c r="AL76" i="23"/>
  <c r="AM75" i="23"/>
  <c r="AH64" i="23"/>
  <c r="AI63" i="23"/>
  <c r="AJ62" i="23"/>
  <c r="AK61" i="23"/>
  <c r="AL60" i="23"/>
  <c r="AM59" i="23"/>
  <c r="AH48" i="23"/>
  <c r="AI47" i="23"/>
  <c r="AJ46" i="23"/>
  <c r="AK45" i="23"/>
  <c r="AL44" i="23"/>
  <c r="AM43" i="23"/>
  <c r="AH127" i="23"/>
  <c r="AJ125" i="23"/>
  <c r="AK124" i="23"/>
  <c r="AL123" i="23"/>
  <c r="AM122" i="23"/>
  <c r="AH111" i="23"/>
  <c r="AJ109" i="23"/>
  <c r="AK108" i="23"/>
  <c r="AL107" i="23"/>
  <c r="AM106" i="23"/>
  <c r="AH95" i="23"/>
  <c r="AJ93" i="23"/>
  <c r="AK92" i="23"/>
  <c r="AL91" i="23"/>
  <c r="AM90" i="23"/>
  <c r="AH79" i="23"/>
  <c r="AI78" i="23"/>
  <c r="AJ77" i="23"/>
  <c r="AK76" i="23"/>
  <c r="AL75" i="23"/>
  <c r="AM74" i="23"/>
  <c r="AH63" i="23"/>
  <c r="AI62" i="23"/>
  <c r="AJ61" i="23"/>
  <c r="AK60" i="23"/>
  <c r="AL59" i="23"/>
  <c r="AM58" i="23"/>
  <c r="AH47" i="23"/>
  <c r="AI46" i="23"/>
  <c r="AJ45" i="23"/>
  <c r="AK44" i="23"/>
  <c r="AL43" i="23"/>
  <c r="AM42" i="23"/>
  <c r="AH94" i="23"/>
  <c r="AJ92" i="23"/>
  <c r="AK91" i="23"/>
  <c r="AL90" i="23"/>
  <c r="AM89" i="23"/>
  <c r="AH78" i="23"/>
  <c r="AI77" i="23"/>
  <c r="AJ76" i="23"/>
  <c r="AK75" i="23"/>
  <c r="AL74" i="23"/>
  <c r="AM73" i="23"/>
  <c r="AH62" i="23"/>
  <c r="AI61" i="23"/>
  <c r="AJ60" i="23"/>
  <c r="AK59" i="23"/>
  <c r="AL58" i="23"/>
  <c r="AM57" i="23"/>
  <c r="AH46" i="23"/>
  <c r="AI45" i="23"/>
  <c r="AJ44" i="23"/>
  <c r="AK43" i="23"/>
  <c r="AL42" i="23"/>
  <c r="AM41" i="23"/>
  <c r="AH77" i="23"/>
  <c r="AI76" i="23"/>
  <c r="AJ75" i="23"/>
  <c r="AK74" i="23"/>
  <c r="AL73" i="23"/>
  <c r="AM72" i="23"/>
  <c r="AH61" i="23"/>
  <c r="AI60" i="23"/>
  <c r="AJ59" i="23"/>
  <c r="AK58" i="23"/>
  <c r="AL57" i="23"/>
  <c r="AM56" i="23"/>
  <c r="AH45" i="23"/>
  <c r="AI44" i="23"/>
  <c r="AJ43" i="23"/>
  <c r="AK42" i="23"/>
  <c r="AL41" i="23"/>
  <c r="AM40" i="23"/>
  <c r="AH76" i="23"/>
  <c r="AI75" i="23"/>
  <c r="AJ74" i="23"/>
  <c r="AK73" i="23"/>
  <c r="AL72" i="23"/>
  <c r="AM71" i="23"/>
  <c r="AH60" i="23"/>
  <c r="AI59" i="23"/>
  <c r="AJ58" i="23"/>
  <c r="AK57" i="23"/>
  <c r="AL56" i="23"/>
  <c r="AM55" i="23"/>
  <c r="AH44" i="23"/>
  <c r="AI43" i="23"/>
  <c r="AJ42" i="23"/>
  <c r="AK41" i="23"/>
  <c r="AL40" i="23"/>
  <c r="AM39" i="23"/>
  <c r="AJ105" i="23"/>
  <c r="AK104" i="23"/>
  <c r="AL103" i="23"/>
  <c r="AM102" i="23"/>
  <c r="AH91" i="23"/>
  <c r="AJ89" i="23"/>
  <c r="AK88" i="23"/>
  <c r="AL87" i="23"/>
  <c r="AM86" i="23"/>
  <c r="AH75" i="23"/>
  <c r="AI74" i="23"/>
  <c r="AJ73" i="23"/>
  <c r="AK72" i="23"/>
  <c r="AL71" i="23"/>
  <c r="AM70" i="23"/>
  <c r="AH59" i="23"/>
  <c r="AI58" i="23"/>
  <c r="AJ57" i="23"/>
  <c r="AK56" i="23"/>
  <c r="AL55" i="23"/>
  <c r="AM54" i="23"/>
  <c r="AH43" i="23"/>
  <c r="AI42" i="23"/>
  <c r="AJ41" i="23"/>
  <c r="AK40" i="23"/>
  <c r="AL39" i="23"/>
  <c r="AM38" i="23"/>
  <c r="T119" i="23" l="1"/>
  <c r="T46" i="23"/>
  <c r="T64" i="23"/>
  <c r="T45" i="23"/>
  <c r="T27" i="23"/>
  <c r="T110" i="23"/>
  <c r="T79" i="23"/>
  <c r="T59" i="23"/>
  <c r="T75" i="23"/>
  <c r="T111" i="23"/>
  <c r="T53" i="23"/>
  <c r="T143" i="23"/>
  <c r="T61" i="23"/>
  <c r="T146" i="23"/>
  <c r="T48" i="23"/>
  <c r="T127" i="23"/>
  <c r="T128" i="23"/>
  <c r="T50" i="23"/>
  <c r="T103" i="23"/>
  <c r="T25" i="23"/>
  <c r="T81" i="23"/>
  <c r="T60" i="23"/>
  <c r="T80" i="23"/>
  <c r="T24" i="23"/>
  <c r="T85" i="23"/>
  <c r="T78" i="23"/>
  <c r="T138" i="23"/>
  <c r="T142" i="23"/>
  <c r="T139" i="23"/>
  <c r="T130" i="23"/>
  <c r="T148" i="23"/>
  <c r="T131" i="23"/>
  <c r="T141" i="23"/>
  <c r="T145" i="23"/>
  <c r="T132" i="23"/>
  <c r="T133" i="23"/>
  <c r="T137" i="23"/>
  <c r="T134" i="23"/>
  <c r="T144" i="23"/>
  <c r="T135" i="23"/>
  <c r="T140" i="23"/>
  <c r="T136" i="23"/>
  <c r="T147" i="23"/>
  <c r="T113" i="23"/>
  <c r="T109" i="23"/>
  <c r="T121" i="23"/>
  <c r="T115" i="23"/>
  <c r="T114" i="23"/>
  <c r="T105" i="23"/>
  <c r="T125" i="23"/>
  <c r="T123" i="23"/>
  <c r="T102" i="23"/>
  <c r="T107" i="23"/>
  <c r="T108" i="23"/>
  <c r="T129" i="23"/>
  <c r="T126" i="23"/>
  <c r="T112" i="23"/>
  <c r="T117" i="23"/>
  <c r="T104" i="23"/>
  <c r="T118" i="23"/>
  <c r="T120" i="23"/>
  <c r="T116" i="23"/>
  <c r="T106" i="23"/>
  <c r="T122" i="23"/>
  <c r="T124" i="23"/>
  <c r="T83" i="23"/>
  <c r="T90" i="23"/>
  <c r="T100" i="23"/>
  <c r="T101" i="23"/>
  <c r="T96" i="23"/>
  <c r="T92" i="23"/>
  <c r="T88" i="23"/>
  <c r="T89" i="23"/>
  <c r="T84" i="23"/>
  <c r="T98" i="23"/>
  <c r="T97" i="23"/>
  <c r="T82" i="23"/>
  <c r="T93" i="23"/>
  <c r="T87" i="23"/>
  <c r="T94" i="23"/>
  <c r="T95" i="23"/>
  <c r="T91" i="23"/>
  <c r="T86" i="23"/>
  <c r="T99" i="23"/>
  <c r="T72" i="23"/>
  <c r="T74" i="23"/>
  <c r="T70" i="23"/>
  <c r="T66" i="23"/>
  <c r="T68" i="23"/>
  <c r="T69" i="23"/>
  <c r="T71" i="23"/>
  <c r="T73" i="23"/>
  <c r="T76" i="23"/>
  <c r="T77" i="23"/>
  <c r="T67" i="23"/>
  <c r="T58" i="23"/>
  <c r="T49" i="23"/>
  <c r="T52" i="23"/>
  <c r="T55" i="23"/>
  <c r="T62" i="23"/>
  <c r="T56" i="23"/>
  <c r="T57" i="23"/>
  <c r="T63" i="23"/>
  <c r="T65" i="23"/>
  <c r="T54" i="23"/>
  <c r="T51" i="23"/>
  <c r="T47" i="23"/>
  <c r="T41" i="23"/>
  <c r="T36" i="23"/>
  <c r="T40" i="23"/>
  <c r="T31" i="23"/>
  <c r="T33" i="23"/>
  <c r="T38" i="23"/>
  <c r="T29" i="23"/>
  <c r="T37" i="23"/>
  <c r="T32" i="23"/>
  <c r="T44" i="23"/>
  <c r="T30" i="23"/>
  <c r="T43" i="23"/>
  <c r="T39" i="23"/>
  <c r="T42" i="23"/>
  <c r="T9" i="23"/>
  <c r="T28" i="23"/>
  <c r="T15" i="23"/>
  <c r="T23" i="23"/>
  <c r="T14" i="23"/>
  <c r="T12" i="23"/>
  <c r="T17" i="23"/>
  <c r="T10" i="23"/>
  <c r="T18" i="23"/>
  <c r="T13" i="23"/>
  <c r="T26" i="23"/>
  <c r="T11" i="23"/>
  <c r="T21" i="23"/>
  <c r="T22" i="23"/>
  <c r="T19" i="23"/>
  <c r="T16" i="23"/>
  <c r="T20" i="23"/>
  <c r="T8" i="23"/>
  <c r="AK179" i="23" l="1"/>
  <c r="AJ179" i="23" l="1"/>
  <c r="AI179" i="23"/>
  <c r="AH179" i="23"/>
  <c r="AL179" i="23" l="1"/>
  <c r="AM179" i="23"/>
  <c r="T179" i="23" l="1"/>
  <c r="Z57" i="1"/>
  <c r="G179" i="23"/>
  <c r="Z93" i="1" l="1"/>
  <c r="Z92" i="1"/>
  <c r="Z91" i="1"/>
  <c r="Z78" i="1"/>
  <c r="Z96" i="1"/>
  <c r="Z95" i="1"/>
  <c r="Z94" i="1"/>
  <c r="Z79" i="1"/>
  <c r="Z75" i="1"/>
  <c r="Z76" i="1"/>
  <c r="Z14" i="1"/>
  <c r="G149" i="23"/>
  <c r="Z93" i="30"/>
  <c r="Y93" i="30"/>
  <c r="X93" i="30"/>
  <c r="W93" i="30"/>
  <c r="V93" i="30"/>
  <c r="U93" i="30"/>
  <c r="Q93" i="30"/>
  <c r="W92" i="30" s="1"/>
  <c r="P93" i="30"/>
  <c r="V92" i="30" s="1"/>
  <c r="O93" i="30"/>
  <c r="U92" i="30" s="1"/>
  <c r="M93" i="30"/>
  <c r="L93" i="30"/>
  <c r="J93" i="30"/>
  <c r="I93" i="30"/>
  <c r="H93" i="30"/>
  <c r="G93" i="30"/>
  <c r="F93" i="30"/>
  <c r="E93" i="30"/>
  <c r="D93" i="30"/>
  <c r="Z92" i="30"/>
  <c r="Y92" i="30"/>
  <c r="X92" i="30"/>
  <c r="Q92" i="30"/>
  <c r="P92" i="30"/>
  <c r="O92" i="30"/>
  <c r="M92" i="30"/>
  <c r="L92" i="30"/>
  <c r="J92" i="30"/>
  <c r="I92" i="30"/>
  <c r="H92" i="30"/>
  <c r="G92" i="30"/>
  <c r="F92" i="30"/>
  <c r="E92" i="30"/>
  <c r="D92" i="30"/>
  <c r="Z91" i="30"/>
  <c r="Y91" i="30"/>
  <c r="X91" i="30"/>
  <c r="W91" i="30"/>
  <c r="V91" i="30"/>
  <c r="U91" i="30"/>
  <c r="Q91" i="30"/>
  <c r="P91" i="30"/>
  <c r="O91" i="30"/>
  <c r="M91" i="30"/>
  <c r="L91" i="30"/>
  <c r="J91" i="30"/>
  <c r="I91" i="30"/>
  <c r="H91" i="30"/>
  <c r="G91" i="30"/>
  <c r="F91" i="30"/>
  <c r="E91" i="30"/>
  <c r="D91" i="30"/>
  <c r="Z90" i="30"/>
  <c r="Y90" i="30"/>
  <c r="X90" i="30"/>
  <c r="W90" i="30"/>
  <c r="V90" i="30"/>
  <c r="U90" i="30"/>
  <c r="Q90" i="30"/>
  <c r="P90" i="30"/>
  <c r="O90" i="30"/>
  <c r="M90" i="30"/>
  <c r="L90" i="30"/>
  <c r="J90" i="30"/>
  <c r="I90" i="30"/>
  <c r="H90" i="30"/>
  <c r="G90" i="30"/>
  <c r="F90" i="30"/>
  <c r="E90" i="30"/>
  <c r="D90" i="30"/>
  <c r="Z89" i="30"/>
  <c r="Y89" i="30"/>
  <c r="X89" i="30"/>
  <c r="W89" i="30"/>
  <c r="V89" i="30"/>
  <c r="U89" i="30"/>
  <c r="Q89" i="30"/>
  <c r="P89" i="30"/>
  <c r="O89" i="30"/>
  <c r="M89" i="30"/>
  <c r="L89" i="30"/>
  <c r="J89" i="30"/>
  <c r="I89" i="30"/>
  <c r="H89" i="30"/>
  <c r="G89" i="30"/>
  <c r="F89" i="30"/>
  <c r="E89" i="30"/>
  <c r="D89" i="30"/>
  <c r="Q88" i="30"/>
  <c r="P88" i="30"/>
  <c r="O88" i="30"/>
  <c r="M88" i="30"/>
  <c r="L88" i="30"/>
  <c r="J88" i="30"/>
  <c r="I88" i="30"/>
  <c r="H88" i="30"/>
  <c r="G88" i="30"/>
  <c r="F88" i="30"/>
  <c r="E88" i="30"/>
  <c r="D88" i="30"/>
  <c r="Q87" i="30"/>
  <c r="P87" i="30"/>
  <c r="O87" i="30"/>
  <c r="M87" i="30"/>
  <c r="L87" i="30"/>
  <c r="J87" i="30"/>
  <c r="I87" i="30"/>
  <c r="H87" i="30"/>
  <c r="G87" i="30"/>
  <c r="F87" i="30"/>
  <c r="E87" i="30"/>
  <c r="D87" i="30"/>
  <c r="Q86" i="30"/>
  <c r="P86" i="30"/>
  <c r="O86" i="30"/>
  <c r="M86" i="30"/>
  <c r="L86" i="30"/>
  <c r="J86" i="30"/>
  <c r="I86" i="30"/>
  <c r="H86" i="30"/>
  <c r="G86" i="30"/>
  <c r="F86" i="30"/>
  <c r="E86" i="30"/>
  <c r="D86" i="30"/>
  <c r="Q85" i="30"/>
  <c r="P85" i="30"/>
  <c r="O85" i="30"/>
  <c r="M85" i="30"/>
  <c r="L85" i="30"/>
  <c r="J85" i="30"/>
  <c r="I85" i="30"/>
  <c r="H85" i="30"/>
  <c r="G85" i="30"/>
  <c r="F85" i="30"/>
  <c r="E85" i="30"/>
  <c r="Q84" i="30"/>
  <c r="P84" i="30"/>
  <c r="O84" i="30"/>
  <c r="M84" i="30"/>
  <c r="L84" i="30"/>
  <c r="J84" i="30"/>
  <c r="I84" i="30"/>
  <c r="H84" i="30"/>
  <c r="G84" i="30"/>
  <c r="F84" i="30"/>
  <c r="E84" i="30"/>
  <c r="Q83" i="30"/>
  <c r="P83" i="30"/>
  <c r="O83" i="30"/>
  <c r="M83" i="30"/>
  <c r="L83" i="30"/>
  <c r="J83" i="30"/>
  <c r="I83" i="30"/>
  <c r="H83" i="30"/>
  <c r="G83" i="30"/>
  <c r="F83" i="30"/>
  <c r="E83" i="30"/>
  <c r="Q82" i="30"/>
  <c r="P82" i="30"/>
  <c r="O82" i="30"/>
  <c r="M82" i="30"/>
  <c r="L82" i="30"/>
  <c r="J82" i="30"/>
  <c r="I82" i="30"/>
  <c r="H82" i="30"/>
  <c r="G82" i="30"/>
  <c r="F82" i="30"/>
  <c r="E82" i="30"/>
  <c r="Q81" i="30"/>
  <c r="P81" i="30"/>
  <c r="O81" i="30"/>
  <c r="M81" i="30"/>
  <c r="L81" i="30"/>
  <c r="J81" i="30"/>
  <c r="I81" i="30"/>
  <c r="H81" i="30"/>
  <c r="G81" i="30"/>
  <c r="F81" i="30"/>
  <c r="E81" i="30"/>
  <c r="D81" i="30"/>
  <c r="Q80" i="30"/>
  <c r="P80" i="30"/>
  <c r="O80" i="30"/>
  <c r="M80" i="30"/>
  <c r="L80" i="30"/>
  <c r="J80" i="30"/>
  <c r="I80" i="30"/>
  <c r="H80" i="30"/>
  <c r="G80" i="30"/>
  <c r="F80" i="30"/>
  <c r="E80" i="30"/>
  <c r="D80" i="30"/>
  <c r="Q79" i="30"/>
  <c r="P79" i="30"/>
  <c r="O79" i="30"/>
  <c r="M79" i="30"/>
  <c r="L79" i="30"/>
  <c r="J79" i="30"/>
  <c r="I79" i="30"/>
  <c r="H79" i="30"/>
  <c r="G79" i="30"/>
  <c r="F79" i="30"/>
  <c r="E79" i="30"/>
  <c r="D79" i="30"/>
  <c r="Q78" i="30"/>
  <c r="P78" i="30"/>
  <c r="O78" i="30"/>
  <c r="M78" i="30"/>
  <c r="L78" i="30"/>
  <c r="J78" i="30"/>
  <c r="I78" i="30"/>
  <c r="H78" i="30"/>
  <c r="G78" i="30"/>
  <c r="F78" i="30"/>
  <c r="E78" i="30"/>
  <c r="D78" i="30"/>
  <c r="Q77" i="30"/>
  <c r="P77" i="30"/>
  <c r="O77" i="30"/>
  <c r="M77" i="30"/>
  <c r="L77" i="30"/>
  <c r="J77" i="30"/>
  <c r="I77" i="30"/>
  <c r="H77" i="30"/>
  <c r="G77" i="30"/>
  <c r="F77" i="30"/>
  <c r="E77" i="30"/>
  <c r="D77" i="30"/>
  <c r="Q76" i="30"/>
  <c r="P76" i="30"/>
  <c r="O76" i="30"/>
  <c r="M76" i="30"/>
  <c r="L76" i="30"/>
  <c r="J76" i="30"/>
  <c r="I76" i="30"/>
  <c r="H76" i="30"/>
  <c r="G76" i="30"/>
  <c r="F76" i="30"/>
  <c r="E76" i="30"/>
  <c r="Q75" i="30"/>
  <c r="P75" i="30"/>
  <c r="O75" i="30"/>
  <c r="M75" i="30"/>
  <c r="L75" i="30"/>
  <c r="J75" i="30"/>
  <c r="I75" i="30"/>
  <c r="H75" i="30"/>
  <c r="G75" i="30"/>
  <c r="F75" i="30"/>
  <c r="E75" i="30"/>
  <c r="D75" i="30"/>
  <c r="Q74" i="30"/>
  <c r="P74" i="30"/>
  <c r="O74" i="30"/>
  <c r="M74" i="30"/>
  <c r="L74" i="30"/>
  <c r="J74" i="30"/>
  <c r="I74" i="30"/>
  <c r="H74" i="30"/>
  <c r="G74" i="30"/>
  <c r="F74" i="30"/>
  <c r="E74" i="30"/>
  <c r="D74" i="30"/>
  <c r="Q73" i="30"/>
  <c r="P73" i="30"/>
  <c r="O73" i="30"/>
  <c r="M73" i="30"/>
  <c r="L73" i="30"/>
  <c r="J73" i="30"/>
  <c r="I73" i="30"/>
  <c r="H73" i="30"/>
  <c r="G73" i="30"/>
  <c r="F73" i="30"/>
  <c r="E73" i="30"/>
  <c r="D73" i="30"/>
  <c r="Q72" i="30"/>
  <c r="P72" i="30"/>
  <c r="O72" i="30"/>
  <c r="M72" i="30"/>
  <c r="L72" i="30"/>
  <c r="J72" i="30"/>
  <c r="I72" i="30"/>
  <c r="H72" i="30"/>
  <c r="G72" i="30"/>
  <c r="F72" i="30"/>
  <c r="E72" i="30"/>
  <c r="D72" i="30"/>
  <c r="Q71" i="30"/>
  <c r="P71" i="30"/>
  <c r="O71" i="30"/>
  <c r="M71" i="30"/>
  <c r="L71" i="30"/>
  <c r="J71" i="30"/>
  <c r="I71" i="30"/>
  <c r="H71" i="30"/>
  <c r="G71" i="30"/>
  <c r="F71" i="30"/>
  <c r="E71" i="30"/>
  <c r="D71" i="30"/>
  <c r="Z70" i="30"/>
  <c r="Y70" i="30"/>
  <c r="X70" i="30"/>
  <c r="W70" i="30"/>
  <c r="V70" i="30"/>
  <c r="U70" i="30"/>
  <c r="Q70" i="30"/>
  <c r="P70" i="30"/>
  <c r="O70" i="30"/>
  <c r="M70" i="30"/>
  <c r="L70" i="30"/>
  <c r="J70" i="30"/>
  <c r="I70" i="30"/>
  <c r="H70" i="30"/>
  <c r="G70" i="30"/>
  <c r="F70" i="30"/>
  <c r="E70" i="30"/>
  <c r="D70" i="30"/>
  <c r="Q69" i="30"/>
  <c r="P69" i="30"/>
  <c r="O69" i="30"/>
  <c r="M69" i="30"/>
  <c r="L69" i="30"/>
  <c r="J69" i="30"/>
  <c r="I69" i="30"/>
  <c r="H69" i="30"/>
  <c r="G69" i="30"/>
  <c r="F69" i="30"/>
  <c r="E69" i="30"/>
  <c r="D69" i="30"/>
  <c r="Z68" i="30"/>
  <c r="Y68" i="30"/>
  <c r="X68" i="30"/>
  <c r="W68" i="30"/>
  <c r="V68" i="30"/>
  <c r="U68" i="30"/>
  <c r="Q68" i="30"/>
  <c r="W9" i="30" s="1"/>
  <c r="P68" i="30"/>
  <c r="V9" i="30" s="1"/>
  <c r="O68" i="30"/>
  <c r="U9" i="30" s="1"/>
  <c r="M68" i="30"/>
  <c r="L68" i="30"/>
  <c r="J68" i="30"/>
  <c r="I68" i="30"/>
  <c r="H68" i="30"/>
  <c r="G68" i="30"/>
  <c r="F68" i="30"/>
  <c r="E68" i="30"/>
  <c r="D68" i="30"/>
  <c r="Z67" i="30"/>
  <c r="Y67" i="30"/>
  <c r="X67" i="30"/>
  <c r="W67" i="30"/>
  <c r="V67" i="30"/>
  <c r="U67" i="30"/>
  <c r="Q67" i="30"/>
  <c r="W8" i="30" s="1"/>
  <c r="P67" i="30"/>
  <c r="V8" i="30" s="1"/>
  <c r="O67" i="30"/>
  <c r="U8" i="30" s="1"/>
  <c r="M67" i="30"/>
  <c r="L67" i="30"/>
  <c r="J67" i="30"/>
  <c r="I67" i="30"/>
  <c r="H67" i="30"/>
  <c r="G67" i="30"/>
  <c r="F67" i="30"/>
  <c r="E67" i="30"/>
  <c r="D67" i="30"/>
  <c r="Z66" i="30"/>
  <c r="Y66" i="30"/>
  <c r="X66" i="30"/>
  <c r="Q66" i="30"/>
  <c r="P66" i="30"/>
  <c r="O66" i="30"/>
  <c r="M66" i="30"/>
  <c r="L66" i="30"/>
  <c r="J66" i="30"/>
  <c r="I66" i="30"/>
  <c r="H66" i="30"/>
  <c r="G66" i="30"/>
  <c r="F66" i="30"/>
  <c r="E66" i="30"/>
  <c r="D66" i="30"/>
  <c r="Z65" i="30"/>
  <c r="Y65" i="30"/>
  <c r="X65" i="30"/>
  <c r="Q65" i="30"/>
  <c r="P65" i="30"/>
  <c r="O65" i="30"/>
  <c r="M65" i="30"/>
  <c r="L65" i="30"/>
  <c r="J65" i="30"/>
  <c r="I65" i="30"/>
  <c r="H65" i="30"/>
  <c r="G65" i="30"/>
  <c r="F65" i="30"/>
  <c r="E65" i="30"/>
  <c r="D65" i="30"/>
  <c r="Q64" i="30"/>
  <c r="P64" i="30"/>
  <c r="O64" i="30"/>
  <c r="M64" i="30"/>
  <c r="L64" i="30"/>
  <c r="J64" i="30"/>
  <c r="I64" i="30"/>
  <c r="H64" i="30"/>
  <c r="G64" i="30"/>
  <c r="F64" i="30"/>
  <c r="E64" i="30"/>
  <c r="Q63" i="30"/>
  <c r="P63" i="30"/>
  <c r="O63" i="30"/>
  <c r="M63" i="30"/>
  <c r="L63" i="30"/>
  <c r="J63" i="30"/>
  <c r="I63" i="30"/>
  <c r="H63" i="30"/>
  <c r="G63" i="30"/>
  <c r="F63" i="30"/>
  <c r="E63" i="30"/>
  <c r="D63" i="30"/>
  <c r="Q62" i="30"/>
  <c r="P62" i="30"/>
  <c r="O62" i="30"/>
  <c r="M62" i="30"/>
  <c r="L62" i="30"/>
  <c r="J62" i="30"/>
  <c r="I62" i="30"/>
  <c r="H62" i="30"/>
  <c r="G62" i="30"/>
  <c r="F62" i="30"/>
  <c r="E62" i="30"/>
  <c r="D62" i="30"/>
  <c r="Q61" i="30"/>
  <c r="P61" i="30"/>
  <c r="O61" i="30"/>
  <c r="M61" i="30"/>
  <c r="L61" i="30"/>
  <c r="J61" i="30"/>
  <c r="I61" i="30"/>
  <c r="H61" i="30"/>
  <c r="G61" i="30"/>
  <c r="F61" i="30"/>
  <c r="E61" i="30"/>
  <c r="D61" i="30"/>
  <c r="Q60" i="30"/>
  <c r="P60" i="30"/>
  <c r="O60" i="30"/>
  <c r="M60" i="30"/>
  <c r="L60" i="30"/>
  <c r="J60" i="30"/>
  <c r="I60" i="30"/>
  <c r="H60" i="30"/>
  <c r="G60" i="30"/>
  <c r="F60" i="30"/>
  <c r="E60" i="30"/>
  <c r="Q59" i="30"/>
  <c r="P59" i="30"/>
  <c r="O59" i="30"/>
  <c r="M59" i="30"/>
  <c r="L59" i="30"/>
  <c r="J59" i="30"/>
  <c r="I59" i="30"/>
  <c r="H59" i="30"/>
  <c r="G59" i="30"/>
  <c r="F59" i="30"/>
  <c r="E59" i="30"/>
  <c r="D59" i="30"/>
  <c r="Q58" i="30"/>
  <c r="P58" i="30"/>
  <c r="O58" i="30"/>
  <c r="M58" i="30"/>
  <c r="L58" i="30"/>
  <c r="J58" i="30"/>
  <c r="I58" i="30"/>
  <c r="H58" i="30"/>
  <c r="G58" i="30"/>
  <c r="F58" i="30"/>
  <c r="E58" i="30"/>
  <c r="D58" i="30"/>
  <c r="Q57" i="30"/>
  <c r="P57" i="30"/>
  <c r="O57" i="30"/>
  <c r="M57" i="30"/>
  <c r="L57" i="30"/>
  <c r="J57" i="30"/>
  <c r="I57" i="30"/>
  <c r="H57" i="30"/>
  <c r="G57" i="30"/>
  <c r="F57" i="30"/>
  <c r="E57" i="30"/>
  <c r="D57" i="30"/>
  <c r="Z56" i="30"/>
  <c r="Y56" i="30"/>
  <c r="X56" i="30"/>
  <c r="Q56" i="30"/>
  <c r="W5" i="30" s="1"/>
  <c r="P56" i="30"/>
  <c r="O56" i="30"/>
  <c r="M56" i="30"/>
  <c r="L56" i="30"/>
  <c r="J56" i="30"/>
  <c r="I56" i="30"/>
  <c r="H56" i="30"/>
  <c r="G56" i="30"/>
  <c r="F56" i="30"/>
  <c r="E56" i="30"/>
  <c r="D56" i="30"/>
  <c r="Z55" i="30"/>
  <c r="Y55" i="30"/>
  <c r="X55" i="30"/>
  <c r="Q55" i="30"/>
  <c r="W4" i="30" s="1"/>
  <c r="P55" i="30"/>
  <c r="O55" i="30"/>
  <c r="M55" i="30"/>
  <c r="L55" i="30"/>
  <c r="J55" i="30"/>
  <c r="I55" i="30"/>
  <c r="H55" i="30"/>
  <c r="G55" i="30"/>
  <c r="F55" i="30"/>
  <c r="E55" i="30"/>
  <c r="D55" i="30"/>
  <c r="Q54" i="30"/>
  <c r="P54" i="30"/>
  <c r="O54" i="30"/>
  <c r="M54" i="30"/>
  <c r="L54" i="30"/>
  <c r="J54" i="30"/>
  <c r="I54" i="30"/>
  <c r="H54" i="30"/>
  <c r="G54" i="30"/>
  <c r="F54" i="30"/>
  <c r="E54" i="30"/>
  <c r="Q53" i="30"/>
  <c r="P53" i="30"/>
  <c r="O53" i="30"/>
  <c r="M53" i="30"/>
  <c r="L53" i="30"/>
  <c r="J53" i="30"/>
  <c r="I53" i="30"/>
  <c r="H53" i="30"/>
  <c r="G53" i="30"/>
  <c r="F53" i="30"/>
  <c r="E53" i="30"/>
  <c r="D53" i="30"/>
  <c r="Q52" i="30"/>
  <c r="P52" i="30"/>
  <c r="O52" i="30"/>
  <c r="M52" i="30"/>
  <c r="L52" i="30"/>
  <c r="J52" i="30"/>
  <c r="I52" i="30"/>
  <c r="H52" i="30"/>
  <c r="G52" i="30"/>
  <c r="F52" i="30"/>
  <c r="E52" i="30"/>
  <c r="Q51" i="30"/>
  <c r="P51" i="30"/>
  <c r="O51" i="30"/>
  <c r="M51" i="30"/>
  <c r="L51" i="30"/>
  <c r="J51" i="30"/>
  <c r="I51" i="30"/>
  <c r="H51" i="30"/>
  <c r="G51" i="30"/>
  <c r="F51" i="30"/>
  <c r="E51" i="30"/>
  <c r="D51" i="30"/>
  <c r="Q50" i="30"/>
  <c r="P50" i="30"/>
  <c r="O50" i="30"/>
  <c r="M50" i="30"/>
  <c r="L50" i="30"/>
  <c r="J50" i="30"/>
  <c r="I50" i="30"/>
  <c r="H50" i="30"/>
  <c r="G50" i="30"/>
  <c r="F50" i="30"/>
  <c r="E50" i="30"/>
  <c r="D50" i="30"/>
  <c r="Q49" i="30"/>
  <c r="P49" i="30"/>
  <c r="O49" i="30"/>
  <c r="M49" i="30"/>
  <c r="L49" i="30"/>
  <c r="J49" i="30"/>
  <c r="I49" i="30"/>
  <c r="H49" i="30"/>
  <c r="G49" i="30"/>
  <c r="F49" i="30"/>
  <c r="E49" i="30"/>
  <c r="D49" i="30"/>
  <c r="Q48" i="30"/>
  <c r="P48" i="30"/>
  <c r="O48" i="30"/>
  <c r="M48" i="30"/>
  <c r="L48" i="30"/>
  <c r="J48" i="30"/>
  <c r="I48" i="30"/>
  <c r="H48" i="30"/>
  <c r="G48" i="30"/>
  <c r="F48" i="30"/>
  <c r="E48" i="30"/>
  <c r="D48" i="30"/>
  <c r="Q47" i="30"/>
  <c r="P47" i="30"/>
  <c r="O47" i="30"/>
  <c r="M47" i="30"/>
  <c r="L47" i="30"/>
  <c r="J47" i="30"/>
  <c r="I47" i="30"/>
  <c r="H47" i="30"/>
  <c r="G47" i="30"/>
  <c r="F47" i="30"/>
  <c r="E47" i="30"/>
  <c r="D47" i="30"/>
  <c r="Q46" i="30"/>
  <c r="P46" i="30"/>
  <c r="O46" i="30"/>
  <c r="M46" i="30"/>
  <c r="L46" i="30"/>
  <c r="J46" i="30"/>
  <c r="I46" i="30"/>
  <c r="H46" i="30"/>
  <c r="G46" i="30"/>
  <c r="F46" i="30"/>
  <c r="E46" i="30"/>
  <c r="D46" i="30"/>
  <c r="Q45" i="30"/>
  <c r="P45" i="30"/>
  <c r="O45" i="30"/>
  <c r="M45" i="30"/>
  <c r="L45" i="30"/>
  <c r="J45" i="30"/>
  <c r="I45" i="30"/>
  <c r="H45" i="30"/>
  <c r="G45" i="30"/>
  <c r="F45" i="30"/>
  <c r="E45" i="30"/>
  <c r="D45" i="30"/>
  <c r="Z44" i="30"/>
  <c r="Y44" i="30"/>
  <c r="X44" i="30"/>
  <c r="W44" i="30"/>
  <c r="Q44" i="30"/>
  <c r="P44" i="30"/>
  <c r="O44" i="30"/>
  <c r="M44" i="30"/>
  <c r="L44" i="30"/>
  <c r="J44" i="30"/>
  <c r="I44" i="30"/>
  <c r="H44" i="30"/>
  <c r="G44" i="30"/>
  <c r="F44" i="30"/>
  <c r="E44" i="30"/>
  <c r="D44" i="30"/>
  <c r="Q43" i="30"/>
  <c r="P43" i="30"/>
  <c r="O43" i="30"/>
  <c r="M43" i="30"/>
  <c r="L43" i="30"/>
  <c r="J43" i="30"/>
  <c r="I43" i="30"/>
  <c r="H43" i="30"/>
  <c r="G43" i="30"/>
  <c r="F43" i="30"/>
  <c r="E43" i="30"/>
  <c r="D43" i="30"/>
  <c r="Q42" i="30"/>
  <c r="P42" i="30"/>
  <c r="O42" i="30"/>
  <c r="M42" i="30"/>
  <c r="L42" i="30"/>
  <c r="J42" i="30"/>
  <c r="I42" i="30"/>
  <c r="H42" i="30"/>
  <c r="G42" i="30"/>
  <c r="F42" i="30"/>
  <c r="E42" i="30"/>
  <c r="D42" i="30"/>
  <c r="Q41" i="30"/>
  <c r="P41" i="30"/>
  <c r="O41" i="30"/>
  <c r="M41" i="30"/>
  <c r="L41" i="30"/>
  <c r="J41" i="30"/>
  <c r="I41" i="30"/>
  <c r="H41" i="30"/>
  <c r="G41" i="30"/>
  <c r="F41" i="30"/>
  <c r="E41" i="30"/>
  <c r="D41" i="30"/>
  <c r="Z40" i="30"/>
  <c r="Y40" i="30"/>
  <c r="X40" i="30"/>
  <c r="Q40" i="30"/>
  <c r="P40" i="30"/>
  <c r="O40" i="30"/>
  <c r="M40" i="30"/>
  <c r="L40" i="30"/>
  <c r="J40" i="30"/>
  <c r="I40" i="30"/>
  <c r="H40" i="30"/>
  <c r="G40" i="30"/>
  <c r="F40" i="30"/>
  <c r="E40" i="30"/>
  <c r="D40" i="30"/>
  <c r="Z39" i="30"/>
  <c r="Y39" i="30"/>
  <c r="X39" i="30"/>
  <c r="Q39" i="30"/>
  <c r="W66" i="30" s="1"/>
  <c r="P39" i="30"/>
  <c r="V66" i="30" s="1"/>
  <c r="O39" i="30"/>
  <c r="U66" i="30" s="1"/>
  <c r="M39" i="30"/>
  <c r="L39" i="30"/>
  <c r="J39" i="30"/>
  <c r="I39" i="30"/>
  <c r="H39" i="30"/>
  <c r="G39" i="30"/>
  <c r="F39" i="30"/>
  <c r="E39" i="30"/>
  <c r="D39" i="30"/>
  <c r="Z38" i="30"/>
  <c r="Y38" i="30"/>
  <c r="X38" i="30"/>
  <c r="Q38" i="30"/>
  <c r="W65" i="30" s="1"/>
  <c r="P38" i="30"/>
  <c r="V65" i="30" s="1"/>
  <c r="O38" i="30"/>
  <c r="U65" i="30" s="1"/>
  <c r="M38" i="30"/>
  <c r="L38" i="30"/>
  <c r="J38" i="30"/>
  <c r="I38" i="30"/>
  <c r="H38" i="30"/>
  <c r="G38" i="30"/>
  <c r="F38" i="30"/>
  <c r="E38" i="30"/>
  <c r="D38" i="30"/>
  <c r="Z37" i="30"/>
  <c r="Y37" i="30"/>
  <c r="X37" i="30"/>
  <c r="Q37" i="30"/>
  <c r="W56" i="30" s="1"/>
  <c r="P37" i="30"/>
  <c r="V56" i="30" s="1"/>
  <c r="O37" i="30"/>
  <c r="U56" i="30" s="1"/>
  <c r="M37" i="30"/>
  <c r="L37" i="30"/>
  <c r="J37" i="30"/>
  <c r="I37" i="30"/>
  <c r="H37" i="30"/>
  <c r="G37" i="30"/>
  <c r="F37" i="30"/>
  <c r="E37" i="30"/>
  <c r="D37" i="30"/>
  <c r="Z36" i="30"/>
  <c r="Y36" i="30"/>
  <c r="X36" i="30"/>
  <c r="Q36" i="30"/>
  <c r="W55" i="30" s="1"/>
  <c r="P36" i="30"/>
  <c r="V55" i="30" s="1"/>
  <c r="O36" i="30"/>
  <c r="U55" i="30" s="1"/>
  <c r="M36" i="30"/>
  <c r="L36" i="30"/>
  <c r="J36" i="30"/>
  <c r="I36" i="30"/>
  <c r="H36" i="30"/>
  <c r="G36" i="30"/>
  <c r="F36" i="30"/>
  <c r="E36" i="30"/>
  <c r="D36" i="30"/>
  <c r="Z35" i="30"/>
  <c r="Y35" i="30"/>
  <c r="X35" i="30"/>
  <c r="Q35" i="30"/>
  <c r="P35" i="30"/>
  <c r="V44" i="30" s="1"/>
  <c r="O35" i="30"/>
  <c r="U44" i="30" s="1"/>
  <c r="M35" i="30"/>
  <c r="L35" i="30"/>
  <c r="J35" i="30"/>
  <c r="I35" i="30"/>
  <c r="H35" i="30"/>
  <c r="G35" i="30"/>
  <c r="F35" i="30"/>
  <c r="E35" i="30"/>
  <c r="D35" i="30"/>
  <c r="Q34" i="30"/>
  <c r="P34" i="30"/>
  <c r="O34" i="30"/>
  <c r="M34" i="30"/>
  <c r="L34" i="30"/>
  <c r="J34" i="30"/>
  <c r="I34" i="30"/>
  <c r="H34" i="30"/>
  <c r="G34" i="30"/>
  <c r="F34" i="30"/>
  <c r="E34" i="30"/>
  <c r="Q33" i="30"/>
  <c r="P33" i="30"/>
  <c r="O33" i="30"/>
  <c r="M33" i="30"/>
  <c r="L33" i="30"/>
  <c r="J33" i="30"/>
  <c r="I33" i="30"/>
  <c r="H33" i="30"/>
  <c r="G33" i="30"/>
  <c r="F33" i="30"/>
  <c r="E33" i="30"/>
  <c r="Q32" i="30"/>
  <c r="P32" i="30"/>
  <c r="O32" i="30"/>
  <c r="M32" i="30"/>
  <c r="L32" i="30"/>
  <c r="J32" i="30"/>
  <c r="I32" i="30"/>
  <c r="H32" i="30"/>
  <c r="G32" i="30"/>
  <c r="F32" i="30"/>
  <c r="E32" i="30"/>
  <c r="Z31" i="30"/>
  <c r="Y31" i="30"/>
  <c r="X31" i="30"/>
  <c r="Q31" i="30"/>
  <c r="W40" i="30" s="1"/>
  <c r="P31" i="30"/>
  <c r="V40" i="30" s="1"/>
  <c r="O31" i="30"/>
  <c r="U40" i="30" s="1"/>
  <c r="M31" i="30"/>
  <c r="L31" i="30"/>
  <c r="J31" i="30"/>
  <c r="I31" i="30"/>
  <c r="H31" i="30"/>
  <c r="G31" i="30"/>
  <c r="F31" i="30"/>
  <c r="E31" i="30"/>
  <c r="D31" i="30"/>
  <c r="Z30" i="30"/>
  <c r="Y30" i="30"/>
  <c r="X30" i="30"/>
  <c r="Q30" i="30"/>
  <c r="P30" i="30"/>
  <c r="O30" i="30"/>
  <c r="M30" i="30"/>
  <c r="L30" i="30"/>
  <c r="J30" i="30"/>
  <c r="I30" i="30"/>
  <c r="H30" i="30"/>
  <c r="G30" i="30"/>
  <c r="F30" i="30"/>
  <c r="E30" i="30"/>
  <c r="D30" i="30"/>
  <c r="Z29" i="30"/>
  <c r="Y29" i="30"/>
  <c r="X29" i="30"/>
  <c r="V29" i="30"/>
  <c r="Q29" i="30"/>
  <c r="P29" i="30"/>
  <c r="O29" i="30"/>
  <c r="M29" i="30"/>
  <c r="L29" i="30"/>
  <c r="J29" i="30"/>
  <c r="I29" i="30"/>
  <c r="H29" i="30"/>
  <c r="G29" i="30"/>
  <c r="F29" i="30"/>
  <c r="E29" i="30"/>
  <c r="D29" i="30"/>
  <c r="Z28" i="30"/>
  <c r="Y28" i="30"/>
  <c r="X28" i="30"/>
  <c r="W28" i="30"/>
  <c r="V28" i="30"/>
  <c r="U28" i="30"/>
  <c r="Q28" i="30"/>
  <c r="W39" i="30" s="1"/>
  <c r="P28" i="30"/>
  <c r="V39" i="30" s="1"/>
  <c r="O28" i="30"/>
  <c r="U39" i="30" s="1"/>
  <c r="M28" i="30"/>
  <c r="L28" i="30"/>
  <c r="J28" i="30"/>
  <c r="I28" i="30"/>
  <c r="H28" i="30"/>
  <c r="G28" i="30"/>
  <c r="F28" i="30"/>
  <c r="E28" i="30"/>
  <c r="D28" i="30"/>
  <c r="Z27" i="30"/>
  <c r="Y27" i="30"/>
  <c r="X27" i="30"/>
  <c r="Q27" i="30"/>
  <c r="W38" i="30" s="1"/>
  <c r="P27" i="30"/>
  <c r="V38" i="30" s="1"/>
  <c r="O27" i="30"/>
  <c r="U38" i="30" s="1"/>
  <c r="M27" i="30"/>
  <c r="L27" i="30"/>
  <c r="J27" i="30"/>
  <c r="I27" i="30"/>
  <c r="H27" i="30"/>
  <c r="G27" i="30"/>
  <c r="F27" i="30"/>
  <c r="E27" i="30"/>
  <c r="D27" i="30"/>
  <c r="Z26" i="30"/>
  <c r="Y26" i="30"/>
  <c r="X26" i="30"/>
  <c r="Q26" i="30"/>
  <c r="W37" i="30" s="1"/>
  <c r="P26" i="30"/>
  <c r="V37" i="30" s="1"/>
  <c r="O26" i="30"/>
  <c r="U37" i="30" s="1"/>
  <c r="M26" i="30"/>
  <c r="L26" i="30"/>
  <c r="J26" i="30"/>
  <c r="I26" i="30"/>
  <c r="H26" i="30"/>
  <c r="G26" i="30"/>
  <c r="F26" i="30"/>
  <c r="E26" i="30"/>
  <c r="D26" i="30"/>
  <c r="Z25" i="30"/>
  <c r="Y25" i="30"/>
  <c r="X25" i="30"/>
  <c r="Q25" i="30"/>
  <c r="W36" i="30" s="1"/>
  <c r="P25" i="30"/>
  <c r="V36" i="30" s="1"/>
  <c r="O25" i="30"/>
  <c r="U36" i="30" s="1"/>
  <c r="M25" i="30"/>
  <c r="L25" i="30"/>
  <c r="J25" i="30"/>
  <c r="I25" i="30"/>
  <c r="H25" i="30"/>
  <c r="G25" i="30"/>
  <c r="F25" i="30"/>
  <c r="E25" i="30"/>
  <c r="D25" i="30"/>
  <c r="Z24" i="30"/>
  <c r="Y24" i="30"/>
  <c r="X24" i="30"/>
  <c r="Q24" i="30"/>
  <c r="W35" i="30" s="1"/>
  <c r="P24" i="30"/>
  <c r="V35" i="30" s="1"/>
  <c r="O24" i="30"/>
  <c r="U35" i="30" s="1"/>
  <c r="M24" i="30"/>
  <c r="L24" i="30"/>
  <c r="J24" i="30"/>
  <c r="I24" i="30"/>
  <c r="H24" i="30"/>
  <c r="G24" i="30"/>
  <c r="F24" i="30"/>
  <c r="E24" i="30"/>
  <c r="D24" i="30"/>
  <c r="Z23" i="30"/>
  <c r="Y23" i="30"/>
  <c r="X23" i="30"/>
  <c r="Q23" i="30"/>
  <c r="W31" i="30" s="1"/>
  <c r="P23" i="30"/>
  <c r="V31" i="30" s="1"/>
  <c r="O23" i="30"/>
  <c r="U31" i="30" s="1"/>
  <c r="M23" i="30"/>
  <c r="L23" i="30"/>
  <c r="J23" i="30"/>
  <c r="I23" i="30"/>
  <c r="H23" i="30"/>
  <c r="G23" i="30"/>
  <c r="F23" i="30"/>
  <c r="E23" i="30"/>
  <c r="D23" i="30"/>
  <c r="Z22" i="30"/>
  <c r="Y22" i="30"/>
  <c r="X22" i="30"/>
  <c r="Q22" i="30"/>
  <c r="W30" i="30" s="1"/>
  <c r="P22" i="30"/>
  <c r="V30" i="30" s="1"/>
  <c r="O22" i="30"/>
  <c r="U30" i="30" s="1"/>
  <c r="M22" i="30"/>
  <c r="L22" i="30"/>
  <c r="J22" i="30"/>
  <c r="I22" i="30"/>
  <c r="H22" i="30"/>
  <c r="G22" i="30"/>
  <c r="F22" i="30"/>
  <c r="E22" i="30"/>
  <c r="D22" i="30"/>
  <c r="Z21" i="30"/>
  <c r="Y21" i="30"/>
  <c r="X21" i="30"/>
  <c r="Q21" i="30"/>
  <c r="P21" i="30"/>
  <c r="O21" i="30"/>
  <c r="M21" i="30"/>
  <c r="L21" i="30"/>
  <c r="J21" i="30"/>
  <c r="I21" i="30"/>
  <c r="H21" i="30"/>
  <c r="G21" i="30"/>
  <c r="F21" i="30"/>
  <c r="E21" i="30"/>
  <c r="D21" i="30"/>
  <c r="Z20" i="30"/>
  <c r="Y20" i="30"/>
  <c r="X20" i="30"/>
  <c r="Q20" i="30"/>
  <c r="W29" i="30" s="1"/>
  <c r="P20" i="30"/>
  <c r="O20" i="30"/>
  <c r="U29" i="30" s="1"/>
  <c r="M20" i="30"/>
  <c r="L20" i="30"/>
  <c r="J20" i="30"/>
  <c r="I20" i="30"/>
  <c r="H20" i="30"/>
  <c r="G20" i="30"/>
  <c r="F20" i="30"/>
  <c r="E20" i="30"/>
  <c r="D20" i="30"/>
  <c r="Q19" i="30"/>
  <c r="P19" i="30"/>
  <c r="O19" i="30"/>
  <c r="M19" i="30"/>
  <c r="L19" i="30"/>
  <c r="J19" i="30"/>
  <c r="F19" i="30"/>
  <c r="E19" i="30"/>
  <c r="Q18" i="30"/>
  <c r="P18" i="30"/>
  <c r="O18" i="30"/>
  <c r="M18" i="30"/>
  <c r="L18" i="30"/>
  <c r="J18" i="30"/>
  <c r="I18" i="30"/>
  <c r="H18" i="30"/>
  <c r="G18" i="30"/>
  <c r="F18" i="30"/>
  <c r="E18" i="30"/>
  <c r="D18" i="30"/>
  <c r="Z17" i="30"/>
  <c r="Y17" i="30"/>
  <c r="X17" i="30"/>
  <c r="Q17" i="30"/>
  <c r="W27" i="30" s="1"/>
  <c r="P17" i="30"/>
  <c r="V27" i="30" s="1"/>
  <c r="O17" i="30"/>
  <c r="U27" i="30" s="1"/>
  <c r="M17" i="30"/>
  <c r="L17" i="30"/>
  <c r="J17" i="30"/>
  <c r="I17" i="30"/>
  <c r="H17" i="30"/>
  <c r="G17" i="30"/>
  <c r="F17" i="30"/>
  <c r="E17" i="30"/>
  <c r="D17" i="30"/>
  <c r="Z16" i="30"/>
  <c r="Y16" i="30"/>
  <c r="X16" i="30"/>
  <c r="Q16" i="30"/>
  <c r="W26" i="30" s="1"/>
  <c r="P16" i="30"/>
  <c r="V26" i="30" s="1"/>
  <c r="O16" i="30"/>
  <c r="U26" i="30" s="1"/>
  <c r="M16" i="30"/>
  <c r="L16" i="30"/>
  <c r="J16" i="30"/>
  <c r="I16" i="30"/>
  <c r="H16" i="30"/>
  <c r="G16" i="30"/>
  <c r="F16" i="30"/>
  <c r="E16" i="30"/>
  <c r="D16" i="30"/>
  <c r="Z15" i="30"/>
  <c r="Y15" i="30"/>
  <c r="X15" i="30"/>
  <c r="Q15" i="30"/>
  <c r="W25" i="30" s="1"/>
  <c r="P15" i="30"/>
  <c r="V25" i="30" s="1"/>
  <c r="O15" i="30"/>
  <c r="U25" i="30" s="1"/>
  <c r="M15" i="30"/>
  <c r="L15" i="30"/>
  <c r="J15" i="30"/>
  <c r="I15" i="30"/>
  <c r="H15" i="30"/>
  <c r="G15" i="30"/>
  <c r="F15" i="30"/>
  <c r="E15" i="30"/>
  <c r="D15" i="30"/>
  <c r="Z14" i="30"/>
  <c r="Y14" i="30"/>
  <c r="X14" i="30"/>
  <c r="Q14" i="30"/>
  <c r="W24" i="30" s="1"/>
  <c r="P14" i="30"/>
  <c r="V24" i="30" s="1"/>
  <c r="O14" i="30"/>
  <c r="U24" i="30" s="1"/>
  <c r="M14" i="30"/>
  <c r="L14" i="30"/>
  <c r="J14" i="30"/>
  <c r="I14" i="30"/>
  <c r="H14" i="30"/>
  <c r="G14" i="30"/>
  <c r="F14" i="30"/>
  <c r="E14" i="30"/>
  <c r="D14" i="30"/>
  <c r="Z13" i="30"/>
  <c r="Y13" i="30"/>
  <c r="X13" i="30"/>
  <c r="Q13" i="30"/>
  <c r="W23" i="30" s="1"/>
  <c r="P13" i="30"/>
  <c r="V23" i="30" s="1"/>
  <c r="O13" i="30"/>
  <c r="U23" i="30" s="1"/>
  <c r="M13" i="30"/>
  <c r="L13" i="30"/>
  <c r="J13" i="30"/>
  <c r="I13" i="30"/>
  <c r="H13" i="30"/>
  <c r="G13" i="30"/>
  <c r="F13" i="30"/>
  <c r="E13" i="30"/>
  <c r="D13" i="30"/>
  <c r="Z12" i="30"/>
  <c r="Y12" i="30"/>
  <c r="X12" i="30"/>
  <c r="W12" i="30"/>
  <c r="V12" i="30"/>
  <c r="U12" i="30"/>
  <c r="Q12" i="30"/>
  <c r="W22" i="30" s="1"/>
  <c r="P12" i="30"/>
  <c r="V22" i="30" s="1"/>
  <c r="O12" i="30"/>
  <c r="U22" i="30" s="1"/>
  <c r="M12" i="30"/>
  <c r="L12" i="30"/>
  <c r="J12" i="30"/>
  <c r="I12" i="30"/>
  <c r="H12" i="30"/>
  <c r="G12" i="30"/>
  <c r="F12" i="30"/>
  <c r="E12" i="30"/>
  <c r="D12" i="30"/>
  <c r="Z11" i="30"/>
  <c r="Y11" i="30"/>
  <c r="X11" i="30"/>
  <c r="W11" i="30"/>
  <c r="V11" i="30"/>
  <c r="U11" i="30"/>
  <c r="Q11" i="30"/>
  <c r="W21" i="30" s="1"/>
  <c r="P11" i="30"/>
  <c r="V21" i="30" s="1"/>
  <c r="O11" i="30"/>
  <c r="U21" i="30" s="1"/>
  <c r="M11" i="30"/>
  <c r="L11" i="30"/>
  <c r="J11" i="30"/>
  <c r="I11" i="30"/>
  <c r="H11" i="30"/>
  <c r="G11" i="30"/>
  <c r="F11" i="30"/>
  <c r="E11" i="30"/>
  <c r="D11" i="30"/>
  <c r="Z10" i="30"/>
  <c r="Y10" i="30"/>
  <c r="X10" i="30"/>
  <c r="W10" i="30"/>
  <c r="V10" i="30"/>
  <c r="U10" i="30"/>
  <c r="Q10" i="30"/>
  <c r="W20" i="30" s="1"/>
  <c r="P10" i="30"/>
  <c r="V20" i="30" s="1"/>
  <c r="O10" i="30"/>
  <c r="U20" i="30" s="1"/>
  <c r="M10" i="30"/>
  <c r="L10" i="30"/>
  <c r="J10" i="30"/>
  <c r="I10" i="30"/>
  <c r="H10" i="30"/>
  <c r="G10" i="30"/>
  <c r="F10" i="30"/>
  <c r="E10" i="30"/>
  <c r="D10" i="30"/>
  <c r="Z9" i="30"/>
  <c r="Y9" i="30"/>
  <c r="X9" i="30"/>
  <c r="Q9" i="30"/>
  <c r="P9" i="30"/>
  <c r="O9" i="30"/>
  <c r="M9" i="30"/>
  <c r="L9" i="30"/>
  <c r="J9" i="30"/>
  <c r="I9" i="30"/>
  <c r="H9" i="30"/>
  <c r="G9" i="30"/>
  <c r="F9" i="30"/>
  <c r="E9" i="30"/>
  <c r="D9" i="30"/>
  <c r="Z8" i="30"/>
  <c r="Y8" i="30"/>
  <c r="X8" i="30"/>
  <c r="Q8" i="30"/>
  <c r="W17" i="30" s="1"/>
  <c r="P8" i="30"/>
  <c r="V17" i="30" s="1"/>
  <c r="O8" i="30"/>
  <c r="U17" i="30" s="1"/>
  <c r="M8" i="30"/>
  <c r="L8" i="30"/>
  <c r="J8" i="30"/>
  <c r="I8" i="30"/>
  <c r="H8" i="30"/>
  <c r="G8" i="30"/>
  <c r="F8" i="30"/>
  <c r="E8" i="30"/>
  <c r="D8" i="30"/>
  <c r="Z7" i="30"/>
  <c r="Y7" i="30"/>
  <c r="X7" i="30"/>
  <c r="W7" i="30"/>
  <c r="V7" i="30"/>
  <c r="U7" i="30"/>
  <c r="Q7" i="30"/>
  <c r="W16" i="30" s="1"/>
  <c r="P7" i="30"/>
  <c r="V16" i="30" s="1"/>
  <c r="O7" i="30"/>
  <c r="U16" i="30" s="1"/>
  <c r="M7" i="30"/>
  <c r="L7" i="30"/>
  <c r="J7" i="30"/>
  <c r="I7" i="30"/>
  <c r="H7" i="30"/>
  <c r="G7" i="30"/>
  <c r="F7" i="30"/>
  <c r="E7" i="30"/>
  <c r="D7" i="30"/>
  <c r="Z6" i="30"/>
  <c r="Y6" i="30"/>
  <c r="X6" i="30"/>
  <c r="W6" i="30"/>
  <c r="V6" i="30"/>
  <c r="U6" i="30"/>
  <c r="Q6" i="30"/>
  <c r="W15" i="30" s="1"/>
  <c r="P6" i="30"/>
  <c r="V15" i="30" s="1"/>
  <c r="O6" i="30"/>
  <c r="U15" i="30" s="1"/>
  <c r="M6" i="30"/>
  <c r="L6" i="30"/>
  <c r="J6" i="30"/>
  <c r="I6" i="30"/>
  <c r="H6" i="30"/>
  <c r="G6" i="30"/>
  <c r="F6" i="30"/>
  <c r="E6" i="30"/>
  <c r="D6" i="30"/>
  <c r="Z5" i="30"/>
  <c r="Y5" i="30"/>
  <c r="X5" i="30"/>
  <c r="V5" i="30"/>
  <c r="U5" i="30"/>
  <c r="Q5" i="30"/>
  <c r="W14" i="30" s="1"/>
  <c r="P5" i="30"/>
  <c r="V14" i="30" s="1"/>
  <c r="O5" i="30"/>
  <c r="U14" i="30" s="1"/>
  <c r="M5" i="30"/>
  <c r="L5" i="30"/>
  <c r="J5" i="30"/>
  <c r="I5" i="30"/>
  <c r="H5" i="30"/>
  <c r="G5" i="30"/>
  <c r="F5" i="30"/>
  <c r="E5" i="30"/>
  <c r="D5" i="30"/>
  <c r="Z4" i="30"/>
  <c r="Y4" i="30"/>
  <c r="X4" i="30"/>
  <c r="V4" i="30"/>
  <c r="U4" i="30"/>
  <c r="Q4" i="30"/>
  <c r="W13" i="30" s="1"/>
  <c r="P4" i="30"/>
  <c r="V13" i="30" s="1"/>
  <c r="O4" i="30"/>
  <c r="U13" i="30" s="1"/>
  <c r="M4" i="30"/>
  <c r="L4" i="30"/>
  <c r="J4" i="30"/>
  <c r="I4" i="30"/>
  <c r="H4" i="30"/>
  <c r="G4" i="30"/>
  <c r="F4" i="30"/>
  <c r="E4" i="30"/>
  <c r="D4" i="30"/>
  <c r="S170" i="23"/>
  <c r="S177" i="23"/>
  <c r="S169" i="23"/>
  <c r="S192" i="23"/>
  <c r="Z90" i="1" l="1"/>
  <c r="Z80" i="1"/>
  <c r="Z89" i="1"/>
  <c r="Z53" i="1"/>
  <c r="Z55" i="1"/>
  <c r="Z52" i="1"/>
  <c r="Z54" i="1"/>
  <c r="Z49" i="1"/>
  <c r="Z48" i="1"/>
  <c r="Z50" i="1"/>
  <c r="Z56" i="1"/>
  <c r="Z51" i="1"/>
  <c r="AJ158" i="23"/>
  <c r="AH160" i="23"/>
  <c r="AK160" i="23" l="1"/>
  <c r="AI155" i="23"/>
  <c r="AH159" i="23"/>
  <c r="S101" i="23"/>
  <c r="Z27" i="1" l="1"/>
  <c r="Z17" i="1"/>
  <c r="Z19" i="1"/>
  <c r="Z32" i="1"/>
  <c r="Z28" i="1"/>
  <c r="Z42" i="1"/>
  <c r="Z7" i="1"/>
  <c r="Z16" i="1"/>
  <c r="Z26" i="1"/>
  <c r="Z13" i="1"/>
  <c r="Z9" i="1"/>
  <c r="Z37" i="1"/>
  <c r="Z18" i="1"/>
  <c r="AK152" i="23"/>
  <c r="AJ160" i="23" l="1"/>
  <c r="AJ161" i="23"/>
  <c r="AL158" i="23"/>
  <c r="AK151" i="23" l="1"/>
  <c r="AL152" i="23"/>
  <c r="AK153" i="23"/>
  <c r="AL161" i="23"/>
  <c r="AH155" i="23" l="1"/>
  <c r="AM160" i="23" l="1"/>
  <c r="AK161" i="23"/>
  <c r="AM152" i="23" l="1"/>
  <c r="AI151" i="23" l="1"/>
  <c r="AM153" i="23" l="1"/>
  <c r="AJ153" i="23" l="1"/>
  <c r="AL155" i="23" l="1"/>
  <c r="AH152" i="23" l="1"/>
  <c r="AI160" i="23"/>
  <c r="AI158" i="23"/>
  <c r="AL159" i="23"/>
  <c r="AM159" i="23" l="1"/>
  <c r="AI152" i="23" l="1"/>
  <c r="AL157" i="23"/>
  <c r="AK159" i="23"/>
  <c r="AK157" i="23"/>
  <c r="AK155" i="23" l="1"/>
  <c r="AM157" i="23"/>
  <c r="AH153" i="23"/>
  <c r="AK158" i="23" l="1"/>
  <c r="AM158" i="23"/>
  <c r="AJ155" i="23"/>
  <c r="AI161" i="23"/>
  <c r="AM151" i="23" l="1"/>
  <c r="AJ151" i="23"/>
  <c r="AI153" i="23"/>
  <c r="AL151" i="23"/>
  <c r="AH157" i="23" l="1"/>
  <c r="AH158" i="23"/>
  <c r="T158" i="23" s="1"/>
  <c r="AH161" i="23" l="1"/>
  <c r="AH151" i="23"/>
  <c r="T151" i="23" s="1"/>
  <c r="AM155" i="23" l="1"/>
  <c r="T155" i="23" s="1"/>
  <c r="AI157" i="23"/>
  <c r="AJ152" i="23" l="1"/>
  <c r="T152" i="23" s="1"/>
  <c r="AJ159" i="23" l="1"/>
  <c r="AI159" i="23" l="1"/>
  <c r="T159" i="23" s="1"/>
  <c r="AJ157" i="23" l="1"/>
  <c r="T157" i="23" s="1"/>
  <c r="AM161" i="23"/>
  <c r="T161" i="23" s="1"/>
  <c r="AL153" i="23"/>
  <c r="T153" i="23" s="1"/>
  <c r="AL160" i="23"/>
  <c r="T160" i="23" s="1"/>
  <c r="AK174" i="23" l="1"/>
  <c r="S97" i="23"/>
  <c r="S100" i="23"/>
  <c r="S98" i="23"/>
  <c r="Z10" i="1" l="1"/>
  <c r="Z8" i="1"/>
  <c r="Z41" i="1"/>
  <c r="Z31" i="1"/>
  <c r="Z12" i="1"/>
  <c r="Z22" i="1"/>
  <c r="Z40" i="1"/>
  <c r="Z39" i="1"/>
  <c r="Z29" i="1"/>
  <c r="Z35" i="1"/>
  <c r="Z24" i="1"/>
  <c r="Z23" i="1"/>
  <c r="Z21" i="1"/>
  <c r="Z38" i="1"/>
  <c r="Z33" i="1"/>
  <c r="Z36" i="1"/>
  <c r="Z15" i="1"/>
  <c r="Z25" i="1"/>
  <c r="Z11" i="1"/>
  <c r="Z34" i="1"/>
  <c r="Z20" i="1"/>
  <c r="Z30" i="1"/>
  <c r="AJ174" i="23"/>
  <c r="Z69" i="1" l="1"/>
  <c r="AI174" i="23"/>
  <c r="AL174" i="23"/>
  <c r="AM174" i="23" l="1"/>
  <c r="Z46" i="1" l="1"/>
  <c r="AH174" i="23"/>
  <c r="T174" i="23" s="1"/>
  <c r="Z64" i="1" l="1"/>
  <c r="Z62" i="1"/>
  <c r="Z67" i="1"/>
  <c r="AH180" i="23"/>
  <c r="AM180" i="23" l="1"/>
  <c r="AI180" i="23" l="1"/>
  <c r="Z86" i="1" l="1"/>
  <c r="AH170" i="23"/>
  <c r="AH168" i="23" l="1"/>
  <c r="AK180" i="23"/>
  <c r="Z87" i="1" l="1"/>
  <c r="Z61" i="1"/>
  <c r="AI170" i="23"/>
  <c r="AL168" i="23" l="1"/>
  <c r="AM170" i="23" l="1"/>
  <c r="AJ180" i="23" l="1"/>
  <c r="Z84" i="1" l="1"/>
  <c r="AL170" i="23"/>
  <c r="AJ168" i="23"/>
  <c r="AK168" i="23"/>
  <c r="AJ170" i="23" l="1"/>
  <c r="AM168" i="23"/>
  <c r="AI168" i="23" l="1"/>
  <c r="T168" i="23" s="1"/>
  <c r="AK170" i="23" l="1"/>
  <c r="T170" i="23" s="1"/>
  <c r="AL180" i="23" l="1"/>
  <c r="T180" i="23" s="1"/>
  <c r="AL169" i="23" l="1"/>
  <c r="AK175" i="23"/>
  <c r="AK169" i="23" l="1"/>
  <c r="AJ176" i="23" l="1"/>
  <c r="AL176" i="23"/>
  <c r="AH193" i="23"/>
  <c r="AK193" i="23" l="1"/>
  <c r="AH175" i="23" l="1"/>
  <c r="AH176" i="23"/>
  <c r="AK176" i="23"/>
  <c r="AI175" i="23" l="1"/>
  <c r="AM176" i="23" l="1"/>
  <c r="AL193" i="23" l="1"/>
  <c r="AL175" i="23" l="1"/>
  <c r="AI193" i="23" l="1"/>
  <c r="AI169" i="23" l="1"/>
  <c r="AH169" i="23" l="1"/>
  <c r="AI176" i="23"/>
  <c r="T176" i="23" s="1"/>
  <c r="AJ169" i="23" l="1"/>
  <c r="AM193" i="23" l="1"/>
  <c r="AJ193" i="23"/>
  <c r="T193" i="23" l="1"/>
  <c r="AJ175" i="23"/>
  <c r="AM169" i="23"/>
  <c r="T169" i="23" s="1"/>
  <c r="AM175" i="23"/>
  <c r="T175" i="23" l="1"/>
  <c r="AJ172" i="23" l="1"/>
  <c r="AH167" i="23"/>
  <c r="AL191" i="23"/>
  <c r="AM172" i="23"/>
  <c r="AJ188" i="23"/>
  <c r="AH162" i="23"/>
  <c r="AK162" i="23" l="1"/>
  <c r="AL167" i="23" l="1"/>
  <c r="AL173" i="23" l="1"/>
  <c r="AM188" i="23"/>
  <c r="AK167" i="23"/>
  <c r="AI191" i="23"/>
  <c r="S71" i="23"/>
  <c r="AK173" i="23" l="1"/>
  <c r="AM167" i="23" l="1"/>
  <c r="AI173" i="23" l="1"/>
  <c r="AJ162" i="23" l="1"/>
  <c r="AL162" i="23"/>
  <c r="AK191" i="23" l="1"/>
  <c r="AI167" i="23" l="1"/>
  <c r="AI162" i="23" l="1"/>
  <c r="AK172" i="23"/>
  <c r="AK188" i="23" l="1"/>
  <c r="AI172" i="23"/>
  <c r="AJ173" i="23"/>
  <c r="AH172" i="23" l="1"/>
  <c r="AI188" i="23" l="1"/>
  <c r="AH191" i="23"/>
  <c r="AH188" i="23"/>
  <c r="AL172" i="23" l="1"/>
  <c r="T172" i="23" s="1"/>
  <c r="AH173" i="23" l="1"/>
  <c r="AJ191" i="23" l="1"/>
  <c r="AM162" i="23" l="1"/>
  <c r="T162" i="23" s="1"/>
  <c r="AM173" i="23" l="1"/>
  <c r="T173" i="23" s="1"/>
  <c r="AL188" i="23" l="1"/>
  <c r="T188" i="23" s="1"/>
  <c r="AM191" i="23" l="1"/>
  <c r="T191" i="23" s="1"/>
  <c r="AJ167" i="23"/>
  <c r="T167" i="23" s="1"/>
  <c r="Z74" i="1" l="1"/>
  <c r="AH154" i="23"/>
  <c r="AL154" i="23"/>
  <c r="AM154" i="23" l="1"/>
  <c r="AK154" i="23"/>
  <c r="AI156" i="23" l="1"/>
  <c r="AL156" i="23" l="1"/>
  <c r="AM156" i="23"/>
  <c r="AH156" i="23"/>
  <c r="AJ154" i="23"/>
  <c r="AJ156" i="23" l="1"/>
  <c r="AI154" i="23" l="1"/>
  <c r="T154" i="23" s="1"/>
  <c r="AK156" i="23"/>
  <c r="T156" i="23" s="1"/>
  <c r="Z44" i="1" l="1"/>
  <c r="AJ164" i="23"/>
  <c r="AL164" i="23" l="1"/>
  <c r="AM164" i="23" l="1"/>
  <c r="S82" i="23"/>
  <c r="Z60" i="1" l="1"/>
  <c r="Z47" i="1"/>
  <c r="AI164" i="23"/>
  <c r="AH164" i="23" l="1"/>
  <c r="AK164" i="23" l="1"/>
  <c r="T164" i="23" s="1"/>
  <c r="Z65" i="1" l="1"/>
  <c r="Z70" i="1"/>
  <c r="AI163" i="23"/>
  <c r="S69" i="23"/>
  <c r="AL163" i="23" l="1"/>
  <c r="Z66" i="1" l="1"/>
  <c r="AH163" i="23"/>
  <c r="AM163" i="23" l="1"/>
  <c r="S66" i="23"/>
  <c r="AJ163" i="23" l="1"/>
  <c r="AK163" i="23"/>
  <c r="T163" i="23" l="1"/>
  <c r="AK192" i="23" l="1"/>
  <c r="Z63" i="1" l="1"/>
  <c r="AL171" i="23"/>
  <c r="AH171" i="23"/>
  <c r="AK171" i="23" l="1"/>
  <c r="AJ192" i="23"/>
  <c r="AI171" i="23"/>
  <c r="AI177" i="23" l="1"/>
  <c r="AM177" i="23" l="1"/>
  <c r="AH192" i="23" l="1"/>
  <c r="AJ171" i="23"/>
  <c r="AL192" i="23" l="1"/>
  <c r="Z59" i="1" l="1"/>
  <c r="AH177" i="23"/>
  <c r="Z45" i="1" l="1"/>
  <c r="AM192" i="23"/>
  <c r="AJ177" i="23" l="1"/>
  <c r="Z83" i="1" l="1"/>
  <c r="AK177" i="23"/>
  <c r="AM171" i="23" l="1"/>
  <c r="T171" i="23" s="1"/>
  <c r="AI192" i="23" l="1"/>
  <c r="T192" i="23" s="1"/>
  <c r="AL177" i="23" l="1"/>
  <c r="T177" i="23" s="1"/>
  <c r="AJ184" i="23" l="1"/>
  <c r="AK183" i="23" l="1"/>
  <c r="AJ190" i="23"/>
  <c r="AM183" i="23"/>
  <c r="S32" i="23"/>
  <c r="AL190" i="23" l="1"/>
  <c r="Z85" i="1" l="1"/>
  <c r="AH190" i="23"/>
  <c r="S84" i="23"/>
  <c r="AH183" i="23" l="1"/>
  <c r="AL183" i="23" l="1"/>
  <c r="AL184" i="23" l="1"/>
  <c r="AL178" i="23"/>
  <c r="AM178" i="23" l="1"/>
  <c r="AJ178" i="23" l="1"/>
  <c r="AK184" i="23" l="1"/>
  <c r="AH184" i="23"/>
  <c r="AK190" i="23"/>
  <c r="AI190" i="23" l="1"/>
  <c r="AK178" i="23"/>
  <c r="AI183" i="23" l="1"/>
  <c r="AH178" i="23" l="1"/>
  <c r="AM184" i="23"/>
  <c r="AM190" i="23"/>
  <c r="T190" i="23" s="1"/>
  <c r="AI184" i="23" l="1"/>
  <c r="T184" i="23" s="1"/>
  <c r="AI178" i="23"/>
  <c r="T178" i="23" s="1"/>
  <c r="AJ183" i="23"/>
  <c r="T183" i="23" s="1"/>
  <c r="AA81" i="30" l="1"/>
  <c r="AA79" i="30"/>
  <c r="AA80" i="30"/>
  <c r="S74" i="23"/>
  <c r="AK182" i="23" l="1"/>
  <c r="AH166" i="23" l="1"/>
  <c r="AJ165" i="23"/>
  <c r="AI182" i="23" l="1"/>
  <c r="AH187" i="23"/>
  <c r="AK166" i="23" l="1"/>
  <c r="AK165" i="23" l="1"/>
  <c r="AH182" i="23" l="1"/>
  <c r="AL187" i="23"/>
  <c r="AI166" i="23"/>
  <c r="AM187" i="23" l="1"/>
  <c r="AL165" i="23" l="1"/>
  <c r="AI165" i="23"/>
  <c r="AJ166" i="23"/>
  <c r="AJ182" i="23"/>
  <c r="AJ187" i="23"/>
  <c r="Z73" i="1" l="1"/>
  <c r="AL166" i="23"/>
  <c r="AI187" i="23"/>
  <c r="Z58" i="1" l="1"/>
  <c r="AM182" i="23"/>
  <c r="AM166" i="23"/>
  <c r="T166" i="23" s="1"/>
  <c r="AH165" i="23" l="1"/>
  <c r="AL182" i="23"/>
  <c r="T182" i="23" s="1"/>
  <c r="AM165" i="23"/>
  <c r="T165" i="23" l="1"/>
  <c r="AK187" i="23" l="1"/>
  <c r="T187" i="23" s="1"/>
  <c r="AJ189" i="23" l="1"/>
  <c r="S78" i="23"/>
  <c r="AK189" i="23" l="1"/>
  <c r="Z71" i="1" l="1"/>
  <c r="Z72" i="1"/>
  <c r="Z68" i="1"/>
  <c r="AJ185" i="23"/>
  <c r="AH185" i="23" l="1"/>
  <c r="AM189" i="23" l="1"/>
  <c r="AL189" i="23" l="1"/>
  <c r="AL185" i="23" l="1"/>
  <c r="AK185" i="23"/>
  <c r="AM185" i="23"/>
  <c r="S70" i="23"/>
  <c r="AI185" i="23" l="1"/>
  <c r="T185" i="23" s="1"/>
  <c r="S143" i="23"/>
  <c r="AI189" i="23" l="1"/>
  <c r="AH189" i="23" l="1"/>
  <c r="T189" i="23" s="1"/>
  <c r="Z82" i="1" l="1"/>
  <c r="Z77" i="1"/>
  <c r="Z43" i="1"/>
  <c r="AJ181" i="23"/>
  <c r="AH194" i="23" l="1"/>
  <c r="AL194" i="23" l="1"/>
  <c r="AK194" i="23"/>
  <c r="AL181" i="23" l="1"/>
  <c r="AM194" i="23" l="1"/>
  <c r="AI194" i="23" l="1"/>
  <c r="AK181" i="23" l="1"/>
  <c r="AM181" i="23"/>
  <c r="AJ194" i="23"/>
  <c r="T194" i="23" s="1"/>
  <c r="AH181" i="23" l="1"/>
  <c r="S140" i="23"/>
  <c r="AI181" i="23" l="1"/>
  <c r="T181" i="23" s="1"/>
  <c r="S45" i="23"/>
  <c r="AA40" i="30" l="1"/>
  <c r="AA44" i="30"/>
  <c r="AA41" i="30"/>
  <c r="AA83" i="30"/>
  <c r="AA42" i="30"/>
  <c r="AA43" i="30"/>
  <c r="AA82" i="30"/>
  <c r="AA5" i="30" l="1"/>
  <c r="AA91" i="30"/>
  <c r="AA61" i="30"/>
  <c r="AA46" i="30"/>
  <c r="AA29" i="30"/>
  <c r="AA36" i="30"/>
  <c r="AA28" i="30"/>
  <c r="AA84" i="30"/>
  <c r="AA26" i="30"/>
  <c r="AA65" i="30"/>
  <c r="AA58" i="30"/>
  <c r="AA73" i="30"/>
  <c r="AA9" i="30"/>
  <c r="AA39" i="30"/>
  <c r="AA88" i="30"/>
  <c r="AA59" i="30"/>
  <c r="AA75" i="30"/>
  <c r="AA20" i="30"/>
  <c r="AA85" i="30"/>
  <c r="AA62" i="30"/>
  <c r="AA52" i="30"/>
  <c r="AA30" i="30"/>
  <c r="AA21" i="30"/>
  <c r="AA8" i="30"/>
  <c r="AA7" i="30"/>
  <c r="AA76" i="30"/>
  <c r="AA50" i="30"/>
  <c r="AA71" i="30"/>
  <c r="AA66" i="30"/>
  <c r="AA77" i="30"/>
  <c r="AA25" i="30"/>
  <c r="AA19" i="30"/>
  <c r="AA35" i="30"/>
  <c r="AA10" i="30"/>
  <c r="AA51" i="30"/>
  <c r="AA34" i="30"/>
  <c r="AA6" i="30"/>
  <c r="AA90" i="30"/>
  <c r="AA14" i="30"/>
  <c r="AA37" i="30"/>
  <c r="AA33" i="30"/>
  <c r="AA32" i="30"/>
  <c r="AA93" i="30"/>
  <c r="AA45" i="30"/>
  <c r="AA18" i="30"/>
  <c r="AA22" i="30"/>
  <c r="AA17" i="30"/>
  <c r="AA63" i="30"/>
  <c r="AA38" i="30"/>
  <c r="AA15" i="30"/>
  <c r="AA87" i="30"/>
  <c r="AA12" i="30"/>
  <c r="AA74" i="30"/>
  <c r="AA64" i="30"/>
  <c r="AA70" i="30"/>
  <c r="AA69" i="30"/>
  <c r="AA16" i="30"/>
  <c r="AA68" i="30"/>
  <c r="AA86" i="30"/>
  <c r="AA47" i="30"/>
  <c r="AA53" i="30"/>
  <c r="AA23" i="30"/>
  <c r="AA27" i="30"/>
  <c r="AA67" i="30"/>
  <c r="AA92" i="30"/>
  <c r="AA57" i="30"/>
  <c r="AA78" i="30"/>
  <c r="AA72" i="30"/>
  <c r="AA11" i="30"/>
  <c r="AA56" i="30"/>
  <c r="AA60" i="30"/>
  <c r="AA24" i="30"/>
  <c r="AA54" i="30"/>
  <c r="AA13" i="30"/>
  <c r="AA31" i="30"/>
  <c r="AA4" i="30"/>
  <c r="AA49" i="30"/>
  <c r="AA55" i="30"/>
  <c r="AA89" i="30"/>
  <c r="AA48" i="30"/>
  <c r="A249" i="2" l="1"/>
  <c r="B249" i="2"/>
  <c r="C249" i="2"/>
  <c r="D249" i="2"/>
  <c r="A250" i="2"/>
  <c r="B250" i="2"/>
  <c r="C250" i="2"/>
  <c r="D250" i="2"/>
  <c r="A251" i="2"/>
  <c r="B251" i="2"/>
  <c r="C251" i="2"/>
  <c r="D251" i="2"/>
  <c r="A252" i="2"/>
  <c r="B252" i="2"/>
  <c r="C252" i="2"/>
  <c r="D252" i="2"/>
  <c r="A253" i="2"/>
  <c r="B253" i="2"/>
  <c r="C253" i="2"/>
  <c r="D253" i="2"/>
  <c r="A254" i="2"/>
  <c r="B254" i="2"/>
  <c r="C254" i="2"/>
  <c r="D254" i="2"/>
  <c r="A255" i="2"/>
  <c r="B255" i="2"/>
  <c r="C255" i="2"/>
  <c r="D255" i="2"/>
  <c r="A256" i="2"/>
  <c r="B256" i="2"/>
  <c r="C256" i="2"/>
  <c r="D256" i="2"/>
  <c r="A220" i="2"/>
  <c r="B220" i="2"/>
  <c r="C220" i="2"/>
  <c r="D220" i="2"/>
  <c r="A221" i="2"/>
  <c r="B221" i="2"/>
  <c r="C221" i="2"/>
  <c r="D221" i="2"/>
  <c r="A222" i="2"/>
  <c r="B222" i="2"/>
  <c r="C222" i="2"/>
  <c r="D222" i="2"/>
  <c r="A223" i="2"/>
  <c r="B223" i="2"/>
  <c r="C223" i="2"/>
  <c r="D223" i="2"/>
  <c r="A224" i="2"/>
  <c r="B224" i="2"/>
  <c r="C224" i="2"/>
  <c r="D224" i="2"/>
  <c r="A225" i="2"/>
  <c r="B225" i="2"/>
  <c r="C225" i="2"/>
  <c r="D225" i="2"/>
  <c r="A226" i="2"/>
  <c r="B226" i="2"/>
  <c r="C226" i="2"/>
  <c r="D226" i="2"/>
  <c r="A227" i="2"/>
  <c r="B227" i="2"/>
  <c r="C227" i="2"/>
  <c r="D227" i="2"/>
  <c r="A228" i="2"/>
  <c r="B228" i="2"/>
  <c r="C228" i="2"/>
  <c r="D228" i="2"/>
  <c r="A229" i="2"/>
  <c r="B229" i="2"/>
  <c r="C229" i="2"/>
  <c r="D229" i="2"/>
  <c r="A230" i="2"/>
  <c r="B230" i="2"/>
  <c r="C230" i="2"/>
  <c r="D230" i="2"/>
  <c r="A231" i="2"/>
  <c r="B231" i="2"/>
  <c r="C231" i="2"/>
  <c r="D231" i="2"/>
  <c r="A232" i="2"/>
  <c r="B232" i="2"/>
  <c r="C232" i="2"/>
  <c r="D232" i="2"/>
  <c r="A233" i="2"/>
  <c r="B233" i="2"/>
  <c r="C233" i="2"/>
  <c r="D233" i="2"/>
  <c r="A234" i="2"/>
  <c r="B234" i="2"/>
  <c r="C234" i="2"/>
  <c r="D234" i="2"/>
  <c r="A235" i="2"/>
  <c r="B235" i="2"/>
  <c r="C235" i="2"/>
  <c r="D235" i="2"/>
  <c r="A236" i="2"/>
  <c r="B236" i="2"/>
  <c r="C236" i="2"/>
  <c r="D236" i="2"/>
  <c r="A237" i="2"/>
  <c r="B237" i="2"/>
  <c r="C237" i="2"/>
  <c r="D237" i="2"/>
  <c r="A238" i="2"/>
  <c r="B238" i="2"/>
  <c r="C238" i="2"/>
  <c r="D238" i="2"/>
  <c r="A239" i="2"/>
  <c r="B239" i="2"/>
  <c r="C239" i="2"/>
  <c r="D239" i="2"/>
  <c r="A240" i="2"/>
  <c r="B240" i="2"/>
  <c r="C240" i="2"/>
  <c r="D240" i="2"/>
  <c r="A241" i="2"/>
  <c r="B241" i="2"/>
  <c r="C241" i="2"/>
  <c r="D241" i="2"/>
  <c r="A242" i="2"/>
  <c r="B242" i="2"/>
  <c r="C242" i="2"/>
  <c r="D242" i="2"/>
  <c r="A243" i="2"/>
  <c r="B243" i="2"/>
  <c r="C243" i="2"/>
  <c r="D243" i="2"/>
  <c r="A244" i="2"/>
  <c r="B244" i="2"/>
  <c r="C244" i="2"/>
  <c r="D244" i="2"/>
  <c r="A245" i="2"/>
  <c r="B245" i="2"/>
  <c r="C245" i="2"/>
  <c r="D245" i="2"/>
  <c r="A246" i="2"/>
  <c r="B246" i="2"/>
  <c r="C246" i="2"/>
  <c r="D246" i="2"/>
  <c r="A247" i="2"/>
  <c r="B247" i="2"/>
  <c r="C247" i="2"/>
  <c r="D247" i="2"/>
  <c r="A248" i="2"/>
  <c r="B248" i="2"/>
  <c r="C248" i="2"/>
  <c r="D248" i="2"/>
  <c r="A197" i="2"/>
  <c r="B197" i="2"/>
  <c r="C197" i="2"/>
  <c r="D197" i="2"/>
  <c r="A198" i="2"/>
  <c r="B198" i="2"/>
  <c r="C198" i="2"/>
  <c r="D198" i="2"/>
  <c r="A199" i="2"/>
  <c r="B199" i="2"/>
  <c r="C199" i="2"/>
  <c r="D199" i="2"/>
  <c r="A200" i="2"/>
  <c r="B200" i="2"/>
  <c r="C200" i="2"/>
  <c r="D200" i="2"/>
  <c r="A201" i="2"/>
  <c r="B201" i="2"/>
  <c r="C201" i="2"/>
  <c r="D201" i="2"/>
  <c r="A202" i="2"/>
  <c r="B202" i="2"/>
  <c r="C202" i="2"/>
  <c r="D202" i="2"/>
  <c r="A203" i="2"/>
  <c r="B203" i="2"/>
  <c r="C203" i="2"/>
  <c r="D203" i="2"/>
  <c r="A204" i="2"/>
  <c r="B204" i="2"/>
  <c r="C204" i="2"/>
  <c r="D204" i="2"/>
  <c r="A205" i="2"/>
  <c r="B205" i="2"/>
  <c r="C205" i="2"/>
  <c r="D205" i="2"/>
  <c r="A206" i="2"/>
  <c r="B206" i="2"/>
  <c r="C206" i="2"/>
  <c r="D206" i="2"/>
  <c r="A207" i="2"/>
  <c r="B207" i="2"/>
  <c r="C207" i="2"/>
  <c r="D207" i="2"/>
  <c r="A208" i="2"/>
  <c r="B208" i="2"/>
  <c r="C208" i="2"/>
  <c r="D208" i="2"/>
  <c r="A209" i="2"/>
  <c r="B209" i="2"/>
  <c r="C209" i="2"/>
  <c r="D209" i="2"/>
  <c r="A210" i="2"/>
  <c r="B210" i="2"/>
  <c r="C210" i="2"/>
  <c r="D210" i="2"/>
  <c r="A211" i="2"/>
  <c r="B211" i="2"/>
  <c r="C211" i="2"/>
  <c r="D211" i="2"/>
  <c r="A212" i="2"/>
  <c r="B212" i="2"/>
  <c r="C212" i="2"/>
  <c r="D212" i="2"/>
  <c r="A213" i="2"/>
  <c r="B213" i="2"/>
  <c r="C213" i="2"/>
  <c r="D213" i="2"/>
  <c r="A214" i="2"/>
  <c r="B214" i="2"/>
  <c r="C214" i="2"/>
  <c r="D214" i="2"/>
  <c r="A215" i="2"/>
  <c r="B215" i="2"/>
  <c r="C215" i="2"/>
  <c r="D215" i="2"/>
  <c r="A216" i="2"/>
  <c r="B216" i="2"/>
  <c r="C216" i="2"/>
  <c r="D216" i="2"/>
  <c r="A217" i="2"/>
  <c r="B217" i="2"/>
  <c r="C217" i="2"/>
  <c r="D217" i="2"/>
  <c r="A218" i="2"/>
  <c r="B218" i="2"/>
  <c r="C218" i="2"/>
  <c r="D218" i="2"/>
  <c r="A219" i="2"/>
  <c r="B219" i="2"/>
  <c r="C219" i="2"/>
  <c r="D219" i="2"/>
  <c r="A182" i="2"/>
  <c r="B182" i="2"/>
  <c r="C182" i="2"/>
  <c r="D182" i="2"/>
  <c r="A183" i="2"/>
  <c r="B183" i="2"/>
  <c r="C183" i="2"/>
  <c r="D183" i="2"/>
  <c r="A184" i="2"/>
  <c r="B184" i="2"/>
  <c r="C184" i="2"/>
  <c r="D184" i="2"/>
  <c r="A185" i="2"/>
  <c r="B185" i="2"/>
  <c r="C185" i="2"/>
  <c r="D185" i="2"/>
  <c r="A186" i="2"/>
  <c r="B186" i="2"/>
  <c r="C186" i="2"/>
  <c r="D186" i="2"/>
  <c r="A187" i="2"/>
  <c r="B187" i="2"/>
  <c r="C187" i="2"/>
  <c r="D187" i="2"/>
  <c r="A188" i="2"/>
  <c r="B188" i="2"/>
  <c r="C188" i="2"/>
  <c r="D188" i="2"/>
  <c r="A189" i="2"/>
  <c r="B189" i="2"/>
  <c r="C189" i="2"/>
  <c r="D189" i="2"/>
  <c r="A190" i="2"/>
  <c r="B190" i="2"/>
  <c r="C190" i="2"/>
  <c r="D190" i="2"/>
  <c r="A191" i="2"/>
  <c r="B191" i="2"/>
  <c r="C191" i="2"/>
  <c r="D191" i="2"/>
  <c r="A192" i="2"/>
  <c r="B192" i="2"/>
  <c r="C192" i="2"/>
  <c r="D192" i="2"/>
  <c r="A193" i="2"/>
  <c r="B193" i="2"/>
  <c r="C193" i="2"/>
  <c r="D193" i="2"/>
  <c r="A194" i="2"/>
  <c r="B194" i="2"/>
  <c r="C194" i="2"/>
  <c r="D194" i="2"/>
  <c r="A195" i="2"/>
  <c r="B195" i="2"/>
  <c r="C195" i="2"/>
  <c r="D195" i="2"/>
  <c r="A196" i="2"/>
  <c r="B196" i="2"/>
  <c r="C196" i="2"/>
  <c r="D196" i="2"/>
  <c r="J91" i="1" l="1"/>
  <c r="J92" i="1"/>
  <c r="J93" i="1"/>
  <c r="J94" i="1"/>
  <c r="J95" i="1"/>
  <c r="C90" i="1"/>
  <c r="C91" i="1"/>
  <c r="C92" i="1"/>
  <c r="C93" i="1"/>
  <c r="C94" i="1"/>
  <c r="C95" i="1"/>
  <c r="C96" i="1"/>
  <c r="C97" i="1"/>
  <c r="C98" i="1"/>
  <c r="F31" i="23" l="1"/>
  <c r="F17" i="23"/>
  <c r="E1" i="23" l="1"/>
  <c r="S7" i="23"/>
  <c r="E2" i="23" l="1"/>
  <c r="Q27" i="23"/>
  <c r="Q47" i="23"/>
  <c r="Q35" i="23"/>
  <c r="Q183" i="23"/>
  <c r="Q48" i="23"/>
  <c r="Q122" i="23"/>
  <c r="Q147" i="23"/>
  <c r="Q186" i="23"/>
  <c r="Q77" i="23"/>
  <c r="Q159" i="23"/>
  <c r="Q125" i="23"/>
  <c r="Q171" i="23"/>
  <c r="Q43" i="23"/>
  <c r="Q44" i="23"/>
  <c r="Q146" i="23"/>
  <c r="Q155" i="23"/>
  <c r="P10" i="23"/>
  <c r="Q163" i="23"/>
  <c r="Q26" i="23"/>
  <c r="Q187" i="23"/>
  <c r="Q63" i="23"/>
  <c r="Q62" i="23"/>
  <c r="Q14" i="23"/>
  <c r="Q114" i="23"/>
  <c r="Q193" i="23"/>
  <c r="Q148" i="23"/>
  <c r="P37" i="23"/>
  <c r="P111" i="23"/>
  <c r="P33" i="23"/>
  <c r="P164" i="23"/>
  <c r="P27" i="23"/>
  <c r="P104" i="23"/>
  <c r="P190" i="23"/>
  <c r="Q108" i="23"/>
  <c r="Q182" i="23"/>
  <c r="Q72" i="23"/>
  <c r="Q12" i="23"/>
  <c r="Q15" i="23"/>
  <c r="Q46" i="23"/>
  <c r="Q130" i="23"/>
  <c r="Q109" i="23"/>
  <c r="Q150" i="23"/>
  <c r="Q185" i="23"/>
  <c r="Q113" i="23"/>
  <c r="Q89" i="23"/>
  <c r="Q21" i="23"/>
  <c r="Q180" i="23"/>
  <c r="Q178" i="23"/>
  <c r="Q88" i="23"/>
  <c r="Q126" i="23"/>
  <c r="Q116" i="23"/>
  <c r="Q76" i="23"/>
  <c r="Q115" i="23"/>
  <c r="Q179" i="23"/>
  <c r="Q118" i="23"/>
  <c r="Q59" i="23"/>
  <c r="Q120" i="23"/>
  <c r="Q41" i="23"/>
  <c r="Q167" i="23"/>
  <c r="Q40" i="23"/>
  <c r="Q153" i="23"/>
  <c r="Q117" i="23"/>
  <c r="Q190" i="23"/>
  <c r="Q50" i="23"/>
  <c r="Q57" i="23"/>
  <c r="Q67" i="23"/>
  <c r="Q176" i="23"/>
  <c r="Q28" i="23"/>
  <c r="Q75" i="23"/>
  <c r="Q111" i="23"/>
  <c r="Q165" i="23"/>
  <c r="Q133" i="23"/>
  <c r="Q191" i="23"/>
  <c r="Q157" i="23"/>
  <c r="Q11" i="23"/>
  <c r="Q9" i="23"/>
  <c r="Q105" i="23"/>
  <c r="Q152" i="23"/>
  <c r="Q166" i="23"/>
  <c r="Q103" i="23"/>
  <c r="Q34" i="23"/>
  <c r="Q123" i="23"/>
  <c r="Q161" i="23"/>
  <c r="Q51" i="23"/>
  <c r="Q29" i="23"/>
  <c r="Q10" i="23"/>
  <c r="Q142" i="23"/>
  <c r="Q22" i="23"/>
  <c r="Q42" i="23"/>
  <c r="Q73" i="23"/>
  <c r="Q138" i="23"/>
  <c r="Q54" i="23"/>
  <c r="Q110" i="23"/>
  <c r="Q184" i="23"/>
  <c r="Q30" i="23"/>
  <c r="Q102" i="23"/>
  <c r="Q55" i="23"/>
  <c r="Q52" i="23"/>
  <c r="Q96" i="23"/>
  <c r="Q92" i="23"/>
  <c r="Q83" i="23"/>
  <c r="Q36" i="23"/>
  <c r="Q20" i="23"/>
  <c r="Q18" i="23"/>
  <c r="Q99" i="23"/>
  <c r="Q172" i="23"/>
  <c r="Q65" i="23"/>
  <c r="Q49" i="23"/>
  <c r="Q107" i="23"/>
  <c r="Q106" i="23"/>
  <c r="Q58" i="23"/>
  <c r="Q144" i="23"/>
  <c r="Q160" i="23"/>
  <c r="Q121" i="23"/>
  <c r="Q139" i="23"/>
  <c r="Q16" i="23"/>
  <c r="Q90" i="23"/>
  <c r="Q181" i="23"/>
  <c r="Q13" i="23"/>
  <c r="Q131" i="23"/>
  <c r="Q37" i="23"/>
  <c r="Q38" i="23"/>
  <c r="Q158" i="23"/>
  <c r="Q136" i="23"/>
  <c r="Q119" i="23"/>
  <c r="Q80" i="23"/>
  <c r="Q39" i="23"/>
  <c r="Q151" i="23"/>
  <c r="Q174" i="23"/>
  <c r="P194" i="23"/>
  <c r="P128" i="23"/>
  <c r="P151" i="23"/>
  <c r="P159" i="23"/>
  <c r="P139" i="23"/>
  <c r="P161" i="23"/>
  <c r="P67" i="23"/>
  <c r="P149" i="23"/>
  <c r="P167" i="23"/>
  <c r="P59" i="23"/>
  <c r="P30" i="23"/>
  <c r="P52" i="23"/>
  <c r="P131" i="23"/>
  <c r="P58" i="23"/>
  <c r="P53" i="23"/>
  <c r="P21" i="23"/>
  <c r="P115" i="23"/>
  <c r="P109" i="23"/>
  <c r="P174" i="23"/>
  <c r="P96" i="23"/>
  <c r="P25" i="23"/>
  <c r="Q23" i="23"/>
  <c r="Q81" i="23"/>
  <c r="Q164" i="23"/>
  <c r="Q87" i="23"/>
  <c r="Q168" i="23"/>
  <c r="Q124" i="23"/>
  <c r="Q129" i="23"/>
  <c r="P178" i="23"/>
  <c r="Q127" i="23"/>
  <c r="P118" i="23"/>
  <c r="P105" i="23"/>
  <c r="P11" i="23"/>
  <c r="P9" i="23"/>
  <c r="P91" i="23"/>
  <c r="P126" i="23"/>
  <c r="P145" i="23"/>
  <c r="P187" i="23"/>
  <c r="P63" i="23"/>
  <c r="P121" i="23"/>
  <c r="P87" i="23"/>
  <c r="P75" i="23"/>
  <c r="P127" i="23"/>
  <c r="P95" i="23"/>
  <c r="P107" i="23"/>
  <c r="P90" i="23"/>
  <c r="P173" i="23"/>
  <c r="P16" i="23"/>
  <c r="P103" i="23"/>
  <c r="P185" i="23"/>
  <c r="P49" i="23"/>
  <c r="P79" i="23"/>
  <c r="P51" i="23"/>
  <c r="P61" i="23"/>
  <c r="P42" i="23"/>
  <c r="P73" i="23"/>
  <c r="Q135" i="23"/>
  <c r="Q33" i="23"/>
  <c r="Q189" i="23"/>
  <c r="Q64" i="23"/>
  <c r="Q173" i="23"/>
  <c r="Q93" i="23"/>
  <c r="Q85" i="23"/>
  <c r="Q8" i="23"/>
  <c r="Q25" i="23"/>
  <c r="P35" i="23"/>
  <c r="P141" i="23"/>
  <c r="P153" i="23"/>
  <c r="P22" i="23"/>
  <c r="P18" i="23"/>
  <c r="P175" i="23"/>
  <c r="P172" i="23"/>
  <c r="P23" i="23"/>
  <c r="Q104" i="23"/>
  <c r="Q145" i="23"/>
  <c r="Q175" i="23"/>
  <c r="Q61" i="23"/>
  <c r="Q94" i="23"/>
  <c r="Q149" i="23"/>
  <c r="Q95" i="23"/>
  <c r="Q24" i="23"/>
  <c r="Q141" i="23"/>
  <c r="Q53" i="23"/>
  <c r="Q134" i="23"/>
  <c r="Q162" i="23"/>
  <c r="Q132" i="23"/>
  <c r="Q188" i="23"/>
  <c r="Q60" i="23"/>
  <c r="Q56" i="23"/>
  <c r="Q68" i="23"/>
  <c r="Q86" i="23"/>
  <c r="Q194" i="23"/>
  <c r="Q112" i="23"/>
  <c r="Q137" i="23"/>
  <c r="Q79" i="23"/>
  <c r="Q91" i="23"/>
  <c r="Q19" i="23"/>
  <c r="Q128" i="23"/>
  <c r="P148" i="23"/>
  <c r="P83" i="23"/>
  <c r="P134" i="23"/>
  <c r="P114" i="23"/>
  <c r="P40" i="23"/>
  <c r="P41" i="23"/>
  <c r="P135" i="23"/>
  <c r="P113" i="23"/>
  <c r="P157" i="23"/>
  <c r="P8" i="23"/>
  <c r="P160" i="23"/>
  <c r="P168" i="23"/>
  <c r="P62" i="23"/>
  <c r="P146" i="23"/>
  <c r="P132" i="23"/>
  <c r="P72" i="23"/>
  <c r="P112" i="23"/>
  <c r="P186" i="23"/>
  <c r="P184" i="23"/>
  <c r="P54" i="23"/>
  <c r="P138" i="23"/>
  <c r="P76" i="23"/>
  <c r="P13" i="23"/>
  <c r="P125" i="23"/>
  <c r="P55" i="23"/>
  <c r="P93" i="23"/>
  <c r="P94" i="23"/>
  <c r="P136" i="23"/>
  <c r="P166" i="23"/>
  <c r="P179" i="23"/>
  <c r="P46" i="23"/>
  <c r="P147" i="23"/>
  <c r="P144" i="23"/>
  <c r="P152" i="23"/>
  <c r="P120" i="23"/>
  <c r="P38" i="23"/>
  <c r="P171" i="23"/>
  <c r="P24" i="23"/>
  <c r="P57" i="23"/>
  <c r="P183" i="23"/>
  <c r="P47" i="23"/>
  <c r="P122" i="23"/>
  <c r="P150" i="23"/>
  <c r="P110" i="23"/>
  <c r="P142" i="23"/>
  <c r="P14" i="23"/>
  <c r="P85" i="23"/>
  <c r="P29" i="23"/>
  <c r="P129" i="23"/>
  <c r="P163" i="23"/>
  <c r="P36" i="23"/>
  <c r="P106" i="23"/>
  <c r="P165" i="23"/>
  <c r="P65" i="23"/>
  <c r="P39" i="23"/>
  <c r="P50" i="23"/>
  <c r="P86" i="23"/>
  <c r="P130" i="23"/>
  <c r="P117" i="23"/>
  <c r="P182" i="23"/>
  <c r="P88" i="23"/>
  <c r="P191" i="23"/>
  <c r="P133" i="23"/>
  <c r="P162" i="23"/>
  <c r="P116" i="23"/>
  <c r="P137" i="23"/>
  <c r="P99" i="23"/>
  <c r="P189" i="23"/>
  <c r="P64" i="23"/>
  <c r="P81" i="23"/>
  <c r="P124" i="23"/>
  <c r="P180" i="23"/>
  <c r="P193" i="23"/>
  <c r="Q17" i="23"/>
  <c r="M192" i="23"/>
  <c r="M59" i="23"/>
  <c r="M13" i="23"/>
  <c r="M61" i="23"/>
  <c r="M75" i="23"/>
  <c r="M20" i="23"/>
  <c r="M150" i="23"/>
  <c r="M39" i="23"/>
  <c r="M25" i="23"/>
  <c r="M78" i="23"/>
  <c r="M71" i="23"/>
  <c r="P92" i="23"/>
  <c r="P48" i="23"/>
  <c r="P188" i="23"/>
  <c r="P60" i="23"/>
  <c r="P181" i="23"/>
  <c r="P155" i="23"/>
  <c r="P26" i="23"/>
  <c r="P123" i="23"/>
  <c r="P80" i="23"/>
  <c r="P158" i="23"/>
  <c r="P28" i="23"/>
  <c r="P119" i="23"/>
  <c r="P43" i="23"/>
  <c r="P89" i="23"/>
  <c r="P176" i="23"/>
  <c r="P44" i="23"/>
  <c r="P108" i="23"/>
  <c r="P12" i="23"/>
  <c r="P15" i="23"/>
  <c r="P20" i="23"/>
  <c r="P34" i="23"/>
  <c r="P19" i="23"/>
  <c r="P102" i="23"/>
  <c r="P68" i="23"/>
  <c r="P77" i="23"/>
  <c r="P56" i="23"/>
  <c r="L107" i="23"/>
  <c r="L26" i="23"/>
  <c r="L141" i="23"/>
  <c r="L99" i="23"/>
  <c r="L93" i="23"/>
  <c r="L150" i="23"/>
  <c r="L156" i="23"/>
  <c r="L155" i="23"/>
  <c r="L139" i="23"/>
  <c r="L25" i="23"/>
  <c r="L142" i="23"/>
  <c r="L114" i="23"/>
  <c r="L192" i="23"/>
  <c r="L86" i="23"/>
  <c r="L27" i="23"/>
  <c r="L80" i="23"/>
  <c r="L154" i="23"/>
  <c r="L103" i="23"/>
  <c r="L65" i="23"/>
  <c r="L146" i="23"/>
  <c r="L70" i="23"/>
  <c r="L72" i="23"/>
  <c r="L177" i="23"/>
  <c r="L35" i="23"/>
  <c r="L165" i="23"/>
  <c r="L41" i="23"/>
  <c r="L106" i="23"/>
  <c r="L179" i="23"/>
  <c r="L89" i="23"/>
  <c r="L175" i="23"/>
  <c r="L91" i="23"/>
  <c r="L115" i="23"/>
  <c r="L98" i="23"/>
  <c r="L183" i="23"/>
  <c r="L50" i="23"/>
  <c r="L186" i="23"/>
  <c r="L22" i="23"/>
  <c r="L24" i="23"/>
  <c r="L69" i="23"/>
  <c r="L112" i="23"/>
  <c r="L18" i="23"/>
  <c r="L102" i="23"/>
  <c r="P31" i="23"/>
  <c r="L161" i="23"/>
  <c r="L13" i="23"/>
  <c r="L113" i="23"/>
  <c r="L28" i="23"/>
  <c r="L55" i="23"/>
  <c r="L180" i="23"/>
  <c r="L38" i="23"/>
  <c r="L176" i="23"/>
  <c r="L187" i="23"/>
  <c r="L63" i="23"/>
  <c r="L40" i="23"/>
  <c r="L74" i="23"/>
  <c r="L105" i="23"/>
  <c r="L66" i="23"/>
  <c r="L190" i="23"/>
  <c r="L194" i="23"/>
  <c r="L111" i="23"/>
  <c r="L87" i="23"/>
  <c r="L126" i="23"/>
  <c r="L168" i="23"/>
  <c r="L117" i="23"/>
  <c r="L21" i="23"/>
  <c r="L95" i="23"/>
  <c r="L193" i="23"/>
  <c r="L157" i="23"/>
  <c r="L128" i="23"/>
  <c r="L68" i="23"/>
  <c r="L137" i="23"/>
  <c r="L158" i="23"/>
  <c r="L164" i="23"/>
  <c r="L159" i="23"/>
  <c r="L79" i="23"/>
  <c r="L125" i="23"/>
  <c r="L59" i="23"/>
  <c r="L31" i="23"/>
  <c r="L152" i="23"/>
  <c r="L97" i="23"/>
  <c r="L134" i="23"/>
  <c r="L51" i="23"/>
  <c r="L94" i="23"/>
  <c r="L148" i="23"/>
  <c r="L147" i="23"/>
  <c r="L138" i="23"/>
  <c r="L166" i="23"/>
  <c r="L110" i="23"/>
  <c r="L46" i="23"/>
  <c r="L20" i="23"/>
  <c r="L78" i="23"/>
  <c r="L45" i="23"/>
  <c r="L90" i="23"/>
  <c r="L17" i="23"/>
  <c r="L109" i="23"/>
  <c r="L162" i="23"/>
  <c r="L30" i="23"/>
  <c r="L36" i="23"/>
  <c r="L10" i="23"/>
  <c r="L42" i="23"/>
  <c r="L189" i="23"/>
  <c r="L64" i="23"/>
  <c r="L118" i="23"/>
  <c r="L33" i="23"/>
  <c r="L153" i="23"/>
  <c r="L174" i="23"/>
  <c r="L49" i="23"/>
  <c r="L122" i="23"/>
  <c r="L73" i="23"/>
  <c r="L129" i="23"/>
  <c r="L14" i="23"/>
  <c r="L44" i="23"/>
  <c r="L123" i="23"/>
  <c r="L92" i="23"/>
  <c r="L57" i="23"/>
  <c r="L127" i="23"/>
  <c r="L119" i="23"/>
  <c r="L16" i="23"/>
  <c r="L172" i="23"/>
  <c r="L143" i="23"/>
  <c r="L58" i="23"/>
  <c r="L140" i="23"/>
  <c r="L83" i="23"/>
  <c r="L32" i="23"/>
  <c r="L144" i="23"/>
  <c r="L181" i="23"/>
  <c r="L151" i="23"/>
  <c r="L149" i="23"/>
  <c r="L167" i="23"/>
  <c r="L39" i="23"/>
  <c r="L43" i="23"/>
  <c r="L60" i="23"/>
  <c r="L188" i="23"/>
  <c r="L47" i="23"/>
  <c r="L19" i="23"/>
  <c r="L34" i="23"/>
  <c r="L8" i="23"/>
  <c r="L121" i="23"/>
  <c r="L130" i="23"/>
  <c r="L23" i="23"/>
  <c r="L135" i="23"/>
  <c r="L82" i="23"/>
  <c r="L9" i="23"/>
  <c r="L11" i="23"/>
  <c r="L173" i="23"/>
  <c r="L53" i="23"/>
  <c r="L7" i="23"/>
  <c r="L120" i="23"/>
  <c r="L171" i="23"/>
  <c r="L15" i="23"/>
  <c r="L12" i="23"/>
  <c r="L101" i="23"/>
  <c r="L37" i="23"/>
  <c r="L88" i="23"/>
  <c r="L71" i="23"/>
  <c r="L100" i="23"/>
  <c r="L61" i="23"/>
  <c r="L54" i="23"/>
  <c r="L52" i="23"/>
  <c r="L160" i="23"/>
  <c r="L131" i="23"/>
  <c r="L108" i="23"/>
  <c r="L75" i="23"/>
  <c r="L85" i="23"/>
  <c r="L77" i="23"/>
  <c r="L132" i="23"/>
  <c r="L184" i="23"/>
  <c r="L116" i="23"/>
  <c r="L81" i="23"/>
  <c r="L104" i="23"/>
  <c r="L185" i="23"/>
  <c r="M52" i="23"/>
  <c r="M149" i="23"/>
  <c r="M103" i="23"/>
  <c r="M171" i="23"/>
  <c r="M97" i="23"/>
  <c r="M159" i="23"/>
  <c r="L67" i="23"/>
  <c r="L48" i="23"/>
  <c r="L182" i="23"/>
  <c r="L136" i="23"/>
  <c r="L178" i="23"/>
  <c r="L145" i="23"/>
  <c r="L29" i="23"/>
  <c r="L169" i="23"/>
  <c r="L133" i="23"/>
  <c r="L62" i="23"/>
  <c r="L124" i="23"/>
  <c r="L170" i="23"/>
  <c r="L76" i="23"/>
  <c r="L163" i="23"/>
  <c r="L56" i="23"/>
  <c r="L96" i="23"/>
  <c r="P17" i="23"/>
  <c r="L191" i="23"/>
  <c r="L84" i="23"/>
  <c r="M115" i="23"/>
  <c r="M60" i="23"/>
  <c r="M188" i="23"/>
  <c r="M177" i="23"/>
  <c r="M102" i="23"/>
  <c r="M51" i="23"/>
  <c r="M35" i="23"/>
  <c r="M46" i="23"/>
  <c r="M106" i="23"/>
  <c r="M153" i="23"/>
  <c r="M24" i="23"/>
  <c r="M141" i="23"/>
  <c r="M194" i="23"/>
  <c r="M63" i="23"/>
  <c r="M137" i="23"/>
  <c r="M157" i="23"/>
  <c r="M187" i="23"/>
  <c r="M53" i="23"/>
  <c r="M109" i="23"/>
  <c r="M23" i="23"/>
  <c r="M96" i="23"/>
  <c r="M95" i="23"/>
  <c r="M84" i="23"/>
  <c r="M72" i="23"/>
  <c r="M50" i="23"/>
  <c r="M64" i="23"/>
  <c r="M189" i="23"/>
  <c r="M162" i="23"/>
  <c r="M156" i="23"/>
  <c r="M44" i="23"/>
  <c r="M77" i="23"/>
  <c r="M107" i="23"/>
  <c r="M173" i="23"/>
  <c r="M42" i="23"/>
  <c r="M54" i="23"/>
  <c r="M28" i="23"/>
  <c r="M176" i="23"/>
  <c r="M191" i="23"/>
  <c r="M110" i="23"/>
  <c r="M70" i="23"/>
  <c r="M91" i="23"/>
  <c r="M130" i="23"/>
  <c r="M21" i="23"/>
  <c r="M15" i="23"/>
  <c r="M12" i="23"/>
  <c r="M160" i="23"/>
  <c r="M10" i="23"/>
  <c r="M175" i="23"/>
  <c r="M65" i="23"/>
  <c r="M117" i="23"/>
  <c r="M37" i="23"/>
  <c r="M165" i="23"/>
  <c r="M170" i="23"/>
  <c r="M29" i="23"/>
  <c r="M83" i="23"/>
  <c r="M93" i="23"/>
  <c r="M104" i="23"/>
  <c r="M11" i="23"/>
  <c r="M9" i="23"/>
  <c r="M82" i="23"/>
  <c r="M172" i="23"/>
  <c r="M30" i="23"/>
  <c r="M138" i="23"/>
  <c r="M90" i="23"/>
  <c r="M94" i="23"/>
  <c r="M148" i="23"/>
  <c r="M183" i="23"/>
  <c r="M123" i="23"/>
  <c r="M32" i="23"/>
  <c r="M144" i="23"/>
  <c r="M8" i="23"/>
  <c r="M47" i="23"/>
  <c r="M158" i="23"/>
  <c r="M164" i="23"/>
  <c r="M131" i="23"/>
  <c r="M98" i="23"/>
  <c r="M134" i="23"/>
  <c r="M16" i="23"/>
  <c r="M89" i="23"/>
  <c r="M168" i="23"/>
  <c r="P156" i="23"/>
  <c r="P154" i="23"/>
  <c r="M48" i="23"/>
  <c r="M41" i="23"/>
  <c r="M112" i="23"/>
  <c r="M181" i="23"/>
  <c r="M74" i="23"/>
  <c r="M145" i="23"/>
  <c r="M79" i="23"/>
  <c r="M69" i="23"/>
  <c r="M55" i="23"/>
  <c r="M178" i="23"/>
  <c r="M58" i="23"/>
  <c r="M18" i="23"/>
  <c r="M62" i="23"/>
  <c r="M146" i="23"/>
  <c r="M174" i="23"/>
  <c r="M100" i="23"/>
  <c r="M34" i="23"/>
  <c r="M184" i="23"/>
  <c r="M140" i="23"/>
  <c r="M19" i="23"/>
  <c r="M36" i="23"/>
  <c r="M142" i="23"/>
  <c r="M118" i="23"/>
  <c r="M87" i="23"/>
  <c r="M129" i="23"/>
  <c r="M169" i="23"/>
  <c r="Q31" i="23"/>
  <c r="M119" i="23"/>
  <c r="M68" i="23"/>
  <c r="M31" i="23"/>
  <c r="M147" i="23"/>
  <c r="M17" i="23"/>
  <c r="M122" i="23"/>
  <c r="M166" i="23"/>
  <c r="M180" i="23"/>
  <c r="M186" i="23"/>
  <c r="M27" i="23"/>
  <c r="M108" i="23"/>
  <c r="M163" i="23"/>
  <c r="M135" i="23"/>
  <c r="M139" i="23"/>
  <c r="M126" i="23"/>
  <c r="M56" i="23"/>
  <c r="M121" i="23"/>
  <c r="M38" i="23"/>
  <c r="M113" i="23"/>
  <c r="M105" i="23"/>
  <c r="M133" i="23"/>
  <c r="M143" i="23"/>
  <c r="M151" i="23"/>
  <c r="M101" i="23"/>
  <c r="M66" i="23"/>
  <c r="M167" i="23"/>
  <c r="M26" i="23"/>
  <c r="M179" i="23"/>
  <c r="M136" i="23"/>
  <c r="M73" i="23"/>
  <c r="M92" i="23"/>
  <c r="M7" i="23"/>
  <c r="M132" i="23"/>
  <c r="M190" i="23"/>
  <c r="M114" i="23"/>
  <c r="M67" i="23"/>
  <c r="M152" i="23"/>
  <c r="M85" i="23"/>
  <c r="M127" i="23"/>
  <c r="M125" i="23"/>
  <c r="M33" i="23"/>
  <c r="M185" i="23"/>
  <c r="M154" i="23"/>
  <c r="M22" i="23"/>
  <c r="Q154" i="23"/>
  <c r="Q156" i="23"/>
  <c r="M49" i="23"/>
  <c r="M57" i="23"/>
  <c r="M80" i="23"/>
  <c r="M111" i="23"/>
  <c r="M193" i="23"/>
  <c r="M40" i="23"/>
  <c r="M99" i="23"/>
  <c r="M120" i="23"/>
  <c r="M81" i="23"/>
  <c r="M43" i="23"/>
  <c r="M86" i="23"/>
  <c r="M76" i="23"/>
  <c r="M124" i="23"/>
  <c r="M161" i="23"/>
  <c r="M88" i="23"/>
  <c r="M128" i="23"/>
  <c r="M182" i="23"/>
  <c r="M45" i="23"/>
  <c r="M155" i="23"/>
  <c r="M116" i="23"/>
  <c r="M14" i="23"/>
  <c r="BB211" i="23" l="1"/>
  <c r="BB210" i="23"/>
  <c r="BB197" i="23"/>
  <c r="BB196" i="23"/>
  <c r="BB195" i="23"/>
  <c r="I4" i="23"/>
  <c r="Q100" i="23"/>
  <c r="P101" i="23"/>
  <c r="P70" i="23"/>
  <c r="Q84" i="23"/>
  <c r="Q71" i="23"/>
  <c r="Q169" i="23"/>
  <c r="P143" i="23"/>
  <c r="Q143" i="23"/>
  <c r="P32" i="23"/>
  <c r="Q7" i="23"/>
  <c r="Q140" i="23"/>
  <c r="P7" i="23"/>
  <c r="P45" i="23"/>
  <c r="Q97" i="23"/>
  <c r="P69" i="23"/>
  <c r="Q45" i="23"/>
  <c r="Q82" i="23"/>
  <c r="P100" i="23"/>
  <c r="P169" i="23"/>
  <c r="P98" i="23"/>
  <c r="P71" i="23"/>
  <c r="P192" i="23"/>
  <c r="Q177" i="23"/>
  <c r="P82" i="23"/>
  <c r="Q192" i="23"/>
  <c r="Q74" i="23"/>
  <c r="P78" i="23"/>
  <c r="P84" i="23"/>
  <c r="Q78" i="23"/>
  <c r="P177" i="23"/>
  <c r="P97" i="23"/>
  <c r="Q101" i="23"/>
  <c r="P140" i="23"/>
  <c r="Q69" i="23"/>
  <c r="Q32" i="23"/>
  <c r="P170" i="23"/>
  <c r="Q98" i="23"/>
  <c r="Q66" i="23"/>
  <c r="P66" i="23"/>
  <c r="Q170" i="23"/>
  <c r="Q70" i="23"/>
  <c r="P74" i="23"/>
  <c r="N136" i="23" l="1"/>
  <c r="V41" i="1"/>
  <c r="N126" i="23"/>
  <c r="W41" i="1" s="1"/>
  <c r="X40" i="1"/>
  <c r="R109" i="23"/>
  <c r="Y40" i="1" s="1"/>
  <c r="X23" i="1"/>
  <c r="R113" i="23"/>
  <c r="Y23" i="1" s="1"/>
  <c r="N54" i="23"/>
  <c r="R134" i="23"/>
  <c r="N97" i="23"/>
  <c r="R99" i="23"/>
  <c r="V64" i="1"/>
  <c r="N49" i="23"/>
  <c r="W64" i="1" s="1"/>
  <c r="R124" i="23"/>
  <c r="Y9" i="1" s="1"/>
  <c r="X9" i="1"/>
  <c r="N114" i="23"/>
  <c r="W32" i="1" s="1"/>
  <c r="V32" i="1"/>
  <c r="N82" i="23"/>
  <c r="V36" i="1"/>
  <c r="N94" i="23"/>
  <c r="W36" i="1" s="1"/>
  <c r="N37" i="23"/>
  <c r="N178" i="23"/>
  <c r="N13" i="23"/>
  <c r="N27" i="23"/>
  <c r="N83" i="23"/>
  <c r="R172" i="23"/>
  <c r="Y56" i="1" s="1"/>
  <c r="X56" i="1"/>
  <c r="R47" i="23"/>
  <c r="Y65" i="1" s="1"/>
  <c r="X65" i="1"/>
  <c r="N140" i="23"/>
  <c r="R175" i="23"/>
  <c r="V94" i="1"/>
  <c r="N153" i="23"/>
  <c r="W94" i="1" s="1"/>
  <c r="V14" i="1"/>
  <c r="N149" i="23"/>
  <c r="W14" i="1" s="1"/>
  <c r="R27" i="23"/>
  <c r="V18" i="1"/>
  <c r="N87" i="23"/>
  <c r="W18" i="1" s="1"/>
  <c r="N43" i="23"/>
  <c r="N28" i="23"/>
  <c r="R185" i="23"/>
  <c r="Y80" i="1" s="1"/>
  <c r="X80" i="1"/>
  <c r="N101" i="23"/>
  <c r="R121" i="23"/>
  <c r="R138" i="23"/>
  <c r="R163" i="23"/>
  <c r="R194" i="23"/>
  <c r="Y90" i="1" s="1"/>
  <c r="X90" i="1"/>
  <c r="N146" i="23"/>
  <c r="R173" i="23"/>
  <c r="N180" i="23"/>
  <c r="N134" i="23"/>
  <c r="R122" i="23"/>
  <c r="Y42" i="1" s="1"/>
  <c r="X42" i="1"/>
  <c r="X7" i="1"/>
  <c r="N99" i="23"/>
  <c r="N73" i="23"/>
  <c r="N17" i="23"/>
  <c r="V66" i="1"/>
  <c r="N53" i="23"/>
  <c r="W66" i="1" s="1"/>
  <c r="N77" i="23"/>
  <c r="W69" i="1" s="1"/>
  <c r="V69" i="1"/>
  <c r="R15" i="23"/>
  <c r="R88" i="23"/>
  <c r="Y28" i="1" s="1"/>
  <c r="X28" i="1"/>
  <c r="X30" i="1"/>
  <c r="R95" i="23"/>
  <c r="Y30" i="1" s="1"/>
  <c r="R189" i="23"/>
  <c r="X83" i="1"/>
  <c r="R8" i="23"/>
  <c r="Y83" i="1" s="1"/>
  <c r="N193" i="23"/>
  <c r="W89" i="1" s="1"/>
  <c r="V89" i="1"/>
  <c r="R11" i="23"/>
  <c r="R191" i="23"/>
  <c r="Y75" i="1" s="1"/>
  <c r="X75" i="1"/>
  <c r="N127" i="23"/>
  <c r="V63" i="1"/>
  <c r="N48" i="23"/>
  <c r="W63" i="1" s="1"/>
  <c r="R136" i="23"/>
  <c r="X86" i="1"/>
  <c r="R30" i="23"/>
  <c r="Y86" i="1" s="1"/>
  <c r="N128" i="23"/>
  <c r="N143" i="23"/>
  <c r="X60" i="1"/>
  <c r="R57" i="23"/>
  <c r="Y60" i="1" s="1"/>
  <c r="R184" i="23"/>
  <c r="X44" i="1"/>
  <c r="R22" i="23"/>
  <c r="Y44" i="1" s="1"/>
  <c r="R31" i="23"/>
  <c r="N72" i="23"/>
  <c r="X51" i="1"/>
  <c r="R165" i="23"/>
  <c r="Y51" i="1" s="1"/>
  <c r="R164" i="23"/>
  <c r="R187" i="23"/>
  <c r="R133" i="23"/>
  <c r="R46" i="23"/>
  <c r="R39" i="23"/>
  <c r="X92" i="1"/>
  <c r="R155" i="23"/>
  <c r="Y92" i="1" s="1"/>
  <c r="R68" i="23"/>
  <c r="X35" i="1"/>
  <c r="R93" i="23"/>
  <c r="Y35" i="1" s="1"/>
  <c r="N106" i="23"/>
  <c r="W37" i="1" s="1"/>
  <c r="V37" i="1"/>
  <c r="V91" i="1"/>
  <c r="N158" i="23"/>
  <c r="W91" i="1" s="1"/>
  <c r="N118" i="23"/>
  <c r="W15" i="1" s="1"/>
  <c r="V15" i="1"/>
  <c r="N144" i="23"/>
  <c r="V53" i="1"/>
  <c r="N166" i="23"/>
  <c r="W53" i="1" s="1"/>
  <c r="V62" i="1"/>
  <c r="N52" i="23"/>
  <c r="W62" i="1" s="1"/>
  <c r="N183" i="23"/>
  <c r="N191" i="23"/>
  <c r="W75" i="1" s="1"/>
  <c r="V75" i="1"/>
  <c r="N59" i="23"/>
  <c r="N132" i="23"/>
  <c r="N15" i="23"/>
  <c r="N139" i="23"/>
  <c r="N31" i="23"/>
  <c r="R120" i="23"/>
  <c r="N138" i="23"/>
  <c r="N56" i="23"/>
  <c r="X58" i="1"/>
  <c r="R44" i="23"/>
  <c r="Y58" i="1" s="1"/>
  <c r="N161" i="23"/>
  <c r="X82" i="1"/>
  <c r="R10" i="23"/>
  <c r="Y82" i="1" s="1"/>
  <c r="X74" i="1"/>
  <c r="R60" i="23"/>
  <c r="Y74" i="1" s="1"/>
  <c r="N104" i="23"/>
  <c r="W13" i="1" s="1"/>
  <c r="V13" i="1"/>
  <c r="N63" i="23"/>
  <c r="R71" i="23"/>
  <c r="X16" i="1"/>
  <c r="R85" i="23"/>
  <c r="Y16" i="1" s="1"/>
  <c r="N74" i="23"/>
  <c r="R135" i="23"/>
  <c r="R18" i="23"/>
  <c r="R23" i="23"/>
  <c r="V29" i="1"/>
  <c r="N91" i="23"/>
  <c r="W29" i="1" s="1"/>
  <c r="V82" i="1"/>
  <c r="N10" i="23"/>
  <c r="W82" i="1" s="1"/>
  <c r="N69" i="23"/>
  <c r="N145" i="23"/>
  <c r="V20" i="1"/>
  <c r="N92" i="23"/>
  <c r="W20" i="1" s="1"/>
  <c r="N175" i="23"/>
  <c r="N159" i="23"/>
  <c r="N45" i="23"/>
  <c r="V16" i="1"/>
  <c r="N85" i="23"/>
  <c r="W16" i="1" s="1"/>
  <c r="R156" i="23"/>
  <c r="X59" i="1"/>
  <c r="R38" i="23"/>
  <c r="Y59" i="1" s="1"/>
  <c r="R127" i="23"/>
  <c r="X47" i="1"/>
  <c r="R19" i="23"/>
  <c r="Y47" i="1" s="1"/>
  <c r="R111" i="23"/>
  <c r="R176" i="23"/>
  <c r="X64" i="1"/>
  <c r="R49" i="23"/>
  <c r="Y64" i="1" s="1"/>
  <c r="R97" i="23"/>
  <c r="R12" i="23"/>
  <c r="Y84" i="1" s="1"/>
  <c r="X84" i="1"/>
  <c r="R114" i="23"/>
  <c r="Y32" i="1" s="1"/>
  <c r="X32" i="1"/>
  <c r="R80" i="23"/>
  <c r="Y73" i="1" s="1"/>
  <c r="X73" i="1"/>
  <c r="R137" i="23"/>
  <c r="R150" i="23"/>
  <c r="Y95" i="1" s="1"/>
  <c r="X95" i="1"/>
  <c r="N176" i="23"/>
  <c r="N78" i="23"/>
  <c r="N96" i="23"/>
  <c r="W11" i="1" s="1"/>
  <c r="V11" i="1"/>
  <c r="N148" i="23"/>
  <c r="N103" i="23"/>
  <c r="W12" i="1" s="1"/>
  <c r="V12" i="1"/>
  <c r="N108" i="23"/>
  <c r="W39" i="1" s="1"/>
  <c r="V39" i="1"/>
  <c r="N50" i="23"/>
  <c r="N26" i="23"/>
  <c r="R42" i="23"/>
  <c r="R65" i="23"/>
  <c r="R190" i="23"/>
  <c r="Y76" i="1" s="1"/>
  <c r="X76" i="1"/>
  <c r="R110" i="23"/>
  <c r="R193" i="23"/>
  <c r="Y89" i="1" s="1"/>
  <c r="X89" i="1"/>
  <c r="X69" i="1"/>
  <c r="R77" i="23"/>
  <c r="Y69" i="1" s="1"/>
  <c r="R70" i="23"/>
  <c r="X25" i="1"/>
  <c r="R119" i="23"/>
  <c r="Y25" i="1" s="1"/>
  <c r="R16" i="23"/>
  <c r="N57" i="23"/>
  <c r="W60" i="1" s="1"/>
  <c r="V60" i="1"/>
  <c r="N110" i="23"/>
  <c r="V65" i="1"/>
  <c r="N47" i="23"/>
  <c r="W65" i="1" s="1"/>
  <c r="N16" i="23"/>
  <c r="N141" i="23"/>
  <c r="V80" i="1"/>
  <c r="N185" i="23"/>
  <c r="W80" i="1" s="1"/>
  <c r="N152" i="23"/>
  <c r="W93" i="1" s="1"/>
  <c r="V93" i="1"/>
  <c r="V76" i="1"/>
  <c r="N190" i="23"/>
  <c r="W76" i="1" s="1"/>
  <c r="R64" i="23"/>
  <c r="Y77" i="1" s="1"/>
  <c r="X77" i="1"/>
  <c r="N165" i="23"/>
  <c r="W51" i="1" s="1"/>
  <c r="V51" i="1"/>
  <c r="R148" i="23"/>
  <c r="X15" i="1"/>
  <c r="R118" i="23"/>
  <c r="Y15" i="1" s="1"/>
  <c r="X53" i="1"/>
  <c r="R166" i="23"/>
  <c r="Y53" i="1" s="1"/>
  <c r="N173" i="23"/>
  <c r="N21" i="23"/>
  <c r="R48" i="23"/>
  <c r="Y63" i="1" s="1"/>
  <c r="X63" i="1"/>
  <c r="R14" i="23"/>
  <c r="R73" i="23"/>
  <c r="R25" i="23"/>
  <c r="Y46" i="1" s="1"/>
  <c r="X46" i="1"/>
  <c r="R139" i="23"/>
  <c r="R149" i="23"/>
  <c r="Y14" i="1" s="1"/>
  <c r="X14" i="1"/>
  <c r="R154" i="23"/>
  <c r="N86" i="23"/>
  <c r="W17" i="1" s="1"/>
  <c r="V17" i="1"/>
  <c r="N192" i="23"/>
  <c r="R162" i="23"/>
  <c r="R36" i="23"/>
  <c r="R9" i="23"/>
  <c r="R116" i="23"/>
  <c r="N164" i="23"/>
  <c r="N23" i="23"/>
  <c r="N12" i="23"/>
  <c r="W84" i="1" s="1"/>
  <c r="H11" i="23"/>
  <c r="V84" i="1"/>
  <c r="R34" i="23"/>
  <c r="Y88" i="1" s="1"/>
  <c r="X88" i="1"/>
  <c r="R61" i="23"/>
  <c r="V78" i="1"/>
  <c r="N181" i="23"/>
  <c r="W78" i="1" s="1"/>
  <c r="N51" i="23"/>
  <c r="W68" i="1" s="1"/>
  <c r="V68" i="1"/>
  <c r="N62" i="23"/>
  <c r="R153" i="23"/>
  <c r="Y94" i="1" s="1"/>
  <c r="X94" i="1"/>
  <c r="R115" i="23"/>
  <c r="Y24" i="1" s="1"/>
  <c r="X24" i="1"/>
  <c r="V71" i="1"/>
  <c r="N75" i="23"/>
  <c r="W71" i="1" s="1"/>
  <c r="N70" i="23"/>
  <c r="N32" i="23"/>
  <c r="N147" i="23"/>
  <c r="R78" i="23"/>
  <c r="N150" i="23"/>
  <c r="W95" i="1" s="1"/>
  <c r="V95" i="1"/>
  <c r="V87" i="1"/>
  <c r="N33" i="23"/>
  <c r="W87" i="1" s="1"/>
  <c r="N162" i="23"/>
  <c r="V31" i="1"/>
  <c r="N105" i="23"/>
  <c r="W31" i="1" s="1"/>
  <c r="R28" i="23"/>
  <c r="X39" i="1"/>
  <c r="R108" i="23"/>
  <c r="Y39" i="1" s="1"/>
  <c r="R98" i="23"/>
  <c r="R52" i="23"/>
  <c r="Y62" i="1" s="1"/>
  <c r="X62" i="1"/>
  <c r="R87" i="23"/>
  <c r="Y18" i="1" s="1"/>
  <c r="X18" i="1"/>
  <c r="R35" i="23"/>
  <c r="X48" i="1"/>
  <c r="R168" i="23"/>
  <c r="Y48" i="1" s="1"/>
  <c r="R69" i="23"/>
  <c r="X87" i="1"/>
  <c r="R33" i="23"/>
  <c r="Y87" i="1" s="1"/>
  <c r="R74" i="23"/>
  <c r="R103" i="23"/>
  <c r="Y12" i="1" s="1"/>
  <c r="X12" i="1"/>
  <c r="X21" i="1"/>
  <c r="R102" i="23"/>
  <c r="Y21" i="1" s="1"/>
  <c r="N137" i="23"/>
  <c r="V23" i="1"/>
  <c r="N113" i="23"/>
  <c r="W23" i="1" s="1"/>
  <c r="N174" i="23"/>
  <c r="W55" i="1" s="1"/>
  <c r="V55" i="1"/>
  <c r="N167" i="23"/>
  <c r="W49" i="1" s="1"/>
  <c r="V49" i="1"/>
  <c r="N8" i="23"/>
  <c r="W83" i="1" s="1"/>
  <c r="V83" i="1"/>
  <c r="N66" i="23"/>
  <c r="N46" i="23"/>
  <c r="N14" i="23"/>
  <c r="N38" i="23"/>
  <c r="W59" i="1" s="1"/>
  <c r="V59" i="1"/>
  <c r="N40" i="23"/>
  <c r="R75" i="23"/>
  <c r="Y71" i="1" s="1"/>
  <c r="X71" i="1"/>
  <c r="N42" i="23"/>
  <c r="V25" i="1"/>
  <c r="N119" i="23"/>
  <c r="W25" i="1" s="1"/>
  <c r="R183" i="23"/>
  <c r="R180" i="23"/>
  <c r="R159" i="23"/>
  <c r="N182" i="23"/>
  <c r="W79" i="1" s="1"/>
  <c r="V79" i="1"/>
  <c r="N100" i="23"/>
  <c r="X50" i="1"/>
  <c r="R171" i="23"/>
  <c r="Y50" i="1" s="1"/>
  <c r="N88" i="23"/>
  <c r="W28" i="1" s="1"/>
  <c r="V28" i="1"/>
  <c r="X38" i="1"/>
  <c r="R107" i="23"/>
  <c r="Y38" i="1" s="1"/>
  <c r="R140" i="23"/>
  <c r="N44" i="23"/>
  <c r="W58" i="1" s="1"/>
  <c r="V58" i="1"/>
  <c r="R82" i="23"/>
  <c r="N95" i="23"/>
  <c r="W30" i="1" s="1"/>
  <c r="V30" i="1"/>
  <c r="N81" i="23"/>
  <c r="R43" i="23"/>
  <c r="X36" i="1"/>
  <c r="R94" i="23"/>
  <c r="Y36" i="1" s="1"/>
  <c r="V40" i="1"/>
  <c r="N109" i="23"/>
  <c r="W40" i="1" s="1"/>
  <c r="V61" i="1"/>
  <c r="N58" i="23"/>
  <c r="W61" i="1" s="1"/>
  <c r="R40" i="23"/>
  <c r="N111" i="23"/>
  <c r="N90" i="23"/>
  <c r="W34" i="1" s="1"/>
  <c r="V34" i="1"/>
  <c r="V9" i="1"/>
  <c r="N124" i="23"/>
  <c r="W9" i="1" s="1"/>
  <c r="V73" i="1"/>
  <c r="N80" i="23"/>
  <c r="W73" i="1" s="1"/>
  <c r="V85" i="1"/>
  <c r="N29" i="23"/>
  <c r="W85" i="1" s="1"/>
  <c r="N22" i="23"/>
  <c r="W44" i="1" s="1"/>
  <c r="V44" i="1"/>
  <c r="N60" i="23"/>
  <c r="W74" i="1" s="1"/>
  <c r="V74" i="1"/>
  <c r="N35" i="23"/>
  <c r="N142" i="23"/>
  <c r="V10" i="1"/>
  <c r="N125" i="23"/>
  <c r="W10" i="1" s="1"/>
  <c r="V33" i="1"/>
  <c r="N117" i="23"/>
  <c r="W33" i="1" s="1"/>
  <c r="N151" i="23"/>
  <c r="N133" i="23"/>
  <c r="N160" i="23"/>
  <c r="N18" i="23"/>
  <c r="V88" i="1"/>
  <c r="N34" i="23"/>
  <c r="W88" i="1" s="1"/>
  <c r="N135" i="23"/>
  <c r="N129" i="23"/>
  <c r="R24" i="23"/>
  <c r="Y45" i="1" s="1"/>
  <c r="X45" i="1"/>
  <c r="R91" i="23"/>
  <c r="Y29" i="1" s="1"/>
  <c r="X29" i="1"/>
  <c r="N130" i="23"/>
  <c r="W26" i="1" s="1"/>
  <c r="V26" i="1"/>
  <c r="N184" i="23"/>
  <c r="R45" i="23"/>
  <c r="R37" i="23"/>
  <c r="V45" i="1"/>
  <c r="N24" i="23"/>
  <c r="W45" i="1" s="1"/>
  <c r="R144" i="23"/>
  <c r="X68" i="1"/>
  <c r="R51" i="23"/>
  <c r="Y68" i="1" s="1"/>
  <c r="X79" i="1"/>
  <c r="R182" i="23"/>
  <c r="Y79" i="1" s="1"/>
  <c r="N89" i="23"/>
  <c r="W19" i="1" s="1"/>
  <c r="V19" i="1"/>
  <c r="N120" i="23"/>
  <c r="R192" i="23"/>
  <c r="R147" i="23"/>
  <c r="V46" i="1"/>
  <c r="N25" i="23"/>
  <c r="W46" i="1" s="1"/>
  <c r="R50" i="23"/>
  <c r="X17" i="1"/>
  <c r="R86" i="23"/>
  <c r="Y17" i="1" s="1"/>
  <c r="X55" i="1"/>
  <c r="R174" i="23"/>
  <c r="Y55" i="1" s="1"/>
  <c r="X85" i="1"/>
  <c r="R29" i="23"/>
  <c r="Y85" i="1" s="1"/>
  <c r="R141" i="23"/>
  <c r="N116" i="23"/>
  <c r="V43" i="1"/>
  <c r="N20" i="23"/>
  <c r="W43" i="1" s="1"/>
  <c r="N71" i="23"/>
  <c r="N179" i="23"/>
  <c r="W57" i="1" s="1"/>
  <c r="V57" i="1"/>
  <c r="R169" i="23"/>
  <c r="Y52" i="1" s="1"/>
  <c r="X52" i="1"/>
  <c r="R67" i="23"/>
  <c r="R160" i="23"/>
  <c r="R188" i="23"/>
  <c r="N39" i="23"/>
  <c r="R17" i="23"/>
  <c r="R83" i="23"/>
  <c r="R143" i="23"/>
  <c r="R128" i="23"/>
  <c r="N55" i="23"/>
  <c r="W67" i="1" s="1"/>
  <c r="V67" i="1"/>
  <c r="N189" i="23"/>
  <c r="V27" i="1"/>
  <c r="N131" i="23"/>
  <c r="W27" i="1" s="1"/>
  <c r="R59" i="23"/>
  <c r="X26" i="1"/>
  <c r="R130" i="23"/>
  <c r="Y26" i="1" s="1"/>
  <c r="R54" i="23"/>
  <c r="R125" i="23"/>
  <c r="Y10" i="1" s="1"/>
  <c r="X10" i="1"/>
  <c r="N30" i="23"/>
  <c r="W86" i="1" s="1"/>
  <c r="V86" i="1"/>
  <c r="N79" i="23"/>
  <c r="W70" i="1" s="1"/>
  <c r="V70" i="1"/>
  <c r="R89" i="23"/>
  <c r="Y19" i="1" s="1"/>
  <c r="X19" i="1"/>
  <c r="X33" i="1"/>
  <c r="R117" i="23"/>
  <c r="Y33" i="1" s="1"/>
  <c r="R177" i="23"/>
  <c r="R72" i="23"/>
  <c r="R106" i="23"/>
  <c r="Y37" i="1" s="1"/>
  <c r="X37" i="1"/>
  <c r="R157" i="23"/>
  <c r="Y96" i="1" s="1"/>
  <c r="X96" i="1"/>
  <c r="R170" i="23"/>
  <c r="Y54" i="1" s="1"/>
  <c r="X54" i="1"/>
  <c r="R104" i="23"/>
  <c r="Y13" i="1" s="1"/>
  <c r="X13" i="1"/>
  <c r="R32" i="23"/>
  <c r="R132" i="23"/>
  <c r="R13" i="23"/>
  <c r="X91" i="1"/>
  <c r="R158" i="23"/>
  <c r="Y91" i="1" s="1"/>
  <c r="R55" i="23"/>
  <c r="Y67" i="1" s="1"/>
  <c r="X67" i="1"/>
  <c r="R181" i="23"/>
  <c r="Y78" i="1" s="1"/>
  <c r="X78" i="1"/>
  <c r="X81" i="1"/>
  <c r="R186" i="23"/>
  <c r="Y81" i="1" s="1"/>
  <c r="R62" i="23"/>
  <c r="N154" i="23"/>
  <c r="V90" i="1"/>
  <c r="N194" i="23"/>
  <c r="W90" i="1" s="1"/>
  <c r="N156" i="23"/>
  <c r="N93" i="23"/>
  <c r="W35" i="1" s="1"/>
  <c r="V35" i="1"/>
  <c r="N76" i="23"/>
  <c r="W72" i="1" s="1"/>
  <c r="V72" i="1"/>
  <c r="N65" i="23"/>
  <c r="N107" i="23"/>
  <c r="W38" i="1" s="1"/>
  <c r="V38" i="1"/>
  <c r="N168" i="23"/>
  <c r="W48" i="1" s="1"/>
  <c r="V48" i="1"/>
  <c r="N11" i="23"/>
  <c r="V8" i="1"/>
  <c r="N123" i="23"/>
  <c r="W8" i="1" s="1"/>
  <c r="N61" i="23"/>
  <c r="N170" i="23"/>
  <c r="W54" i="1" s="1"/>
  <c r="V54" i="1"/>
  <c r="N112" i="23"/>
  <c r="W22" i="1" s="1"/>
  <c r="V22" i="1"/>
  <c r="N64" i="23"/>
  <c r="W77" i="1" s="1"/>
  <c r="V77" i="1"/>
  <c r="R58" i="23"/>
  <c r="Y61" i="1" s="1"/>
  <c r="X61" i="1"/>
  <c r="X43" i="1"/>
  <c r="R20" i="23"/>
  <c r="Y43" i="1" s="1"/>
  <c r="N68" i="23"/>
  <c r="R146" i="23"/>
  <c r="R66" i="23"/>
  <c r="R81" i="23"/>
  <c r="N171" i="23"/>
  <c r="W50" i="1" s="1"/>
  <c r="V50" i="1"/>
  <c r="V96" i="1"/>
  <c r="N157" i="23"/>
  <c r="W96" i="1" s="1"/>
  <c r="R129" i="23"/>
  <c r="R167" i="23"/>
  <c r="Y49" i="1" s="1"/>
  <c r="X49" i="1"/>
  <c r="N7" i="23"/>
  <c r="N186" i="23"/>
  <c r="W81" i="1" s="1"/>
  <c r="V81" i="1"/>
  <c r="N177" i="23"/>
  <c r="R92" i="23"/>
  <c r="Y20" i="1" s="1"/>
  <c r="X20" i="1"/>
  <c r="R151" i="23"/>
  <c r="R79" i="23"/>
  <c r="Y70" i="1" s="1"/>
  <c r="X70" i="1"/>
  <c r="N36" i="23"/>
  <c r="V21" i="1"/>
  <c r="N102" i="23"/>
  <c r="W21" i="1" s="1"/>
  <c r="N188" i="23"/>
  <c r="R145" i="23"/>
  <c r="X66" i="1"/>
  <c r="R53" i="23"/>
  <c r="Y66" i="1" s="1"/>
  <c r="X93" i="1"/>
  <c r="R152" i="23"/>
  <c r="Y93" i="1" s="1"/>
  <c r="R101" i="23"/>
  <c r="R105" i="23"/>
  <c r="Y31" i="1" s="1"/>
  <c r="X31" i="1"/>
  <c r="X27" i="1"/>
  <c r="R131" i="23"/>
  <c r="Y27" i="1" s="1"/>
  <c r="X57" i="1"/>
  <c r="R179" i="23"/>
  <c r="Y57" i="1" s="1"/>
  <c r="R76" i="23"/>
  <c r="Y72" i="1" s="1"/>
  <c r="X72" i="1"/>
  <c r="N121" i="23"/>
  <c r="N84" i="23"/>
  <c r="V56" i="1"/>
  <c r="N172" i="23"/>
  <c r="W56" i="1" s="1"/>
  <c r="R63" i="23"/>
  <c r="R178" i="23"/>
  <c r="R41" i="23"/>
  <c r="R21" i="23"/>
  <c r="X41" i="1"/>
  <c r="R126" i="23"/>
  <c r="Y41" i="1" s="1"/>
  <c r="N187" i="23"/>
  <c r="V47" i="1"/>
  <c r="N19" i="23"/>
  <c r="W47" i="1" s="1"/>
  <c r="R84" i="23"/>
  <c r="R7" i="23"/>
  <c r="R112" i="23"/>
  <c r="Y22" i="1" s="1"/>
  <c r="X22" i="1"/>
  <c r="N169" i="23"/>
  <c r="W52" i="1" s="1"/>
  <c r="V52" i="1"/>
  <c r="N98" i="23"/>
  <c r="R100" i="23"/>
  <c r="R142" i="23"/>
  <c r="R96" i="23"/>
  <c r="Y11" i="1" s="1"/>
  <c r="X11" i="1"/>
  <c r="R161" i="23"/>
  <c r="R123" i="23"/>
  <c r="Y8" i="1" s="1"/>
  <c r="X8" i="1"/>
  <c r="R26" i="23"/>
  <c r="R56" i="23"/>
  <c r="X34" i="1"/>
  <c r="R90" i="23"/>
  <c r="Y34" i="1" s="1"/>
  <c r="N9" i="23"/>
  <c r="N155" i="23"/>
  <c r="W92" i="1" s="1"/>
  <c r="V92" i="1"/>
  <c r="N67" i="23"/>
  <c r="V7" i="1"/>
  <c r="N122" i="23"/>
  <c r="W42" i="1" s="1"/>
  <c r="V42" i="1"/>
  <c r="N41" i="23"/>
  <c r="V24" i="1"/>
  <c r="N115" i="23"/>
  <c r="W24" i="1" s="1"/>
  <c r="N163" i="23"/>
  <c r="F1" i="23"/>
  <c r="W7" i="1" l="1"/>
  <c r="Y7" i="1"/>
  <c r="AU179" i="23"/>
  <c r="AV179" i="23"/>
  <c r="AT179" i="23"/>
  <c r="AH7" i="23"/>
  <c r="AU77" i="23"/>
  <c r="AT49" i="23"/>
  <c r="AV84" i="23"/>
  <c r="AV79" i="23"/>
  <c r="AV218" i="23"/>
  <c r="AV133" i="23"/>
  <c r="AU62" i="23"/>
  <c r="AU115" i="23"/>
  <c r="AV132" i="23"/>
  <c r="AT37" i="23"/>
  <c r="AU127" i="23"/>
  <c r="AT165" i="23"/>
  <c r="AV39" i="23"/>
  <c r="AV31" i="23"/>
  <c r="AV155" i="23"/>
  <c r="AV65" i="23"/>
  <c r="AT66" i="23"/>
  <c r="AT81" i="23"/>
  <c r="AV201" i="23"/>
  <c r="AT143" i="23"/>
  <c r="AU138" i="23"/>
  <c r="AV71" i="23"/>
  <c r="AT228" i="23"/>
  <c r="AT28" i="23"/>
  <c r="AU130" i="23"/>
  <c r="AT7" i="23"/>
  <c r="AU180" i="23"/>
  <c r="AU129" i="23"/>
  <c r="AV8" i="23"/>
  <c r="AU172" i="23"/>
  <c r="AK7" i="23"/>
  <c r="AV67" i="23"/>
  <c r="AV93" i="23"/>
  <c r="AT142" i="23"/>
  <c r="AT136" i="23"/>
  <c r="AT27" i="23"/>
  <c r="AU60" i="23"/>
  <c r="AT89" i="23"/>
  <c r="AU43" i="23"/>
  <c r="AT36" i="23"/>
  <c r="AV104" i="23"/>
  <c r="AT79" i="23"/>
  <c r="AV69" i="23"/>
  <c r="AU27" i="23"/>
  <c r="AU47" i="23"/>
  <c r="AV43" i="23"/>
  <c r="AT38" i="23"/>
  <c r="AU181" i="23"/>
  <c r="AV98" i="23"/>
  <c r="AU54" i="23"/>
  <c r="AU25" i="23"/>
  <c r="AV21" i="23"/>
  <c r="AV66" i="23"/>
  <c r="AU121" i="23"/>
  <c r="AU78" i="23"/>
  <c r="AT9" i="23"/>
  <c r="AV19" i="23"/>
  <c r="AU50" i="23"/>
  <c r="AU69" i="23"/>
  <c r="AT137" i="23"/>
  <c r="AV20" i="23"/>
  <c r="AU90" i="23"/>
  <c r="AT198" i="23"/>
  <c r="AU101" i="23"/>
  <c r="AU86" i="23"/>
  <c r="AV54" i="23"/>
  <c r="AV158" i="23"/>
  <c r="AV150" i="23"/>
  <c r="AU19" i="23"/>
  <c r="AV46" i="23"/>
  <c r="AM150" i="23"/>
  <c r="AT19" i="23"/>
  <c r="AV157" i="23"/>
  <c r="AT58" i="23"/>
  <c r="AU26" i="23"/>
  <c r="AV64" i="23"/>
  <c r="AU111" i="23"/>
  <c r="AT60" i="23"/>
  <c r="AV189" i="23"/>
  <c r="AV96" i="23"/>
  <c r="AU63" i="23"/>
  <c r="AV13" i="23"/>
  <c r="AV16" i="23"/>
  <c r="AU99" i="23"/>
  <c r="AU16" i="23"/>
  <c r="AV22" i="23"/>
  <c r="AU164" i="23"/>
  <c r="AU57" i="23"/>
  <c r="AT69" i="23"/>
  <c r="AT12" i="23"/>
  <c r="AU100" i="23"/>
  <c r="AU74" i="23"/>
  <c r="AV128" i="23"/>
  <c r="AV36" i="23"/>
  <c r="AT94" i="23"/>
  <c r="AM35" i="23"/>
  <c r="AU82" i="23"/>
  <c r="AV81" i="23"/>
  <c r="AT219" i="23"/>
  <c r="AV91" i="23"/>
  <c r="AU152" i="23"/>
  <c r="AV154" i="23"/>
  <c r="AU7" i="23"/>
  <c r="AU154" i="23"/>
  <c r="AV123" i="23"/>
  <c r="AT39" i="23"/>
  <c r="AU49" i="23"/>
  <c r="AV23" i="23"/>
  <c r="AU9" i="23"/>
  <c r="AT40" i="23"/>
  <c r="AU87" i="23"/>
  <c r="AV57" i="23"/>
  <c r="AL7" i="23"/>
  <c r="AV56" i="23"/>
  <c r="AT73" i="23"/>
  <c r="AT53" i="23"/>
  <c r="AU13" i="23"/>
  <c r="AV113" i="23"/>
  <c r="AT51" i="23"/>
  <c r="AU70" i="23"/>
  <c r="AT169" i="23"/>
  <c r="AU102" i="23"/>
  <c r="AU29" i="23"/>
  <c r="AV101" i="23"/>
  <c r="AU202" i="23"/>
  <c r="AT44" i="23"/>
  <c r="AV40" i="23"/>
  <c r="AT22" i="23"/>
  <c r="AV109" i="23"/>
  <c r="AV68" i="23"/>
  <c r="AT30" i="23"/>
  <c r="AT70" i="23"/>
  <c r="AT105" i="23"/>
  <c r="AV146" i="23"/>
  <c r="AV153" i="23"/>
  <c r="AU46" i="23"/>
  <c r="AT91" i="23"/>
  <c r="AU217" i="23"/>
  <c r="AT15" i="23"/>
  <c r="AM7" i="23"/>
  <c r="AT50" i="23"/>
  <c r="AV173" i="23"/>
  <c r="AU84" i="23"/>
  <c r="AV60" i="23"/>
  <c r="AU170" i="23"/>
  <c r="AV77" i="23"/>
  <c r="AV131" i="23"/>
  <c r="AV30" i="23"/>
  <c r="AT23" i="23"/>
  <c r="AV170" i="23"/>
  <c r="AT13" i="23"/>
  <c r="AT57" i="23"/>
  <c r="AT16" i="23"/>
  <c r="AV122" i="23"/>
  <c r="AT212" i="23"/>
  <c r="AU91" i="23"/>
  <c r="AV17" i="23"/>
  <c r="AU75" i="23"/>
  <c r="AV171" i="23"/>
  <c r="AU55" i="23"/>
  <c r="AU107" i="23"/>
  <c r="AT187" i="23"/>
  <c r="AU187" i="23"/>
  <c r="AU45" i="23"/>
  <c r="AU10" i="23"/>
  <c r="AT32" i="23"/>
  <c r="AV63" i="23"/>
  <c r="AT31" i="23"/>
  <c r="AT152" i="23"/>
  <c r="AU151" i="23"/>
  <c r="AU110" i="23"/>
  <c r="AU118" i="23"/>
  <c r="AT148" i="23"/>
  <c r="AT8" i="23"/>
  <c r="AT99" i="23"/>
  <c r="AT78" i="23"/>
  <c r="AU145" i="23"/>
  <c r="AT46" i="23"/>
  <c r="AT43" i="23"/>
  <c r="AV85" i="23"/>
  <c r="AU35" i="23"/>
  <c r="AT139" i="23"/>
  <c r="AU72" i="23"/>
  <c r="AV26" i="23"/>
  <c r="AU53" i="23"/>
  <c r="AU89" i="23"/>
  <c r="AV42" i="23"/>
  <c r="AU226" i="23"/>
  <c r="AU68" i="23"/>
  <c r="AU23" i="23"/>
  <c r="AV61" i="23"/>
  <c r="AV80" i="23"/>
  <c r="AV47" i="23"/>
  <c r="AV74" i="23"/>
  <c r="AU108" i="23"/>
  <c r="AU37" i="23"/>
  <c r="AV59" i="23"/>
  <c r="AV135" i="23"/>
  <c r="AT190" i="23"/>
  <c r="AT56" i="23"/>
  <c r="AU44" i="23"/>
  <c r="AV82" i="23"/>
  <c r="AT124" i="23"/>
  <c r="AV7" i="23"/>
  <c r="AU33" i="23"/>
  <c r="AU22" i="23"/>
  <c r="AU106" i="23"/>
  <c r="AT11" i="23"/>
  <c r="AV24" i="23"/>
  <c r="AJ35" i="23"/>
  <c r="AU134" i="23"/>
  <c r="AT171" i="23"/>
  <c r="AU40" i="23"/>
  <c r="AV115" i="23"/>
  <c r="AT63" i="23"/>
  <c r="AT72" i="23"/>
  <c r="AU71" i="23"/>
  <c r="AU201" i="23"/>
  <c r="AU52" i="23"/>
  <c r="AT61" i="23"/>
  <c r="AV58" i="23"/>
  <c r="AV169" i="23"/>
  <c r="AT68" i="23"/>
  <c r="AV168" i="23"/>
  <c r="AU80" i="23"/>
  <c r="AU12" i="23"/>
  <c r="AV72" i="23"/>
  <c r="AV87" i="23"/>
  <c r="AV15" i="23"/>
  <c r="AT35" i="23"/>
  <c r="AV45" i="23"/>
  <c r="AU31" i="23"/>
  <c r="AU24" i="23"/>
  <c r="AV86" i="23"/>
  <c r="AU116" i="23"/>
  <c r="AU203" i="23"/>
  <c r="AU64" i="23"/>
  <c r="AV116" i="23"/>
  <c r="AT130" i="23"/>
  <c r="AK35" i="23"/>
  <c r="AL35" i="23"/>
  <c r="AV28" i="23"/>
  <c r="AT14" i="23"/>
  <c r="AV127" i="23"/>
  <c r="AV213" i="23"/>
  <c r="AU96" i="23"/>
  <c r="AV97" i="23"/>
  <c r="AV136" i="23"/>
  <c r="AV10" i="23"/>
  <c r="AV141" i="23"/>
  <c r="AU32" i="23"/>
  <c r="AV37" i="23"/>
  <c r="AT76" i="23"/>
  <c r="AT106" i="23"/>
  <c r="AT114" i="23"/>
  <c r="AV140" i="23"/>
  <c r="AU166" i="23"/>
  <c r="AV162" i="23"/>
  <c r="AT193" i="23"/>
  <c r="AT64" i="23"/>
  <c r="AT88" i="23"/>
  <c r="AV41" i="23"/>
  <c r="AV33" i="23"/>
  <c r="AU97" i="23"/>
  <c r="AU216" i="23"/>
  <c r="AU174" i="23"/>
  <c r="AV120" i="23"/>
  <c r="AT109" i="23"/>
  <c r="AV107" i="23"/>
  <c r="AT103" i="23"/>
  <c r="AT206" i="23"/>
  <c r="AV11" i="23"/>
  <c r="AU58" i="23"/>
  <c r="AU220" i="23"/>
  <c r="AU38" i="23"/>
  <c r="AV48" i="23"/>
  <c r="AT95" i="23"/>
  <c r="AV110" i="23"/>
  <c r="AU126" i="23"/>
  <c r="AT184" i="23"/>
  <c r="AU139" i="23"/>
  <c r="AV147" i="23"/>
  <c r="AT180" i="23"/>
  <c r="AT163" i="23"/>
  <c r="AV44" i="23"/>
  <c r="AT59" i="23"/>
  <c r="AT18" i="23"/>
  <c r="AU67" i="23"/>
  <c r="AV51" i="23"/>
  <c r="AT48" i="23"/>
  <c r="AU146" i="23"/>
  <c r="AT25" i="23"/>
  <c r="AU66" i="23"/>
  <c r="AT29" i="23"/>
  <c r="AU48" i="23"/>
  <c r="AT52" i="23"/>
  <c r="AU11" i="23"/>
  <c r="AV52" i="23"/>
  <c r="AT84" i="23"/>
  <c r="AU190" i="23"/>
  <c r="AU92" i="23"/>
  <c r="AV49" i="23"/>
  <c r="AL150" i="23"/>
  <c r="AU14" i="23"/>
  <c r="AT41" i="23"/>
  <c r="AV83" i="23"/>
  <c r="AT134" i="23"/>
  <c r="AT17" i="23"/>
  <c r="AH35" i="23"/>
  <c r="AT20" i="23"/>
  <c r="AU30" i="23"/>
  <c r="AV38" i="23"/>
  <c r="AT75" i="23"/>
  <c r="AT119" i="23"/>
  <c r="AU150" i="23"/>
  <c r="AU212" i="23"/>
  <c r="AU191" i="23"/>
  <c r="AT77" i="23"/>
  <c r="AU20" i="23"/>
  <c r="AV75" i="23"/>
  <c r="AV205" i="23"/>
  <c r="AV25" i="23"/>
  <c r="AU8" i="23"/>
  <c r="AU65" i="23"/>
  <c r="AV76" i="23"/>
  <c r="AT123" i="23"/>
  <c r="AU103" i="23"/>
  <c r="AU218" i="23"/>
  <c r="AT125" i="23"/>
  <c r="AT220" i="23"/>
  <c r="AT86" i="23"/>
  <c r="AT161" i="23"/>
  <c r="AT107" i="23"/>
  <c r="AV88" i="23"/>
  <c r="AV35" i="23"/>
  <c r="AU61" i="23"/>
  <c r="AV94" i="23"/>
  <c r="AT183" i="23"/>
  <c r="AJ150" i="23"/>
  <c r="AU199" i="23"/>
  <c r="AU21" i="23"/>
  <c r="AT55" i="23"/>
  <c r="AV62" i="23"/>
  <c r="AU124" i="23"/>
  <c r="AU136" i="23"/>
  <c r="AV90" i="23"/>
  <c r="AT218" i="23"/>
  <c r="AT10" i="23"/>
  <c r="AI35" i="23"/>
  <c r="AU51" i="23"/>
  <c r="AT133" i="23"/>
  <c r="AV214" i="23"/>
  <c r="AU83" i="23"/>
  <c r="AU73" i="23"/>
  <c r="AV161" i="23"/>
  <c r="AV27" i="23"/>
  <c r="AT33" i="23"/>
  <c r="AU104" i="23"/>
  <c r="AU113" i="23"/>
  <c r="AU156" i="23"/>
  <c r="AT175" i="23"/>
  <c r="AT115" i="23"/>
  <c r="AU135" i="23"/>
  <c r="AT87" i="23"/>
  <c r="AV126" i="23"/>
  <c r="AU184" i="23"/>
  <c r="AU41" i="23"/>
  <c r="AT67" i="23"/>
  <c r="AU148" i="23"/>
  <c r="AU225" i="23"/>
  <c r="AV206" i="23"/>
  <c r="AV148" i="23"/>
  <c r="AT126" i="23"/>
  <c r="AT229" i="23"/>
  <c r="AT118" i="23"/>
  <c r="AU171" i="23"/>
  <c r="AV95" i="23"/>
  <c r="AU114" i="23"/>
  <c r="AT170" i="23"/>
  <c r="AV225" i="23"/>
  <c r="AT71" i="23"/>
  <c r="AT80" i="23"/>
  <c r="AT93" i="23"/>
  <c r="AV112" i="23"/>
  <c r="AT127" i="23"/>
  <c r="AV175" i="23"/>
  <c r="AV188" i="23"/>
  <c r="AV185" i="23"/>
  <c r="AV14" i="23"/>
  <c r="AU112" i="23"/>
  <c r="AV183" i="23"/>
  <c r="AV29" i="23"/>
  <c r="AT42" i="23"/>
  <c r="AU98" i="23"/>
  <c r="AU206" i="23"/>
  <c r="AU183" i="23"/>
  <c r="AT112" i="23"/>
  <c r="AT154" i="23"/>
  <c r="AV134" i="23"/>
  <c r="AT45" i="23"/>
  <c r="AU59" i="23"/>
  <c r="AT164" i="23"/>
  <c r="AV100" i="23"/>
  <c r="AT90" i="23"/>
  <c r="AU157" i="23"/>
  <c r="AV103" i="23"/>
  <c r="AT174" i="23"/>
  <c r="AV89" i="23"/>
  <c r="AT158" i="23"/>
  <c r="AU94" i="23"/>
  <c r="AT74" i="23"/>
  <c r="AT83" i="23"/>
  <c r="AT26" i="23"/>
  <c r="AU81" i="23"/>
  <c r="AV92" i="23"/>
  <c r="AT128" i="23"/>
  <c r="AU198" i="23"/>
  <c r="AT82" i="23"/>
  <c r="AU133" i="23"/>
  <c r="AT157" i="23"/>
  <c r="AV32" i="23"/>
  <c r="AT92" i="23"/>
  <c r="AV125" i="23"/>
  <c r="AU224" i="23"/>
  <c r="AU178" i="23"/>
  <c r="AV202" i="23"/>
  <c r="AU28" i="23"/>
  <c r="AU42" i="23"/>
  <c r="AV18" i="23"/>
  <c r="AT102" i="23"/>
  <c r="AT120" i="23"/>
  <c r="AV165" i="23"/>
  <c r="AT54" i="23"/>
  <c r="AV78" i="23"/>
  <c r="AU161" i="23"/>
  <c r="AT144" i="23"/>
  <c r="AU17" i="23"/>
  <c r="AU85" i="23"/>
  <c r="AV121" i="23"/>
  <c r="AH150" i="23"/>
  <c r="AT188" i="23"/>
  <c r="AU122" i="23"/>
  <c r="AT159" i="23"/>
  <c r="AT194" i="23"/>
  <c r="AT47" i="23"/>
  <c r="AV55" i="23"/>
  <c r="AV130" i="23"/>
  <c r="AI7" i="23"/>
  <c r="AU36" i="23"/>
  <c r="AJ7" i="23"/>
  <c r="AU88" i="23"/>
  <c r="AV114" i="23"/>
  <c r="AT101" i="23"/>
  <c r="AU142" i="23"/>
  <c r="AU137" i="23"/>
  <c r="AU159" i="23"/>
  <c r="AT216" i="23"/>
  <c r="AU176" i="23"/>
  <c r="AV9" i="23"/>
  <c r="AU15" i="23"/>
  <c r="AT21" i="23"/>
  <c r="AV70" i="23"/>
  <c r="AU76" i="23"/>
  <c r="AT96" i="23"/>
  <c r="AU105" i="23"/>
  <c r="AT160" i="23"/>
  <c r="AV194" i="23"/>
  <c r="AV184" i="23"/>
  <c r="AT181" i="23"/>
  <c r="AV129" i="23"/>
  <c r="AU153" i="23"/>
  <c r="AV181" i="23"/>
  <c r="AT207" i="23"/>
  <c r="AT225" i="23"/>
  <c r="AU119" i="23"/>
  <c r="AT153" i="23"/>
  <c r="BB228" i="23"/>
  <c r="AV178" i="23"/>
  <c r="AT227" i="23"/>
  <c r="AT116" i="23"/>
  <c r="AT150" i="23"/>
  <c r="AU131" i="23"/>
  <c r="AU168" i="23"/>
  <c r="AT110" i="23"/>
  <c r="AV99" i="23"/>
  <c r="AV208" i="23"/>
  <c r="AV151" i="23"/>
  <c r="AT173" i="23"/>
  <c r="AV108" i="23"/>
  <c r="AT191" i="23"/>
  <c r="AU109" i="23"/>
  <c r="AU120" i="23"/>
  <c r="AU140" i="23"/>
  <c r="AV164" i="23"/>
  <c r="AV191" i="23"/>
  <c r="AT172" i="23"/>
  <c r="AU213" i="23"/>
  <c r="AT189" i="23"/>
  <c r="AV212" i="23"/>
  <c r="AT65" i="23"/>
  <c r="AV124" i="23"/>
  <c r="AT122" i="23"/>
  <c r="AV142" i="23"/>
  <c r="AV105" i="23"/>
  <c r="AV138" i="23"/>
  <c r="AT155" i="23"/>
  <c r="AV176" i="23"/>
  <c r="AT100" i="23"/>
  <c r="AV106" i="23"/>
  <c r="AT138" i="23"/>
  <c r="AU158" i="23"/>
  <c r="AV204" i="23"/>
  <c r="AU162" i="23"/>
  <c r="AU214" i="23"/>
  <c r="AT203" i="23"/>
  <c r="AV220" i="23"/>
  <c r="AT217" i="23"/>
  <c r="AV224" i="23"/>
  <c r="AU200" i="23"/>
  <c r="AV217" i="23"/>
  <c r="AU93" i="23"/>
  <c r="AV119" i="23"/>
  <c r="AT145" i="23"/>
  <c r="AV193" i="23"/>
  <c r="AV50" i="23"/>
  <c r="AU56" i="23"/>
  <c r="AT62" i="23"/>
  <c r="AT140" i="23"/>
  <c r="AU177" i="23"/>
  <c r="AU39" i="23"/>
  <c r="AV53" i="23"/>
  <c r="AT104" i="23"/>
  <c r="AK150" i="23"/>
  <c r="AU117" i="23"/>
  <c r="AT167" i="23"/>
  <c r="AV209" i="23"/>
  <c r="AV111" i="23"/>
  <c r="AT117" i="23"/>
  <c r="AU192" i="23"/>
  <c r="AT166" i="23"/>
  <c r="AV219" i="23"/>
  <c r="AU144" i="23"/>
  <c r="AT202" i="23"/>
  <c r="AV102" i="23"/>
  <c r="AU128" i="23"/>
  <c r="AV144" i="23"/>
  <c r="AT113" i="23"/>
  <c r="AV118" i="23"/>
  <c r="AV192" i="23"/>
  <c r="AT162" i="23"/>
  <c r="AT146" i="23"/>
  <c r="AV117" i="23"/>
  <c r="AT214" i="23"/>
  <c r="AT226" i="23"/>
  <c r="AV174" i="23"/>
  <c r="AU95" i="23"/>
  <c r="AT108" i="23"/>
  <c r="AV12" i="23"/>
  <c r="AU18" i="23"/>
  <c r="AT24" i="23"/>
  <c r="AV73" i="23"/>
  <c r="AU79" i="23"/>
  <c r="AT85" i="23"/>
  <c r="AT97" i="23"/>
  <c r="AT111" i="23"/>
  <c r="AU132" i="23"/>
  <c r="AU160" i="23"/>
  <c r="AV180" i="23"/>
  <c r="AT121" i="23"/>
  <c r="AI150" i="23"/>
  <c r="AV160" i="23"/>
  <c r="AV227" i="23"/>
  <c r="AT98" i="23"/>
  <c r="AT135" i="23"/>
  <c r="AU163" i="23"/>
  <c r="AV200" i="23"/>
  <c r="AT192" i="23"/>
  <c r="BB208" i="23"/>
  <c r="AT131" i="23"/>
  <c r="AU143" i="23"/>
  <c r="AV152" i="23"/>
  <c r="AT129" i="23"/>
  <c r="AV145" i="23"/>
  <c r="AT177" i="23"/>
  <c r="AT185" i="23"/>
  <c r="AT200" i="23"/>
  <c r="AU167" i="23"/>
  <c r="AV172" i="23"/>
  <c r="AV156" i="23"/>
  <c r="AV190" i="23"/>
  <c r="AT176" i="23"/>
  <c r="AV177" i="23"/>
  <c r="AT208" i="23"/>
  <c r="AV226" i="23"/>
  <c r="AT201" i="23"/>
  <c r="AV207" i="23"/>
  <c r="AV143" i="23"/>
  <c r="AV187" i="23"/>
  <c r="AV198" i="23"/>
  <c r="AT132" i="23"/>
  <c r="AT141" i="23"/>
  <c r="AU125" i="23"/>
  <c r="AU155" i="23"/>
  <c r="AV163" i="23"/>
  <c r="AV167" i="23"/>
  <c r="AU123" i="23"/>
  <c r="AV137" i="23"/>
  <c r="BB202" i="23"/>
  <c r="AT224" i="23"/>
  <c r="AU209" i="23"/>
  <c r="AU193" i="23"/>
  <c r="AT205" i="23"/>
  <c r="AU215" i="23"/>
  <c r="AU227" i="23"/>
  <c r="AU207" i="23"/>
  <c r="AT223" i="23"/>
  <c r="AU147" i="23"/>
  <c r="AT215" i="23"/>
  <c r="AU223" i="23"/>
  <c r="AT199" i="23"/>
  <c r="AU169" i="23"/>
  <c r="AV199" i="23"/>
  <c r="AU205" i="23"/>
  <c r="AU194" i="23"/>
  <c r="AT168" i="23"/>
  <c r="AU175" i="23"/>
  <c r="AU219" i="23"/>
  <c r="AT151" i="23"/>
  <c r="AU208" i="23"/>
  <c r="AV229" i="23"/>
  <c r="AV215" i="23"/>
  <c r="AU182" i="23"/>
  <c r="AU185" i="23"/>
  <c r="BB200" i="23"/>
  <c r="AU204" i="23"/>
  <c r="AV203" i="23"/>
  <c r="AV139" i="23"/>
  <c r="AT178" i="23"/>
  <c r="AV223" i="23"/>
  <c r="AV166" i="23"/>
  <c r="AU173" i="23"/>
  <c r="AT156" i="23"/>
  <c r="AU188" i="23"/>
  <c r="BB207" i="23"/>
  <c r="AU229" i="23"/>
  <c r="AU141" i="23"/>
  <c r="AT147" i="23"/>
  <c r="AT182" i="23"/>
  <c r="AV159" i="23"/>
  <c r="AU165" i="23"/>
  <c r="AU228" i="23"/>
  <c r="AT209" i="23"/>
  <c r="AV228" i="23"/>
  <c r="AT204" i="23"/>
  <c r="AV216" i="23"/>
  <c r="AV182" i="23"/>
  <c r="AU189" i="23"/>
  <c r="AT213" i="23"/>
  <c r="BB219" i="23"/>
  <c r="BB214" i="23"/>
  <c r="BB203" i="23"/>
  <c r="BB198" i="23"/>
  <c r="BB7" i="23"/>
  <c r="BB209" i="23"/>
  <c r="BB217" i="23"/>
  <c r="BB215" i="23"/>
  <c r="BB227" i="23"/>
  <c r="BB201" i="23"/>
  <c r="BB205" i="23"/>
  <c r="BB218" i="23"/>
  <c r="BB223" i="23"/>
  <c r="BB216" i="23"/>
  <c r="BB220" i="23"/>
  <c r="BB204" i="23"/>
  <c r="BB229" i="23"/>
  <c r="BB213" i="23"/>
  <c r="BB224" i="23"/>
  <c r="BB212" i="23"/>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3" i="2"/>
  <c r="A1" i="2"/>
  <c r="T35" i="23" l="1"/>
  <c r="T150" i="23"/>
  <c r="AN179" i="23"/>
  <c r="A3" i="2"/>
  <c r="T7" i="23"/>
  <c r="AN136" i="23"/>
  <c r="AN39" i="23"/>
  <c r="AN60" i="23"/>
  <c r="AN57" i="23"/>
  <c r="AN176" i="23"/>
  <c r="AN187" i="23"/>
  <c r="AN72" i="23"/>
  <c r="AN24" i="23"/>
  <c r="AN128" i="23"/>
  <c r="AN17" i="23"/>
  <c r="AN96" i="23"/>
  <c r="AN23" i="23"/>
  <c r="AN174" i="23"/>
  <c r="AN78" i="23"/>
  <c r="AN89" i="23"/>
  <c r="AN126" i="23"/>
  <c r="AN49" i="23"/>
  <c r="AN56" i="23"/>
  <c r="AN75" i="23"/>
  <c r="AN26" i="23"/>
  <c r="AN8" i="23"/>
  <c r="AN43" i="23"/>
  <c r="AN90" i="23"/>
  <c r="AN169" i="23"/>
  <c r="AN20" i="23"/>
  <c r="AN25" i="23"/>
  <c r="AN14" i="23"/>
  <c r="AN50" i="23"/>
  <c r="AN40" i="23"/>
  <c r="AN22" i="23"/>
  <c r="AN152" i="23"/>
  <c r="AN183" i="23"/>
  <c r="AN36" i="23"/>
  <c r="AN157" i="23"/>
  <c r="AN140" i="23"/>
  <c r="AN111" i="23"/>
  <c r="AN53" i="23"/>
  <c r="AN65" i="23"/>
  <c r="AN28" i="23"/>
  <c r="AN125" i="23"/>
  <c r="AN122" i="23"/>
  <c r="AN7" i="23"/>
  <c r="AN156" i="23"/>
  <c r="AN132" i="23"/>
  <c r="AN68" i="23"/>
  <c r="AN93" i="23"/>
  <c r="AN150" i="23"/>
  <c r="AN95" i="23"/>
  <c r="AN64" i="23"/>
  <c r="AN74" i="23"/>
  <c r="AN61" i="23"/>
  <c r="AN77" i="23"/>
  <c r="AN66" i="23"/>
  <c r="AN46" i="23"/>
  <c r="AN177" i="23"/>
  <c r="AN85" i="23"/>
  <c r="AN71" i="23"/>
  <c r="AN87" i="23"/>
  <c r="AN101" i="23"/>
  <c r="AN113" i="23"/>
  <c r="AN106" i="23"/>
  <c r="AN92" i="23"/>
  <c r="AN163" i="23"/>
  <c r="AN59" i="23"/>
  <c r="AN181" i="23"/>
  <c r="AN148" i="23"/>
  <c r="AN38" i="23"/>
  <c r="AN105" i="23"/>
  <c r="AN141" i="23"/>
  <c r="AN153" i="23"/>
  <c r="AN117" i="23"/>
  <c r="AN19" i="23"/>
  <c r="AN173" i="23"/>
  <c r="AN83" i="23"/>
  <c r="AN13" i="23"/>
  <c r="AN47" i="23"/>
  <c r="AN81" i="23"/>
  <c r="AN116" i="23"/>
  <c r="AN21" i="23"/>
  <c r="AN55" i="23"/>
  <c r="AN154" i="23"/>
  <c r="AN193" i="23"/>
  <c r="AN143" i="23"/>
  <c r="AN168" i="23"/>
  <c r="AN182" i="23"/>
  <c r="AN185" i="23"/>
  <c r="AN192" i="23"/>
  <c r="AN62" i="23"/>
  <c r="AN41" i="23"/>
  <c r="AN94" i="23"/>
  <c r="AN29" i="23"/>
  <c r="AN146" i="23"/>
  <c r="AN58" i="23"/>
  <c r="AN97" i="23"/>
  <c r="AN88" i="23"/>
  <c r="AN76" i="23"/>
  <c r="AN32" i="23"/>
  <c r="AN35" i="23"/>
  <c r="AN15" i="23"/>
  <c r="AN190" i="23"/>
  <c r="AN139" i="23"/>
  <c r="AN99" i="23"/>
  <c r="AN151" i="23"/>
  <c r="AN171" i="23"/>
  <c r="AN170" i="23"/>
  <c r="AN84" i="23"/>
  <c r="AN70" i="23"/>
  <c r="AN91" i="23"/>
  <c r="AN12" i="23"/>
  <c r="AN158" i="23"/>
  <c r="AN86" i="23"/>
  <c r="AN69" i="23"/>
  <c r="AN130" i="23"/>
  <c r="AN155" i="23"/>
  <c r="AN142" i="23"/>
  <c r="AN172" i="23"/>
  <c r="AN109" i="23"/>
  <c r="AN110" i="23"/>
  <c r="AN131" i="23"/>
  <c r="AN102" i="23"/>
  <c r="AN164" i="23"/>
  <c r="AN98" i="23"/>
  <c r="AN73" i="23"/>
  <c r="AN10" i="23"/>
  <c r="AN161" i="23"/>
  <c r="AN123" i="23"/>
  <c r="AN119" i="23"/>
  <c r="AN162" i="23"/>
  <c r="AN133" i="23"/>
  <c r="AN188" i="23"/>
  <c r="AN129" i="23"/>
  <c r="AN118" i="23"/>
  <c r="AN184" i="23"/>
  <c r="AN166" i="23"/>
  <c r="AN124" i="23"/>
  <c r="AN31" i="23"/>
  <c r="AN51" i="23"/>
  <c r="AN180" i="23"/>
  <c r="AN127" i="23"/>
  <c r="AN147" i="23"/>
  <c r="AN121" i="23"/>
  <c r="AN160" i="23"/>
  <c r="AN18" i="23"/>
  <c r="AN108" i="23"/>
  <c r="AN167" i="23"/>
  <c r="AN104" i="23"/>
  <c r="AN100" i="23"/>
  <c r="AN191" i="23"/>
  <c r="AN194" i="23"/>
  <c r="AN144" i="23"/>
  <c r="AN120" i="23"/>
  <c r="AN112" i="23"/>
  <c r="AN42" i="23"/>
  <c r="AN135" i="23"/>
  <c r="AN175" i="23"/>
  <c r="AN107" i="23"/>
  <c r="AN52" i="23"/>
  <c r="AN48" i="23"/>
  <c r="AN67" i="23"/>
  <c r="AN11" i="23"/>
  <c r="AN103" i="23"/>
  <c r="AN33" i="23"/>
  <c r="AN134" i="23"/>
  <c r="AN82" i="23"/>
  <c r="AN80" i="23"/>
  <c r="AN145" i="23"/>
  <c r="AN45" i="23"/>
  <c r="AN30" i="23"/>
  <c r="AN44" i="23"/>
  <c r="AN16" i="23"/>
  <c r="AN63" i="23"/>
  <c r="AN189" i="23"/>
  <c r="AN54" i="23"/>
  <c r="AN137" i="23"/>
  <c r="AN9" i="23"/>
  <c r="AN79" i="23"/>
  <c r="AN27" i="23"/>
  <c r="AN37" i="23"/>
  <c r="AN115" i="23"/>
  <c r="AN114" i="23"/>
  <c r="AN138" i="23"/>
  <c r="AN165" i="23"/>
  <c r="AT6" i="23"/>
  <c r="AN178" i="23"/>
  <c r="AV6" i="23"/>
  <c r="AN159" i="23"/>
  <c r="AU6" i="23"/>
  <c r="G130" i="23"/>
  <c r="G181" i="23"/>
  <c r="G90" i="23"/>
  <c r="G175" i="23"/>
  <c r="G169" i="23"/>
  <c r="G192" i="23"/>
  <c r="G86" i="23"/>
  <c r="G140" i="23"/>
  <c r="G168" i="23"/>
  <c r="G64" i="23"/>
  <c r="G106" i="23"/>
  <c r="G147" i="23"/>
  <c r="G69" i="23"/>
  <c r="G67" i="23"/>
  <c r="G143" i="23"/>
  <c r="G172" i="23"/>
  <c r="G103" i="23"/>
  <c r="G16" i="23"/>
  <c r="G117" i="23"/>
  <c r="G132" i="23"/>
  <c r="G11" i="23"/>
  <c r="G98" i="23"/>
  <c r="G72" i="23"/>
  <c r="G144" i="23"/>
  <c r="G43" i="23"/>
  <c r="G185" i="23"/>
  <c r="G21" i="23"/>
  <c r="G91" i="23"/>
  <c r="G33" i="23"/>
  <c r="G92" i="23"/>
  <c r="G85" i="23"/>
  <c r="G53" i="23"/>
  <c r="G102" i="23"/>
  <c r="G49" i="23"/>
  <c r="G131" i="23"/>
  <c r="G170" i="23"/>
  <c r="G25" i="23"/>
  <c r="G137" i="23"/>
  <c r="G128" i="23"/>
  <c r="G127" i="23"/>
  <c r="AR7" i="23"/>
  <c r="G7" i="23" s="1"/>
  <c r="G66" i="23"/>
  <c r="G55" i="23"/>
  <c r="G123" i="23"/>
  <c r="G58" i="23"/>
  <c r="G89" i="23"/>
  <c r="G60" i="23"/>
  <c r="G157" i="23"/>
  <c r="G135" i="23"/>
  <c r="G104" i="23"/>
  <c r="G79" i="23"/>
  <c r="G40" i="23"/>
  <c r="G27" i="23"/>
  <c r="G61" i="23"/>
  <c r="G41" i="23"/>
  <c r="G37" i="23"/>
  <c r="G42" i="23"/>
  <c r="G77" i="23"/>
  <c r="G9" i="23"/>
  <c r="G14" i="23"/>
  <c r="G47" i="23"/>
  <c r="G161" i="23"/>
  <c r="G177" i="23"/>
  <c r="G159" i="23"/>
  <c r="G138" i="23"/>
  <c r="G122" i="23"/>
  <c r="G113" i="23"/>
  <c r="G94" i="23"/>
  <c r="G167" i="23"/>
  <c r="G108" i="23"/>
  <c r="G30" i="23"/>
  <c r="G83" i="23"/>
  <c r="G87" i="23"/>
  <c r="G110" i="23"/>
  <c r="G23" i="23"/>
  <c r="G54" i="23"/>
  <c r="G68" i="23"/>
  <c r="G121" i="23"/>
  <c r="G22" i="23"/>
  <c r="G146" i="23"/>
  <c r="G62" i="23"/>
  <c r="G48" i="23"/>
  <c r="G59" i="23"/>
  <c r="G36" i="23"/>
  <c r="G32" i="23"/>
  <c r="G8" i="23"/>
  <c r="G12" i="23"/>
  <c r="G158" i="23"/>
  <c r="G17" i="23"/>
  <c r="G139" i="23"/>
  <c r="G165" i="23"/>
  <c r="G31" i="23"/>
  <c r="G190" i="23"/>
  <c r="G188" i="23"/>
  <c r="G194" i="23"/>
  <c r="G151" i="23"/>
  <c r="G134" i="23"/>
  <c r="G191" i="23"/>
  <c r="G145" i="23"/>
  <c r="G163" i="23"/>
  <c r="G10" i="23"/>
  <c r="G164" i="23"/>
  <c r="G120" i="23"/>
  <c r="G180" i="23"/>
  <c r="G124" i="23"/>
  <c r="G76" i="23"/>
  <c r="G160" i="23"/>
  <c r="G112" i="23"/>
  <c r="G95" i="23"/>
  <c r="G100" i="23"/>
  <c r="G38" i="23"/>
  <c r="G126" i="23"/>
  <c r="G105" i="23"/>
  <c r="G57" i="23"/>
  <c r="G45" i="23"/>
  <c r="G97" i="23"/>
  <c r="G78" i="23"/>
  <c r="G63" i="23"/>
  <c r="G19" i="23"/>
  <c r="G178" i="23"/>
  <c r="G155" i="23"/>
  <c r="G193" i="23"/>
  <c r="G184" i="23"/>
  <c r="G125" i="23"/>
  <c r="G187" i="23"/>
  <c r="G96" i="23"/>
  <c r="G107" i="23"/>
  <c r="G99" i="23"/>
  <c r="G136" i="23"/>
  <c r="G150" i="23"/>
  <c r="G148" i="23"/>
  <c r="G152" i="23"/>
  <c r="G116" i="23"/>
  <c r="G51" i="23"/>
  <c r="G80" i="23"/>
  <c r="G142" i="23"/>
  <c r="G26" i="23"/>
  <c r="G35" i="23"/>
  <c r="G84" i="23"/>
  <c r="G71" i="23"/>
  <c r="G156" i="23"/>
  <c r="G174" i="23"/>
  <c r="G65" i="23"/>
  <c r="G153" i="23"/>
  <c r="G129" i="23"/>
  <c r="G39" i="23"/>
  <c r="G75" i="23"/>
  <c r="G173" i="23"/>
  <c r="G24" i="23"/>
  <c r="G18" i="23"/>
  <c r="G70" i="23"/>
  <c r="G176" i="23"/>
  <c r="G141" i="23"/>
  <c r="G46" i="23"/>
  <c r="G189" i="23"/>
  <c r="G82" i="23"/>
  <c r="G50" i="23"/>
  <c r="G162" i="23"/>
  <c r="G133" i="23"/>
  <c r="G28" i="23"/>
  <c r="G166" i="23"/>
  <c r="G73" i="23"/>
  <c r="G182" i="23"/>
  <c r="G101" i="23"/>
  <c r="G171" i="23"/>
  <c r="G119" i="23"/>
  <c r="G93" i="23"/>
  <c r="G154" i="23"/>
  <c r="G118" i="23"/>
  <c r="G29" i="23"/>
  <c r="G114" i="23"/>
  <c r="G88" i="23"/>
  <c r="G74" i="23"/>
  <c r="G15" i="23"/>
  <c r="G183" i="23"/>
  <c r="G44" i="23"/>
  <c r="G115" i="23"/>
  <c r="G52" i="23"/>
  <c r="G13" i="23"/>
  <c r="G20" i="23"/>
  <c r="G109" i="23"/>
  <c r="G81" i="23"/>
  <c r="G56" i="23"/>
  <c r="G111" i="23"/>
  <c r="BB206" i="23"/>
  <c r="BB226" i="23"/>
  <c r="BB225" i="23"/>
  <c r="BB199" i="23"/>
  <c r="C3" i="2"/>
  <c r="J90" i="1"/>
  <c r="C10" i="21"/>
  <c r="C17" i="21" s="1"/>
  <c r="C16" i="21" l="1"/>
  <c r="C15" i="21"/>
  <c r="D16" i="21"/>
  <c r="D17" i="21"/>
  <c r="D20" i="21"/>
  <c r="C19" i="21"/>
  <c r="D21" i="21"/>
  <c r="D22" i="21"/>
  <c r="D19" i="21"/>
  <c r="D23" i="21"/>
  <c r="C14" i="21"/>
  <c r="C13" i="21"/>
  <c r="C21" i="21"/>
  <c r="C23" i="21"/>
  <c r="C18" i="21"/>
  <c r="D13" i="21"/>
  <c r="D18" i="21"/>
  <c r="D15" i="21"/>
  <c r="C20" i="21"/>
  <c r="C22" i="21"/>
  <c r="D14" i="21"/>
  <c r="J89" i="1"/>
  <c r="E23" i="21" l="1"/>
  <c r="C89" i="1"/>
  <c r="C70" i="1" l="1"/>
  <c r="C71" i="1"/>
  <c r="C72" i="1"/>
  <c r="C73" i="1"/>
  <c r="C74" i="1"/>
  <c r="C75" i="1"/>
  <c r="C76" i="1"/>
  <c r="C77" i="1"/>
  <c r="C78" i="1"/>
  <c r="C69" i="1" l="1"/>
  <c r="R6" i="11" l="1"/>
  <c r="D53" i="11" s="1"/>
  <c r="S53" i="11"/>
  <c r="D41" i="11"/>
  <c r="S41" i="11"/>
  <c r="D14" i="11"/>
  <c r="S14" i="11"/>
  <c r="D46" i="11"/>
  <c r="S46" i="11"/>
  <c r="C48" i="11"/>
  <c r="R48" i="11"/>
  <c r="C39" i="11"/>
  <c r="C23" i="11"/>
  <c r="R23" i="11"/>
  <c r="C14" i="11"/>
  <c r="R14" i="11"/>
  <c r="C10" i="11"/>
  <c r="R10" i="11"/>
  <c r="C9" i="11"/>
  <c r="C17" i="11"/>
  <c r="R17" i="11"/>
  <c r="C31" i="11"/>
  <c r="C51" i="11"/>
  <c r="R51" i="11"/>
  <c r="C47" i="11"/>
  <c r="R47" i="11"/>
  <c r="C18" i="11"/>
  <c r="R18" i="11"/>
  <c r="C52" i="11"/>
  <c r="R52" i="11"/>
  <c r="C45" i="11"/>
  <c r="R45" i="11"/>
  <c r="C20" i="11"/>
  <c r="C28" i="11"/>
  <c r="R28" i="11"/>
  <c r="C29" i="11"/>
  <c r="R29" i="11"/>
  <c r="C41" i="11"/>
  <c r="R41" i="11"/>
  <c r="C49" i="11"/>
  <c r="R49" i="11"/>
  <c r="C24" i="11"/>
  <c r="R24" i="11"/>
  <c r="C12" i="11"/>
  <c r="R12" i="11"/>
  <c r="C22" i="11"/>
  <c r="R22" i="11"/>
  <c r="C21" i="11"/>
  <c r="R21" i="11"/>
  <c r="C15" i="11"/>
  <c r="R15" i="11"/>
  <c r="C37" i="11"/>
  <c r="R37" i="11"/>
  <c r="C27" i="11"/>
  <c r="R27" i="11"/>
  <c r="C53" i="11"/>
  <c r="R53" i="11"/>
  <c r="C32" i="11"/>
  <c r="R32" i="11"/>
  <c r="C50" i="11"/>
  <c r="R50" i="11"/>
  <c r="C43" i="11"/>
  <c r="R43" i="11"/>
  <c r="C46" i="11"/>
  <c r="R46" i="11"/>
  <c r="C40" i="11"/>
  <c r="R40" i="11"/>
  <c r="C26" i="11"/>
  <c r="R26" i="11"/>
  <c r="C35" i="11"/>
  <c r="R35" i="11"/>
  <c r="C11" i="11"/>
  <c r="R11" i="11"/>
  <c r="C34" i="11"/>
  <c r="R34" i="11"/>
  <c r="C36" i="11"/>
  <c r="R36" i="11"/>
  <c r="C25" i="11"/>
  <c r="R25" i="11"/>
  <c r="C13" i="11"/>
  <c r="R13" i="11"/>
  <c r="D36" i="11"/>
  <c r="S36" i="11"/>
  <c r="D16" i="11"/>
  <c r="S16" i="11"/>
  <c r="C42" i="11"/>
  <c r="R42" i="11"/>
  <c r="C16" i="11"/>
  <c r="R16" i="11"/>
  <c r="C44" i="11"/>
  <c r="R44" i="11"/>
  <c r="C33" i="11"/>
  <c r="R33" i="11"/>
  <c r="D43" i="11"/>
  <c r="S43" i="11"/>
  <c r="D40" i="11"/>
  <c r="S40" i="11"/>
  <c r="D15" i="11"/>
  <c r="S15" i="11"/>
  <c r="D52" i="11"/>
  <c r="S52" i="11"/>
  <c r="D51" i="11"/>
  <c r="S51" i="11"/>
  <c r="D13" i="11"/>
  <c r="S13" i="11"/>
  <c r="D12" i="11"/>
  <c r="S12" i="11"/>
  <c r="D27" i="11"/>
  <c r="S27" i="11"/>
  <c r="D26" i="11"/>
  <c r="S26" i="11"/>
  <c r="D37" i="11"/>
  <c r="S37" i="11"/>
  <c r="D18" i="11"/>
  <c r="S18" i="11"/>
  <c r="D21" i="11"/>
  <c r="S21" i="11"/>
  <c r="D33" i="11"/>
  <c r="S33" i="11"/>
  <c r="D45" i="11"/>
  <c r="S45" i="11"/>
  <c r="D10" i="11"/>
  <c r="S10" i="11"/>
  <c r="D29" i="11"/>
  <c r="S29" i="11"/>
  <c r="D25" i="11"/>
  <c r="S25" i="11"/>
  <c r="D34" i="11"/>
  <c r="S34" i="11"/>
  <c r="D17" i="11"/>
  <c r="S17" i="11"/>
  <c r="D48" i="11"/>
  <c r="S48" i="11"/>
  <c r="D35" i="11"/>
  <c r="S35" i="11"/>
  <c r="D32" i="11"/>
  <c r="S32" i="11"/>
  <c r="D23" i="11"/>
  <c r="S23" i="11"/>
  <c r="D22" i="11"/>
  <c r="S22" i="11"/>
  <c r="D44" i="11"/>
  <c r="S44" i="11"/>
  <c r="D11" i="11"/>
  <c r="S11" i="11"/>
  <c r="D9" i="11"/>
  <c r="D24" i="11"/>
  <c r="S24" i="11"/>
  <c r="D50" i="11"/>
  <c r="S50" i="11"/>
  <c r="D28" i="11"/>
  <c r="S28" i="11"/>
  <c r="D42" i="11"/>
  <c r="S42" i="11"/>
  <c r="D31" i="11"/>
  <c r="D20" i="11"/>
  <c r="D47" i="11"/>
  <c r="S47" i="11"/>
  <c r="D49" i="11"/>
  <c r="S49" i="11"/>
  <c r="D39" i="11"/>
  <c r="B55" i="1" l="1"/>
  <c r="F95" i="1" l="1"/>
  <c r="E12" i="11"/>
  <c r="G72" i="1" s="1"/>
  <c r="F12" i="11"/>
  <c r="H72" i="1" s="1"/>
  <c r="E72" i="1"/>
  <c r="E13" i="11"/>
  <c r="G73" i="1" s="1"/>
  <c r="F13" i="11"/>
  <c r="H73" i="1" s="1"/>
  <c r="E73" i="1"/>
  <c r="E90" i="1"/>
  <c r="F21" i="11"/>
  <c r="H90" i="1" s="1"/>
  <c r="E21" i="11"/>
  <c r="G90" i="1" s="1"/>
  <c r="F89" i="1"/>
  <c r="F17" i="11"/>
  <c r="H77" i="1" s="1"/>
  <c r="E17" i="11"/>
  <c r="G77" i="1" s="1"/>
  <c r="E77" i="1"/>
  <c r="E92" i="1"/>
  <c r="F23" i="11"/>
  <c r="H92" i="1" s="1"/>
  <c r="E23" i="11"/>
  <c r="G92" i="1" s="1"/>
  <c r="F18" i="11"/>
  <c r="H78" i="1" s="1"/>
  <c r="E78" i="1"/>
  <c r="E18" i="11"/>
  <c r="G78" i="1" s="1"/>
  <c r="E41" i="11"/>
  <c r="F41" i="11" s="1"/>
  <c r="F91" i="1"/>
  <c r="F77" i="1"/>
  <c r="M91" i="1"/>
  <c r="F29" i="11"/>
  <c r="H98" i="1" s="1"/>
  <c r="E98" i="1"/>
  <c r="E29" i="11"/>
  <c r="G98" i="1" s="1"/>
  <c r="E52" i="11"/>
  <c r="F52" i="11" s="1"/>
  <c r="E69" i="1"/>
  <c r="E9" i="11"/>
  <c r="G69" i="1" s="1"/>
  <c r="F9" i="11"/>
  <c r="H69" i="1" s="1"/>
  <c r="F11" i="11"/>
  <c r="H71" i="1" s="1"/>
  <c r="E71" i="1"/>
  <c r="E11" i="11"/>
  <c r="G71" i="1" s="1"/>
  <c r="F97" i="1"/>
  <c r="M95" i="1"/>
  <c r="E53" i="11"/>
  <c r="F53" i="11" s="1"/>
  <c r="E40" i="11"/>
  <c r="F40" i="11" s="1"/>
  <c r="F71" i="1"/>
  <c r="E49" i="11"/>
  <c r="F49" i="11" s="1"/>
  <c r="F70" i="1"/>
  <c r="L92" i="1"/>
  <c r="E34" i="11"/>
  <c r="E36" i="11"/>
  <c r="L94" i="1"/>
  <c r="E46" i="11"/>
  <c r="F46" i="11" s="1"/>
  <c r="E74" i="1"/>
  <c r="F14" i="11"/>
  <c r="H74" i="1" s="1"/>
  <c r="E14" i="11"/>
  <c r="G74" i="1" s="1"/>
  <c r="L93" i="1"/>
  <c r="E35" i="11"/>
  <c r="E89" i="1"/>
  <c r="F20" i="11"/>
  <c r="H89" i="1" s="1"/>
  <c r="E20" i="11"/>
  <c r="G89" i="1" s="1"/>
  <c r="M94" i="1"/>
  <c r="F69" i="1"/>
  <c r="L89" i="1"/>
  <c r="E31" i="11"/>
  <c r="E37" i="11"/>
  <c r="L95" i="1"/>
  <c r="E10" i="11"/>
  <c r="G70" i="1" s="1"/>
  <c r="F10" i="11"/>
  <c r="H70" i="1" s="1"/>
  <c r="E70" i="1"/>
  <c r="F74" i="1"/>
  <c r="E51" i="11"/>
  <c r="F51" i="11" s="1"/>
  <c r="E33" i="11"/>
  <c r="L91" i="1"/>
  <c r="F76" i="1"/>
  <c r="E32" i="11"/>
  <c r="L90" i="1"/>
  <c r="E47" i="11"/>
  <c r="F47" i="11" s="1"/>
  <c r="F26" i="11"/>
  <c r="H95" i="1" s="1"/>
  <c r="E95" i="1"/>
  <c r="E26" i="11"/>
  <c r="G95" i="1" s="1"/>
  <c r="E39" i="11"/>
  <c r="F39" i="11" s="1"/>
  <c r="E42" i="11"/>
  <c r="F42" i="11" s="1"/>
  <c r="E75" i="1"/>
  <c r="E15" i="11"/>
  <c r="G75" i="1" s="1"/>
  <c r="F15" i="11"/>
  <c r="H75" i="1" s="1"/>
  <c r="E16" i="11"/>
  <c r="G76" i="1" s="1"/>
  <c r="E76" i="1"/>
  <c r="F16" i="11"/>
  <c r="H76" i="1" s="1"/>
  <c r="M89" i="1"/>
  <c r="F90" i="1"/>
  <c r="F24" i="11"/>
  <c r="H93" i="1" s="1"/>
  <c r="E93" i="1"/>
  <c r="E24" i="11"/>
  <c r="G93" i="1" s="1"/>
  <c r="E96" i="1"/>
  <c r="F27" i="11"/>
  <c r="H96" i="1" s="1"/>
  <c r="E27" i="11"/>
  <c r="G96" i="1" s="1"/>
  <c r="E91" i="1"/>
  <c r="E22" i="11"/>
  <c r="G91" i="1" s="1"/>
  <c r="F22" i="11"/>
  <c r="H91" i="1" s="1"/>
  <c r="F98" i="1"/>
  <c r="F72" i="1"/>
  <c r="M92" i="1"/>
  <c r="E48" i="11"/>
  <c r="F48" i="11" s="1"/>
  <c r="F78" i="1"/>
  <c r="F92" i="1"/>
  <c r="M93" i="1"/>
  <c r="F94" i="1"/>
  <c r="E43" i="11"/>
  <c r="F43" i="11" s="1"/>
  <c r="F25" i="11"/>
  <c r="H94" i="1" s="1"/>
  <c r="E94" i="1"/>
  <c r="E25" i="11"/>
  <c r="G94" i="1" s="1"/>
  <c r="F73" i="1"/>
  <c r="F75" i="1"/>
  <c r="E45" i="11"/>
  <c r="F45" i="11" s="1"/>
  <c r="E97" i="1"/>
  <c r="E28" i="11"/>
  <c r="G97" i="1" s="1"/>
  <c r="F28" i="11"/>
  <c r="H97" i="1" s="1"/>
  <c r="F93" i="1"/>
  <c r="F96" i="1"/>
  <c r="E50" i="11"/>
  <c r="F50" i="11" s="1"/>
  <c r="E44" i="11"/>
  <c r="F44" i="11" s="1"/>
  <c r="M90" i="1"/>
  <c r="B56" i="1"/>
  <c r="F36" i="11" l="1"/>
  <c r="O94" i="1" s="1"/>
  <c r="N94" i="1"/>
  <c r="F31" i="11"/>
  <c r="O89" i="1" s="1"/>
  <c r="N89" i="1"/>
  <c r="N95" i="1"/>
  <c r="F37" i="11"/>
  <c r="O95" i="1" s="1"/>
  <c r="N90" i="1"/>
  <c r="F32" i="11"/>
  <c r="O90" i="1" s="1"/>
  <c r="N93" i="1"/>
  <c r="F35" i="11"/>
  <c r="O93" i="1" s="1"/>
  <c r="N92" i="1"/>
  <c r="F34" i="11"/>
  <c r="O92" i="1" s="1"/>
  <c r="F33" i="11"/>
  <c r="O91" i="1" s="1"/>
  <c r="N91" i="1"/>
  <c r="B57" i="1"/>
  <c r="B58" i="1" l="1"/>
  <c r="B59" i="1" l="1"/>
  <c r="B60" i="1" l="1"/>
  <c r="B61" i="1" l="1"/>
  <c r="B62" i="1" l="1"/>
  <c r="B63" i="1" l="1"/>
  <c r="B64" i="1" l="1"/>
  <c r="C37" i="7"/>
  <c r="C36" i="7"/>
  <c r="C35" i="7"/>
  <c r="C34" i="7"/>
  <c r="C33" i="7"/>
  <c r="C31" i="7"/>
  <c r="C30" i="7"/>
  <c r="C29" i="7"/>
  <c r="C28" i="7"/>
  <c r="C27" i="7"/>
  <c r="C26" i="7"/>
  <c r="C25" i="7"/>
  <c r="C24" i="7"/>
  <c r="C23" i="7"/>
  <c r="C22" i="7"/>
  <c r="C21" i="7"/>
  <c r="C20" i="7"/>
  <c r="C19" i="7"/>
  <c r="C18" i="7"/>
  <c r="C17" i="7"/>
  <c r="C16" i="7"/>
  <c r="C15" i="7"/>
  <c r="C14" i="7"/>
  <c r="C13" i="7"/>
  <c r="C12" i="7"/>
  <c r="C11" i="7"/>
  <c r="C10" i="7"/>
  <c r="C9" i="7"/>
  <c r="C8" i="7"/>
  <c r="C7" i="7"/>
  <c r="C5" i="7"/>
  <c r="C4" i="7"/>
  <c r="C3" i="7"/>
  <c r="C2" i="7"/>
  <c r="B65" i="1" l="1"/>
  <c r="B66" i="1" l="1"/>
  <c r="B67" i="1" l="1"/>
  <c r="B68" i="1" l="1"/>
  <c r="B69" i="1" l="1"/>
  <c r="B70" i="1" l="1"/>
  <c r="B71" i="1" l="1"/>
  <c r="A181" i="2" l="1"/>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U15" i="11" l="1"/>
  <c r="V15" i="11" s="1"/>
  <c r="U14" i="11"/>
  <c r="V14" i="11" s="1"/>
  <c r="U12" i="11" l="1"/>
  <c r="V12" i="11" s="1"/>
  <c r="U16" i="11"/>
  <c r="V16" i="11" s="1"/>
  <c r="U13" i="11"/>
  <c r="V13" i="11" s="1"/>
  <c r="L7" i="11"/>
  <c r="I1" i="11"/>
  <c r="U11" i="11" l="1"/>
  <c r="V11" i="11" s="1"/>
  <c r="E22" i="21" l="1"/>
  <c r="E17" i="21"/>
  <c r="E19" i="21"/>
  <c r="E21" i="21"/>
  <c r="E16" i="21"/>
  <c r="E15" i="21"/>
  <c r="E20" i="21"/>
  <c r="E14" i="21"/>
  <c r="E18" i="21"/>
  <c r="E13" i="21" l="1"/>
  <c r="N77" i="30" l="1"/>
  <c r="N19" i="30"/>
  <c r="N85" i="30"/>
  <c r="N52" i="30"/>
  <c r="N84" i="30"/>
  <c r="N82" i="30"/>
  <c r="N83" i="30"/>
  <c r="N80" i="30"/>
  <c r="N64" i="30"/>
  <c r="N46" i="30" l="1"/>
  <c r="N58" i="30"/>
  <c r="N22" i="30" l="1"/>
  <c r="N57" i="30"/>
  <c r="N89" i="30" l="1"/>
  <c r="N31" i="30" l="1"/>
  <c r="N62" i="30"/>
  <c r="N59" i="30" l="1"/>
  <c r="N45" i="30" l="1"/>
  <c r="N86" i="30" l="1"/>
  <c r="N37" i="30" l="1"/>
  <c r="N21" i="30"/>
  <c r="N74" i="30" l="1"/>
  <c r="N71" i="30" l="1"/>
  <c r="N48" i="30" l="1"/>
  <c r="N4" i="30"/>
  <c r="N30" i="30" l="1"/>
  <c r="N61" i="30" l="1"/>
  <c r="N29" i="30" l="1"/>
  <c r="N25" i="30" l="1"/>
  <c r="N32" i="30"/>
  <c r="N17" i="30" l="1"/>
  <c r="N23" i="30"/>
  <c r="N7" i="30" l="1"/>
  <c r="N78" i="30" l="1"/>
  <c r="N11" i="30" l="1"/>
  <c r="N50" i="30" l="1"/>
  <c r="N60" i="30" l="1"/>
  <c r="N33" i="30"/>
  <c r="N51" i="30" l="1"/>
  <c r="N49" i="30" l="1"/>
  <c r="N28" i="30"/>
  <c r="N24" i="30" l="1"/>
  <c r="N73" i="30" l="1"/>
  <c r="N76" i="30" l="1"/>
  <c r="N87" i="30" l="1"/>
  <c r="N69" i="30"/>
  <c r="N79" i="30" l="1"/>
  <c r="N27" i="30" l="1"/>
  <c r="N15" i="30" l="1"/>
  <c r="N70" i="30" l="1"/>
  <c r="N5" i="30" l="1"/>
  <c r="N90" i="30" l="1"/>
  <c r="N67" i="30"/>
  <c r="N10" i="30" l="1"/>
  <c r="N20" i="30" l="1"/>
  <c r="N56" i="30"/>
  <c r="N88" i="30" l="1"/>
  <c r="N14" i="30" l="1"/>
  <c r="N68" i="30" l="1"/>
  <c r="N40" i="30" l="1"/>
  <c r="N43" i="30" l="1"/>
  <c r="N12" i="30"/>
  <c r="N44" i="30" l="1"/>
  <c r="N9" i="30"/>
  <c r="N55" i="30" l="1"/>
  <c r="N81" i="30" l="1"/>
  <c r="N66" i="30" l="1"/>
  <c r="N42" i="30" l="1"/>
  <c r="N93" i="30" l="1"/>
  <c r="N38" i="30"/>
  <c r="N92" i="30" l="1"/>
  <c r="N34" i="30" l="1"/>
  <c r="N36" i="30" l="1"/>
  <c r="N65" i="30" l="1"/>
  <c r="N63" i="30"/>
  <c r="N6" i="30" l="1"/>
  <c r="N26" i="30" l="1"/>
  <c r="N75" i="30" l="1"/>
  <c r="N35" i="30" l="1"/>
  <c r="N8" i="30" l="1"/>
  <c r="N53" i="30"/>
  <c r="N18" i="30" l="1"/>
  <c r="N54" i="30" l="1"/>
  <c r="N41" i="30" l="1"/>
  <c r="N91" i="30"/>
  <c r="N72" i="30" l="1"/>
  <c r="N39" i="30" l="1"/>
  <c r="N16" i="30" l="1"/>
  <c r="N13" i="30" l="1"/>
  <c r="N47" i="3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<sst xmlns="http://schemas.openxmlformats.org/spreadsheetml/2006/main" count="14299" uniqueCount="4068">
  <si>
    <t>韓國國家農業合作社主要業務包括：運銷和供給、銀行和保險、家畜業務。目前韓國農協體系包含地方基層農協及上層農協中央會，基層農協為城鄉地區資金借貸、供給和調節之重要管道，韓國農協中央會則為維繫整個農業合作體系最主要經濟的來源，就分行數來說，為韓國第二大銀行。</t>
    <phoneticPr fontId="21" type="noConversion"/>
  </si>
  <si>
    <r>
      <t>比亞迪股份有限公司（簡稱比亞迪，港交所：1211），是一家在香港上市的中國大陸民營企業，總部設於廣東深圳，主要生產電池，近年來在手機部件、汽車製造以及筆記本電腦代工等方面也有發展。</t>
    </r>
    <r>
      <rPr>
        <sz val="12"/>
        <color indexed="8"/>
        <rFont val="新細明體"/>
        <family val="1"/>
        <charset val="136"/>
      </rPr>
      <t>2003</t>
    </r>
    <r>
      <rPr>
        <sz val="12"/>
        <color indexed="8"/>
        <rFont val="新細明體"/>
        <family val="1"/>
        <charset val="136"/>
      </rPr>
      <t>年成長為全球第二大充電電池生產商，同年收購秦川汽車有限責任公司，成立了比亞迪汽車有限公司。</t>
    </r>
    <phoneticPr fontId="21" type="noConversion"/>
  </si>
  <si>
    <t>機構債</t>
    <phoneticPr fontId="21" type="noConversion"/>
  </si>
  <si>
    <t>DAHSIN</t>
    <phoneticPr fontId="21" type="noConversion"/>
  </si>
  <si>
    <r>
      <t>大成生化科技集團於1</t>
    </r>
    <r>
      <rPr>
        <sz val="12"/>
        <color indexed="8"/>
        <rFont val="新細明體"/>
        <family val="1"/>
        <charset val="136"/>
      </rPr>
      <t>994</t>
    </r>
    <r>
      <rPr>
        <sz val="12"/>
        <color indexed="8"/>
        <rFont val="新細明體"/>
        <family val="1"/>
        <charset val="136"/>
      </rPr>
      <t>年成立，為亞洲區玉米提煉以及玉米原料生產化工產品的先驅。產品廣泛應用於多個行業，包括：飼料生產、食品及飲料、化妝品、紡織、醫藥及化學產品行業等。大成生化為亞太地區重要的王米提煉商。於</t>
    </r>
    <r>
      <rPr>
        <sz val="12"/>
        <color indexed="8"/>
        <rFont val="新細明體"/>
        <family val="1"/>
        <charset val="136"/>
      </rPr>
      <t>2008</t>
    </r>
    <r>
      <rPr>
        <sz val="12"/>
        <color indexed="8"/>
        <rFont val="新細明體"/>
        <family val="1"/>
        <charset val="136"/>
      </rPr>
      <t>年，每年的玉米處理能力達二百四十萬公噸。 同時，本集團為國際大型賴氨酸生產商之一。</t>
    </r>
    <phoneticPr fontId="21" type="noConversion"/>
  </si>
  <si>
    <t>和記黃埔有限公司香港交易所最大的上市公司之一，是業務遍佈全球的大型跨國企業，經營多元化業務，包括全球多個市場最大的貨櫃碼頭經營商、零售連鎖集團、地產發展與基建業務，以至電訊及電台廣播服務，集團主席為香港首富李嘉誠。</t>
    <phoneticPr fontId="21" type="noConversion"/>
  </si>
  <si>
    <t>石化業</t>
    <phoneticPr fontId="21" type="noConversion"/>
  </si>
  <si>
    <t>CENLEA</t>
    <phoneticPr fontId="21" type="noConversion"/>
  </si>
  <si>
    <t>331 HK Equity</t>
    <phoneticPr fontId="21" type="noConversion"/>
  </si>
  <si>
    <t>MSFT EQUITY</t>
    <phoneticPr fontId="21" type="noConversion"/>
  </si>
  <si>
    <t>086790 KS EQUITY</t>
    <phoneticPr fontId="21" type="noConversion"/>
  </si>
  <si>
    <t>CAPITA</t>
    <phoneticPr fontId="21" type="noConversion"/>
  </si>
  <si>
    <t>CT SP Equity</t>
    <phoneticPr fontId="21" type="noConversion"/>
  </si>
  <si>
    <t>不動產業</t>
    <phoneticPr fontId="21" type="noConversion"/>
  </si>
  <si>
    <t>新加坡不動產信託</t>
    <phoneticPr fontId="21" type="noConversion"/>
  </si>
  <si>
    <t>中國銀行股份有限公司（簡稱中銀或中行，港交所：3988、上交所：601988）是中國大陸的一家綜合性商業銀行，亦是中國歷史最悠久的銀行。總部設在北京，和中國工商銀行、中國農業銀行和中國建設銀行並稱中國大陸的四大國有商業銀行，是全球市值第三大的銀行。它是香港中資金融股的七行五保（前稱六行三保）之一。 截止到2010年底，中國銀行資產總額達到104598.65億人民幣。</t>
    <phoneticPr fontId="21" type="noConversion"/>
  </si>
  <si>
    <t>比亞迪股份有限公司</t>
    <phoneticPr fontId="21" type="noConversion"/>
  </si>
  <si>
    <t>CNPCCH</t>
  </si>
  <si>
    <r>
      <t>中國重汽(香港</t>
    </r>
    <r>
      <rPr>
        <sz val="12"/>
        <color indexed="8"/>
        <rFont val="新細明體"/>
        <family val="1"/>
        <charset val="136"/>
      </rPr>
      <t>)有限公司 (港交所:3808，英語:Sinotruk)，簡稱中國重汽(香港)，是一間中國大陸的國有企業，在香港註冊、成立於2004年。其母公司中國重型汽車集團前身是在1935年由中華民國國民政府成立的濟南汽車製造總廠，出產重架車黃河牌系列。中國重型汽車集團目前是中國第三大的重型汽車製造商。</t>
    </r>
    <phoneticPr fontId="21" type="noConversion"/>
  </si>
  <si>
    <t>998 HK EQUITY</t>
    <phoneticPr fontId="21" type="noConversion"/>
  </si>
  <si>
    <t>中國中信銀行</t>
    <phoneticPr fontId="21" type="noConversion"/>
  </si>
  <si>
    <t xml:space="preserve">百勝餐飲 (Yum! Brands, Inc) 透過自營及連鎖加盟方式拓展全球速食餐飲服務。該公司 開發、經營、連鎖加盟並授權餐廳全球化的系統，以製造、包裝與販售一系列食物。 </t>
    <phoneticPr fontId="21" type="noConversion"/>
  </si>
  <si>
    <t>AMXLMM</t>
  </si>
  <si>
    <t>中升集團控股有限公司透過全球性4S經銷店銷售汽車，通路覆蓋中國經濟發達的地區與城市。中升進口並銷售豪華與中高檔品牌的汽車，並提供售後服務包括零組件、汽車用品、維修及保養服務、汽車美容服務以及其他汽車相關產品與服務。</t>
    <phoneticPr fontId="21" type="noConversion"/>
  </si>
  <si>
    <t>Bloomberg FLD</t>
    <phoneticPr fontId="21" type="noConversion"/>
  </si>
  <si>
    <t>PX_LAST</t>
    <phoneticPr fontId="21" type="noConversion"/>
  </si>
  <si>
    <t>永豐餘造紙股份有限公司前身為永豐商店，致力於農業經濟產業，後以造紙為核心事業，發展橫跨造紙業上中下游，目前以集團事業群經營機制發展。永豐餘為台灣民營造紙業先驅，創立於1950 年。產品穩居國內造紙業之領導地位。永豐餘在造紙為本位下推展出多品項、多品類等之紙品，包含文化用紙、工業用紙、紙容器及家庭用紙等。</t>
    <phoneticPr fontId="21" type="noConversion"/>
  </si>
  <si>
    <t>東亞銀行</t>
    <phoneticPr fontId="21" type="noConversion"/>
  </si>
  <si>
    <t>租賃業</t>
    <phoneticPr fontId="21" type="noConversion"/>
  </si>
  <si>
    <t>VTB</t>
    <phoneticPr fontId="21" type="noConversion"/>
  </si>
  <si>
    <t>殖利率結構?</t>
    <phoneticPr fontId="21" type="noConversion"/>
  </si>
  <si>
    <t>Asset Swap</t>
    <phoneticPr fontId="21" type="noConversion"/>
  </si>
  <si>
    <t>交易策略</t>
    <phoneticPr fontId="21" type="noConversion"/>
  </si>
  <si>
    <t>福特汽車成立於1903年的美國，管理模式結合了高效率、高工資與低售價等特性(福特制)，曾在美國汽車市場保持連續七十五年銷量第二的紀錄，僅次於通用汽車。但在2007年之後受到汽油價格大漲影響，造成大型SUV休旅車與卡車銷量下降，美國市場排名因此掉到第三。</t>
    <phoneticPr fontId="21" type="noConversion"/>
  </si>
  <si>
    <t>債券計息方式</t>
    <phoneticPr fontId="21" type="noConversion"/>
  </si>
  <si>
    <t>東亞銀行是香港最大的獨立本地銀行，於2009年12月31日的綜合資產總額達港幣 4,341億元（560億美元）。東亞銀行於香港聯合交易所上市，為恒生指數成份股之一，現於香港設有139間分行和顯卓理財中心，網絡為全港最大之一。</t>
    <phoneticPr fontId="21" type="noConversion"/>
  </si>
  <si>
    <t>綜合業務</t>
    <phoneticPr fontId="21" type="noConversion"/>
  </si>
  <si>
    <t>和記黃埔</t>
    <phoneticPr fontId="21" type="noConversion"/>
  </si>
  <si>
    <t>Date Time</t>
  </si>
  <si>
    <t>Event</t>
  </si>
  <si>
    <t>COFCO</t>
    <phoneticPr fontId="21" type="noConversion"/>
  </si>
  <si>
    <t>RDSA LN EQUITY</t>
    <phoneticPr fontId="21" type="noConversion"/>
  </si>
  <si>
    <t>MALAYS</t>
    <phoneticPr fontId="21" type="noConversion"/>
  </si>
  <si>
    <t>馬來西亞公債</t>
    <phoneticPr fontId="21" type="noConversion"/>
  </si>
  <si>
    <t>公債</t>
    <phoneticPr fontId="21" type="noConversion"/>
  </si>
  <si>
    <t>WSTP</t>
    <phoneticPr fontId="21" type="noConversion"/>
  </si>
  <si>
    <t>RBS LN EQUITY</t>
    <phoneticPr fontId="21" type="noConversion"/>
  </si>
  <si>
    <t>蘇格蘭皇家銀行</t>
    <phoneticPr fontId="21" type="noConversion"/>
  </si>
  <si>
    <t>881 HK Equity</t>
    <phoneticPr fontId="21" type="noConversion"/>
  </si>
  <si>
    <t>GLP SP Equity</t>
    <phoneticPr fontId="21" type="noConversion"/>
  </si>
  <si>
    <t>809 HK Equity</t>
    <phoneticPr fontId="21" type="noConversion"/>
  </si>
  <si>
    <t>2777 HK Equity</t>
    <phoneticPr fontId="21" type="noConversion"/>
  </si>
  <si>
    <t>金融業</t>
    <phoneticPr fontId="21" type="noConversion"/>
  </si>
  <si>
    <t>秋明BP石油公司是俄羅斯的領導石油公司，也是世界前十大未公開發行之石油公司。該公司成立於2003年，由英國石油(BP)的俄羅斯分公司以及另一家公司 Alfa Access/ Renova Group (AAR)所合併組成。持股比例分別是50/50。</t>
    <phoneticPr fontId="21" type="noConversion"/>
  </si>
  <si>
    <t>壓力測試</t>
    <phoneticPr fontId="21" type="noConversion"/>
  </si>
  <si>
    <t>S&amp;P</t>
    <phoneticPr fontId="21" type="noConversion"/>
  </si>
  <si>
    <t>QATDIA</t>
    <phoneticPr fontId="21" type="noConversion"/>
  </si>
  <si>
    <t>1558 KS Equity</t>
    <phoneticPr fontId="21" type="noConversion"/>
  </si>
  <si>
    <t>494 HK EQUITY</t>
    <phoneticPr fontId="21" type="noConversion"/>
  </si>
  <si>
    <t>WMT</t>
    <phoneticPr fontId="21" type="noConversion"/>
  </si>
  <si>
    <t>128.110.9.24\債券部server\日常工作\Bond_Daily_Review\Vinny\[Taiwan_Bond_Review.xls]</t>
    <phoneticPr fontId="21" type="noConversion"/>
  </si>
  <si>
    <t>ReferenceFile</t>
    <phoneticPr fontId="21" type="noConversion"/>
  </si>
  <si>
    <t>Use Template</t>
    <phoneticPr fontId="21" type="noConversion"/>
  </si>
  <si>
    <t>北控水務</t>
  </si>
  <si>
    <t>GLPSP</t>
    <phoneticPr fontId="21" type="noConversion"/>
  </si>
  <si>
    <t>GLOBIO</t>
    <phoneticPr fontId="21" type="noConversion"/>
  </si>
  <si>
    <t>GZRFPR</t>
    <phoneticPr fontId="21" type="noConversion"/>
  </si>
  <si>
    <t>HKCGAS</t>
    <phoneticPr fontId="21" type="noConversion"/>
  </si>
  <si>
    <t>HPWELL</t>
    <phoneticPr fontId="21" type="noConversion"/>
  </si>
  <si>
    <t>IBRD</t>
    <phoneticPr fontId="21" type="noConversion"/>
  </si>
  <si>
    <t>MPEL</t>
    <phoneticPr fontId="21" type="noConversion"/>
  </si>
  <si>
    <t>ORIX</t>
    <phoneticPr fontId="21" type="noConversion"/>
  </si>
  <si>
    <t>中國進出口銀行</t>
    <phoneticPr fontId="21" type="noConversion"/>
  </si>
  <si>
    <t>問：請問什麼是境外人民幣(CNH)，他與境內人民幣(CNY)有什麼不同？
答：目前廣義的人民幣除了在中國本身裡流通的所謂境內人民幣以外，還有所謂的境外人民幣(CNH)市場，由於人民幣是屬於管制貨幣，因此以外國投資人來說，合法的投資管道便只有QFII等需要經過審查的管道，但自2003年12月香港金管會宣佈起動香港人民幣業務試點以來，人民幣可以在香港自由買賣，也促成境外人民幣的誕生，雖然目前境外人民幣尚無法自由的移轉至境內使用，但做為境外的交割結算使用方面，一樣可以享有人民幣匯率方面升值的利益。
問：最近常聽到點心債(Dim Sum Bond)，請問什麼是點心債呢？
答：所謂點心債，就是以境外人民幣計價的債券，原本境外人民幣僅能存放於利息相當低的清算行定存，自2007年開始，獲得批準的大陸金融機構可以在香港發行人民幣債券，這算是點心債的第一步，但自2010開始，隨著中國人民銀行以及香港金管會擴大合作範圍，增加境外人民幣能夠回流境內的機會，也大大提升了境外人民幣的發債意願，包含了麥當勞在內的國際知名企業皆於2010年下半年起於香港發行境外人民幣債券，由於相較於清算行定存來說有十分優惠的利率，也因此讓這些點心債成為近年來最熱門的大餐。</t>
    <phoneticPr fontId="21" type="noConversion"/>
  </si>
  <si>
    <t>HARUBZ CH Equity</t>
    <phoneticPr fontId="21" type="noConversion"/>
  </si>
  <si>
    <t>秋明BP控股公司</t>
    <phoneticPr fontId="21" type="noConversion"/>
  </si>
  <si>
    <t>Moody's</t>
    <phoneticPr fontId="21" type="noConversion"/>
  </si>
  <si>
    <r>
      <t>中國春天百貨集團有限公司(0331.HK)於2007年1月以「Tiger Power Investments Limited」名稱註冊成立於開曼群島，並於同年8月更名為「中國春天百貨集團有限公司」，英文名稱：Printemps China Department Store，簡稱PCDS。公司於2009年在香港交易所掛牌上市交易。</t>
    </r>
    <r>
      <rPr>
        <sz val="12"/>
        <color indexed="8"/>
        <rFont val="新細明體"/>
        <family val="1"/>
        <charset val="136"/>
      </rPr>
      <t>春天百貨集團在中國被稱為“巴黎春天”。主營高檔及豪華商品，主要顧客為高收入客群，大部份百貨店均定位為高檔及豪華百貨。</t>
    </r>
    <phoneticPr fontId="21" type="noConversion"/>
  </si>
  <si>
    <t>電力業</t>
    <phoneticPr fontId="21" type="noConversion"/>
  </si>
  <si>
    <t>中國外運長航集團有限公司</t>
  </si>
  <si>
    <t xml:space="preserve">微軟公司成立於 1975 年，是世界上最大電腦軟體商，多年來在全球個人電腦與商用軟體、服務與網際網路技術上居領導地位。微軟公司致力於提供各種產品與服務，讓人們在任何時間、任何地點、使用任何裝置，都能輕鬆取得資訊。
</t>
    <phoneticPr fontId="21" type="noConversion"/>
  </si>
  <si>
    <t>PX_LAST</t>
  </si>
  <si>
    <t>俄羅斯農業銀行成立目的主要農業相關政府信貸以及金融政策，100%由俄羅斯國家持有。該行目前於國內共設有76間分行和1262個辦事處，對全國城市和農村地區約91萬客戶提供服務。</t>
  </si>
  <si>
    <t>陽光能源控股有限公司自2000年起於遼寧省錦州市涉足太陽能單晶硅錠生產，隨著近年來全球對於太陽能產品需求逐步上升，陽光能源現階段正積極擴大經營範圍。對於自身較有技術優勢的單晶硅錠生產，陽光能源則持續擴充產能，期許成為世界領先的單晶硅錠製造商。此外，陽光能源也通過戰略投資橫向擴展到多晶太陽能硅錠及硅片的製造，以滿足客戶所需；並透過垂直整合至太陽能電池的生產和光伏組件的安裝等下游產業，以便深入瞭解下游客戶的需求。</t>
    <phoneticPr fontId="21" type="noConversion"/>
  </si>
  <si>
    <t>-</t>
    <phoneticPr fontId="21" type="noConversion"/>
  </si>
  <si>
    <r>
      <t>新加坡華僑銀行是新加坡歷史最為悠久的本地銀行，其歷史追溯至</t>
    </r>
    <r>
      <rPr>
        <sz val="11"/>
        <color indexed="8"/>
        <rFont val="Calibri"/>
        <family val="2"/>
      </rPr>
      <t>1912</t>
    </r>
    <r>
      <rPr>
        <sz val="11"/>
        <color indexed="8"/>
        <rFont val="新細明體"/>
        <family val="1"/>
        <charset val="136"/>
      </rPr>
      <t>年，是亞洲目前領先的金融集團之一，也是亞洲平價最高的銀行，現有資產</t>
    </r>
    <r>
      <rPr>
        <sz val="11"/>
        <color indexed="8"/>
        <rFont val="Calibri"/>
        <family val="2"/>
      </rPr>
      <t>1830</t>
    </r>
    <r>
      <rPr>
        <sz val="11"/>
        <color indexed="8"/>
        <rFont val="新細明體"/>
        <family val="1"/>
        <charset val="136"/>
      </rPr>
      <t>億新幣，華僑銀行提供一系列的專業金融服務來滿足顧客需求，這包括個人業務</t>
    </r>
    <r>
      <rPr>
        <sz val="11"/>
        <color indexed="8"/>
        <rFont val="Calibri"/>
        <family val="2"/>
      </rPr>
      <t>˴</t>
    </r>
    <r>
      <rPr>
        <sz val="11"/>
        <color indexed="8"/>
        <rFont val="新細明體"/>
        <family val="1"/>
        <charset val="136"/>
      </rPr>
      <t>公司業務</t>
    </r>
    <r>
      <rPr>
        <sz val="11"/>
        <color indexed="8"/>
        <rFont val="Calibri"/>
        <family val="2"/>
      </rPr>
      <t>˴</t>
    </r>
    <r>
      <rPr>
        <sz val="11"/>
        <color indexed="8"/>
        <rFont val="新細明體"/>
        <family val="1"/>
        <charset val="136"/>
      </rPr>
      <t>投資銀行業務</t>
    </r>
    <r>
      <rPr>
        <sz val="11"/>
        <color indexed="8"/>
        <rFont val="Calibri"/>
        <family val="2"/>
      </rPr>
      <t>˴</t>
    </r>
    <r>
      <rPr>
        <sz val="11"/>
        <color indexed="8"/>
        <rFont val="新細明體"/>
        <family val="1"/>
        <charset val="136"/>
      </rPr>
      <t>私人銀行以及交易銀行業務</t>
    </r>
    <r>
      <rPr>
        <sz val="11"/>
        <color indexed="8"/>
        <rFont val="Calibri"/>
        <family val="2"/>
      </rPr>
      <t>˴</t>
    </r>
    <r>
      <rPr>
        <sz val="11"/>
        <color indexed="8"/>
        <rFont val="新細明體"/>
        <family val="1"/>
        <charset val="136"/>
      </rPr>
      <t>全球資金業務</t>
    </r>
    <r>
      <rPr>
        <sz val="11"/>
        <color indexed="8"/>
        <rFont val="Calibri"/>
        <family val="2"/>
      </rPr>
      <t>˴</t>
    </r>
    <r>
      <rPr>
        <sz val="11"/>
        <color indexed="8"/>
        <rFont val="新細明體"/>
        <family val="1"/>
        <charset val="136"/>
      </rPr>
      <t>資產管理與股票經紀業務。</t>
    </r>
  </si>
  <si>
    <t>瑞穗銀行</t>
  </si>
  <si>
    <t>CNH簡介1</t>
    <phoneticPr fontId="21" type="noConversion"/>
  </si>
  <si>
    <t>KORESC</t>
  </si>
  <si>
    <t>建設工業</t>
    <phoneticPr fontId="21" type="noConversion"/>
  </si>
  <si>
    <t>世界銀行</t>
    <phoneticPr fontId="21" type="noConversion"/>
  </si>
  <si>
    <t>NKY INDEX</t>
    <phoneticPr fontId="21" type="noConversion"/>
  </si>
  <si>
    <t>為亞洲具領導地位的物業投資、管理及發展集團之一，其優質商用及住宅物業遍佈亞洲各地。在香港中環核心商業區，集團擁有及管理達500萬平方呎之商用樓面，其租戶為金融服務及相關行業的客戶。在新加坡，置地公司擁有濱海灣金融中心（Marina Bay Financial Centre）及One Raffles Quay等多個大型發展項目的重大權益，樓面面積共約200萬平方呎。除了不斷在香港作出投資外，近年更積極拓展海外業務，涉足亞洲多個市場。</t>
  </si>
  <si>
    <t>權益型Sukuk，基本上有Murabahah以及Musharakah兩種方式：
Murabahah (成本加利潤銷售)：
定義：客戶與銀行簽訂購買契約，約定由銀行代顧客向生產者購買商品，銀行再以其購買成本加上應賺之利潤賣給客戶。
2. 起源：由專業機構(銀行)出面購買具較高之議價能力，且不易受騙。
3. 類型：i. binding Murabahah purchase order (MPO)：客戶與銀行簽訂購買契約後，須先預付訂金或保證金予銀行，以作為履行契約之保證。換言之，客戶有義務向銀行購買該商品。ii. non-binding Murabahah purchase order ：客戶與銀行簽訂購買契約後，雙方皆有反悔的空間。
Musharakah(股本參與)：
1.定義：訂定契約的當事人共同出資或出力經營該投資標的，並約定損益分配比例。類似傳統的合資經營。
2.種類：i. Musharakah: 所有的合夥者於合約期間共同承擔損益，ii.Diminishing Musharakah(遞減型):伊斯蘭銀行於合約期間慢慢降低股份直至完全賣給其他股東</t>
    <phoneticPr fontId="21" type="noConversion"/>
  </si>
  <si>
    <t>大新銀行</t>
    <phoneticPr fontId="21" type="noConversion"/>
  </si>
  <si>
    <t>005280 KS Equity</t>
  </si>
  <si>
    <t>SBSA CH Equity</t>
  </si>
  <si>
    <t>SHOZ CH Equity</t>
  </si>
  <si>
    <t>2380 HK Equity</t>
    <phoneticPr fontId="21" type="noConversion"/>
  </si>
  <si>
    <t>836 HK Equity</t>
    <phoneticPr fontId="21" type="noConversion"/>
  </si>
  <si>
    <t>山東晨鳴紙業集團股份有限公司</t>
    <phoneticPr fontId="21" type="noConversion"/>
  </si>
  <si>
    <t>建志投資有限公司</t>
    <phoneticPr fontId="21" type="noConversion"/>
  </si>
  <si>
    <t>利欣置業有限公司</t>
    <phoneticPr fontId="21" type="noConversion"/>
  </si>
  <si>
    <t>JPM EQUITY</t>
    <phoneticPr fontId="21" type="noConversion"/>
  </si>
  <si>
    <t>UCG IM EQUITY</t>
    <phoneticPr fontId="21" type="noConversion"/>
  </si>
  <si>
    <t>義大利聯合信貸銀行</t>
    <phoneticPr fontId="21" type="noConversion"/>
  </si>
  <si>
    <t>問:3/9 ISDA裁定希臘的CAC(collective action clauses, 集體行動條款)是一個信用事件，請問這是甚麼一回事。
答:ISDA 的判決委員會，主要是針對一些行為，是否有違反ISDA條約中所定義的信用事件進行記名投票，以決定是否構成CDS賣方需要賠償的信用事件，在ISDA條款裡面，會構成信用事件主要是有以下定義，包含本金與利息的減少，本金或利息的延遲付款，求償順位的後延，以及使用貨幣改成非G7貨幣或是非AAA評等的OECD貨幣，並且這些事件中，是針對所有的債務所有人為對象的行為，在這一次希臘的CAC換約條款中，主要就是強制大多數希臘的民間債權人進行換債協議，導致ISDA認定這是觸發一項信用事件。
問:那希臘換債之後，影響範圍會有多大呢?
答:根據統計數據， 目前約有4323件信用違約交換(CDS)合約必須償付，總額將近32億美元，假設CDS的recovery rate為75%，也就是CDS賣方需要賠償32億*75% = 24億，在雷曼兄弟時總共賠償金額為52億美元，然而統計資料顯示，平均這些衍伸性產品約有70%的曝險是有擔保的，在CDS交易裡面這個比例有可能更高，因此這個賠償金額應該是可以控制的。
問:那接下來要做哪些事情呢?
答:在這之後，市場參與者將於3/19日舉行標售會，以決定希臘債務的Recover Rate</t>
    <phoneticPr fontId="21" type="noConversion"/>
  </si>
  <si>
    <r>
      <t>新加坡不動產信託是新加坡最早亦是最大的不動產信託(</t>
    </r>
    <r>
      <rPr>
        <sz val="12"/>
        <color indexed="8"/>
        <rFont val="新細明體"/>
        <family val="1"/>
        <charset val="136"/>
      </rPr>
      <t>REIT, Real Estate Investment Trust)公司，主要核心業務為經營零售賣場以及大型Shopping Mall，物件均坐落於新加坡精華地段。</t>
    </r>
    <phoneticPr fontId="21" type="noConversion"/>
  </si>
  <si>
    <t>是世界最大私營石油公司之一，也是世界前十大私營企業集團之一。該公司前身是創立於1908年的盎格魯˙波斯石油公司（Anglo-Persian Oil Company），1954年改稱英國石油公司。該公司整合探油、探氣、煉油、儲油、售油、零售等營業領域。在1998年一次購併行動後，BP不再作為British Petroleum的縮寫，而成為公司正式名稱。</t>
    <phoneticPr fontId="21" type="noConversion"/>
  </si>
  <si>
    <t>俄羅斯聯邦儲蓄銀行</t>
    <phoneticPr fontId="21" type="noConversion"/>
  </si>
  <si>
    <t xml:space="preserve">問: 投資外幣債券優點?
答: 
收益率高: 投資收益相較國內公債與公司債高，享受定期配息。
稅率考量: 個人- 2010年起境外所得需自行申報。 法人- 利息併入營利事業所得稅申報。
流動性較佳: 外幣債券發行規模較大，次級市場流通性較投資國內公司債佳。
投資門檻低: 最低投資門檻為10萬美元。
交易成本低: 外幣債券複委託交易屬OTC交易，不必額外支付交易所手續費與交易稅。
</t>
    <phoneticPr fontId="21" type="noConversion"/>
  </si>
  <si>
    <t>複委託優缺點</t>
    <phoneticPr fontId="21" type="noConversion"/>
  </si>
  <si>
    <t>何謂殖利率</t>
    <phoneticPr fontId="21" type="noConversion"/>
  </si>
  <si>
    <t>Item</t>
    <phoneticPr fontId="21" type="noConversion"/>
  </si>
  <si>
    <t>Summary</t>
    <phoneticPr fontId="21" type="noConversion"/>
  </si>
  <si>
    <t>8439 JP Equity</t>
    <phoneticPr fontId="21" type="noConversion"/>
  </si>
  <si>
    <t>東京世紀租賃</t>
    <phoneticPr fontId="21" type="noConversion"/>
  </si>
  <si>
    <t>租賃業</t>
    <phoneticPr fontId="21" type="noConversion"/>
  </si>
  <si>
    <t>GE EQUITY</t>
    <phoneticPr fontId="21" type="noConversion"/>
  </si>
  <si>
    <t>GDBR10 INDEX</t>
    <phoneticPr fontId="21" type="noConversion"/>
  </si>
  <si>
    <t>ANZ</t>
    <phoneticPr fontId="21" type="noConversion"/>
  </si>
  <si>
    <t>韓國友利銀行成立於1899年，是韓國第二大全國性商業銀行和惟一的國有銀行，曾用名韓匯銀行，2002年更名為友利銀行。韓國友利銀行的業務涉及銀行、證券、租賃等各個領域。</t>
    <phoneticPr fontId="21" type="noConversion"/>
  </si>
  <si>
    <t>PX_LAST</t>
    <phoneticPr fontId="21" type="noConversion"/>
  </si>
  <si>
    <t>PX_CLOSE_1D</t>
    <phoneticPr fontId="21" type="noConversion"/>
  </si>
  <si>
    <t>亞洲開發銀行是面向亞太地區的區域性政府間的金融開發機構，它是根據聯合國亞洲及太平洋社會委員會專家小組會建議，並經1963年12月在馬尼拉舉行的第一次亞洲經濟合作部長級會議決定，於1966年11月正式建立，總部設於菲律賓首都馬尼拉。其宗旨是向會員國或地區成員提供貨款和技術援助，幫助協調會員國或地區成員在經濟、貿易和發展方面的政策，並和聯合國及其專門機構進行合作，以促進亞在地區的經濟發展。</t>
    <phoneticPr fontId="21" type="noConversion"/>
  </si>
  <si>
    <t>FCGNZ</t>
    <phoneticPr fontId="21" type="noConversion"/>
  </si>
  <si>
    <t>GENHKS</t>
  </si>
  <si>
    <t>韓亞銀行</t>
    <phoneticPr fontId="21" type="noConversion"/>
  </si>
  <si>
    <t>YLD_1D</t>
    <phoneticPr fontId="21" type="noConversion"/>
  </si>
  <si>
    <t>KDB</t>
    <phoneticPr fontId="21" type="noConversion"/>
  </si>
  <si>
    <r>
      <t>印度</t>
    </r>
    <r>
      <rPr>
        <sz val="12"/>
        <color indexed="63"/>
        <rFont val="Arial"/>
        <family val="2"/>
      </rPr>
      <t>ICICI Bank</t>
    </r>
    <r>
      <rPr>
        <sz val="12"/>
        <color indexed="63"/>
        <rFont val="細明體"/>
        <family val="3"/>
        <charset val="136"/>
      </rPr>
      <t>前身為印度工業投資公司</t>
    </r>
    <r>
      <rPr>
        <sz val="12"/>
        <color indexed="63"/>
        <rFont val="Arial"/>
        <family val="2"/>
      </rPr>
      <t>(Industrial Credit and Investment Corporation of India)</t>
    </r>
    <r>
      <rPr>
        <sz val="12"/>
        <color indexed="63"/>
        <rFont val="細明體"/>
        <family val="3"/>
        <charset val="136"/>
      </rPr>
      <t>，是印度市值最大民營銀行，以及全印度資產第</t>
    </r>
    <r>
      <rPr>
        <sz val="12"/>
        <color indexed="63"/>
        <rFont val="Arial"/>
        <family val="2"/>
      </rPr>
      <t>2</t>
    </r>
    <r>
      <rPr>
        <sz val="12"/>
        <color indexed="63"/>
        <rFont val="細明體"/>
        <family val="3"/>
        <charset val="136"/>
      </rPr>
      <t>大銀行。</t>
    </r>
    <r>
      <rPr>
        <sz val="12"/>
        <color indexed="63"/>
        <rFont val="Arial"/>
        <family val="2"/>
      </rPr>
      <t xml:space="preserve"> ICICI</t>
    </r>
    <r>
      <rPr>
        <sz val="12"/>
        <color indexed="63"/>
        <rFont val="細明體"/>
        <family val="3"/>
        <charset val="136"/>
      </rPr>
      <t>透過投資銀行、壽險和非壽險、創投資金和資產管理等部門，提供企業和一般客戶各種銀行商品和金融服務，該行同時也是印度最大發卡業者。</t>
    </r>
    <r>
      <rPr>
        <sz val="12"/>
        <color indexed="63"/>
        <rFont val="Arial"/>
        <family val="2"/>
      </rPr>
      <t>ICICI</t>
    </r>
    <r>
      <rPr>
        <sz val="12"/>
        <color indexed="63"/>
        <rFont val="細明體"/>
        <family val="3"/>
        <charset val="136"/>
      </rPr>
      <t>在印度孟買等交易所掛牌，亦在紐約證交所上市</t>
    </r>
    <r>
      <rPr>
        <sz val="12"/>
        <color indexed="63"/>
        <rFont val="Arial"/>
        <family val="2"/>
      </rPr>
      <t>ADR</t>
    </r>
    <r>
      <rPr>
        <sz val="12"/>
        <color indexed="63"/>
        <rFont val="細明體"/>
        <family val="3"/>
        <charset val="136"/>
      </rPr>
      <t>交易。</t>
    </r>
    <phoneticPr fontId="21" type="noConversion"/>
  </si>
  <si>
    <t>F</t>
    <phoneticPr fontId="21" type="noConversion"/>
  </si>
  <si>
    <t>UCGIM</t>
    <phoneticPr fontId="21" type="noConversion"/>
  </si>
  <si>
    <t>中升集團</t>
    <phoneticPr fontId="21" type="noConversion"/>
  </si>
  <si>
    <t>汽車業</t>
    <phoneticPr fontId="21" type="noConversion"/>
  </si>
  <si>
    <t>US</t>
  </si>
  <si>
    <t>韓國水力核能電力公司為韓國國有電力公司，負責韓國水力與核能電廠之建造與營運，為六家韓國國有電力公司中規模最大的一家，總裝機容量為17716 MW，占韓國發電總容量的28.46％，2005年發電量是146.8TWh，占韓國發電總量的40.25％。韓國的核能發電量在世界上排第6位。</t>
    <phoneticPr fontId="21" type="noConversion"/>
  </si>
  <si>
    <t>119089z KS Equity</t>
    <phoneticPr fontId="21" type="noConversion"/>
  </si>
  <si>
    <t>YLD_2D</t>
    <phoneticPr fontId="21" type="noConversion"/>
  </si>
  <si>
    <t>石化業</t>
    <phoneticPr fontId="21" type="noConversion"/>
  </si>
  <si>
    <t>CNOOC</t>
    <phoneticPr fontId="21" type="noConversion"/>
  </si>
  <si>
    <t>中海油</t>
    <phoneticPr fontId="21" type="noConversion"/>
  </si>
  <si>
    <t>883 HK  Equity</t>
    <phoneticPr fontId="21" type="noConversion"/>
  </si>
  <si>
    <t>GENHK SP Equity</t>
    <phoneticPr fontId="21" type="noConversion"/>
  </si>
  <si>
    <t>北控水務集團為香港聯合交易所上市公司北京控股公司(392 HK)旗下水務旗鑑事業，是國內具有核心競爭力的大型水務集團。其戰略定位為「領先的綜合水務系統解決方案提供商，以其所擁有的市場、資本、技術及管理等資產，致力於供水、虧水處理等核心業務和環保事業。北控水務位列中國500強公用事業、公共設施經營和管理類企業第1名。</t>
    <phoneticPr fontId="21" type="noConversion"/>
  </si>
  <si>
    <t>中國石油天然氣集團公司</t>
    <phoneticPr fontId="21" type="noConversion"/>
  </si>
  <si>
    <t>澳大利亞歷史最悠久的銀行。2005-2006財政年度純利潤30.7億澳元，總市值超過430億澳元，論市值計算是澳大利亞十大上市公司之一，是澳大利亞第四大銀行集團，總資產超過2000億澳元。該公司為超過750萬的客戶提供服務。 西太平洋銀行分行及聯營機構遍佈太平洋地區，並在世界各地的主要金融中心設有辦事處。西太平洋銀行的全球資產為二千三百四十億澳元。西太平洋銀行是澳洲證券交易所市值排名前十位的上市公司。</t>
    <phoneticPr fontId="21" type="noConversion"/>
  </si>
  <si>
    <t>KIAMTR</t>
    <phoneticPr fontId="21" type="noConversion"/>
  </si>
  <si>
    <t>龍源電力集團為中國及亞洲最大風力發電商，業務範圍包含風電場的設計、開發、管理及營運。集團是中國國電集團公司分拆出來專營新能源的中央企業，在江蘇省如東縣擁有全國最大風力發電場。</t>
    <phoneticPr fontId="21" type="noConversion"/>
  </si>
  <si>
    <t>SPPOW</t>
  </si>
  <si>
    <t>TSLIEN</t>
  </si>
  <si>
    <t>投資公司</t>
  </si>
  <si>
    <t>HYNMTR</t>
    <phoneticPr fontId="21" type="noConversion"/>
  </si>
  <si>
    <t>005380 KS Equity</t>
    <phoneticPr fontId="21" type="noConversion"/>
  </si>
  <si>
    <t>現代汽車</t>
    <phoneticPr fontId="21" type="noConversion"/>
  </si>
  <si>
    <t xml:space="preserve">高盛1869年創立於紐約，是全球歷史最悠久、經驗最豐富、實力最雄厚的投資銀行之一，業務橫跨投資銀行、證券交易和投資管理。它為全球成千上萬個重要客戶，包括企業、金融機構、國家政府及富有的個人，提供全方位的高品質金融服務。在以合夥人制度經營了一百三十年之後，高盛于1999年5月在紐約證券交易所掛牌上市。
</t>
    <phoneticPr fontId="21" type="noConversion"/>
  </si>
  <si>
    <t>1211 HK Equity</t>
    <phoneticPr fontId="21" type="noConversion"/>
  </si>
  <si>
    <t>比亞迪公司</t>
    <phoneticPr fontId="21" type="noConversion"/>
  </si>
  <si>
    <t>RABO NA EQUITY</t>
    <phoneticPr fontId="21" type="noConversion"/>
  </si>
  <si>
    <t>YUM</t>
    <phoneticPr fontId="21" type="noConversion"/>
  </si>
  <si>
    <t>餐飲業</t>
    <phoneticPr fontId="21" type="noConversion"/>
  </si>
  <si>
    <t>地產業</t>
    <phoneticPr fontId="21" type="noConversion"/>
  </si>
  <si>
    <t>荷蘭國際集團（Internationale Nederlanden Groep N.V.，簡稱ING,又名：安泰銀行)在1991年由荷蘭國民人壽保險公司和荷蘭郵政銀行集團合併組成的綜合性財政金融集團。據美國《財富》（FORTUNES）雜誌統計，以資產淨值計算，荷蘭國際集團位居全球500家大企業的第64位。</t>
    <phoneticPr fontId="21" type="noConversion"/>
  </si>
  <si>
    <t>韓國資源公司成立於1967年，其業務重點特別放在獲取韓國政府選定的6種戰略性礦物——煙煤、鈾、鐵、銅、鋅、鎳的供應上。從90年代起，開始再世界各國設立分公司，加強國際化趨勢。經由組織重組與規劃，目前已擁有10家海外分部。</t>
  </si>
  <si>
    <t>韓國發展銀行</t>
    <phoneticPr fontId="21" type="noConversion"/>
  </si>
  <si>
    <t>金融業</t>
    <phoneticPr fontId="21" type="noConversion"/>
  </si>
  <si>
    <t>韓國發展銀行是韓國重要的政策銀行之一，主要提供韓國重點發展產業包括資訊科技，生物科技以及奈米科技等產業之創業投資資本需求。</t>
    <phoneticPr fontId="21" type="noConversion"/>
  </si>
  <si>
    <t>54 HK Equity</t>
    <phoneticPr fontId="21" type="noConversion"/>
  </si>
  <si>
    <t>問:何謂分割債券(Stripped Bond)      答:將某一特定債券的利息收入和本金的現金流分割，每一期利息與到期的本金都各自獨立成為"分割債券"，可分別交易。也就是，原本的付息債券轉換成一系列的零息債券。各"分割債券"在交易時，依據零息債券訂價模式，以票面價格折現交易。投資人可依據其資金需求，風險趨避程度投資合適標的，若投資人持有完整的各期"分割債券"，亦可申請組合成原先的付息債券。</t>
    <phoneticPr fontId="21" type="noConversion"/>
  </si>
  <si>
    <t>PETROL</t>
    <phoneticPr fontId="21" type="noConversion"/>
  </si>
  <si>
    <t xml:space="preserve">來寶集團(Noble Group)創立於1987年，以亞洲的鋼鐵貿易業起家，總部在香港，在新加坡證券交易所上市的企業集團，是農業、工業和能源等多個領域的全球供應鏈管理方面的市場領軍者，業務涉及多種自然資源和原材料，如棉花、穀物、咖啡、煤炭、鐵礦石、鋼材、鋁材以及清潔油品等。 來寶集團在40多個國家設有辦事處，業務範圍遍佈全球，在供應鏈管理方面擁有豐富的經驗。
</t>
    <phoneticPr fontId="21" type="noConversion"/>
  </si>
  <si>
    <t>MCD US EQUITY</t>
    <phoneticPr fontId="21" type="noConversion"/>
  </si>
  <si>
    <t>麥當勞</t>
    <phoneticPr fontId="21" type="noConversion"/>
  </si>
  <si>
    <t>WFC EQUITY</t>
    <phoneticPr fontId="21" type="noConversion"/>
  </si>
  <si>
    <t>富國銀行</t>
    <phoneticPr fontId="21" type="noConversion"/>
  </si>
  <si>
    <t>電信業</t>
    <phoneticPr fontId="21" type="noConversion"/>
  </si>
  <si>
    <t>電訊盈科</t>
    <phoneticPr fontId="21" type="noConversion"/>
  </si>
  <si>
    <t>韓國水力核能電力公司</t>
    <phoneticPr fontId="21" type="noConversion"/>
  </si>
  <si>
    <t xml:space="preserve">1987年，卡達公共通訊公司，簡稱“卡達電訊”成立。它於1998年11月25日實現了私營化，並改名為卡達電信公司(Q—Tel)。這一切都是根據當年頒佈的第二十一號法令進行的，該法還授權卡達電信公司在卡達境內提供15年的獨家電訊服務。 
</t>
    <phoneticPr fontId="21" type="noConversion"/>
  </si>
  <si>
    <t>PCDHK</t>
    <phoneticPr fontId="21" type="noConversion"/>
  </si>
  <si>
    <t>POWINV</t>
    <phoneticPr fontId="21" type="noConversion"/>
  </si>
  <si>
    <t>RESOUR</t>
    <phoneticPr fontId="21" type="noConversion"/>
  </si>
  <si>
    <t>ROADKG</t>
    <phoneticPr fontId="21" type="noConversion"/>
  </si>
  <si>
    <t>SDBC</t>
    <phoneticPr fontId="21" type="noConversion"/>
  </si>
  <si>
    <t>中國誠通控股集團有限公司（簡稱“中國誠通”）是國務院國有資產監督管理委員會監管的大型企業集團，總資產600多億元。其主要業務為資產經營管理，綜合物流服務，生產資料貿易，林漿紙生產、開發及利用，此外也兼營現貨批發市場、旅遊、文化、包裝及農產品流通產業。</t>
    <phoneticPr fontId="21" type="noConversion"/>
  </si>
  <si>
    <t>浦項鋼鐵是世界最大的鋼鐵製造商，1968年總部成立於韓國浦項（Pohang），曾在2003年被世界鋼鐵動態研究機構（WSD）稱之為「世界上的最具競爭性的公司」，並在2005年獲Fortune財星雜誌評選為「全球最受景仰的公司」。每年以兩大生產工廠約19,000個員工生產2,850萬公噸的鋼鐵。</t>
    <phoneticPr fontId="21" type="noConversion"/>
  </si>
  <si>
    <t>YLD_YTM_MID</t>
    <phoneticPr fontId="21" type="noConversion"/>
  </si>
  <si>
    <t>問: 市場上有那麼多債券，我要怎麼找到我要的標的。
答: 和股票市場不一樣的，一家公司只要所發行的票面利率以及到期日的不同，便應認定為不同債券，因此一隻債券的全名應該包含發行機構名稱，票面利率，以及到期日三個項目，舉例來說，[美國銀行 4.5 04/15] 便是指由美國銀行發行，票面利率4.5%， 2015年 4月到期之公司債。</t>
    <phoneticPr fontId="21" type="noConversion"/>
  </si>
  <si>
    <t>024110 KS Equity</t>
    <phoneticPr fontId="21" type="noConversion"/>
  </si>
  <si>
    <t>3988 HK EQUITY</t>
    <phoneticPr fontId="21" type="noConversion"/>
  </si>
  <si>
    <t>中國銀行</t>
    <phoneticPr fontId="21" type="noConversion"/>
  </si>
  <si>
    <t>BCHINA</t>
    <phoneticPr fontId="21" type="noConversion"/>
  </si>
  <si>
    <t>VOW GR EQUITY</t>
    <phoneticPr fontId="21" type="noConversion"/>
  </si>
  <si>
    <t>NOBLSP</t>
    <phoneticPr fontId="21" type="noConversion"/>
  </si>
  <si>
    <t>NOBL SP EQUITY</t>
    <phoneticPr fontId="21" type="noConversion"/>
  </si>
  <si>
    <t>中國農業銀行</t>
    <phoneticPr fontId="21" type="noConversion"/>
  </si>
  <si>
    <t>601288 CH Equity</t>
    <phoneticPr fontId="21" type="noConversion"/>
  </si>
  <si>
    <t>RP</t>
    <phoneticPr fontId="21" type="noConversion"/>
  </si>
  <si>
    <t>QTELQD</t>
    <phoneticPr fontId="21" type="noConversion"/>
  </si>
  <si>
    <t>QTEL QD Equity</t>
    <phoneticPr fontId="21" type="noConversion"/>
  </si>
  <si>
    <t>Ticker</t>
  </si>
  <si>
    <t>Company Ticker</t>
    <phoneticPr fontId="21" type="noConversion"/>
  </si>
  <si>
    <t xml:space="preserve">主動交易策略:
一般來說，除了買進後持有至到期日外，公司債交易策略還有以下數種，分別是預策利率走勢，殖利率利差策略，殖利率曲線策略等幾種，以下將分門別類進行概述。
預策利率走勢策略是最簡單，但也相對需要對於市場有一定的看法，當覺得未來利率會下跌，便採取買進的動作，當覺得未來利率會走升的時候，便採取賣出的動作。
殖利率利差策略：
簡單來說，便是尋找兩個有相同特性，如信用評等AAA的公司債以及美國政府公債，然候觀察兩者之間的殖利率利差，由於這兩種標的都是屬於相當穩定的標的，因此殖利率應該會相當接近，也就是說當殖利率利差現在是處於較為擴大的走勢時，便可以採取買近價格較低，賣出價格較高的策略，因為理論上這兩者的利差將會再次縮小。
殖利率曲線策略：
債券殖利率曲線顯示到期年限與收益率間的關係，殖利率曲線的形狀會隨著時間而有所改變。基於此，殖利率曲線策略是依據債券殖利率曲線形狀所可能產生變化的預期，而規劃某一特定投資組合，以期為該投資組合帶來最大報酬率。
</t>
    <phoneticPr fontId="21" type="noConversion"/>
  </si>
  <si>
    <t>殖利率曲線策略</t>
    <phoneticPr fontId="21" type="noConversion"/>
  </si>
  <si>
    <t>中信國際金融</t>
    <phoneticPr fontId="21" type="noConversion"/>
  </si>
  <si>
    <t>998 HK EQUITY</t>
    <phoneticPr fontId="21" type="noConversion"/>
  </si>
  <si>
    <t>KEB</t>
    <phoneticPr fontId="21" type="noConversion"/>
  </si>
  <si>
    <t>881 HK Equity</t>
    <phoneticPr fontId="21" type="noConversion"/>
  </si>
  <si>
    <t>銀河娛樂集團有限公司（港交所：0027）是一家在香港交易所上市的工業公司。銀河娛樂主要業務是生產及分銷建築材料。2011年7月22日，與UA合作，把旗下澳門銀河開設澳門首個3D戲院「UA銀河影院」，為提供澳門市民及其他遊客方便而設。</t>
    <phoneticPr fontId="21" type="noConversion"/>
  </si>
  <si>
    <t>BJCAPT</t>
    <phoneticPr fontId="21" type="noConversion"/>
  </si>
  <si>
    <t>路勁基建有限公司是一家香港上市公司，專注於國內投資、發展、經營和管理收費公路及房地產專案。目前，路勁在中國七個省參與十六個收費公路和橋樑專案，公路總里程逾八百七十公里，投入資金逾港幣四十億元。路勁亦在房地產發展組合投資逾港幣一百五十億元，包括二十一個主要項目。</t>
    <phoneticPr fontId="21" type="noConversion"/>
  </si>
  <si>
    <t>勝獅貨櫃企業有限公司</t>
  </si>
  <si>
    <t>貨櫃業</t>
    <phoneticPr fontId="21" type="noConversion"/>
  </si>
  <si>
    <t xml:space="preserve">韓國電力公司（KEPCO）是韓國唯一的電力公司。1961年由3個地區電力公司合併，成立了韓國電力公司。1981年7月1日，韓國（Korea）、漢城（Seoul）、南韓（South Korea）三個電力公司合併為一個公司，更名為韓國電力有限公司並於1982成為一家國營公司，目前該公司主要以輸電、配電與電力銷售為主要業務，服務區域覆蓋整個韓國。在韓中兩國政府的積極支持下，韓國電力公社與中國政府及各電力單位的核電合作正在穩步發展之中。 </t>
    <phoneticPr fontId="21" type="noConversion"/>
  </si>
  <si>
    <r>
      <t>O</t>
    </r>
    <r>
      <rPr>
        <sz val="12"/>
        <color indexed="8"/>
        <rFont val="新細明體"/>
        <family val="1"/>
        <charset val="136"/>
      </rPr>
      <t>RIX</t>
    </r>
    <r>
      <rPr>
        <sz val="12"/>
        <color indexed="8"/>
        <rFont val="新細明體"/>
        <family val="1"/>
        <charset val="136"/>
      </rPr>
      <t>株式會社於1964年設立，總部設於日本東京，為日本最早期成立的租賃公司之一。今己為亞洲最大金融財務公司之列，並且為日本電子測試儀器之大租賃公司。在日本國內有1,116個據點，國外遍及美國、亞洲、大洋州、歐洲、中東、北非洲等 288個據點，業務網遍佈全球27個國家。</t>
    </r>
    <phoneticPr fontId="21" type="noConversion"/>
  </si>
  <si>
    <t>TINGYI</t>
    <phoneticPr fontId="21" type="noConversion"/>
  </si>
  <si>
    <t>322 HK Equity</t>
    <phoneticPr fontId="21" type="noConversion"/>
  </si>
  <si>
    <t>康師傅控股</t>
    <phoneticPr fontId="21" type="noConversion"/>
  </si>
  <si>
    <t>食品業</t>
    <phoneticPr fontId="21" type="noConversion"/>
  </si>
  <si>
    <t>瑞士信貸集團由四個銀行部、一個保險部組成。目前，瑞士信貸集團是世界上最大的金融集團之一，資產總值達到4350億美元。按全球收入計算，瑞士信貸集團居世界第二位；按資本基礎計算，瑞士信貸集團居世界第16位。集團的投資銀行部CSFB是全球最大的五家投資銀行之一；私人銀行部資產總值為2800億美元，居世界第二位，而豐泰保險公司是歐洲第五大保險公司。瑞士信貸集團現有雇員63000人，其中60%在瑞士本土，其餘則分佈在世界各地。</t>
    <phoneticPr fontId="21" type="noConversion"/>
  </si>
  <si>
    <t xml:space="preserve">問:何謂可贖回債券Callable Bond?                                                                       
答:債券發行人可在提前在債券到期日前，按照債券招募說明書，以約定價格向投資人贖回已發行債券。一般而言，投資人購買可贖回債券會面臨再投資風險，所以可贖回債券的利率一般比不可贖回債券高。                                                                                                                                                                                          
問:何謂一次性補足利息的提前贖回權(Make-Whole Call)? 
答:簡稱MWC，於1990年首次出現在債券市場，通常公司債會設計此權利，給予債券發行人，可以提前償清未到期之債券的權利，提前贖回日期是不確定的。其贖回價格會根據兩個指標訂立：一是依照尚未支付的利息與未來到期之本金折現值計算，二是贖回價格會盯住某一利率水準。選取高價者為贖回價格確保債券投資人至少可以獲得債券面額。 
                                                                                                                                                                                                                                                             問:可贖回債券Callable Bond與一次性補足利息的提前贖回權Make-Whole Call之不同之處為何?          
答:可贖回債券之贖回價格，在發行日時，明訂於契約中，贖回日期也事先約定。而Make-Whole Call其贖回價格於發行日當天是未知，投資人只可預期至少可以拿回債券之面額，而贖回日期也是未知，全權交由發行人決定。                                                                                   </t>
    <phoneticPr fontId="21" type="noConversion"/>
  </si>
  <si>
    <t>PX_CLOSE_1D</t>
    <phoneticPr fontId="21" type="noConversion"/>
  </si>
  <si>
    <t>花旗集團（Citigroup）是當今世界資產規模最大、利潤最多、全球連鎖性最高、業務門類最齊全的金融服務集團。它是由花旗公司與旅行者集團於1998年合併而成、並於同期換牌上市的，為美國第一家集商業銀行、投資銀行、保險、共同基金、證券交易等諸多金融服務業務於一身的金融集團。</t>
    <phoneticPr fontId="21" type="noConversion"/>
  </si>
  <si>
    <r>
      <t>新濠博亞博彩</t>
    </r>
    <r>
      <rPr>
        <sz val="12"/>
        <color indexed="8"/>
        <rFont val="Times New Roman"/>
        <family val="1"/>
      </rPr>
      <t>(</t>
    </r>
    <r>
      <rPr>
        <sz val="12"/>
        <color indexed="8"/>
        <rFont val="新細明體"/>
        <family val="1"/>
        <charset val="136"/>
      </rPr>
      <t>澳門</t>
    </r>
    <r>
      <rPr>
        <sz val="12"/>
        <color indexed="8"/>
        <rFont val="Times New Roman"/>
        <family val="1"/>
      </rPr>
      <t>)</t>
    </r>
    <r>
      <rPr>
        <sz val="12"/>
        <color indexed="8"/>
        <rFont val="新細明體"/>
        <family val="1"/>
        <charset val="136"/>
      </rPr>
      <t>股份有限公司</t>
    </r>
  </si>
  <si>
    <t>娛樂業</t>
    <phoneticPr fontId="21" type="noConversion"/>
  </si>
  <si>
    <t>2868 HK Equity</t>
    <phoneticPr fontId="21" type="noConversion"/>
  </si>
  <si>
    <t>3988 HK Equity</t>
    <phoneticPr fontId="21" type="noConversion"/>
  </si>
  <si>
    <t>BYDCOL</t>
    <phoneticPr fontId="21" type="noConversion"/>
  </si>
  <si>
    <t>CAT US Equity</t>
    <phoneticPr fontId="21" type="noConversion"/>
  </si>
  <si>
    <t>CAT</t>
    <phoneticPr fontId="21" type="noConversion"/>
  </si>
  <si>
    <t>CHCHTO</t>
    <phoneticPr fontId="21" type="noConversion"/>
  </si>
  <si>
    <t>217 HK Equity</t>
    <phoneticPr fontId="21" type="noConversion"/>
  </si>
  <si>
    <t>CHIPWR</t>
    <phoneticPr fontId="21" type="noConversion"/>
  </si>
  <si>
    <t>荷蘭國際集團</t>
    <phoneticPr fontId="21" type="noConversion"/>
  </si>
  <si>
    <t>Intned</t>
    <phoneticPr fontId="21" type="noConversion"/>
  </si>
  <si>
    <t>INGA NA Equity</t>
    <phoneticPr fontId="21" type="noConversion"/>
  </si>
  <si>
    <t>ZHNGCE</t>
  </si>
  <si>
    <t>USGG30YR INDEX</t>
  </si>
  <si>
    <t>ZHOSHK</t>
    <phoneticPr fontId="21" type="noConversion"/>
  </si>
  <si>
    <t>881 HK Equity</t>
    <phoneticPr fontId="21" type="noConversion"/>
  </si>
  <si>
    <t>HUWHY</t>
    <phoneticPr fontId="21" type="noConversion"/>
  </si>
  <si>
    <t>SZOCTH</t>
    <phoneticPr fontId="21" type="noConversion"/>
  </si>
  <si>
    <t>TPVTEC</t>
    <phoneticPr fontId="21" type="noConversion"/>
  </si>
  <si>
    <t>Full Name</t>
    <phoneticPr fontId="21" type="noConversion"/>
  </si>
  <si>
    <t>山水水泥集團有限公司是以水泥為主導的大型企業集團，也是國家重點支持的12家全國性大型水泥企業之一，2008年在香港上市後，成為中國水泥行業的第一支紅籌股。山水水泥目前旗下的企業主要集中在山東和遼寧，生產規模在這兩省皆為第一大，全國來說則為第二大。</t>
    <phoneticPr fontId="21" type="noConversion"/>
  </si>
  <si>
    <t>911304Z QD EQUITY</t>
    <phoneticPr fontId="21" type="noConversion"/>
  </si>
  <si>
    <t>卡達不動產管理</t>
    <phoneticPr fontId="21" type="noConversion"/>
  </si>
  <si>
    <t>債券計息方式一般來說有分成三種，分別是ACT/ACT，ACT/365，以及30/360等三種：
- ACT/ACT:
為債券計息慣例中，最單純且合理的方法，且在很多債券商品中被普遍運用。這方法是採用實際計息天數除以一年的實際天數365天，閏年為366 天。
- ACT/365:
是ACT/ACT的變形，也就是天數計算分數的分母並不根據閏年做調整，使其統一永遠都等於365。
- 30/360:
此種方式最常出現在外幣公司債的計息方式，假設每個月都30天，每年為360天的天數計算準則，這種計算方式將使每一個票息期間的天數完全相同。</t>
    <phoneticPr fontId="21" type="noConversion"/>
  </si>
  <si>
    <t>馬來西亞石油公司成立於1974年，屬於國有企業。由馬來西亞政府全面擁有。並獲有國會通過石油開發法令，授予擁有和控制馬來西亞石油資源的所有權利。馬來西亞石油公司已經從它成立之初的單純石油天然氣開採企業成長成為現在的業務範圍廣泛的在多個方面有增值能力的實體。</t>
    <phoneticPr fontId="21" type="noConversion"/>
  </si>
  <si>
    <t>HANABK</t>
    <phoneticPr fontId="21" type="noConversion"/>
  </si>
  <si>
    <t>2356 HK EQUITY</t>
    <phoneticPr fontId="21" type="noConversion"/>
  </si>
  <si>
    <t>2881 TT Equity</t>
    <phoneticPr fontId="21" type="noConversion"/>
  </si>
  <si>
    <t>2881 TT Equity</t>
    <phoneticPr fontId="21" type="noConversion"/>
  </si>
  <si>
    <t>YLD_1M</t>
    <phoneticPr fontId="47" type="noConversion"/>
  </si>
  <si>
    <t>Delta</t>
    <phoneticPr fontId="47" type="noConversion"/>
  </si>
  <si>
    <t>鋼鐵業</t>
    <phoneticPr fontId="21" type="noConversion"/>
  </si>
  <si>
    <t>005490 KS Equity</t>
    <phoneticPr fontId="21" type="noConversion"/>
  </si>
  <si>
    <t>POHANG</t>
    <phoneticPr fontId="21" type="noConversion"/>
  </si>
  <si>
    <t>GOOG EQUITY</t>
    <phoneticPr fontId="21" type="noConversion"/>
  </si>
  <si>
    <t>Google</t>
    <phoneticPr fontId="21" type="noConversion"/>
  </si>
  <si>
    <t>Date</t>
  </si>
  <si>
    <t>SBER RU Equity</t>
    <phoneticPr fontId="21" type="noConversion"/>
  </si>
  <si>
    <t>票面利率</t>
    <phoneticPr fontId="21" type="noConversion"/>
  </si>
  <si>
    <t>SUNHUN</t>
    <phoneticPr fontId="21" type="noConversion"/>
  </si>
  <si>
    <r>
      <t>中糧集團成立於1949年，是中國最大的糧油食品進出口公司和實力雄厚的食品生產商，在地產、酒店經營以及金融服務等領域也有不錯的成績。中糧集團目前下設中糧糧油、中國糧油、中國食品、地產酒店、中國土畜、中糧屯河、中糧包裝、中糧發展、金融等</t>
    </r>
    <r>
      <rPr>
        <sz val="12"/>
        <color indexed="8"/>
        <rFont val="新細明體"/>
        <family val="1"/>
        <charset val="136"/>
      </rPr>
      <t>9</t>
    </r>
    <r>
      <rPr>
        <sz val="12"/>
        <color indexed="8"/>
        <rFont val="新細明體"/>
        <family val="1"/>
        <charset val="136"/>
      </rPr>
      <t>大業務板塊。</t>
    </r>
    <phoneticPr fontId="21" type="noConversion"/>
  </si>
  <si>
    <t>Vnesheconombank (VEB)是一家俄國銀行，俄國名字是翻譯「外在經濟銀行」的Внешэкономбанк (ВЭБ)。 它共同地稱俄國開發銀行，雖然它提到自己作為「國有企業「銀行為發展和外國經濟事務」」。 俄國政府用於機關支持和開發俄國經濟，處理俄國狀態債務和養卹基金</t>
    <phoneticPr fontId="21" type="noConversion"/>
  </si>
  <si>
    <r>
      <t>問： 我看永豐金證發行一檔人民幣債券指數，請問這是什麼東西?
答： 在HSBC和花旗陸續發行離岸人民幣債券指數之後，永豐金證券(亞洲)也推出永豐金點心債指數，這指數將由44檔固定利率，存續期間一年以上，流通面額五億人民幣以上的債券組成，將以2011年5月31日為基準日，起始值為100，提供離岸人民幣債券績效評估的另一種指標，讓投資人能夠更佳方便追蹤人民幣投資組合的總收益。
問： 請問我可以在哪邊取得這個指數的資訊?
答：您可以透過香港金管局CMU網站報價(http://www.cmu.org.hk)，以及彭博資訊網的 SSALCNHB Index &lt;GO&gt; 的方式查詢，或者可以到永豐金證（亞洲）的報價系統 SIAL&lt;GO&gt;得到最新報價，此報價將會在美個交易日六點整進行更新。
問：請問這個服務是收費的嗎</t>
    </r>
    <r>
      <rPr>
        <sz val="12"/>
        <color indexed="8"/>
        <rFont val="新細明體"/>
        <family val="1"/>
        <charset val="136"/>
      </rPr>
      <t xml:space="preserve"> ？
答：不像其他公司要求收費，本服務是完全免費！</t>
    </r>
    <phoneticPr fontId="21" type="noConversion"/>
  </si>
  <si>
    <t>182 HK Equity</t>
    <phoneticPr fontId="21" type="noConversion"/>
  </si>
  <si>
    <t>CMGLTZ CH Equity</t>
    <phoneticPr fontId="21" type="noConversion"/>
  </si>
  <si>
    <t>CHMERC</t>
    <phoneticPr fontId="21" type="noConversion"/>
  </si>
  <si>
    <r>
      <t>荷蘭標</t>
    </r>
    <r>
      <rPr>
        <sz val="12"/>
        <color indexed="8"/>
        <rFont val="Times New Roman"/>
        <family val="1"/>
      </rPr>
      <t>(Dutch Auction)</t>
    </r>
    <phoneticPr fontId="21" type="noConversion"/>
  </si>
  <si>
    <t>ICICIBC IN EQUITY</t>
    <phoneticPr fontId="21" type="noConversion"/>
  </si>
  <si>
    <t>食品業</t>
    <phoneticPr fontId="21" type="noConversion"/>
  </si>
  <si>
    <t>716 HK Equity</t>
    <phoneticPr fontId="21" type="noConversion"/>
  </si>
  <si>
    <t>國家開發銀行</t>
    <phoneticPr fontId="21" type="noConversion"/>
  </si>
  <si>
    <t>1972 HK Equity</t>
    <phoneticPr fontId="21" type="noConversion"/>
  </si>
  <si>
    <t>中國中化集團公司為國有大型骨幹企業，主要業務涉及農業、能源、化工、房地產及金融等領域。中化集團在財富全球500強2011年度排名列第168位。中化在國內外有200多家分支機構，旗下有中化國際，中華化肥，方興地產，中國種子集團公司等子公司。</t>
    <phoneticPr fontId="21" type="noConversion"/>
  </si>
  <si>
    <t>UBSN  VX EQUITY</t>
    <phoneticPr fontId="21" type="noConversion"/>
  </si>
  <si>
    <t>PUSAN</t>
    <phoneticPr fontId="21" type="noConversion"/>
  </si>
  <si>
    <t>釜山銀行</t>
    <phoneticPr fontId="21" type="noConversion"/>
  </si>
  <si>
    <t xml:space="preserve">富國銀行目前為全美資產第四大銀行，股票市值排名第三，若以存款、家庭貸款與金融卡務來統計，富國銀行則排名全美第二。富國銀行業務以零售銀行業務為主，批發銀行及消費者金融為輔，迄2006年末，共有6062間零售分行、2300萬名客戶。
</t>
    <phoneticPr fontId="21" type="noConversion"/>
  </si>
  <si>
    <t>Google是全世界最大的搜尋引擎提供商，取名來自數學術語googol ，意思是一個1後面有100個0，他的使命是整合全球範圍的資訊，使人人皆可從中受益，他在2010年7月15日獲得Moody's Aaa的信用評等，與Microsoft是相同等級。</t>
    <phoneticPr fontId="21" type="noConversion"/>
  </si>
  <si>
    <t>問: 請問殖利率曲線通常會有哪些變化?
答: 殖利率曲線變化通常有平行移動與非平行移動，非平行移動又有趨陡，趨平兩種，所謂平行移動是指長天期與短天期同時同方向同樣幅度的移動，趨陡代表短天期殖利率下跌較長天期殖利率多，或者短天期殖利率較長天期殖利率上漲的少，趨緩代表短天期殖利率下跌較長天期殖利率少，或者短天期殖利率較長天期殖利率上漲的多</t>
  </si>
  <si>
    <t>殼牌石油</t>
    <phoneticPr fontId="21" type="noConversion"/>
  </si>
  <si>
    <t>水泥</t>
    <phoneticPr fontId="21" type="noConversion"/>
  </si>
  <si>
    <t xml:space="preserve">中國政府在原中國石油化工總公司基礎上重組成立的特大型石油石化企業集團,是國家獨資設立的國有公司、國家授權投資的機構和國家控股公司。中國石化集團公司註冊資本1820億元,總部設在北京。主營業務範圍包括:實業投資及投資管理;石油、天然氣的勘探、開採、儲運(含管道運輸)、銷售和綜合利用;石油煉製;汽油、煤油、柴油的批發;石油化工及其他化工產品的生產、銷售、儲存、運輸;石油石化工程的勘探設計、施工、建築安裝;石油石化設備檢修維修;機電設備製造;技術及資訊、替代能源產品的研究、開發、應用、諮詢服務;自營和代理各類商品和技術的進出口(國家限定公司經營或禁止進出口的商品和技術除外)。 </t>
  </si>
  <si>
    <t>美國銀行</t>
    <phoneticPr fontId="21" type="noConversion"/>
  </si>
  <si>
    <t>GE</t>
    <phoneticPr fontId="21" type="noConversion"/>
  </si>
  <si>
    <t>中國電力國際發展有限公司</t>
    <phoneticPr fontId="21" type="noConversion"/>
  </si>
  <si>
    <t>Bond Tickers</t>
    <phoneticPr fontId="21" type="noConversion"/>
  </si>
  <si>
    <t>首創置業股份有限公司(簡稱“首創置業 ”)，為中國大型地產綜合營運商，香港聯交所上市公司(股票代碼：HK2868)，主要從事於物業開發及酒店投資的營運。</t>
    <phoneticPr fontId="21" type="noConversion"/>
  </si>
  <si>
    <t>何謂含息價格，和百元價差在那裡</t>
    <phoneticPr fontId="21" type="noConversion"/>
  </si>
  <si>
    <t>SCB TB Equity</t>
  </si>
  <si>
    <t xml:space="preserve"> SCB TB Equity</t>
  </si>
  <si>
    <t>UOB SP Equity</t>
  </si>
  <si>
    <t>固定利率：利率固定不動　(固定利率＝票面利率) 
固定利率公司債的票面利率在發行時就決定而且固定一個比率，至到期日都不會變動。相對地，對發行公司而言，就是利息支出固定，發債的同時，發行機構就很簡單地算出未來的現金流量。若能明確判斷未來的利率走勢向下，則選擇投資固定利率公司債，對投資人比較有利。
浮動利率：債息利率隨指標加碼　(浮動利率＝基準利率+固定利差)
浮動利率債券則是一種付息票面利率會定期調整，付息水準會隨市場浮動的債券。票面利率調整的基礎通常是依據一個具有公信力的市場利率當成指標利率，作為付息的基準，然後將這基準利率再加上一定的利差；發放利息時，就依據這個指標加上一個固定利差計息，每次領的利息都會不同，如果利率向下，投資人投資浮動利率債券較不利，但如果利率走高，投資人收益會增加， 對投資人較有利，而發債機構成本相對地就會加重。
反浮動利率：債息利率隨指標減碼　(反浮動利率＝基準利率-固定利差)
反浮動利率按字面的意義就是和浮動利率方向相『反』的一種浮動方式。若預期未來利率向上，如果採浮動利率，發行成本就會跟著增加，為了規避這種風險，債券發行人就會增加一個『反浮動』的條件。簡單地說，票面利率就是用一個基準利率減去一個固定比率所得出的結果。</t>
  </si>
  <si>
    <t>美國政府公債</t>
  </si>
  <si>
    <t>SBSG</t>
    <phoneticPr fontId="21" type="noConversion"/>
  </si>
  <si>
    <t>首鋼集團(Shougang)成立於1919年，是中國中央企業之一，兼營採礦、機械、電子、建築、房地產、服務業、海外貿易等多種行業，在海外也擁有其他企業。</t>
    <phoneticPr fontId="21" type="noConversion"/>
  </si>
  <si>
    <t>SINCHZ HK</t>
  </si>
  <si>
    <t>中化集團</t>
  </si>
  <si>
    <t>UOBSP</t>
    <phoneticPr fontId="21" type="noConversion"/>
  </si>
  <si>
    <t>新加坡大華銀行</t>
    <phoneticPr fontId="21" type="noConversion"/>
  </si>
  <si>
    <t>OCBCSP</t>
    <phoneticPr fontId="21" type="noConversion"/>
  </si>
  <si>
    <t>新加坡華僑銀行</t>
    <phoneticPr fontId="21" type="noConversion"/>
  </si>
  <si>
    <t>金融業</t>
    <phoneticPr fontId="21" type="noConversion"/>
  </si>
  <si>
    <t>MIZUHO</t>
    <phoneticPr fontId="21" type="noConversion"/>
  </si>
  <si>
    <t>特易購成立於1919年，是英國第一家大型連鎖超商，也是英國目前最大零售商，全球來說則為僅次於美國沃爾瑪(Walmart)及法國家樂福(Carrefour)的第三大超市集團。特易購總部位於英格蘭Hertfordshire，自1990年起積極拓展海外市場，目前海外據點包括中國、捷克、法國、匈牙利、愛爾蘭、日本、波蘭、馬來西亞、斯洛伐克、韓國、泰國、土耳其及美國。特易購運用顧客忠誠卡機制，以感謝顧客為出發點，鞏固顧客忠誠度為目標，來提升自身品牌價值。</t>
    <phoneticPr fontId="21" type="noConversion"/>
  </si>
  <si>
    <t>TSCOLN</t>
  </si>
  <si>
    <t>特易購</t>
  </si>
  <si>
    <r>
      <t>N</t>
    </r>
    <r>
      <rPr>
        <sz val="12"/>
        <color indexed="8"/>
        <rFont val="新細明體"/>
        <family val="1"/>
        <charset val="136"/>
      </rPr>
      <t>TT</t>
    </r>
    <phoneticPr fontId="21" type="noConversion"/>
  </si>
  <si>
    <t>通訊業</t>
    <phoneticPr fontId="21" type="noConversion"/>
  </si>
  <si>
    <t>上海寶鋼集團公司成立於2000年，為中國鋼鐵業龍頭，並為中央企業之一。寶鋼生產高技術含量與高附加值鋼鐵精品，除了國內材板市場主導地位之外，鋼鐵精品並出口至日本、韓國、歐美等四十個國家與地區。</t>
    <phoneticPr fontId="21" type="noConversion"/>
  </si>
  <si>
    <t>寶鋼集團</t>
  </si>
  <si>
    <t>中升集團控股有限公司</t>
    <phoneticPr fontId="21" type="noConversion"/>
  </si>
  <si>
    <t>GALENT</t>
    <phoneticPr fontId="21" type="noConversion"/>
  </si>
  <si>
    <t>8591 JP Equity</t>
    <phoneticPr fontId="21" type="noConversion"/>
  </si>
  <si>
    <t>韓國工業銀行是韓國一家國營金融機構，公司主要提供六大業務服務：公司銀行業務、個人銀行業務、投資銀行業務、資產管理業務、交叉銷售業務、財政部和全球業務，主要服務對象為中小型企業，在韓國當地設有超過390個分行。</t>
    <phoneticPr fontId="21" type="noConversion"/>
  </si>
  <si>
    <t>冠捷科技有限公司（港交所：0903）是一家在香港交易所上市的工業公司。主要業務是各式各樣電腦監視器及彩色掃描器之製造、設計及銷售業務。2004年冠捷集團液晶銷量躍居全球第一。2004年底，冠捷科技與飛利浦正式簽署全面合作書，加速其在研發、生產液晶及電漿數字電視的發展進程，成為全球最大的電腦顯示器製造商，並加速跨入平面電視的領域。主要品牌為AOC、Envision及Topview。</t>
    <phoneticPr fontId="21" type="noConversion"/>
  </si>
  <si>
    <t>俄羅斯外貿銀行</t>
    <phoneticPr fontId="21" type="noConversion"/>
  </si>
  <si>
    <r>
      <t>利欣置業有限公司於2005年在香港成立，屬於香港本地公司</t>
    </r>
    <r>
      <rPr>
        <sz val="12"/>
        <color indexed="8"/>
        <rFont val="新細明體"/>
        <family val="1"/>
        <charset val="136"/>
      </rPr>
      <t>(公眾非上市公司)。</t>
    </r>
    <phoneticPr fontId="21" type="noConversion"/>
  </si>
  <si>
    <t xml:space="preserve">資產基礎債券型Sukuk，則以Salam、Istisna、Ijajah 等契約為基礎之債券：
Salam (預購貨品)：
1.定義：買方向生產者預購一定數量、品質之貨品，並約定未來特定日期交割貨物，買方在契約訂定同時便支付全額之貨款。生產者用該筆預付貨款投入生產事業，以生產貨物供將來交割。
2.起源：Salam皆用於以前農業上之融資，農夫拿預付之貨款去購買種子及耕種所需設備，待收成後交割穀物。
Istisna (長期工程製造合約)：
1.定義：由買方與賣方(製造商、營建商)訂定契約，約定製造特定數量、品質、種類之耐久商品，並約定於將來特定時點交貨，貨款則依合約期間內分期給付。
Ijarah (租賃合約)：
1.定義：資產所有權人與承租人簽訂租賃契約，將特定期間之資產使用權讓予承租人使用，以賺取租金。
</t>
    <phoneticPr fontId="21" type="noConversion"/>
  </si>
  <si>
    <t>PET MK Equity</t>
    <phoneticPr fontId="21" type="noConversion"/>
  </si>
  <si>
    <t>馬來西亞石油公司</t>
    <phoneticPr fontId="21" type="noConversion"/>
  </si>
  <si>
    <t>石化能源業</t>
    <phoneticPr fontId="21" type="noConversion"/>
  </si>
  <si>
    <t>WBC AU EQUITY</t>
    <phoneticPr fontId="21" type="noConversion"/>
  </si>
  <si>
    <t>西太平洋銀行</t>
    <phoneticPr fontId="21" type="noConversion"/>
  </si>
  <si>
    <t>ICICI</t>
    <phoneticPr fontId="21" type="noConversion"/>
  </si>
  <si>
    <t>金融業</t>
    <phoneticPr fontId="21" type="noConversion"/>
  </si>
  <si>
    <t>Chinese</t>
    <phoneticPr fontId="21" type="noConversion"/>
  </si>
  <si>
    <t>印度ICICI銀行</t>
    <phoneticPr fontId="21" type="noConversion"/>
  </si>
  <si>
    <t xml:space="preserve">問:在回教國家所發行的債券，常常可以看到Sukuk這個字，請問這代表什麼意思?
答:Sukuk是 certificate的阿拉伯文，回教世界不管從事任何行為，都必須恪遵回教律法，這支配了整個回教世界的經濟、社會、政治及文化。 由於回教金融系統的核心，嚴格禁止利息，因此若要和世界金融市場接軌，便須利用其他辦法，如租約合同、預付定金、共同營銷或合夥人制度，去創造如同一般國際認知的利息收益，Sukuk的發行採用“出售後租賃”的方式，即債券發行人先以固定價格將基礎資產賣給特殊項目機構(SPV, Special Purpose Vehicle)，SPV發行相同面額債券向債權人募集資金，然後基礎資產被租賃給第三方使用，債券持有人則獲得SPV的租金收益。參與憑證一般被用來為新工程建設或為根據合夥契約進行的商業活動融資。債券持有人按照各自的股份享有對專案或專案資產收益的所有權。在進行細分的話，有以下兩大種分類
(1)資產基礎債券：以Salam、Istisna、Ijajah 等契約為基礎之債券，提供較可預估之報酬。
(2)權益基礎債券：以Mudarabah、Musharakah等契約為基礎之債券，較難預估其報酬。
</t>
    <phoneticPr fontId="21" type="noConversion"/>
  </si>
  <si>
    <t>WMT EQUITY</t>
    <phoneticPr fontId="21" type="noConversion"/>
  </si>
  <si>
    <t>沃爾瑪百貨</t>
    <phoneticPr fontId="21" type="noConversion"/>
  </si>
  <si>
    <t>百貨零售業</t>
    <phoneticPr fontId="21" type="noConversion"/>
  </si>
  <si>
    <t>韓國資源公司</t>
    <phoneticPr fontId="21" type="noConversion"/>
  </si>
  <si>
    <t>材料業</t>
    <phoneticPr fontId="21" type="noConversion"/>
  </si>
  <si>
    <t>太古地產</t>
    <phoneticPr fontId="21" type="noConversion"/>
  </si>
  <si>
    <t>地產業</t>
    <phoneticPr fontId="21" type="noConversion"/>
  </si>
  <si>
    <r>
      <t>深圳華僑城控股股份有限公司由國務院國資委直屬的華僑城集團公司獨家發起募集設立，目前華僑城集團持有公司56.36%的股份。公司總資產約</t>
    </r>
    <r>
      <rPr>
        <sz val="12"/>
        <color indexed="8"/>
        <rFont val="新細明體"/>
        <family val="1"/>
        <charset val="136"/>
      </rPr>
      <t>310</t>
    </r>
    <r>
      <rPr>
        <sz val="12"/>
        <color indexed="8"/>
        <rFont val="新細明體"/>
        <family val="1"/>
        <charset val="136"/>
      </rPr>
      <t>億，淨資產約</t>
    </r>
    <r>
      <rPr>
        <sz val="12"/>
        <color indexed="8"/>
        <rFont val="新細明體"/>
        <family val="1"/>
        <charset val="136"/>
      </rPr>
      <t>110</t>
    </r>
    <r>
      <rPr>
        <sz val="12"/>
        <color indexed="8"/>
        <rFont val="新細明體"/>
        <family val="1"/>
        <charset val="136"/>
      </rPr>
      <t>億，總股本達</t>
    </r>
    <r>
      <rPr>
        <sz val="12"/>
        <color indexed="8"/>
        <rFont val="新細明體"/>
        <family val="1"/>
        <charset val="136"/>
      </rPr>
      <t>31</t>
    </r>
    <r>
      <rPr>
        <sz val="12"/>
        <color indexed="8"/>
        <rFont val="新細明體"/>
        <family val="1"/>
        <charset val="136"/>
      </rPr>
      <t>億。作為控股型集團公司，公司主要從事旅遊及相關文化產業經營、房地產及酒店開發經營、紙包裝和印刷等產業的投資經營。</t>
    </r>
    <phoneticPr fontId="21" type="noConversion"/>
  </si>
  <si>
    <t>冠捷科技有限公司</t>
    <phoneticPr fontId="21" type="noConversion"/>
  </si>
  <si>
    <t>工業</t>
    <phoneticPr fontId="21" type="noConversion"/>
  </si>
  <si>
    <t>韓國電力公司</t>
    <phoneticPr fontId="21" type="noConversion"/>
  </si>
  <si>
    <t>電力業</t>
    <phoneticPr fontId="21" type="noConversion"/>
  </si>
  <si>
    <t>問: 請問什麼是壓力測試?
答: 壓力測試主要內容，是由測試單位安排一個特定劇本，如股市與債市同時崩盤的情況下，檢驗銀行是否能夠生存甚至維持一定資本適足率。
問: 能否舉一個實際的劇本?
答: 2010年7月所公布的歐洲銀行壓力測試的據本，就是由負責測試的歐洲銀行業監管委員會假設歐洲遭遇經濟二次探底和主權債務危機的雙重打擊，股市萎縮20%，銀行利率急劇攀升，希臘國債在2011年底時貶值23.1%，葡萄牙國債貶值14%，西班牙國債貶值12.3%，德國國債貶值4.7%。在這樣的情況下，有多少銀行能夠將其核心資本維持在一定程度以上，但由於此據本被批評過於寬鬆，因此在2011年第二次進行的壓力測試，預期將會有更為嚴峻的劇本來進行測試。</t>
    <phoneticPr fontId="21" type="noConversion"/>
  </si>
  <si>
    <t>中國風電集團有限公司是一家專門從事風力發電業務的企業，在香港證券交易所上市，簡稱中國風電。公司經營領域為：風力發電廠投資運營；風力發電服務業務，包括風電項目前期開發 、風電技術諮詢、風電廠設計、風電廠建設與安裝調試、風電廠專業運行及維修維護服務；風力發電設備製造。</t>
    <phoneticPr fontId="21" type="noConversion"/>
  </si>
  <si>
    <t>香港招商局集團有限公司</t>
    <phoneticPr fontId="21" type="noConversion"/>
  </si>
  <si>
    <t>橡膠</t>
  </si>
  <si>
    <t>SHASHU</t>
  </si>
  <si>
    <t>691 HK Equity</t>
    <phoneticPr fontId="21" type="noConversion"/>
  </si>
  <si>
    <t>中國山水水泥集團</t>
  </si>
  <si>
    <t>CREDIT AGRICOLE CIB HK</t>
  </si>
  <si>
    <t>新濠博亞博彩(澳門)股份有限公司是一家於澳門經營博彩業的公司，由澳大利亞PBL集團與澳門新濠國際發展有限公司集團合營。2006年3月，新濠國際發展有限公司與澳大利亞PBL集團先合組新濠博亞娛樂有限公司，表示將承投永利旗下副賭牌，並由兩個合作財團共同成立百寶來娛樂(澳門)股份有限公司作為承投賭牌的公司，交易於2006年9月經澳門特區政府批准。同年10月，百寶來娛樂(澳門)股份有限公司更名為新濠博亞博彩(澳門)股份有限公司。</t>
    <phoneticPr fontId="21" type="noConversion"/>
  </si>
  <si>
    <t>MS</t>
    <phoneticPr fontId="21" type="noConversion"/>
  </si>
  <si>
    <t>MS EQUITY</t>
    <phoneticPr fontId="21" type="noConversion"/>
  </si>
  <si>
    <t>摩根史坦利</t>
    <phoneticPr fontId="21" type="noConversion"/>
  </si>
  <si>
    <t>電訊盈科於2000年8月由盈科數碼動力有限公司（簡稱盈動）和香港電訊有限公司（簡稱香港電訊，前身是「香港電話有限公司」以及大東電報局 (香港)）合併而成。是香港最大的電訊公司</t>
    <phoneticPr fontId="21" type="noConversion"/>
  </si>
  <si>
    <t>KORELE</t>
    <phoneticPr fontId="21" type="noConversion"/>
  </si>
  <si>
    <t>015760 KS Equity</t>
    <phoneticPr fontId="21" type="noConversion"/>
  </si>
  <si>
    <t>國開行原是直屬於中華人民共和國國務院的國家政策性金融機構，現為中國國有獨資商業銀行。國開行主要透過國際金融市場發行債券籌措資金，來支持各項國家重大建設項目與基礎產業培育工程的投資。</t>
    <phoneticPr fontId="21" type="noConversion"/>
  </si>
  <si>
    <t>首鋼集團</t>
    <phoneticPr fontId="21" type="noConversion"/>
  </si>
  <si>
    <t>BJASST</t>
    <phoneticPr fontId="21" type="noConversion"/>
  </si>
  <si>
    <t>ADBCH</t>
  </si>
  <si>
    <t>中國農業發展銀行是中國唯一一間農業政策性銀行，於1994年11月掛牌成立。主要配合國家政策與方針，以國家信用為基礎籌措資金，擔國家規定的農業政策性金融業務，代理財政支農資金的撥付，為農業和農村經濟發展服務。</t>
    <phoneticPr fontId="21" type="noConversion"/>
  </si>
  <si>
    <t>PDACRP</t>
  </si>
  <si>
    <t>大連港</t>
    <phoneticPr fontId="21" type="noConversion"/>
  </si>
  <si>
    <t>MPEL US Equity</t>
    <phoneticPr fontId="21" type="noConversion"/>
  </si>
  <si>
    <t>問: 何謂「可轉債資產交換(CB Asset Swap)」?
答: 我們知道，可轉換公司債可以分為固定收益端以及股權連結端，所謂可轉換資產交換，便是將可轉債的這兩個部位進行拆解，賣給不同投資人，如選擇權可以賣給需要槓桿效果, 或者無法直接持有標的的投資人，固定收益端則賣給想要賺取固定收益者，讓不同屬性的投資人皆可各取所需。
問: 那這樣的拆解對殖利率有什麼影響?
答: 由於投資者放棄股票選擇權，因此可享有比一般可轉債更高的報酬率，依照可轉債不同的信評等級，固定收益投資者的報酬率約在2.5%至4%，遠高於台灣公債、公司債以及定存。
問: 那這樣的拆解會對投資人有什麼風險?
答: 主要是負擔可轉債發行公司的債信風險。</t>
    <phoneticPr fontId="21" type="noConversion"/>
  </si>
  <si>
    <t>三井住友銀行是目前日本的三大銀行之一。成立於2001年4月1日，是由住友集團的住友銀行與三井財閥的櫻花銀行合併而成，兩個銀行都已超過120年歷史。總部位於東京都千代田區有樂町，該銀行在全日本有超過五百個營業據點，目前總資產超越8,500億美元，為名列全球前十大之國際性金融集團。</t>
    <phoneticPr fontId="21" type="noConversion"/>
  </si>
  <si>
    <t>銀河娛樂集團有限公司</t>
    <phoneticPr fontId="21" type="noConversion"/>
  </si>
  <si>
    <t>中國誠通發展集團有限公司</t>
    <phoneticPr fontId="21" type="noConversion"/>
  </si>
  <si>
    <t>綜合服務業</t>
    <phoneticPr fontId="21" type="noConversion"/>
  </si>
  <si>
    <t>新韓銀行</t>
    <phoneticPr fontId="21" type="noConversion"/>
  </si>
  <si>
    <t>SWIPRO</t>
    <phoneticPr fontId="21" type="noConversion"/>
  </si>
  <si>
    <t>LIFUNG</t>
    <phoneticPr fontId="21" type="noConversion"/>
  </si>
  <si>
    <t>利豐集團</t>
    <phoneticPr fontId="21" type="noConversion"/>
  </si>
  <si>
    <t>TSCO LN Equity</t>
    <phoneticPr fontId="21" type="noConversion"/>
  </si>
  <si>
    <t xml:space="preserve">問: 請問什麼叫做殖利率曲線?
答: 投資人買賣債券，可參考總體經濟情勢，並觀察殖利率曲線的變化來作為買賣債券的依據。所謂「殖利率曲線」，是以到期年限為橫座標，各期債券的到期殖利率為縱座標，所繪成的圖形，又稱為「收益率曲線」，它反應出目前市場長短期債券的利率結構。一般而言，基於時間價值，長天期的利率會高於短天期的利率，故殖利率曲線為一條正斜率的曲線。
問: 請問殖利率曲線可以代表什麼意義呢?
答: 從金融市場的殖利率曲線變化大致亦可窺知景氣變化的一二，通常殖利率曲線變化反映了市場對未來景氣的預期，一般而言債券殖利率曲線如果開始陡峭，可能是長債殖利率上升、而短債殖利率仍在下降或上升速度不及長債，這通常意味景氣即將復甦階段，是加碼時機，等到短債殖利率加速上升之後，債券殖利率曲線陡峭情況開始放緩，甚至開始平坦化，代表景氣進入過熱階段，此時可以考慮減碼或停利了；如果長債殖利率下降速度超過短債，或是短債殖利率上升速度超過長債，殖利率曲線就變成負斜率，這種情況只有在預期景氣蕭條或衰退時出現，是減碼股票的訊號。
</t>
    <phoneticPr fontId="21" type="noConversion"/>
  </si>
  <si>
    <t>ADBZ CH Equity</t>
  </si>
  <si>
    <t>卡特彼勒有限公司是道瓊斯工業平均指數的五十家公司之一， 是重型工業設備製造公司，主要產品包括農業、建築及採礦等工程機械和柴油發動機、天然氣發動機及燃氣渦輪發動機。總部位於美國伊利諾州皮奧里亞，擁有超過三十億美元的資產。</t>
    <phoneticPr fontId="21" type="noConversion"/>
  </si>
  <si>
    <t>ORIX株式會社</t>
    <phoneticPr fontId="21" type="noConversion"/>
  </si>
  <si>
    <r>
      <t>N</t>
    </r>
    <r>
      <rPr>
        <sz val="12"/>
        <color indexed="8"/>
        <rFont val="新細明體"/>
        <family val="1"/>
        <charset val="136"/>
      </rPr>
      <t>TT是日本最大的電信公司，旗下包含了七大重要日本電信公司，如NTT Docomo, NTT Data Corp，NTT Communication，NTT 東日本，以及NTT 西日本等公司所組成。</t>
    </r>
    <phoneticPr fontId="21" type="noConversion"/>
  </si>
  <si>
    <t xml:space="preserve">大新集團為香港一傢具規模的金融服務集團，主要經營銀行及保險業務。大新集團包括兩家上市公司，為分別於1987年及2004年在香港聯合交易所上市的大新金融集團有限公司(大新金融)及大新銀行集團有限公司(大新銀行集團)。大新集團素以積極進取和不斷創新的金融服務著稱。其專業的管理隊伍、與對服務顧客的熱忱承諾，乃集團成功的關鍵。 
</t>
    <phoneticPr fontId="21" type="noConversion"/>
  </si>
  <si>
    <t>中國石油天然氣集團公司勘探和生產原油和天然氣，成立於1998年，為中國央企之一。公司產品包括石油勘探儀器、石油鑽採 設備、石油輸送管、汽油、煤油及柴油 。</t>
    <phoneticPr fontId="21" type="noConversion"/>
  </si>
  <si>
    <t>希臘CDS</t>
    <phoneticPr fontId="21" type="noConversion"/>
  </si>
  <si>
    <t>中國東方航空</t>
  </si>
  <si>
    <t>CEAIRL</t>
    <phoneticPr fontId="21" type="noConversion"/>
  </si>
  <si>
    <t>杭州中策橡膠有限公司</t>
  </si>
  <si>
    <t>普洛斯是亞洲最大的工業和現代物流設施提供商與服務商，於2010年在新加坡證券交易所掛牌上市（股票代碼：MC0）。 普洛斯在中國及日本的26個城市擁有並管理123個綜合性園區的308個物業，形成了一個覆蓋主要物流樞紐、工業園區和城市配送中心等戰略接點的高效物流網路。通過標準設施開發、定製開發、收購與回租等靈活的解決方案，普洛斯致力於為全球最具活力的製造商、零售商和第三方物流公司不斷提高供應鏈效率，達成戰略拓展目標。</t>
    <phoneticPr fontId="21" type="noConversion"/>
  </si>
  <si>
    <t>大成生化科技集團有限公司</t>
    <phoneticPr fontId="21" type="noConversion"/>
  </si>
  <si>
    <t>生化科技業</t>
    <phoneticPr fontId="21" type="noConversion"/>
  </si>
  <si>
    <t>ASIA</t>
    <phoneticPr fontId="21" type="noConversion"/>
  </si>
  <si>
    <t>81074Z PM Equity</t>
    <phoneticPr fontId="21" type="noConversion"/>
  </si>
  <si>
    <t>泰國盤谷銀行為東南亞最大之國際性商業銀行，創立於1945年，總行設在泰國曼谷，除了在泰國境內有650家分行外，在海外各重要城市亦設有分行。</t>
    <phoneticPr fontId="21" type="noConversion"/>
  </si>
  <si>
    <t>3344650Z QD EQUITY</t>
    <phoneticPr fontId="21" type="noConversion"/>
  </si>
  <si>
    <t>不動產業</t>
    <phoneticPr fontId="21" type="noConversion"/>
  </si>
  <si>
    <t>Fitch</t>
    <phoneticPr fontId="21" type="noConversion"/>
  </si>
  <si>
    <t xml:space="preserve">問: 請問殖利率曲線策略常見有哪幾種策略?
答: 所謂殖利率曲線策略，是指利用債券殖利率曲線形狀可能產生變化的預期，規劃一特定投資組合，以期為該投資組合帶來最大報酬率。通常來說有啞鈴策略，彈型策略，階梯策略幾種。
啞鈴策略(Barbell Strategy): 指同時持有長天期以及短天期的債券，因為部位同時建立在極長與極短部位，而中等長度之天期並沒有建立部位，形狀便像個啞鈴而得名。
彈型策略(Bullet Strategy): 是指將部位集中在特定天期的方式，通常會集中在中等天期的債券。
階梯策略(Ladder Strategy): 是指將部位平均分散到不同天期。
問: 採取策略要考量哪些變數呢?
答: 除了對於未來殖利率曲線變化外，最重要的便是投資組合的年期(Duration)以及凸性(Convexity)，當Duration越高的時候，代表投資組合價格波動受到殖利率變化影響較大，若兩個投資組合有相同的價格存續期間，則收益改變時，組合的凸性較大者，績效也較高；因價格凸性愈大，投資組合凸性所產生的價格變化也愈大，所以在考量採取的策略時，除了針對殖利率結構變化進行預測外，亦要對Duration以及Convexity 進行分析。
</t>
  </si>
  <si>
    <t>渣打銀行</t>
    <phoneticPr fontId="21" type="noConversion"/>
  </si>
  <si>
    <t>韓國進出口銀行</t>
    <phoneticPr fontId="21" type="noConversion"/>
  </si>
  <si>
    <t>EIBZ KS EQUITY</t>
    <phoneticPr fontId="21" type="noConversion"/>
  </si>
  <si>
    <t>KOROIL</t>
    <phoneticPr fontId="21" type="noConversion"/>
  </si>
  <si>
    <t>韓國石油公司</t>
    <phoneticPr fontId="21" type="noConversion"/>
  </si>
  <si>
    <t>石化業</t>
    <phoneticPr fontId="21" type="noConversion"/>
  </si>
  <si>
    <r>
      <t>義大利聯合信貸銀行是一家總部設在米蘭歐洲銀行，歐洲最大的銀行集團之一，有著超過</t>
    </r>
    <r>
      <rPr>
        <sz val="12"/>
        <color indexed="8"/>
        <rFont val="Times New Roman"/>
        <family val="1"/>
      </rPr>
      <t>2800</t>
    </r>
    <r>
      <rPr>
        <sz val="12"/>
        <color indexed="8"/>
        <rFont val="新細明體"/>
        <family val="1"/>
        <charset val="136"/>
      </rPr>
      <t>萬用戶，業務遍及</t>
    </r>
    <r>
      <rPr>
        <sz val="12"/>
        <color indexed="8"/>
        <rFont val="Times New Roman"/>
        <family val="1"/>
      </rPr>
      <t>19</t>
    </r>
    <r>
      <rPr>
        <sz val="12"/>
        <color indexed="8"/>
        <rFont val="新細明體"/>
        <family val="1"/>
        <charset val="136"/>
      </rPr>
      <t>個國家。義大利聯合信貸銀行的核心業務在歐盟最富有的區域之一的義大利，奧地利和德國南部。這家銀行也在中歐和東歐有著大量的業務。按照資產總額算，擁有</t>
    </r>
    <r>
      <rPr>
        <sz val="12"/>
        <color indexed="8"/>
        <rFont val="Times New Roman"/>
        <family val="1"/>
      </rPr>
      <t>910</t>
    </r>
    <r>
      <rPr>
        <sz val="12"/>
        <color indexed="8"/>
        <rFont val="新細明體"/>
        <family val="1"/>
        <charset val="136"/>
      </rPr>
      <t>億歐元資產的義大利聯合信貸銀行已經成為了歐元區第一大，歐洲第三大和世界第六大的銀行集團。聯合信貸集團在法蘭克福和慕尼黑有著大量的投資銀行業務。</t>
    </r>
    <phoneticPr fontId="21" type="noConversion"/>
  </si>
  <si>
    <t>NACF</t>
    <phoneticPr fontId="21" type="noConversion"/>
  </si>
  <si>
    <t>1322Z KS Equity</t>
    <phoneticPr fontId="21" type="noConversion"/>
  </si>
  <si>
    <t>1322z KS Equity</t>
    <phoneticPr fontId="21" type="noConversion"/>
  </si>
  <si>
    <t>韓國國家農業合作社</t>
    <phoneticPr fontId="21" type="noConversion"/>
  </si>
  <si>
    <t>600115 CH Equity</t>
    <phoneticPr fontId="21" type="noConversion"/>
  </si>
  <si>
    <r>
      <t>釜山銀行成立於1</t>
    </r>
    <r>
      <rPr>
        <sz val="12"/>
        <color indexed="8"/>
        <rFont val="新細明體"/>
        <family val="1"/>
        <charset val="136"/>
      </rPr>
      <t>967年，是主要在韓國南部最大的地區性銀行，服務地區集中在釜山地區，主要是提恭零售銀行服務，包含個人存放款，商業貸款，信用卡，匯款以及外匯等服務。</t>
    </r>
    <phoneticPr fontId="21" type="noConversion"/>
  </si>
  <si>
    <t>WHARF</t>
    <phoneticPr fontId="21" type="noConversion"/>
  </si>
  <si>
    <t>九龍倉</t>
    <phoneticPr fontId="21" type="noConversion"/>
  </si>
  <si>
    <t>綜合業務</t>
    <phoneticPr fontId="21" type="noConversion"/>
  </si>
  <si>
    <t>Content</t>
    <phoneticPr fontId="21" type="noConversion"/>
  </si>
  <si>
    <t>UBS</t>
    <phoneticPr fontId="21" type="noConversion"/>
  </si>
  <si>
    <t>Survey</t>
  </si>
  <si>
    <t>Actual</t>
  </si>
  <si>
    <t>Prior</t>
  </si>
  <si>
    <t>Revised</t>
  </si>
  <si>
    <t xml:space="preserve">利豐業務早於1906年在廣州創立。現已發展成為一家跨國商貿集團，經營出口貿易、經銷批發和零售三大業務，分別通過利豐有限公司經營出口業務，利和經銷經營經銷批發，而利亞零售，利邦控股有限公司及其他私人全資擁有業務則經營零售業務。利豐集團旗下共有逾35,000名僱員遍佈全球40個經濟體系，2008年集團總營業額共167億美元。
</t>
    <phoneticPr fontId="21" type="noConversion"/>
  </si>
  <si>
    <t>又譯通用電氣，由愛迪生所創立，世界上最大的提供技術和服務業務的跨國公司。據2007年統計，GE的銷售收入是1727.38億美元，是世界上擁有市場資產第二多的公司，並且在過去4年銷售收入一直位於世界第一或第二</t>
    <phoneticPr fontId="21" type="noConversion"/>
  </si>
  <si>
    <t>韓國外換銀行</t>
    <phoneticPr fontId="21" type="noConversion"/>
  </si>
  <si>
    <r>
      <t>東京世紀租賃設立於1969年，總部位於日本東京。主要營業項目包括各項設備出租、分期付款銷售及其他金融業務，在全日本有194個據點以及5家分公司，該公司於</t>
    </r>
    <r>
      <rPr>
        <sz val="12"/>
        <color indexed="8"/>
        <rFont val="新細明體"/>
        <family val="1"/>
        <charset val="136"/>
      </rPr>
      <t>2011年</t>
    </r>
    <r>
      <rPr>
        <sz val="12"/>
        <color indexed="8"/>
        <rFont val="新細明體"/>
        <family val="1"/>
        <charset val="136"/>
      </rPr>
      <t>發行總額為</t>
    </r>
    <r>
      <rPr>
        <sz val="12"/>
        <color indexed="8"/>
        <rFont val="新細明體"/>
        <family val="1"/>
        <charset val="136"/>
      </rPr>
      <t>2</t>
    </r>
    <r>
      <rPr>
        <sz val="12"/>
        <color indexed="8"/>
        <rFont val="新細明體"/>
        <family val="1"/>
        <charset val="136"/>
      </rPr>
      <t>億元，票面利率</t>
    </r>
    <r>
      <rPr>
        <sz val="12"/>
        <color indexed="8"/>
        <rFont val="新細明體"/>
        <family val="1"/>
        <charset val="136"/>
      </rPr>
      <t>2.7%</t>
    </r>
    <r>
      <rPr>
        <sz val="12"/>
        <color indexed="8"/>
        <rFont val="新細明體"/>
        <family val="1"/>
        <charset val="136"/>
      </rPr>
      <t>的</t>
    </r>
    <r>
      <rPr>
        <sz val="12"/>
        <color indexed="8"/>
        <rFont val="新細明體"/>
        <family val="1"/>
        <charset val="136"/>
      </rPr>
      <t xml:space="preserve">3 </t>
    </r>
    <r>
      <rPr>
        <sz val="12"/>
        <color indexed="8"/>
        <rFont val="新細明體"/>
        <family val="1"/>
        <charset val="136"/>
      </rPr>
      <t>年期點心債，僅管東京世紀租賃過去本業獲利能力良好，但在日本地震以及福島核災之後，投資人對於日本公司還是多少抱著疑慮。</t>
    </r>
    <phoneticPr fontId="21" type="noConversion"/>
  </si>
  <si>
    <t>這是由韓國政府所發行，以高速公路營收為基礎之機構債</t>
    <phoneticPr fontId="21" type="noConversion"/>
  </si>
  <si>
    <t>何謂CDS</t>
    <phoneticPr fontId="21" type="noConversion"/>
  </si>
  <si>
    <t>中國中化集團公司</t>
    <phoneticPr fontId="21" type="noConversion"/>
  </si>
  <si>
    <t>SINOCH</t>
    <phoneticPr fontId="21" type="noConversion"/>
  </si>
  <si>
    <t>BAC EQUITY</t>
    <phoneticPr fontId="21" type="noConversion"/>
  </si>
  <si>
    <t>C EQUITY</t>
    <phoneticPr fontId="21" type="noConversion"/>
  </si>
  <si>
    <t>3 HK Equity</t>
    <phoneticPr fontId="21" type="noConversion"/>
  </si>
  <si>
    <t>東方匯理</t>
  </si>
  <si>
    <t>製造業</t>
    <phoneticPr fontId="21" type="noConversion"/>
  </si>
  <si>
    <t>成立於1990年，前身為前蘇聯時期之外貿銀行，由於歷史的緣故，VTB是俄羅斯少數能於海外市場擁有分支機構之業者，於奧地利、瑞士、盧森堡以及塞浦路斯等地均設有子銀行，近年並透過併購以擴張版圖。目前在俄羅斯政府積極推動金融改革情況下，VTB已取得CBR海外子銀行-德國Ost-West Handdelsbank之30%股權。VTB的營運係以貿易融資業務為主軸，亦經營一般商銀業務，在該國政府債券、外匯以及拆放市場上居舉足輕重地位。隨近年俄羅斯金融環境日漸改善，強勁需求帶動下，該行已加強對一般個人戶與公司戶之開發。</t>
    <phoneticPr fontId="21" type="noConversion"/>
  </si>
  <si>
    <t>按資產及客戶存款計算，中國銀行(香港)是香港主要上市商業銀行集團之一。中銀香港及其附屬機構通過設在香港的270多家分行、470多部自動櫃員機和其他服務及銷售渠道，向零售客戶和企業客戶提供全面的金融產品與服務。中銀香港是香港三家發鈔銀行之一。</t>
    <phoneticPr fontId="21" type="noConversion"/>
  </si>
  <si>
    <t>CHIWIN</t>
    <phoneticPr fontId="21" type="noConversion"/>
  </si>
  <si>
    <t>泰國磐谷銀行</t>
    <phoneticPr fontId="21" type="noConversion"/>
  </si>
  <si>
    <t>053000 KS EQUITY</t>
    <phoneticPr fontId="21" type="noConversion"/>
  </si>
  <si>
    <t>貿易零售業</t>
    <phoneticPr fontId="21" type="noConversion"/>
  </si>
  <si>
    <r>
      <t>中國電力國際發展有限公司 (港交所：2380)，簡稱中國電力國際、中國電力、中電國際，於</t>
    </r>
    <r>
      <rPr>
        <sz val="12"/>
        <color indexed="8"/>
        <rFont val="新細明體"/>
        <family val="1"/>
        <charset val="136"/>
      </rPr>
      <t>1994</t>
    </r>
    <r>
      <rPr>
        <sz val="12"/>
        <color indexed="8"/>
        <rFont val="新細明體"/>
        <family val="1"/>
        <charset val="136"/>
      </rPr>
      <t>年成立、在香港註冊，是一家在香港交易所上市的公共事業公司。主要業務是在中國開發、建設、擁有、管理及經營大型發電廠。是中華人民共和國五家發電集團中、唯一一家紅籌股上市公司，母公司為中國五大發展集團之一的中國電力投資集團公司。它同時與香港慧峰集團和中國南方電網合作成立中港電力投資有限公司（中國電力佔40%權益），計劃在香港生產及輸送電力。</t>
    </r>
    <phoneticPr fontId="21" type="noConversion"/>
  </si>
  <si>
    <t>華潤電力控股有限公司</t>
    <phoneticPr fontId="21" type="noConversion"/>
  </si>
  <si>
    <t>航空業</t>
    <phoneticPr fontId="21" type="noConversion"/>
  </si>
  <si>
    <t>ANZ AU EQUITY</t>
    <phoneticPr fontId="21" type="noConversion"/>
  </si>
  <si>
    <t>澳盛銀行</t>
    <phoneticPr fontId="21" type="noConversion"/>
  </si>
  <si>
    <t>星展銀行</t>
    <phoneticPr fontId="21" type="noConversion"/>
  </si>
  <si>
    <t>DBSSP</t>
    <phoneticPr fontId="21" type="noConversion"/>
  </si>
  <si>
    <t>Rating Entity</t>
    <phoneticPr fontId="21" type="noConversion"/>
  </si>
  <si>
    <t>1471Z SP EQUITY</t>
    <phoneticPr fontId="21" type="noConversion"/>
  </si>
  <si>
    <t>DBS SP EQUITY</t>
    <phoneticPr fontId="21" type="noConversion"/>
  </si>
  <si>
    <t>CINDBK</t>
    <phoneticPr fontId="21" type="noConversion"/>
  </si>
  <si>
    <r>
      <t>遠東宏信有限公司是一家金融服務公司，成立於1991年，主要提供企業客戶租賃服務。2011年在香港證交所掛牌，代碼：3360.HK，簡稱：遠東宏信。公司總部設在香港，在上海設業務運營中心，並在北京、瀋陽、濟南、鄭州、武漢、成都、重慶、長沙、深圳等多個中心城市設立辦事機構。</t>
    </r>
    <r>
      <rPr>
        <sz val="12"/>
        <color indexed="8"/>
        <rFont val="新細明體"/>
        <family val="1"/>
        <charset val="136"/>
      </rPr>
      <t>2009年租賃業務佔營收比重約90%，貿易及經紀服務佔約9.8%。</t>
    </r>
    <phoneticPr fontId="21" type="noConversion"/>
  </si>
  <si>
    <t>合和公路基建有限公司（港交所：0737，OTCBB：HHILY；英語：Hopewell Highway Infrastructure Limited）是一家在香港交易所上市的工業公司。主要業務是於中國倡議、推動、發展及經營策略性重點高速公路、隧道、橋樑及相關基建項目。公司在開曼群島註冊。</t>
    <phoneticPr fontId="21" type="noConversion"/>
  </si>
  <si>
    <t>合和公路基建有限公司</t>
  </si>
  <si>
    <t>F equity</t>
    <phoneticPr fontId="21" type="noConversion"/>
  </si>
  <si>
    <t>F Equity</t>
    <phoneticPr fontId="21" type="noConversion"/>
  </si>
  <si>
    <t>GS</t>
    <phoneticPr fontId="21" type="noConversion"/>
  </si>
  <si>
    <t>GS Equity</t>
    <phoneticPr fontId="21" type="noConversion"/>
  </si>
  <si>
    <t>高盛集團</t>
    <phoneticPr fontId="21" type="noConversion"/>
  </si>
  <si>
    <t>YLD_2D</t>
    <phoneticPr fontId="21" type="noConversion"/>
  </si>
  <si>
    <t>BP LN EQUITY</t>
    <phoneticPr fontId="21" type="noConversion"/>
  </si>
  <si>
    <t>英國石油</t>
    <phoneticPr fontId="21" type="noConversion"/>
  </si>
  <si>
    <t>HIGHWY</t>
    <phoneticPr fontId="21" type="noConversion"/>
  </si>
  <si>
    <t>韓國高速公路</t>
    <phoneticPr fontId="21" type="noConversion"/>
  </si>
  <si>
    <t>自1994年起，新焦點汽車技術控股有限公司(NFA)致力於全球汽車後市場相關業務領域的拓展，一方面在製造業領域專注於汽車電子、電源相關零配件的製造與分銷；另一方面在服務業領域透過在大中華地區汽車後市場鋪設的連鎖網絡提供相關服務與商品的銷售。集團於2005年2月28日在香港成功上市之後，憑藉資本優勢，引入現代企業管理制度，進一步優化產品結構，擴張服務網絡，在鞏固大中華區汽車連鎖服務市場領導地位的同時為股東貢獻豐厚的利潤。</t>
    <phoneticPr fontId="21" type="noConversion"/>
  </si>
  <si>
    <t>360 HK Equity</t>
    <phoneticPr fontId="21" type="noConversion"/>
  </si>
  <si>
    <t>新焦點汽車</t>
  </si>
  <si>
    <t>汽車原件</t>
    <phoneticPr fontId="21" type="noConversion"/>
  </si>
  <si>
    <t>食品零售</t>
    <phoneticPr fontId="21" type="noConversion"/>
  </si>
  <si>
    <t>浦項鋼鐵</t>
    <phoneticPr fontId="21" type="noConversion"/>
  </si>
  <si>
    <t>BBLTB</t>
    <phoneticPr fontId="21" type="noConversion"/>
  </si>
  <si>
    <t>總部位於俄羅斯聯邦首都莫斯，俄羅斯聯邦中央銀行持有60.25%的股份。俄羅斯聯邦儲蓄銀行擁有2,500萬私人客戶、130萬商業客戶以及大約19,000（2005年）間分支機構，在俄羅斯私人和商業金融領域均處於領先地位，為東歐地區最大的商業銀行。</t>
    <phoneticPr fontId="21" type="noConversion"/>
  </si>
  <si>
    <t>微軟</t>
    <phoneticPr fontId="21" type="noConversion"/>
  </si>
  <si>
    <t>MSFT</t>
    <phoneticPr fontId="21" type="noConversion"/>
  </si>
  <si>
    <t>OCBC SP Equity</t>
  </si>
  <si>
    <t>俗稱「大摩」，是一家成立於美國紐約的國際金融服務公司，提供包括證券、資產管理、企業合併重組和信用卡等多種金融服務，原是JP摩根中的投資部門，1933年美國經歷了大蕭條，國會通過格拉斯-斯蒂格爾法案，禁止公司同時提供商業銀行與投資銀行服務，摩根士丹利於是作為一家投資銀行在1935年9月5日在紐約成立，目前在全球27個國家的600多個城市設有代表處，雇員總數達5萬多人。</t>
    <phoneticPr fontId="21" type="noConversion"/>
  </si>
  <si>
    <t>Intro</t>
    <phoneticPr fontId="21" type="noConversion"/>
  </si>
  <si>
    <t>RSHB</t>
    <phoneticPr fontId="21" type="noConversion"/>
  </si>
  <si>
    <t>RSHB RU Equity</t>
    <phoneticPr fontId="21" type="noConversion"/>
  </si>
  <si>
    <t>俄羅斯農業銀行</t>
    <phoneticPr fontId="21" type="noConversion"/>
  </si>
  <si>
    <t>電子元件-半導</t>
  </si>
  <si>
    <t>NEWFOC</t>
  </si>
  <si>
    <t>2880 HK Equity</t>
    <phoneticPr fontId="21" type="noConversion"/>
  </si>
  <si>
    <t>2880 HK Equity</t>
    <phoneticPr fontId="21" type="noConversion"/>
  </si>
  <si>
    <r>
      <t>起亞成立於1944年，是韓國歷史最悠久的汽車公司，原本是由製造鋼管和自行車起家。1952年，起亞開始生產摩托車、卡車和房車，並於</t>
    </r>
    <r>
      <rPr>
        <sz val="12"/>
        <color indexed="8"/>
        <rFont val="新細明體"/>
        <family val="1"/>
        <charset val="136"/>
      </rPr>
      <t>1980年代成為首家生產韓國國產車的公司，在1997年時，由於亞洲金融風暴關係導致破產，因此與現代汽車合併，成為現代起亞汽車集團，並積極在北美開拓業務，於2011年5月在北美市場超過本田與豐田汽車成為成長最快的汽車製造商。</t>
    </r>
    <phoneticPr fontId="21" type="noConversion"/>
  </si>
  <si>
    <t>亞洲開發銀行</t>
    <phoneticPr fontId="21" type="noConversion"/>
  </si>
  <si>
    <t>中國重汽(香港)有限公司</t>
    <phoneticPr fontId="21" type="noConversion"/>
  </si>
  <si>
    <t>RTG_MOODY_LONG_TERM</t>
    <phoneticPr fontId="21" type="noConversion"/>
  </si>
  <si>
    <t>Security_NAME</t>
    <phoneticPr fontId="21" type="noConversion"/>
  </si>
  <si>
    <t>公債殖利率</t>
    <phoneticPr fontId="21" type="noConversion"/>
  </si>
  <si>
    <t>公債Comment</t>
    <phoneticPr fontId="21" type="noConversion"/>
  </si>
  <si>
    <t>是否使用(Y/N)</t>
    <phoneticPr fontId="21" type="noConversion"/>
  </si>
  <si>
    <t>Y</t>
    <phoneticPr fontId="21" type="noConversion"/>
  </si>
  <si>
    <t>最新殖利率</t>
    <phoneticPr fontId="21" type="noConversion"/>
  </si>
  <si>
    <t>ISIN</t>
    <phoneticPr fontId="21" type="noConversion"/>
  </si>
  <si>
    <t>Descript</t>
    <phoneticPr fontId="21" type="noConversion"/>
  </si>
  <si>
    <t>中國外運長航集團為中國國有企業之一，由國務院國資委直接管理。該公司除了在中國提供物流服務，並於世界各地提供綜合物流、航運、造船業和用品等服務。</t>
    <phoneticPr fontId="21" type="noConversion"/>
  </si>
  <si>
    <t>SINOTR</t>
  </si>
  <si>
    <t>中國進出口銀行成立於1994年，直屬於國務院領導、政府全資擁有的國家出口信用機構，是中國的三家政策性銀行之一。目前在中國國內設有三家營業性分支機構與9個代表處，在境外則設有兩個代表處。</t>
    <phoneticPr fontId="21" type="noConversion"/>
  </si>
  <si>
    <t>三菱日聯租賃有限公司</t>
    <phoneticPr fontId="21" type="noConversion"/>
  </si>
  <si>
    <t>Reference Dict</t>
    <phoneticPr fontId="21" type="noConversion"/>
  </si>
  <si>
    <t>MIZC JP Equity</t>
  </si>
  <si>
    <t>SINZ CH Equity</t>
  </si>
  <si>
    <t>600115 CH Equity</t>
    <phoneticPr fontId="21" type="noConversion"/>
  </si>
  <si>
    <r>
      <t>問：美國政府公債有哪幾種</t>
    </r>
    <r>
      <rPr>
        <sz val="12"/>
        <color indexed="8"/>
        <rFont val="Times New Roman"/>
        <family val="1"/>
      </rPr>
      <t xml:space="preserve">?
</t>
    </r>
    <r>
      <rPr>
        <sz val="12"/>
        <color indexed="8"/>
        <rFont val="新細明體"/>
        <family val="1"/>
        <charset val="136"/>
      </rPr>
      <t>答</t>
    </r>
    <r>
      <rPr>
        <sz val="12"/>
        <color indexed="8"/>
        <rFont val="Times New Roman"/>
        <family val="1"/>
      </rPr>
      <t>:</t>
    </r>
    <r>
      <rPr>
        <sz val="12"/>
        <color indexed="8"/>
        <rFont val="新細明體"/>
        <family val="1"/>
        <charset val="136"/>
      </rPr>
      <t>光美國政府公債就有三種。主要是以到期日長短來區分。國庫劵存續期為</t>
    </r>
    <r>
      <rPr>
        <sz val="12"/>
        <color indexed="8"/>
        <rFont val="Times New Roman"/>
        <family val="1"/>
      </rPr>
      <t>90</t>
    </r>
    <r>
      <rPr>
        <sz val="12"/>
        <color indexed="8"/>
        <rFont val="新細明體"/>
        <family val="1"/>
        <charset val="136"/>
      </rPr>
      <t>天至</t>
    </r>
    <r>
      <rPr>
        <sz val="12"/>
        <color indexed="8"/>
        <rFont val="Times New Roman"/>
        <family val="1"/>
      </rPr>
      <t>1</t>
    </r>
    <r>
      <rPr>
        <sz val="12"/>
        <color indexed="8"/>
        <rFont val="新細明體"/>
        <family val="1"/>
        <charset val="136"/>
      </rPr>
      <t>年。中期公債為</t>
    </r>
    <r>
      <rPr>
        <sz val="12"/>
        <color indexed="8"/>
        <rFont val="Times New Roman"/>
        <family val="1"/>
      </rPr>
      <t>1</t>
    </r>
    <r>
      <rPr>
        <sz val="12"/>
        <color indexed="8"/>
        <rFont val="新細明體"/>
        <family val="1"/>
        <charset val="136"/>
      </rPr>
      <t>年至</t>
    </r>
    <r>
      <rPr>
        <sz val="12"/>
        <color indexed="8"/>
        <rFont val="Times New Roman"/>
        <family val="1"/>
      </rPr>
      <t>10</t>
    </r>
    <r>
      <rPr>
        <sz val="12"/>
        <color indexed="8"/>
        <rFont val="新細明體"/>
        <family val="1"/>
        <charset val="136"/>
      </rPr>
      <t>年。而長期公債則長達</t>
    </r>
    <r>
      <rPr>
        <sz val="12"/>
        <color indexed="8"/>
        <rFont val="Times New Roman"/>
        <family val="1"/>
      </rPr>
      <t>10</t>
    </r>
    <r>
      <rPr>
        <sz val="12"/>
        <color indexed="8"/>
        <rFont val="新細明體"/>
        <family val="1"/>
        <charset val="136"/>
      </rPr>
      <t>年以上。美國公債還是目前最安全的債務工具。</t>
    </r>
    <phoneticPr fontId="21" type="noConversion"/>
  </si>
  <si>
    <r>
      <t>高收益債</t>
    </r>
    <r>
      <rPr>
        <sz val="12"/>
        <color indexed="8"/>
        <rFont val="Times New Roman"/>
        <family val="1"/>
      </rPr>
      <t>/</t>
    </r>
    <r>
      <rPr>
        <sz val="12"/>
        <color indexed="8"/>
        <rFont val="新細明體"/>
        <family val="1"/>
        <charset val="136"/>
      </rPr>
      <t>垃圾債</t>
    </r>
    <phoneticPr fontId="21" type="noConversion"/>
  </si>
  <si>
    <t>Eurobond</t>
    <phoneticPr fontId="21" type="noConversion"/>
  </si>
  <si>
    <t>C</t>
    <phoneticPr fontId="21" type="noConversion"/>
  </si>
  <si>
    <t>KOHNPW</t>
    <phoneticPr fontId="21" type="noConversion"/>
  </si>
  <si>
    <t>INDKOR</t>
    <phoneticPr fontId="21" type="noConversion"/>
  </si>
  <si>
    <t>韓國工業銀行</t>
    <phoneticPr fontId="21" type="noConversion"/>
  </si>
  <si>
    <t>BEIENT</t>
    <phoneticPr fontId="21" type="noConversion"/>
  </si>
  <si>
    <t>CS</t>
    <phoneticPr fontId="21" type="noConversion"/>
  </si>
  <si>
    <t>000069 CH Equity</t>
    <phoneticPr fontId="21" type="noConversion"/>
  </si>
  <si>
    <t>3360 HK Equity</t>
    <phoneticPr fontId="21" type="noConversion"/>
  </si>
  <si>
    <t>27 HK Equity</t>
    <phoneticPr fontId="21" type="noConversion"/>
  </si>
  <si>
    <t>903 HK Equity</t>
    <phoneticPr fontId="21" type="noConversion"/>
  </si>
  <si>
    <t>América Móvil S.A.B. de C.V全球總部設於墨西哥，其墨西哥子公司Telcel在當地擁有超過70%的市佔率。以用戶數量來說，本公司是全球第四大電信公司。</t>
    <phoneticPr fontId="21" type="noConversion"/>
  </si>
  <si>
    <r>
      <t>問</t>
    </r>
    <r>
      <rPr>
        <sz val="12"/>
        <color indexed="8"/>
        <rFont val="Times New Roman"/>
        <family val="1"/>
      </rPr>
      <t xml:space="preserve">: </t>
    </r>
    <r>
      <rPr>
        <sz val="12"/>
        <color indexed="8"/>
        <rFont val="新細明體"/>
        <family val="1"/>
        <charset val="136"/>
      </rPr>
      <t>何謂美國舉債上限</t>
    </r>
    <r>
      <rPr>
        <sz val="12"/>
        <color indexed="8"/>
        <rFont val="Times New Roman"/>
        <family val="1"/>
      </rPr>
      <t xml:space="preserve">?
</t>
    </r>
    <r>
      <rPr>
        <sz val="12"/>
        <color indexed="8"/>
        <rFont val="新細明體"/>
        <family val="1"/>
        <charset val="136"/>
      </rPr>
      <t>答</t>
    </r>
    <r>
      <rPr>
        <sz val="12"/>
        <color indexed="8"/>
        <rFont val="Times New Roman"/>
        <family val="1"/>
      </rPr>
      <t>:</t>
    </r>
    <r>
      <rPr>
        <sz val="12"/>
        <color indexed="8"/>
        <rFont val="新細明體"/>
        <family val="1"/>
        <charset val="136"/>
      </rPr>
      <t>目前美國舉債上限為</t>
    </r>
    <r>
      <rPr>
        <sz val="12"/>
        <color indexed="8"/>
        <rFont val="Times New Roman"/>
        <family val="1"/>
      </rPr>
      <t>14.29</t>
    </r>
    <r>
      <rPr>
        <sz val="12"/>
        <color indexed="8"/>
        <rFont val="新細明體"/>
        <family val="1"/>
        <charset val="136"/>
      </rPr>
      <t>兆美元。美國政府已在</t>
    </r>
    <r>
      <rPr>
        <sz val="12"/>
        <color indexed="8"/>
        <rFont val="Times New Roman"/>
        <family val="1"/>
      </rPr>
      <t>5</t>
    </r>
    <r>
      <rPr>
        <sz val="12"/>
        <color indexed="8"/>
        <rFont val="新細明體"/>
        <family val="1"/>
        <charset val="136"/>
      </rPr>
      <t>月</t>
    </r>
    <r>
      <rPr>
        <sz val="12"/>
        <color indexed="8"/>
        <rFont val="Times New Roman"/>
        <family val="1"/>
      </rPr>
      <t>16</t>
    </r>
    <r>
      <rPr>
        <sz val="12"/>
        <color indexed="8"/>
        <rFont val="新細明體"/>
        <family val="1"/>
        <charset val="136"/>
      </rPr>
      <t>日達到此上限。
問</t>
    </r>
    <r>
      <rPr>
        <sz val="12"/>
        <color indexed="8"/>
        <rFont val="Times New Roman"/>
        <family val="1"/>
      </rPr>
      <t>:</t>
    </r>
    <r>
      <rPr>
        <sz val="12"/>
        <color indexed="8"/>
        <rFont val="新細明體"/>
        <family val="1"/>
        <charset val="136"/>
      </rPr>
      <t>達到上限後呢</t>
    </r>
    <r>
      <rPr>
        <sz val="12"/>
        <color indexed="8"/>
        <rFont val="Times New Roman"/>
        <family val="1"/>
      </rPr>
      <t xml:space="preserve">?
</t>
    </r>
    <r>
      <rPr>
        <sz val="12"/>
        <color indexed="8"/>
        <rFont val="新細明體"/>
        <family val="1"/>
        <charset val="136"/>
      </rPr>
      <t>答</t>
    </r>
    <r>
      <rPr>
        <sz val="12"/>
        <color indexed="8"/>
        <rFont val="Times New Roman"/>
        <family val="1"/>
      </rPr>
      <t>:</t>
    </r>
    <r>
      <rPr>
        <sz val="12"/>
        <color indexed="8"/>
        <rFont val="新細明體"/>
        <family val="1"/>
        <charset val="136"/>
      </rPr>
      <t>美國政府暫時以暫緩撥資金進入聯邦退休基金來拖延時間。目前的大限被延遲到</t>
    </r>
    <r>
      <rPr>
        <sz val="12"/>
        <color indexed="8"/>
        <rFont val="Times New Roman"/>
        <family val="1"/>
      </rPr>
      <t>8</t>
    </r>
    <r>
      <rPr>
        <sz val="12"/>
        <color indexed="8"/>
        <rFont val="新細明體"/>
        <family val="1"/>
        <charset val="136"/>
      </rPr>
      <t>月</t>
    </r>
    <r>
      <rPr>
        <sz val="12"/>
        <color indexed="8"/>
        <rFont val="Times New Roman"/>
        <family val="1"/>
      </rPr>
      <t>2</t>
    </r>
    <r>
      <rPr>
        <sz val="12"/>
        <color indexed="8"/>
        <rFont val="新細明體"/>
        <family val="1"/>
        <charset val="136"/>
      </rPr>
      <t>日。美國財政部長蓋納表示如果舉債上限到了</t>
    </r>
    <r>
      <rPr>
        <sz val="12"/>
        <color indexed="8"/>
        <rFont val="Times New Roman"/>
        <family val="1"/>
      </rPr>
      <t>8</t>
    </r>
    <r>
      <rPr>
        <sz val="12"/>
        <color indexed="8"/>
        <rFont val="新細明體"/>
        <family val="1"/>
        <charset val="136"/>
      </rPr>
      <t>月</t>
    </r>
    <r>
      <rPr>
        <sz val="12"/>
        <color indexed="8"/>
        <rFont val="Times New Roman"/>
        <family val="1"/>
      </rPr>
      <t>2</t>
    </r>
    <r>
      <rPr>
        <sz val="12"/>
        <color indexed="8"/>
        <rFont val="新細明體"/>
        <family val="1"/>
        <charset val="136"/>
      </rPr>
      <t>日還沒調高，那美國政府將無法履行其還款義務。簡單的來說，就是倒債。
問</t>
    </r>
    <r>
      <rPr>
        <sz val="12"/>
        <color indexed="8"/>
        <rFont val="Times New Roman"/>
        <family val="1"/>
      </rPr>
      <t>:</t>
    </r>
    <r>
      <rPr>
        <sz val="12"/>
        <color indexed="8"/>
        <rFont val="新細明體"/>
        <family val="1"/>
        <charset val="136"/>
      </rPr>
      <t>美國政府倒債那不就完了</t>
    </r>
    <r>
      <rPr>
        <sz val="12"/>
        <color indexed="8"/>
        <rFont val="Times New Roman"/>
        <family val="1"/>
      </rPr>
      <t xml:space="preserve">?
</t>
    </r>
    <r>
      <rPr>
        <sz val="12"/>
        <color indexed="8"/>
        <rFont val="新細明體"/>
        <family val="1"/>
        <charset val="136"/>
      </rPr>
      <t>答</t>
    </r>
    <r>
      <rPr>
        <sz val="12"/>
        <color indexed="8"/>
        <rFont val="Times New Roman"/>
        <family val="1"/>
      </rPr>
      <t>:</t>
    </r>
    <r>
      <rPr>
        <sz val="12"/>
        <color indexed="8"/>
        <rFont val="新細明體"/>
        <family val="1"/>
        <charset val="136"/>
      </rPr>
      <t>現在全世界在計算投資風險時，都是建立在美國政府公債為零風險的前提下。所以如果美國政府無法履行其還款義務，將會對全世界造成無比巨大的影響。就因如此，美國政府倒債的機率微乎其微。美國政府本身也無法承受倒債，因為倒債後其頂級</t>
    </r>
    <r>
      <rPr>
        <sz val="12"/>
        <color indexed="8"/>
        <rFont val="Times New Roman"/>
        <family val="1"/>
      </rPr>
      <t>AAA</t>
    </r>
    <r>
      <rPr>
        <sz val="12"/>
        <color indexed="8"/>
        <rFont val="新細明體"/>
        <family val="1"/>
        <charset val="136"/>
      </rPr>
      <t>信用評等會被大幅調降。大幅調降的後果就是以後發債成本將暴漲，對美國經濟將非常不利。
問</t>
    </r>
    <r>
      <rPr>
        <sz val="12"/>
        <color indexed="8"/>
        <rFont val="Times New Roman"/>
        <family val="1"/>
      </rPr>
      <t>:</t>
    </r>
    <r>
      <rPr>
        <sz val="12"/>
        <color indexed="8"/>
        <rFont val="新細明體"/>
        <family val="1"/>
        <charset val="136"/>
      </rPr>
      <t>那美國是在拖什麼</t>
    </r>
    <r>
      <rPr>
        <sz val="12"/>
        <color indexed="8"/>
        <rFont val="Times New Roman"/>
        <family val="1"/>
      </rPr>
      <t>?</t>
    </r>
    <r>
      <rPr>
        <sz val="12"/>
        <color indexed="8"/>
        <rFont val="新細明體"/>
        <family val="1"/>
        <charset val="136"/>
      </rPr>
      <t>還不盡快提高上限</t>
    </r>
    <r>
      <rPr>
        <sz val="12"/>
        <color indexed="8"/>
        <rFont val="Times New Roman"/>
        <family val="1"/>
      </rPr>
      <t xml:space="preserve">?
</t>
    </r>
    <r>
      <rPr>
        <sz val="12"/>
        <color indexed="8"/>
        <rFont val="新細明體"/>
        <family val="1"/>
        <charset val="136"/>
      </rPr>
      <t>答</t>
    </r>
    <r>
      <rPr>
        <sz val="12"/>
        <color indexed="8"/>
        <rFont val="Times New Roman"/>
        <family val="1"/>
      </rPr>
      <t>:</t>
    </r>
    <r>
      <rPr>
        <sz val="12"/>
        <color indexed="8"/>
        <rFont val="新細明體"/>
        <family val="1"/>
        <charset val="136"/>
      </rPr>
      <t>共和黨</t>
    </r>
    <r>
      <rPr>
        <sz val="12"/>
        <color indexed="8"/>
        <rFont val="Times New Roman"/>
        <family val="1"/>
      </rPr>
      <t>(</t>
    </r>
    <r>
      <rPr>
        <sz val="12"/>
        <color indexed="8"/>
        <rFont val="新細明體"/>
        <family val="1"/>
        <charset val="136"/>
      </rPr>
      <t>在野黨</t>
    </r>
    <r>
      <rPr>
        <sz val="12"/>
        <color indexed="8"/>
        <rFont val="Times New Roman"/>
        <family val="1"/>
      </rPr>
      <t>)</t>
    </r>
    <r>
      <rPr>
        <sz val="12"/>
        <color indexed="8"/>
        <rFont val="新細明體"/>
        <family val="1"/>
        <charset val="136"/>
      </rPr>
      <t>要求民主黨</t>
    </r>
    <r>
      <rPr>
        <sz val="12"/>
        <color indexed="8"/>
        <rFont val="Times New Roman"/>
        <family val="1"/>
      </rPr>
      <t>(</t>
    </r>
    <r>
      <rPr>
        <sz val="12"/>
        <color indexed="8"/>
        <rFont val="新細明體"/>
        <family val="1"/>
        <charset val="136"/>
      </rPr>
      <t>執政黨</t>
    </r>
    <r>
      <rPr>
        <sz val="12"/>
        <color indexed="8"/>
        <rFont val="Times New Roman"/>
        <family val="1"/>
      </rPr>
      <t>)</t>
    </r>
    <r>
      <rPr>
        <sz val="12"/>
        <color indexed="8"/>
        <rFont val="新細明體"/>
        <family val="1"/>
        <charset val="136"/>
      </rPr>
      <t>削減政府的長期支出，包括醫療健保及社會福利給付。現在政治因素的關係，共和黨在和民主黨討價還價。在期限以前兩黨會應會達成共識後，解決此次舉債上限的問題。沒有一黨能負起美國倒債的責任。</t>
    </r>
    <phoneticPr fontId="21" type="noConversion"/>
  </si>
  <si>
    <t>零息債券</t>
    <phoneticPr fontId="21" type="noConversion"/>
  </si>
  <si>
    <t>USGG5YR INDEX</t>
  </si>
  <si>
    <t>USGG10YR INDEX</t>
  </si>
  <si>
    <t>RABO NA EQUITY</t>
    <phoneticPr fontId="21" type="noConversion"/>
  </si>
  <si>
    <t>荷蘭瑞伯銀行</t>
    <phoneticPr fontId="21" type="noConversion"/>
  </si>
  <si>
    <t>UCG IM EQUITY</t>
    <phoneticPr fontId="21" type="noConversion"/>
  </si>
  <si>
    <t>新鴻基地產於1972年在香港交易所上市的地產公司，為香港最大的地產發展公司之一，主要核心業務為發展物業供銷售及投資，亦經營其他地產相關業務，例如酒店、金融服務、保險、物業管理，以及投資其他的行業如電訊、資訊科技、運輸、基建及物流。</t>
    <phoneticPr fontId="21" type="noConversion"/>
  </si>
  <si>
    <t>FUBON</t>
    <phoneticPr fontId="21" type="noConversion"/>
  </si>
  <si>
    <t>新鴻基有限公司</t>
    <phoneticPr fontId="21" type="noConversion"/>
  </si>
  <si>
    <r>
      <t>中國電力新能源發展有限公司 (港交所：0735)，簡稱中國電力新能源，由東成控股換取上市，於</t>
    </r>
    <r>
      <rPr>
        <sz val="12"/>
        <color indexed="8"/>
        <rFont val="新細明體"/>
        <family val="1"/>
        <charset val="136"/>
      </rPr>
      <t>2006</t>
    </r>
    <r>
      <rPr>
        <sz val="12"/>
        <color indexed="8"/>
        <rFont val="新細明體"/>
        <family val="1"/>
        <charset val="136"/>
      </rPr>
      <t>年成立，是一家在香港交易所上市的公共事業公司。主要業務是在中國發展環保能源項目，包括風力發電、中小型水力發電、生物質及垃圾發電，與及環保相關項目。是中華人民共和國五家發電集團中、唯一一家紅籌股上市公司，母公司為中國五大發展集團之一的中國電力投資集團公司。</t>
    </r>
    <phoneticPr fontId="21" type="noConversion"/>
  </si>
  <si>
    <t>中國風電集團有限公司</t>
    <phoneticPr fontId="21" type="noConversion"/>
  </si>
  <si>
    <t>735 HK Equity</t>
    <phoneticPr fontId="21" type="noConversion"/>
  </si>
  <si>
    <t>軟體業</t>
    <phoneticPr fontId="21" type="noConversion"/>
  </si>
  <si>
    <t>問: 請問常看到信用評等這個字，什麼東西是信用評等呢?
答: 信用評等的目的是顯示受評對象違約風險的大小。
最初產生於20世紀初期的美國。1902年，穆迪公司的創始人約翰·穆迪開始對當時發行的鐵路債券進行評級。後來延伸到各種金融產品及各種評估對象。
問: 那信用評等的ABC分別代表什麼意義呢?
答: 一般來說，信用評等BBB以下的債券，是屬於垃圾債券，是投資人無法參與的，那在BBB以上的債券其分級意義大致如下:
AAA 信譽極好，幾乎無風險 。
AA 信譽優良，基本無風險 。
A 信譽較好，具備支付能力</t>
  </si>
  <si>
    <t>雲頂集團(香港)前身為麗星郵輪，以創造世界級的娛樂及休閒體驗為使命，在世界休閒、娛樂及旅遊和酒店服務業中扮演重要角色，除了位於香港的總部，並於世界各地超過 20 個地方設有辦事處。</t>
    <phoneticPr fontId="21" type="noConversion"/>
  </si>
  <si>
    <t>雲頂香港</t>
    <phoneticPr fontId="21" type="noConversion"/>
  </si>
  <si>
    <t>PCCW</t>
    <phoneticPr fontId="21" type="noConversion"/>
  </si>
  <si>
    <t>大連港股份有限公司為中國主要碼頭營運商之一。在中國大連提供國際、國內貨物裝卸、運輸、中轉、倉儲等港口業務和物流服務。該公司也提供油品及液化工品碼頭及相關物流業務、拖輪、引航、理貨及資訊科技服務。大連港集團擁有國內最大的45萬噸級原油碼頭和國內港口規模最大的油罐群，年通過能力達8000萬噸，是東北地區重要的油品及液體化工品儲轉分撥基地。</t>
    <phoneticPr fontId="21" type="noConversion"/>
  </si>
  <si>
    <t>倉儲及港口運輸服務</t>
    <phoneticPr fontId="21" type="noConversion"/>
  </si>
  <si>
    <t>GOOG</t>
    <phoneticPr fontId="21" type="noConversion"/>
  </si>
  <si>
    <t>CHG_PCT_1D</t>
  </si>
  <si>
    <t>000270 KS Equity</t>
    <phoneticPr fontId="21" type="noConversion"/>
  </si>
  <si>
    <t>NTT</t>
    <phoneticPr fontId="21" type="noConversion"/>
  </si>
  <si>
    <t>9432 JP Equity</t>
    <phoneticPr fontId="21" type="noConversion"/>
  </si>
  <si>
    <t>7915Z US Equity</t>
    <phoneticPr fontId="21" type="noConversion"/>
  </si>
  <si>
    <t>樂天百貨是韓國第一大百貨公司，除了有百貨公司與量販店外，同時亦經營超級市場以及電影院等業務，在全韓國共有22店舖，由樂天集團於1979年創辦。總店位於首爾市中區明洞附近。</t>
    <phoneticPr fontId="21" type="noConversion"/>
  </si>
  <si>
    <t>中國海洋石油總公司是中國國務院國有資產監督管理委員會直屬的特大型國有企業,是中國最大的海上油氣生產商,由一家單純從事油氣開采的上游公司,發展成為主業突出、產業鏈完整的綜合型能源集團,形成了油氣勘探開發、專業技術服務、煉化銷售及化肥、天然氣及發電、金融服務、新能源等六大業務板塊。通過成功實施改革重組、資本運營、海外並購、上下游一體化等重大舉措,企業實現了跨越式發展,綜合競爭實力不斷增強。</t>
  </si>
  <si>
    <t>商業銀行</t>
    <phoneticPr fontId="21" type="noConversion"/>
  </si>
  <si>
    <t>富邦集團</t>
    <phoneticPr fontId="21" type="noConversion"/>
  </si>
  <si>
    <t xml:space="preserve">前身為嘉華銀行，創辦於1922年，於1998年7月30日，嘉華銀行正式更改名稱為中信嘉華銀行，後於2010年5月10日再更名為中信銀行國際。
</t>
    <phoneticPr fontId="21" type="noConversion"/>
  </si>
  <si>
    <t>Chinese Name</t>
    <phoneticPr fontId="21" type="noConversion"/>
  </si>
  <si>
    <r>
      <t>九龍倉集團成立於1</t>
    </r>
    <r>
      <rPr>
        <sz val="12"/>
        <color indexed="8"/>
        <rFont val="新細明體"/>
        <family val="1"/>
        <charset val="136"/>
      </rPr>
      <t>886年，是第一家在香港交易所上市的公司，目前主要業務包括房地產、碼頭、運輸、酒店及通訊等營業項目，香港的重要百貨公司海港城以及時代廣場皆為該公司的重要物業，目前該集團積極往中國發展業務。</t>
    </r>
    <phoneticPr fontId="21" type="noConversion"/>
  </si>
  <si>
    <t>HKLSP</t>
    <phoneticPr fontId="21" type="noConversion"/>
  </si>
  <si>
    <t>香港置地</t>
    <phoneticPr fontId="21" type="noConversion"/>
  </si>
  <si>
    <t>問:  何謂殖利率?
答: 債券殖利率可以是債券的核心，這是代表一個投資人持有這個債券至到期日的收益率。
問: 那殖利率與票面利率有什麼不同?
答: 票面利率是指債券發行者的利率承諾，於發行日會配給債券持有人票面本金乘以票面利率之金額。
問: 我還是不太懂，可以實際舉個例子嗎?
答: 假設我們現在以90元的價格，購買一個票面本金100元，一年期票面利率10%，每半年配息一次的澳洲公司債，那我們在半年後會收到100*5% = 5元之利息，一年後會收到100*5% = 5元 + 票面本金 100元 = 105元，所以我們可以計算這筆交易的收益率，為滿足以下等式的r： 90 = 5/(1+r)^0.5 + 105/(1+r)，可以算出r，也就是這筆債券的到期收益率約為11.4%，因此雖然票面利率有10%，但由於我們是以低於票面100元去購買這債券，因此殖利率是高於票面利率。
問: 這數字看起來很低，請問這是值得的嗎?
答: 愛因斯坦曾說過，複利的威力遠大於原子彈，以每年5%的殖利率來計算，若我們都把所領到的利息再進行相同的投資，約15年後，我們的本金變已經成長一倍，更不用說若是零息債券，以40元的價格購買，到到期日將可以領回一百元，獲利率達2.5倍!!</t>
    <phoneticPr fontId="21" type="noConversion"/>
  </si>
  <si>
    <t>殖利率曲線變化</t>
    <phoneticPr fontId="21" type="noConversion"/>
  </si>
  <si>
    <t>問: 何謂債券附買回交易(RP)?
答: 債券附買回交易(RP)其性質類似短期存款，投資人於約定到期日以約定利率計算利息，將債券賣給公債交易商。
舉例來說，嚴先生於7/13將閒置資金1260萬元承作RP，雙方約定承作天期為14天(到期日為7月27日)，約定利率為0.6%，則到期時其利息收入為: 126,00,000*0.6%*14/365 = 2900元。
問: 承作債券附買回交易有什麼好處呢?
答: 基本上有幾個好處，包括 
1. 利率較活存優惠: RP利率較活存利率優惠，平均高兩個百分點以上。
2. 無稅負，免手續費: 投資人承作債券附買回交易免繳證券交易稅，營業稅，以及所得稅，且其手續費全免，亦即債券附買回交易稅率即為實際報酬率。
3. 流動性佳: 投資人可依自身資金狀況，選擇適合的天期承作，承作期間若臨時有資金需求，亦得辦理中途解約，取回資金。
4. 利率富彈性: RP利率隨著短期資金鬆緊，逐日變動，較一般銀行存款利率更有彈性。</t>
    <phoneticPr fontId="21" type="noConversion"/>
  </si>
  <si>
    <t>韓國外換銀行是在韓國中央銀行領導下的經過韓國政府特許設立的外匯專業銀行。為適應韓國經濟的飛速發展，韓國外換銀行不斷拓展業務範圍，逐步向商業銀行轉變，在1989年轉化為股份制商業銀行，憑藉其良好的服務體系和經營理念，在個人與企業金融領域具有強大的競爭力。截至2008年末，韓國外換銀行在韓國國內共設有分支行352家，在海外22個國家共設有25家分支行以及8個當地法人，已成為韓國排名第一的全球性銀行。</t>
    <phoneticPr fontId="21" type="noConversion"/>
  </si>
  <si>
    <t>RABOBK</t>
    <phoneticPr fontId="21" type="noConversion"/>
  </si>
  <si>
    <t>外匯市場</t>
    <phoneticPr fontId="21" type="noConversion"/>
  </si>
  <si>
    <t>總部位於蘇格蘭愛丁堡。以市場資金計，該行為蘇格蘭最大的銀行，在英國屬於第二大銀行（僅次於英國匯豐銀行），全歐洲第三大銀行，以及全球第五大銀行，亦是蘇格蘭其中一間發鈔銀行。除一般銀行理財服務之外，還設有保險、公司財務等業務。2009年之後，亞洲業務遭澳盛銀行ANZ收購。</t>
    <phoneticPr fontId="21" type="noConversion"/>
  </si>
  <si>
    <t>STANLN</t>
    <phoneticPr fontId="21" type="noConversion"/>
  </si>
  <si>
    <t>2888 HK EQUITY</t>
    <phoneticPr fontId="21" type="noConversion"/>
  </si>
  <si>
    <t>麥當勞是大型的連鎖速食集團，遍布在全世界六大洲百餘個國家大約擁有三萬間分店，也是全球餐飲業最有價值的品牌，在很多國家麥當勞代表著一種美國式的生活方式。</t>
    <phoneticPr fontId="21" type="noConversion"/>
  </si>
  <si>
    <t>SBERRU</t>
    <phoneticPr fontId="21" type="noConversion"/>
  </si>
  <si>
    <t>來寶集團</t>
    <phoneticPr fontId="21" type="noConversion"/>
  </si>
  <si>
    <t>貿易零售業</t>
    <phoneticPr fontId="21" type="noConversion"/>
  </si>
  <si>
    <t>CHMING</t>
    <phoneticPr fontId="21" type="noConversion"/>
  </si>
  <si>
    <t>FCG NZ Equity</t>
    <phoneticPr fontId="21" type="noConversion"/>
  </si>
  <si>
    <t>SOLARG</t>
  </si>
  <si>
    <t>SINOPE</t>
    <phoneticPr fontId="21" type="noConversion"/>
  </si>
  <si>
    <t>中石化</t>
    <phoneticPr fontId="21" type="noConversion"/>
  </si>
  <si>
    <t>津聯集團成立於1979年，是由天津市政府全資出建的國有企業，於香港註冊，為天津市駐港窗口，扮演天津市政府融資和投資平台的角色。目前津聯集團旗下共有三間香港上市公司：天津發展控股有限公司(882 HK)、王朝酒業集團有限公司(828 HK)及天津港發展控股有限公司(3382 HK)。</t>
    <phoneticPr fontId="21" type="noConversion"/>
  </si>
  <si>
    <t xml:space="preserve"> 4041Z HK Equity</t>
    <phoneticPr fontId="21" type="noConversion"/>
  </si>
  <si>
    <t>Sukuk</t>
    <phoneticPr fontId="21" type="noConversion"/>
  </si>
  <si>
    <t>SCBTB</t>
    <phoneticPr fontId="21" type="noConversion"/>
  </si>
  <si>
    <t>暹羅商業銀行</t>
    <phoneticPr fontId="21" type="noConversion"/>
  </si>
  <si>
    <t>金融業</t>
    <phoneticPr fontId="21" type="noConversion"/>
  </si>
  <si>
    <t>龍源電力</t>
  </si>
  <si>
    <t>中國農業發展銀行</t>
  </si>
  <si>
    <t>金融業</t>
    <phoneticPr fontId="21" type="noConversion"/>
  </si>
  <si>
    <t>俄羅斯外在經濟銀行</t>
    <phoneticPr fontId="21" type="noConversion"/>
  </si>
  <si>
    <t>JPM</t>
    <phoneticPr fontId="21" type="noConversion"/>
  </si>
  <si>
    <t>摩根大通</t>
    <phoneticPr fontId="21" type="noConversion"/>
  </si>
  <si>
    <t>金融業</t>
    <phoneticPr fontId="21" type="noConversion"/>
  </si>
  <si>
    <t>BNKEA</t>
    <phoneticPr fontId="21" type="noConversion"/>
  </si>
  <si>
    <t>SINCON</t>
    <phoneticPr fontId="21" type="noConversion"/>
  </si>
  <si>
    <t>招商局集團(簡稱招商局)是國家駐港大型企業集團，總部設於香港，業務主要分佈於香港、內地、東南亞等極具活力和潛力的新興市場，是中央直接管理的國有重要骨幹企業，亦被列為香港四大中資企業之一。2009年底，招商局集團擁有總資產人民幣2,682.76億元，管理總資產人民幣2.2萬多億元。</t>
    <phoneticPr fontId="21" type="noConversion"/>
  </si>
  <si>
    <t>金融服務業</t>
    <phoneticPr fontId="21" type="noConversion"/>
  </si>
  <si>
    <t>造紙業</t>
    <phoneticPr fontId="21" type="noConversion"/>
  </si>
  <si>
    <t>CNHTC</t>
    <phoneticPr fontId="21" type="noConversion"/>
  </si>
  <si>
    <t>DIALEA</t>
    <phoneticPr fontId="21" type="noConversion"/>
  </si>
  <si>
    <t>EXIMCH</t>
    <phoneticPr fontId="21" type="noConversion"/>
  </si>
  <si>
    <t>FRESHK</t>
    <phoneticPr fontId="21" type="noConversion"/>
  </si>
  <si>
    <t>SDBZ CH Equity</t>
  </si>
  <si>
    <t>SUNHKC</t>
    <phoneticPr fontId="21" type="noConversion"/>
  </si>
  <si>
    <t>000488 CH Equity</t>
    <phoneticPr fontId="21" type="noConversion"/>
  </si>
  <si>
    <t>CHKZ HK Equity</t>
    <phoneticPr fontId="21" type="noConversion"/>
  </si>
  <si>
    <t>CNHDTZ CH Equity</t>
    <phoneticPr fontId="21" type="noConversion"/>
  </si>
  <si>
    <t>23 HK EQUITY</t>
    <phoneticPr fontId="21" type="noConversion"/>
  </si>
  <si>
    <t>HUWHY US EQUITY</t>
    <phoneticPr fontId="21" type="noConversion"/>
  </si>
  <si>
    <t>VNECB RU EQUITY</t>
    <phoneticPr fontId="21" type="noConversion"/>
  </si>
  <si>
    <r>
      <t>暹羅商業銀行成立於</t>
    </r>
    <r>
      <rPr>
        <sz val="12"/>
        <color indexed="8"/>
        <rFont val="新細明體"/>
        <family val="1"/>
        <charset val="136"/>
      </rPr>
      <t>1907年，是泰國第一家銀行，也</t>
    </r>
    <r>
      <rPr>
        <sz val="12"/>
        <color indexed="8"/>
        <rFont val="新細明體"/>
        <family val="1"/>
        <charset val="136"/>
      </rPr>
      <t>是泰國最大的銀行之一，他有最大的分行以及A</t>
    </r>
    <r>
      <rPr>
        <sz val="12"/>
        <color indexed="8"/>
        <rFont val="新細明體"/>
        <family val="1"/>
        <charset val="136"/>
      </rPr>
      <t>TM網路以及最高的市值，主要服務提供全方位的金融服務, 包括企業及個人貸款, 零售及批發銀行業務, 外匯業務, 國際貿易融資, 現金管理, 託管服務, 信貸和信用卡服務和投資銀行服務.。</t>
    </r>
    <phoneticPr fontId="21" type="noConversion"/>
  </si>
  <si>
    <r>
      <t>以其市場資本額計算，星展集團屬於新加坡證券交易所最大的上市公司之一。星展集團控股有限公司及其附屬公司是該地區最大的銀行集團之一。星展銀行也是香港領先的銀行之一。星展銀行當時為一家發展融資機構，目前已成為一家提供全面金融服務的大型銀行。隨著星展銀行於</t>
    </r>
    <r>
      <rPr>
        <sz val="12"/>
        <color indexed="8"/>
        <rFont val="Times New Roman"/>
        <family val="1"/>
      </rPr>
      <t>1998</t>
    </r>
    <r>
      <rPr>
        <sz val="12"/>
        <color indexed="8"/>
        <rFont val="新細明體"/>
        <family val="1"/>
        <charset val="136"/>
      </rPr>
      <t>年收購了儲蓄銀行，在本區域客戶數量已超過了</t>
    </r>
    <r>
      <rPr>
        <sz val="12"/>
        <color indexed="8"/>
        <rFont val="Times New Roman"/>
        <family val="1"/>
      </rPr>
      <t>500</t>
    </r>
    <r>
      <rPr>
        <sz val="12"/>
        <color indexed="8"/>
        <rFont val="新細明體"/>
        <family val="1"/>
        <charset val="136"/>
      </rPr>
      <t>萬，從而在市場上佔據絕對優勢。它積極從事包括貿易融資和流動資金融資在內的短期銀行信貸服務。</t>
    </r>
    <phoneticPr fontId="21" type="noConversion"/>
  </si>
  <si>
    <r>
      <t>富邦銀行為台灣第二地上市金控公司，資本額達8</t>
    </r>
    <r>
      <rPr>
        <sz val="12"/>
        <color indexed="8"/>
        <rFont val="新細明體"/>
        <family val="1"/>
        <charset val="136"/>
      </rPr>
      <t>13億元，資產總額為2.65兆元，目前旗下主要子公司有包括台北富邦銀行、富邦產險、富邦人壽、富邦銀行(香港)、富邦證券、富邦投信等</t>
    </r>
    <phoneticPr fontId="21" type="noConversion"/>
  </si>
  <si>
    <t>債券 ETF</t>
    <phoneticPr fontId="21" type="noConversion"/>
  </si>
  <si>
    <t>誰在買債券</t>
    <phoneticPr fontId="21" type="noConversion"/>
  </si>
  <si>
    <t>何謂信用評等?</t>
    <phoneticPr fontId="21" type="noConversion"/>
  </si>
  <si>
    <t>金融業</t>
    <phoneticPr fontId="21" type="noConversion"/>
  </si>
  <si>
    <t>004940 KS EQUITY</t>
    <phoneticPr fontId="21" type="noConversion"/>
  </si>
  <si>
    <r>
      <t>韓國最大電信公司，原為韓國電信通信工程的國營企業，在2</t>
    </r>
    <r>
      <rPr>
        <sz val="12"/>
        <color indexed="8"/>
        <rFont val="新細明體"/>
        <family val="1"/>
        <charset val="136"/>
      </rPr>
      <t>002年完成民營化，主要提供長短途以及國際電話，衛星通訊以及無線通訊服務。</t>
    </r>
    <phoneticPr fontId="21" type="noConversion"/>
  </si>
  <si>
    <t>*注意事項： 每周第一次報告列出本週重要標債計畫</t>
    <phoneticPr fontId="21" type="noConversion"/>
  </si>
  <si>
    <r>
      <t xml:space="preserve">
中國農業銀行股份有限公司成立於1951年，是中華人民共和國國有股份制銀行，簡稱農行，是中國四大國有商業銀行之一，以資產計算是中國第三大的銀行。於</t>
    </r>
    <r>
      <rPr>
        <sz val="12"/>
        <color indexed="8"/>
        <rFont val="新細明體"/>
        <family val="1"/>
        <charset val="136"/>
      </rPr>
      <t>2010年在上海證券交易所掛牌上市，並於同年在香港證券所掛牌上市，是當時世界上最大的IPO 案件之一。</t>
    </r>
    <phoneticPr fontId="21" type="noConversion"/>
  </si>
  <si>
    <r>
      <t>日本瑞穗金融集團是日本第二大的金融機構，</t>
    </r>
    <r>
      <rPr>
        <sz val="11"/>
        <color indexed="8"/>
        <rFont val="Calibri"/>
        <family val="2"/>
      </rPr>
      <t xml:space="preserve"> 2000</t>
    </r>
    <r>
      <rPr>
        <sz val="11"/>
        <color indexed="8"/>
        <rFont val="新細明體"/>
        <family val="1"/>
        <charset val="136"/>
      </rPr>
      <t>年成立時曾一舉成為世界最大的金融集團。根據統計，瑞穗集團總帳戶數高達</t>
    </r>
    <r>
      <rPr>
        <sz val="11"/>
        <color indexed="8"/>
        <rFont val="Calibri"/>
        <family val="2"/>
      </rPr>
      <t>3,000</t>
    </r>
    <r>
      <rPr>
        <sz val="11"/>
        <color indexed="8"/>
        <rFont val="新細明體"/>
        <family val="1"/>
        <charset val="136"/>
      </rPr>
      <t>多萬，及</t>
    </r>
    <r>
      <rPr>
        <sz val="11"/>
        <color indexed="8"/>
        <rFont val="Calibri"/>
        <family val="2"/>
      </rPr>
      <t>17</t>
    </r>
    <r>
      <rPr>
        <sz val="11"/>
        <color indexed="8"/>
        <rFont val="新細明體"/>
        <family val="1"/>
        <charset val="136"/>
      </rPr>
      <t>萬家企業客戶，並和東京證交所</t>
    </r>
    <r>
      <rPr>
        <sz val="11"/>
        <color indexed="8"/>
        <rFont val="Calibri"/>
        <family val="2"/>
      </rPr>
      <t>7</t>
    </r>
    <r>
      <rPr>
        <sz val="11"/>
        <color indexed="8"/>
        <rFont val="新細明體"/>
        <family val="1"/>
        <charset val="136"/>
      </rPr>
      <t>成的上市公司都有往來。瑞穗金融集團下轄四大金融機構，分別是瑞穗銀行、瑞穗實業銀行、瑞穗信托銀行和瑞穗證券公司。提供全方位金融服務。</t>
    </r>
  </si>
  <si>
    <t>BYDCOL</t>
    <phoneticPr fontId="21" type="noConversion"/>
  </si>
  <si>
    <t>福斯汽車</t>
    <phoneticPr fontId="21" type="noConversion"/>
  </si>
  <si>
    <t>汽車業</t>
    <phoneticPr fontId="21" type="noConversion"/>
  </si>
  <si>
    <t>KOREAT</t>
    <phoneticPr fontId="21" type="noConversion"/>
  </si>
  <si>
    <t>韓國電信</t>
    <phoneticPr fontId="21" type="noConversion"/>
  </si>
  <si>
    <t>TMENRU</t>
    <phoneticPr fontId="21" type="noConversion"/>
  </si>
  <si>
    <t>普洛斯集團</t>
    <phoneticPr fontId="21" type="noConversion"/>
  </si>
  <si>
    <t>深圳華僑城股份有限公司</t>
    <phoneticPr fontId="21" type="noConversion"/>
  </si>
  <si>
    <t>石化能源業</t>
    <phoneticPr fontId="21" type="noConversion"/>
  </si>
  <si>
    <t>食品業</t>
    <phoneticPr fontId="21" type="noConversion"/>
  </si>
  <si>
    <t>津聯集團</t>
  </si>
  <si>
    <t>CNFTTZ CH Equity</t>
    <phoneticPr fontId="21" type="noConversion"/>
  </si>
  <si>
    <t>恆天然合作社集團有限公司</t>
    <phoneticPr fontId="21" type="noConversion"/>
  </si>
  <si>
    <t xml:space="preserve">巴克萊銀行(Barclays Bank)，英國最大商業銀行之一，1862年成立，叫Barclay &amp; Co. Ltd，1917年改用現名，總行設在倫敦。1998年總資產為3652億美元。巴克萊銀行是位於匯豐銀行和蘇格蘭皇家銀行之後的英國第三大銀行公司。巴克萊銀行在全球約60個國家經營業務，在英國設有2100多家分行。巴克萊銀行經營消費及公司銀行、信用卡、抵押貸款、代管、及租賃業務，此外還提供私人銀行業務。 </t>
    <phoneticPr fontId="21" type="noConversion"/>
  </si>
  <si>
    <t>BARC LN EQUITY</t>
    <phoneticPr fontId="21" type="noConversion"/>
  </si>
  <si>
    <t>1098 HK Equity</t>
    <phoneticPr fontId="21" type="noConversion"/>
  </si>
  <si>
    <t>716 HK Equity</t>
    <phoneticPr fontId="21" type="noConversion"/>
  </si>
  <si>
    <t>86 HK Equity</t>
    <phoneticPr fontId="21" type="noConversion"/>
  </si>
  <si>
    <t>杭州中策橡膠有限公司成立於1958年，是中國最早的輪胎企業之一，也是目前最大的輪胎製造商，在中國500間大企業當中，中策排名第349位，中國製造業當中為182名，全球的輪胎業來說則名列第11名。中策目前致力開發技術先進、附加價值高且市場需求量大的新產品，以期成為中國輪胎生產技術最先進的輪胎製造商。</t>
    <phoneticPr fontId="21" type="noConversion"/>
  </si>
  <si>
    <t>中國電力新能源發展有限公司</t>
  </si>
  <si>
    <t>紐西蘭恆天然集團成立於2001年，為11,000酪農共同擁有。恆天然提供乳製品並且提供各種消費品牌、配料、食品服務以及各種乳製品服務範圍遍及整個紐西蘭。</t>
    <phoneticPr fontId="21" type="noConversion"/>
  </si>
  <si>
    <t>SUMIBK</t>
    <phoneticPr fontId="21" type="noConversion"/>
  </si>
  <si>
    <t>8318 JP Equity</t>
    <phoneticPr fontId="21" type="noConversion"/>
  </si>
  <si>
    <t>HLCZ HK Equity</t>
    <phoneticPr fontId="21" type="noConversion"/>
  </si>
  <si>
    <t>乳製品</t>
  </si>
  <si>
    <t>郵輪、酒店、娛樂</t>
  </si>
  <si>
    <t>奇異</t>
    <phoneticPr fontId="21" type="noConversion"/>
  </si>
  <si>
    <t>卡特彼勒有限公司</t>
    <phoneticPr fontId="21" type="noConversion"/>
  </si>
  <si>
    <t>分割債券Stripped Bond</t>
  </si>
  <si>
    <t>比亞迪股份有限公司成立於1995，跨足IT、汽車以及新能源三大產業，為全球充電電池的大型供應商，並推出各種綠色產品。比亞迪於2003年正式跨足汽車業，致力於電動車的開發。</t>
  </si>
  <si>
    <t>1211 HK Equity</t>
    <phoneticPr fontId="21" type="noConversion"/>
  </si>
  <si>
    <t>VW</t>
    <phoneticPr fontId="21" type="noConversion"/>
  </si>
  <si>
    <t>LOTTES</t>
    <phoneticPr fontId="21" type="noConversion"/>
  </si>
  <si>
    <t>三井住友銀行</t>
    <phoneticPr fontId="21" type="noConversion"/>
  </si>
  <si>
    <t>CNPZ CH Equity</t>
  </si>
  <si>
    <t>首創置業股份有限公司</t>
    <phoneticPr fontId="21" type="noConversion"/>
  </si>
  <si>
    <t>不動產業</t>
    <phoneticPr fontId="21" type="noConversion"/>
  </si>
  <si>
    <t>PRCH CH Equity</t>
    <phoneticPr fontId="21" type="noConversion"/>
  </si>
  <si>
    <t>3360 HK Equity</t>
    <phoneticPr fontId="21" type="noConversion"/>
  </si>
  <si>
    <t>883 HK EQUITY</t>
    <phoneticPr fontId="21" type="noConversion"/>
  </si>
  <si>
    <t>4 HK Equity</t>
  </si>
  <si>
    <t>371 HK Equity</t>
  </si>
  <si>
    <t>030200 KS Equity</t>
  </si>
  <si>
    <r>
      <t>韓國最大汽車製造商，成立於1</t>
    </r>
    <r>
      <rPr>
        <sz val="12"/>
        <color indexed="8"/>
        <rFont val="新細明體"/>
        <family val="1"/>
        <charset val="136"/>
      </rPr>
      <t>967年，原本因為品質欠佳而被視為低階產品，但在1998年併購起亞汽車後，積極在品質、設計、製造和長期研究等方面投入巨資，成為近年來成長最快的汽車品牌之一，目前更成為世界第四大的汽車製造商，僅次於VW, GM以及 Toyota</t>
    </r>
    <phoneticPr fontId="21" type="noConversion"/>
  </si>
  <si>
    <r>
      <t>什麼是債券型</t>
    </r>
    <r>
      <rPr>
        <sz val="12"/>
        <color indexed="8"/>
        <rFont val="Times New Roman"/>
        <family val="1"/>
      </rPr>
      <t>ETF?
ETF</t>
    </r>
    <r>
      <rPr>
        <sz val="12"/>
        <color indexed="8"/>
        <rFont val="細明體"/>
        <family val="3"/>
        <charset val="136"/>
      </rPr>
      <t>英文原文為</t>
    </r>
    <r>
      <rPr>
        <sz val="12"/>
        <color indexed="8"/>
        <rFont val="Times New Roman"/>
        <family val="1"/>
      </rPr>
      <t>Exchange Traded Funds</t>
    </r>
    <r>
      <rPr>
        <sz val="12"/>
        <color indexed="8"/>
        <rFont val="細明體"/>
        <family val="3"/>
        <charset val="136"/>
      </rPr>
      <t>，中文稱為「指數股票型證券投資信託基金」，簡稱為「指數股票型基金」，</t>
    </r>
    <r>
      <rPr>
        <sz val="12"/>
        <color indexed="8"/>
        <rFont val="Times New Roman"/>
        <family val="1"/>
      </rPr>
      <t>ETF</t>
    </r>
    <r>
      <rPr>
        <sz val="12"/>
        <color indexed="8"/>
        <rFont val="細明體"/>
        <family val="3"/>
        <charset val="136"/>
      </rPr>
      <t>即</t>
    </r>
    <r>
      <rPr>
        <sz val="12"/>
        <color indexed="8"/>
        <rFont val="Times New Roman"/>
        <family val="1"/>
      </rPr>
      <t xml:space="preserve"> </t>
    </r>
    <r>
      <rPr>
        <sz val="12"/>
        <color indexed="8"/>
        <rFont val="細明體"/>
        <family val="3"/>
        <charset val="136"/>
      </rPr>
      <t>為將指數予以證券化，由於指數係衡量市場漲跌趨勢之指標，債券型</t>
    </r>
    <r>
      <rPr>
        <sz val="12"/>
        <color indexed="8"/>
        <rFont val="Times New Roman"/>
        <family val="1"/>
      </rPr>
      <t>ETF</t>
    </r>
    <r>
      <rPr>
        <sz val="12"/>
        <color indexed="8"/>
        <rFont val="細明體"/>
        <family val="3"/>
        <charset val="136"/>
      </rPr>
      <t>即是以債券為標的編成的指數所發行的</t>
    </r>
    <r>
      <rPr>
        <sz val="12"/>
        <color indexed="8"/>
        <rFont val="Times New Roman"/>
        <family val="1"/>
      </rPr>
      <t>ETF</t>
    </r>
    <r>
      <rPr>
        <sz val="12"/>
        <color indexed="8"/>
        <rFont val="細明體"/>
        <family val="3"/>
        <charset val="136"/>
      </rPr>
      <t xml:space="preserve">。
</t>
    </r>
    <r>
      <rPr>
        <sz val="12"/>
        <color indexed="8"/>
        <rFont val="Times New Roman"/>
        <family val="1"/>
      </rPr>
      <t xml:space="preserve">
</t>
    </r>
    <r>
      <rPr>
        <sz val="12"/>
        <color indexed="8"/>
        <rFont val="細明體"/>
        <family val="3"/>
        <charset val="136"/>
      </rPr>
      <t>債券型</t>
    </r>
    <r>
      <rPr>
        <sz val="12"/>
        <color indexed="8"/>
        <rFont val="Times New Roman"/>
        <family val="1"/>
      </rPr>
      <t>ETF</t>
    </r>
    <r>
      <rPr>
        <sz val="12"/>
        <color indexed="8"/>
        <rFont val="細明體"/>
        <family val="3"/>
        <charset val="136"/>
      </rPr>
      <t>有什麼好處</t>
    </r>
    <r>
      <rPr>
        <sz val="12"/>
        <color indexed="8"/>
        <rFont val="Times New Roman"/>
        <family val="1"/>
      </rPr>
      <t xml:space="preserve">?
</t>
    </r>
    <r>
      <rPr>
        <sz val="12"/>
        <color indexed="8"/>
        <rFont val="細明體"/>
        <family val="3"/>
        <charset val="136"/>
      </rPr>
      <t>債券</t>
    </r>
    <r>
      <rPr>
        <sz val="12"/>
        <color indexed="8"/>
        <rFont val="Times New Roman"/>
        <family val="1"/>
      </rPr>
      <t>ETF</t>
    </r>
    <r>
      <rPr>
        <sz val="12"/>
        <color indexed="8"/>
        <rFont val="細明體"/>
        <family val="3"/>
        <charset val="136"/>
      </rPr>
      <t>報酬率穩定少波動，成為全球投資人災後金融產品重要避風港，近年資產規模不畏風暴衝擊逆勢成長，近四年成長率均在</t>
    </r>
    <r>
      <rPr>
        <sz val="12"/>
        <color indexed="8"/>
        <rFont val="Times New Roman"/>
        <family val="1"/>
      </rPr>
      <t>60%</t>
    </r>
    <r>
      <rPr>
        <sz val="12"/>
        <color indexed="8"/>
        <rFont val="細明體"/>
        <family val="3"/>
        <charset val="136"/>
      </rPr>
      <t>以上，為全球</t>
    </r>
    <r>
      <rPr>
        <sz val="12"/>
        <color indexed="8"/>
        <rFont val="Times New Roman"/>
        <family val="1"/>
      </rPr>
      <t>ETF</t>
    </r>
    <r>
      <rPr>
        <sz val="12"/>
        <color indexed="8"/>
        <rFont val="細明體"/>
        <family val="3"/>
        <charset val="136"/>
      </rPr>
      <t>產品的中流砥柱，並且和債券型基金相比，有流動性高、成本低及稅率的優勢
在台灣有什麼債券</t>
    </r>
    <r>
      <rPr>
        <sz val="12"/>
        <color indexed="8"/>
        <rFont val="Times New Roman"/>
        <family val="1"/>
      </rPr>
      <t>ETF</t>
    </r>
    <r>
      <rPr>
        <sz val="12"/>
        <color indexed="8"/>
        <rFont val="細明體"/>
        <family val="3"/>
        <charset val="136"/>
      </rPr>
      <t>投資管道</t>
    </r>
    <r>
      <rPr>
        <sz val="12"/>
        <color indexed="8"/>
        <rFont val="Times New Roman"/>
        <family val="1"/>
      </rPr>
      <t xml:space="preserve">?
</t>
    </r>
    <r>
      <rPr>
        <sz val="12"/>
        <color indexed="8"/>
        <rFont val="細明體"/>
        <family val="3"/>
        <charset val="136"/>
      </rPr>
      <t>櫃買中心於</t>
    </r>
    <r>
      <rPr>
        <sz val="12"/>
        <color indexed="8"/>
        <rFont val="Times New Roman"/>
        <family val="1"/>
      </rPr>
      <t>2010</t>
    </r>
    <r>
      <rPr>
        <sz val="12"/>
        <color indexed="8"/>
        <rFont val="細明體"/>
        <family val="3"/>
        <charset val="136"/>
      </rPr>
      <t>年底正式推出櫃買台灣指標公債指數</t>
    </r>
    <r>
      <rPr>
        <sz val="12"/>
        <color indexed="8"/>
        <rFont val="Times New Roman"/>
        <family val="1"/>
      </rPr>
      <t>ETF</t>
    </r>
    <r>
      <rPr>
        <sz val="12"/>
        <color indexed="8"/>
        <rFont val="細明體"/>
        <family val="3"/>
        <charset val="136"/>
      </rPr>
      <t>，以</t>
    </r>
    <r>
      <rPr>
        <sz val="12"/>
        <color indexed="8"/>
        <rFont val="Times New Roman"/>
        <family val="1"/>
      </rPr>
      <t>5</t>
    </r>
    <r>
      <rPr>
        <sz val="12"/>
        <color indexed="8"/>
        <rFont val="細明體"/>
        <family val="3"/>
        <charset val="136"/>
      </rPr>
      <t>年期、</t>
    </r>
    <r>
      <rPr>
        <sz val="12"/>
        <color indexed="8"/>
        <rFont val="Times New Roman"/>
        <family val="1"/>
      </rPr>
      <t>10</t>
    </r>
    <r>
      <rPr>
        <sz val="12"/>
        <color indexed="8"/>
        <rFont val="細明體"/>
        <family val="3"/>
        <charset val="136"/>
      </rPr>
      <t>年期、以及</t>
    </r>
    <r>
      <rPr>
        <sz val="12"/>
        <color indexed="8"/>
        <rFont val="Times New Roman"/>
        <family val="1"/>
      </rPr>
      <t>20</t>
    </r>
    <r>
      <rPr>
        <sz val="12"/>
        <color indexed="8"/>
        <rFont val="細明體"/>
        <family val="3"/>
        <charset val="136"/>
      </rPr>
      <t>年期指標公債為組成，自</t>
    </r>
    <r>
      <rPr>
        <sz val="12"/>
        <color indexed="8"/>
        <rFont val="Times New Roman"/>
        <family val="1"/>
      </rPr>
      <t>2005~2010</t>
    </r>
    <r>
      <rPr>
        <sz val="12"/>
        <color indexed="8"/>
        <rFont val="細明體"/>
        <family val="3"/>
        <charset val="136"/>
      </rPr>
      <t>年，</t>
    </r>
    <r>
      <rPr>
        <sz val="12"/>
        <color indexed="8"/>
        <rFont val="Times New Roman"/>
        <family val="1"/>
      </rPr>
      <t>5</t>
    </r>
    <r>
      <rPr>
        <sz val="12"/>
        <color indexed="8"/>
        <rFont val="細明體"/>
        <family val="3"/>
        <charset val="136"/>
      </rPr>
      <t>年、</t>
    </r>
    <r>
      <rPr>
        <sz val="12"/>
        <color indexed="8"/>
        <rFont val="Times New Roman"/>
        <family val="1"/>
      </rPr>
      <t>10</t>
    </r>
    <r>
      <rPr>
        <sz val="12"/>
        <color indexed="8"/>
        <rFont val="細明體"/>
        <family val="3"/>
        <charset val="136"/>
      </rPr>
      <t>年與</t>
    </r>
    <r>
      <rPr>
        <sz val="12"/>
        <color indexed="8"/>
        <rFont val="Times New Roman"/>
        <family val="1"/>
      </rPr>
      <t>20</t>
    </r>
    <r>
      <rPr>
        <sz val="12"/>
        <color indexed="8"/>
        <rFont val="細明體"/>
        <family val="3"/>
        <charset val="136"/>
      </rPr>
      <t>年三種年期公債發行量佔全年度公債發行量之比重平均高達</t>
    </r>
    <r>
      <rPr>
        <sz val="12"/>
        <color indexed="8"/>
        <rFont val="Times New Roman"/>
        <family val="1"/>
      </rPr>
      <t>86.2%</t>
    </r>
    <r>
      <rPr>
        <sz val="12"/>
        <color indexed="8"/>
        <rFont val="細明體"/>
        <family val="3"/>
        <charset val="136"/>
      </rPr>
      <t>，為台灣公債市場中最具代表性之券種組合，最能提供台灣最新指標公債市場的變化。</t>
    </r>
    <phoneticPr fontId="21" type="noConversion"/>
  </si>
  <si>
    <t>瑞士銀行1998年由瑞士聯合銀行及瑞士銀行集團合併而成。2001年年底總資產1.18萬億瑞士法郎，資產負債表外管理資產超過2.0萬億瑞士法郎。2002年淨利潤35億瑞士法郎。 瑞士聯合銀行是著名的金融服務企業，是世界最大的資產管理企業，最大的投資擔保銀行。 旗下由瑞銀華寶、瑞銀機構資產管理與瑞銀瑞士私人銀行三大分支機搆組成，瑞銀機構資產管理目前擁有的客戶資產超過1萬億美元。2000年瑞士銀行收購了美國第四大證券經紀商普惠公司。</t>
    <phoneticPr fontId="21" type="noConversion"/>
  </si>
  <si>
    <t>是一家美國的世界性連鎖企業，以營業額計算為全球最大的公司，它在美國整體零售總額佔零售業收入的8.9%。沃爾瑪連續三年在美國《財富》雜誌全球500強企業中居首。</t>
    <phoneticPr fontId="21" type="noConversion"/>
  </si>
  <si>
    <t>Industry</t>
    <phoneticPr fontId="21" type="noConversion"/>
  </si>
  <si>
    <t>金融業</t>
    <phoneticPr fontId="21" type="noConversion"/>
  </si>
  <si>
    <t>製造業</t>
    <phoneticPr fontId="21" type="noConversion"/>
  </si>
  <si>
    <t>可贖回債券Callable Bond</t>
  </si>
  <si>
    <t>韓亞銀行是韓國第三大商業銀行，成立於1991年7月，其前身是成立於1971年6月韓國投資金融公司，1972年在漢城證券交易所上市，主要股東有德國安聯金融集團(Allianz AG),韓國東遠集團(Dong wan Group)，浦項鋼鐵(Posco)，韓國可隆集團(Kolon Group)及國際金融公司(IFC)。，主要業務為商業銀行、投資銀行、信託、證券、基金管理及保險等多種業務的金融集團。</t>
    <phoneticPr fontId="21" type="noConversion"/>
  </si>
  <si>
    <t>916 HK Equity</t>
  </si>
  <si>
    <t>TSIZ HK Equity</t>
  </si>
  <si>
    <t>YUM US Equity</t>
  </si>
  <si>
    <t>AMXL MM Equity</t>
  </si>
  <si>
    <t>RESCOZ KS Equity</t>
  </si>
  <si>
    <r>
      <t>是由荷蘭數家農村信用社於1973年合併而成，是農民自己的合作銀行，主要從事農業、農業機械和食品工業等行業的金融交易。是荷蘭的第2大銀行，自</t>
    </r>
    <r>
      <rPr>
        <sz val="12"/>
        <color indexed="8"/>
        <rFont val="新細明體"/>
        <family val="1"/>
        <charset val="136"/>
      </rPr>
      <t>2001</t>
    </r>
    <r>
      <rPr>
        <sz val="12"/>
        <color indexed="8"/>
        <rFont val="新細明體"/>
        <family val="1"/>
        <charset val="136"/>
      </rPr>
      <t>年連續被全球金融雜誌評為全球十大最安全的銀行之一，根據</t>
    </r>
    <r>
      <rPr>
        <sz val="12"/>
        <color indexed="8"/>
        <rFont val="新細明體"/>
        <family val="1"/>
        <charset val="136"/>
      </rPr>
      <t>2005</t>
    </r>
    <r>
      <rPr>
        <sz val="12"/>
        <color indexed="8"/>
        <rFont val="新細明體"/>
        <family val="1"/>
        <charset val="136"/>
      </rPr>
      <t>年瑞士資產管理調查，荷蘭瑞伯銀行被評為歐洲最具持續發展力的銀行，併在環球金融機構中名列第二。</t>
    </r>
    <phoneticPr fontId="21" type="noConversion"/>
  </si>
  <si>
    <t>BPLN</t>
    <phoneticPr fontId="21" type="noConversion"/>
  </si>
  <si>
    <t>法國巴黎銀行(www.bnpparibas.com)為全球六大銀行之一，以存款計更為歐元區最大銀行，業務遍及80多個國家及地區。法國巴黎銀行為歐洲首屈一指的全球金融服務集團，在零售銀行、Investment Solutions和企業及投資銀行三大業務內均佔有舉足輕重的地位。在零售銀行方面，集團擁有比利時、法國、意大利及盧森堡四個本地市場。法國巴黎銀行現正於歐洲及地中海地區推出整合業務模式，並在美國擁有龐大網絡。法國巴黎銀行個人融資是歐洲最大的消費信貸企業。在企業及投資銀行與Investment Solutions方面，法國巴黎銀行不但在歐洲享有領導地位，在亞洲的業務基礎亦非常穩健，發展迅速。</t>
    <phoneticPr fontId="21" type="noConversion"/>
  </si>
  <si>
    <r>
      <t>問：什麼是</t>
    </r>
    <r>
      <rPr>
        <sz val="12"/>
        <color indexed="8"/>
        <rFont val="Times New Roman"/>
        <family val="1"/>
      </rPr>
      <t>Eurobond?</t>
    </r>
    <r>
      <rPr>
        <sz val="12"/>
        <color indexed="8"/>
        <rFont val="新細明體"/>
        <family val="1"/>
        <charset val="136"/>
      </rPr>
      <t>就是歐元債劵嘛？
答：</t>
    </r>
    <r>
      <rPr>
        <sz val="12"/>
        <color indexed="8"/>
        <rFont val="Times New Roman"/>
        <family val="1"/>
      </rPr>
      <t>Eurobond</t>
    </r>
    <r>
      <rPr>
        <sz val="12"/>
        <color indexed="8"/>
        <rFont val="新細明體"/>
        <family val="1"/>
        <charset val="136"/>
      </rPr>
      <t>指的是非以債劵發行以及銷售國的貨幣計價的國際債劵。這個名稱的由來是因為當初是在英國發行的，跟歐元這個貨幣沒有關係。譬如說，醫家英國公司在美國發行以日圓計價的債劵，為</t>
    </r>
    <r>
      <rPr>
        <sz val="12"/>
        <color indexed="8"/>
        <rFont val="Times New Roman"/>
        <family val="1"/>
      </rPr>
      <t>Euroyen Bond</t>
    </r>
    <r>
      <rPr>
        <sz val="12"/>
        <color indexed="8"/>
        <rFont val="新細明體"/>
        <family val="1"/>
        <charset val="136"/>
      </rPr>
      <t>，屬於</t>
    </r>
    <r>
      <rPr>
        <sz val="12"/>
        <color indexed="8"/>
        <rFont val="Times New Roman"/>
        <family val="1"/>
      </rPr>
      <t>Eurobond</t>
    </r>
    <r>
      <rPr>
        <sz val="12"/>
        <color indexed="8"/>
        <rFont val="新細明體"/>
        <family val="1"/>
        <charset val="136"/>
      </rPr>
      <t>的一種。
問</t>
    </r>
    <r>
      <rPr>
        <sz val="12"/>
        <color indexed="8"/>
        <rFont val="Times New Roman"/>
        <family val="1"/>
      </rPr>
      <t>:</t>
    </r>
    <r>
      <rPr>
        <sz val="12"/>
        <color indexed="8"/>
        <rFont val="新細明體"/>
        <family val="1"/>
        <charset val="136"/>
      </rPr>
      <t>何謂零息債券</t>
    </r>
    <r>
      <rPr>
        <sz val="12"/>
        <color indexed="8"/>
        <rFont val="Times New Roman"/>
        <family val="1"/>
      </rPr>
      <t xml:space="preserve">?
</t>
    </r>
    <r>
      <rPr>
        <sz val="12"/>
        <color indexed="8"/>
        <rFont val="新細明體"/>
        <family val="1"/>
        <charset val="136"/>
      </rPr>
      <t>答</t>
    </r>
    <r>
      <rPr>
        <sz val="12"/>
        <color indexed="8"/>
        <rFont val="Times New Roman"/>
        <family val="1"/>
      </rPr>
      <t>:</t>
    </r>
    <r>
      <rPr>
        <sz val="12"/>
        <color indexed="8"/>
        <rFont val="新細明體"/>
        <family val="1"/>
        <charset val="136"/>
      </rPr>
      <t>零息債券是不支付利息的。這種債劵在發行時以低於票面價值發行。到期時將按票面價值買回債劵。它的好處是在到期日前發行人不用付到任何利息，就只在償還日時支付票面價值。發行機構可避免定期付息所產生的資金週轉問題。以台灣來說，票面價值高於發行價值的部分被視為利息收入，所以仍需繳交所得稅。
問：高收益債劵跟垃圾債劵有什麼不同</t>
    </r>
    <r>
      <rPr>
        <sz val="12"/>
        <color indexed="8"/>
        <rFont val="Times New Roman"/>
        <family val="1"/>
      </rPr>
      <t xml:space="preserve">?
</t>
    </r>
    <r>
      <rPr>
        <sz val="12"/>
        <color indexed="8"/>
        <rFont val="新細明體"/>
        <family val="1"/>
        <charset val="136"/>
      </rPr>
      <t>答</t>
    </r>
    <r>
      <rPr>
        <sz val="12"/>
        <color indexed="8"/>
        <rFont val="Times New Roman"/>
        <family val="1"/>
      </rPr>
      <t>:</t>
    </r>
    <r>
      <rPr>
        <sz val="12"/>
        <color indexed="8"/>
        <rFont val="新細明體"/>
        <family val="1"/>
        <charset val="136"/>
      </rPr>
      <t>它們是一樣的東西，只是叫高收益債劵比較好聽而已。此類發行者都有較高的信用風險，所以需要用較高的利率來吸引投資者。定義以信評公司為準。標準普爾公司</t>
    </r>
    <r>
      <rPr>
        <sz val="12"/>
        <color indexed="8"/>
        <rFont val="Times New Roman"/>
        <family val="1"/>
      </rPr>
      <t xml:space="preserve"> (S&amp;P) </t>
    </r>
    <r>
      <rPr>
        <sz val="12"/>
        <color indexed="8"/>
        <rFont val="新細明體"/>
        <family val="1"/>
        <charset val="136"/>
      </rPr>
      <t>評為</t>
    </r>
    <r>
      <rPr>
        <sz val="12"/>
        <color indexed="8"/>
        <rFont val="Times New Roman"/>
        <family val="1"/>
      </rPr>
      <t>BBB</t>
    </r>
    <r>
      <rPr>
        <sz val="12"/>
        <color indexed="8"/>
        <rFont val="新細明體"/>
        <family val="1"/>
        <charset val="136"/>
      </rPr>
      <t>以上</t>
    </r>
    <r>
      <rPr>
        <sz val="12"/>
        <color indexed="8"/>
        <rFont val="Times New Roman"/>
        <family val="1"/>
      </rPr>
      <t>(</t>
    </r>
    <r>
      <rPr>
        <sz val="12"/>
        <color indexed="8"/>
        <rFont val="新細明體"/>
        <family val="1"/>
        <charset val="136"/>
      </rPr>
      <t>含</t>
    </r>
    <r>
      <rPr>
        <sz val="12"/>
        <color indexed="8"/>
        <rFont val="Times New Roman"/>
        <family val="1"/>
      </rPr>
      <t>)</t>
    </r>
    <r>
      <rPr>
        <sz val="12"/>
        <color indexed="8"/>
        <rFont val="新細明體"/>
        <family val="1"/>
        <charset val="136"/>
      </rPr>
      <t>為投資級，以下則為投機等級，也就是垃圾級。穆迪投資服務公司</t>
    </r>
    <r>
      <rPr>
        <sz val="12"/>
        <color indexed="8"/>
        <rFont val="Times New Roman"/>
        <family val="1"/>
      </rPr>
      <t>(Moody</t>
    </r>
    <r>
      <rPr>
        <sz val="12"/>
        <color indexed="8"/>
        <rFont val="新細明體"/>
        <family val="1"/>
        <charset val="136"/>
      </rPr>
      <t>’</t>
    </r>
    <r>
      <rPr>
        <sz val="12"/>
        <color indexed="8"/>
        <rFont val="Times New Roman"/>
        <family val="1"/>
      </rPr>
      <t xml:space="preserve">s) </t>
    </r>
    <r>
      <rPr>
        <sz val="12"/>
        <color indexed="8"/>
        <rFont val="新細明體"/>
        <family val="1"/>
        <charset val="136"/>
      </rPr>
      <t>評為</t>
    </r>
    <r>
      <rPr>
        <sz val="12"/>
        <color indexed="8"/>
        <rFont val="Times New Roman"/>
        <family val="1"/>
      </rPr>
      <t>Baa</t>
    </r>
    <r>
      <rPr>
        <sz val="12"/>
        <color indexed="8"/>
        <rFont val="新細明體"/>
        <family val="1"/>
        <charset val="136"/>
      </rPr>
      <t>以上</t>
    </r>
    <r>
      <rPr>
        <sz val="12"/>
        <color indexed="8"/>
        <rFont val="Times New Roman"/>
        <family val="1"/>
      </rPr>
      <t>(</t>
    </r>
    <r>
      <rPr>
        <sz val="12"/>
        <color indexed="8"/>
        <rFont val="新細明體"/>
        <family val="1"/>
        <charset val="136"/>
      </rPr>
      <t>含</t>
    </r>
    <r>
      <rPr>
        <sz val="12"/>
        <color indexed="8"/>
        <rFont val="Times New Roman"/>
        <family val="1"/>
      </rPr>
      <t>)</t>
    </r>
    <r>
      <rPr>
        <sz val="12"/>
        <color indexed="8"/>
        <rFont val="新細明體"/>
        <family val="1"/>
        <charset val="136"/>
      </rPr>
      <t>為投資級，以下則為投機等級。要記得投資高收益債劵通常有較好的回報，不過同時也伴隨著較高的風險。</t>
    </r>
    <phoneticPr fontId="21" type="noConversion"/>
  </si>
  <si>
    <t>AGRBK</t>
    <phoneticPr fontId="21" type="noConversion"/>
  </si>
  <si>
    <t>週五美債殖利率下跌，美國五月份生產者價格指數上漲0.5%，為三個月來首次攀升，反映出能源和食品價格上漲；Fed預計在年底採取暫停買債計畫，但即便如此，Fed表示不代表將開始緊縮市場資金，終場美債五年期殖利率收在1.03%，十年期殖利率收在2.13%，三十年期殖利率收在3.30%。德債小幅上漲，原因為在預期央行可能退場之下，資金流入歐元區最安全的資產，終場德債五年殖利率收在0.54%，十年1.51%，三十年2.36%。</t>
    <phoneticPr fontId="21" type="noConversion"/>
  </si>
  <si>
    <t>KAWAH</t>
    <phoneticPr fontId="21" type="noConversion"/>
  </si>
  <si>
    <t>8 HK Equity</t>
    <phoneticPr fontId="21" type="noConversion"/>
  </si>
  <si>
    <r>
      <t>華潤電力控股有限公司(港交所：0836)，簡稱華潤電力、潤電，於</t>
    </r>
    <r>
      <rPr>
        <sz val="12"/>
        <color indexed="8"/>
        <rFont val="新細明體"/>
        <family val="1"/>
        <charset val="136"/>
      </rPr>
      <t>2001</t>
    </r>
    <r>
      <rPr>
        <sz val="12"/>
        <color indexed="8"/>
        <rFont val="新細明體"/>
        <family val="1"/>
        <charset val="136"/>
      </rPr>
      <t>年在香港註冊成立，是一家在香港交易所上市的公共事業公司。主要業務是在中國北京、河北、河南、遼寧、山東、江蘇、浙江、安徽、湖北、湖南、廣東、雲南等省份投資、開發、擁有和經營大型燃煤發電廠。</t>
    </r>
    <phoneticPr fontId="21" type="noConversion"/>
  </si>
  <si>
    <t>路勁基建有限公司</t>
    <phoneticPr fontId="21" type="noConversion"/>
  </si>
  <si>
    <t>建設業</t>
    <phoneticPr fontId="21" type="noConversion"/>
  </si>
  <si>
    <t>股票市場</t>
    <phoneticPr fontId="21" type="noConversion"/>
  </si>
  <si>
    <t>問: 人家都說，信用評等機構是個後知後覺的指標，那有什麼是可以嗅出市場訊息的指標嗎?
答: 有，市場上最常使用的，便是所謂的信用違約交換(Credit Default Swap，簡稱CDS)，這是一種類似保險的的合約，是由CDS買方和賣方以某一借款人為目標所簽定的合約，買方給賣方一筆費用(Premium)，若借款人違約，購買CDS的買方將從賣方那里獲得賠償。信用違約互換的買家可以借此保護自身投資。
問: 那我可以怎麼利用CDS來獲利呢?
答: CDS主要可以有兩個作用，可以用來避險也可以用來投機:
在避險方面，假如說你現在持有義大利國債，但是你現在擔心在未來這個國家有可能會付不出利息，讓你手上的債券變成一張廢紙，此時你可以購買義大利的CDS，當義大利真正出現違約的時候，你就可以獲得賠償。
在投機方面，假如你看準了某家公司資金將要出現問題，快要違約了，你便可以洞燭機先的先買進該公司的CDS，等到該公司真的發生違約，你便可以賺得CDS的賠償金，即便沒有真正出現危機，只要有消息面如新聞報導該公司狀況不佳，你先前所購買的CDS也有可能會因此上漲。</t>
    <phoneticPr fontId="21" type="noConversion"/>
  </si>
  <si>
    <t>PX_CLOSE_1D</t>
    <phoneticPr fontId="21" type="noConversion"/>
  </si>
  <si>
    <t>網路服務業</t>
    <phoneticPr fontId="21" type="noConversion"/>
  </si>
  <si>
    <r>
      <t>建志投資有限公司於2011年1月成立，屬於香港本地公司</t>
    </r>
    <r>
      <rPr>
        <sz val="12"/>
        <color indexed="8"/>
        <rFont val="新細明體"/>
        <family val="1"/>
        <charset val="136"/>
      </rPr>
      <t>(私人公司)</t>
    </r>
    <phoneticPr fontId="21" type="noConversion"/>
  </si>
  <si>
    <t>000270 KS Equity</t>
    <phoneticPr fontId="21" type="noConversion"/>
  </si>
  <si>
    <t>起亞汽車</t>
    <phoneticPr fontId="21" type="noConversion"/>
  </si>
  <si>
    <t>中國春天百貨集團有限公司</t>
    <phoneticPr fontId="21" type="noConversion"/>
  </si>
  <si>
    <t>百貨業</t>
    <phoneticPr fontId="21" type="noConversion"/>
  </si>
  <si>
    <t>金融業</t>
    <phoneticPr fontId="21" type="noConversion"/>
  </si>
  <si>
    <t>BACR</t>
    <phoneticPr fontId="21" type="noConversion"/>
  </si>
  <si>
    <t>巴克萊</t>
    <phoneticPr fontId="21" type="noConversion"/>
  </si>
  <si>
    <t>3808 HK Equity</t>
    <phoneticPr fontId="21" type="noConversion"/>
  </si>
  <si>
    <t>8593 JP Equity</t>
    <phoneticPr fontId="21" type="noConversion"/>
  </si>
  <si>
    <t>花旗集團</t>
    <phoneticPr fontId="21" type="noConversion"/>
  </si>
  <si>
    <t>香港上海匯豐銀行有限公司（The Hongkong and Shanghai Banking Corporation Limited，簡稱HSBC和匯豐）為匯豐控股有限公司的全資附屬公司，屬於匯豐集團的創始成員以及在亞太地區的旗艦，也是香港最大的註冊銀行，以及香港三大發鈔銀行之一（其他兩個是中國銀行（香港）和渣打銀行）。</t>
    <phoneticPr fontId="21" type="noConversion"/>
  </si>
  <si>
    <t>MCD</t>
    <phoneticPr fontId="21" type="noConversion"/>
  </si>
  <si>
    <t>WOORIB</t>
    <phoneticPr fontId="21" type="noConversion"/>
  </si>
  <si>
    <t>債券的命名方式</t>
    <phoneticPr fontId="21" type="noConversion"/>
  </si>
  <si>
    <t>RBS</t>
    <phoneticPr fontId="21" type="noConversion"/>
  </si>
  <si>
    <r>
      <t>勝獅於1</t>
    </r>
    <r>
      <rPr>
        <sz val="12"/>
        <color indexed="8"/>
        <rFont val="新細明體"/>
        <family val="1"/>
        <charset val="136"/>
      </rPr>
      <t>993</t>
    </r>
    <r>
      <rPr>
        <sz val="12"/>
        <color indexed="8"/>
        <rFont val="新細明體"/>
        <family val="1"/>
        <charset val="136"/>
      </rPr>
      <t>年在香港聯合交易所有限公司上市，乃全球具領導地位的集裝箱製造商，以及於亞太區主要物流服務經營者之一。主要從事生產各式產品，包括乾集裝箱、可摺疊式平架集裝箱、開頂式集裝箱、冷凍集裝箱、柏油箱、罐箱、其他特種箱及集裝箱配件等。另共經營十一個集裝箱堆場/碼頭，八個在中國、兩個在香港及一個在泰國。</t>
    </r>
    <phoneticPr fontId="21" type="noConversion"/>
  </si>
  <si>
    <t>16 HK Equtiy</t>
    <phoneticPr fontId="21" type="noConversion"/>
  </si>
  <si>
    <t>香港新鴻基地產</t>
    <phoneticPr fontId="21" type="noConversion"/>
  </si>
  <si>
    <t>動產經營/開發</t>
  </si>
  <si>
    <t>美國銀行（Bank of America），建立時間可以追溯到1784年的麻薩諸塞州銀行，是美國第二歷史悠久的銀行。在2008年底，因為金融海嘯與美林達成協議，以0.8595股交換美林公司的1股之比率，共同組成全球最大的金融服務機構 。</t>
    <phoneticPr fontId="21" type="noConversion"/>
  </si>
  <si>
    <t>CSGN VX EQUITY</t>
    <phoneticPr fontId="21" type="noConversion"/>
  </si>
  <si>
    <t>瑞士信貸</t>
    <phoneticPr fontId="21" type="noConversion"/>
  </si>
  <si>
    <t>BNP</t>
    <phoneticPr fontId="21" type="noConversion"/>
  </si>
  <si>
    <t>BNP FP EQUITY</t>
    <phoneticPr fontId="21" type="noConversion"/>
  </si>
  <si>
    <t>巴黎銀行</t>
    <phoneticPr fontId="21" type="noConversion"/>
  </si>
  <si>
    <t>美國舉債上限</t>
    <phoneticPr fontId="21" type="noConversion"/>
  </si>
  <si>
    <t>山東晨鳴紙業集團股份有限公司 (A股深交所：000448, B股深交所：200448, H股港交所：1812)，主要從事制木漿、造紙、能源的一體化業務，它是中國最大的造紙企業，總部設在山東壽光。此外，晨鳴紙業亦是首隻已發行A股、B股及H股的上市公司。</t>
    <phoneticPr fontId="21" type="noConversion"/>
  </si>
  <si>
    <t>中糧集團有限公司</t>
    <phoneticPr fontId="21" type="noConversion"/>
  </si>
  <si>
    <t xml:space="preserve">國際復興開發銀行(International Bank for Reconstruction and Development -- IBRD) 通稱“世界銀行” (World Bank) 。1944年7月在美國佈雷頓森林舉行的聯合國貨幣金融會議上通過了《國際復興開發銀行協定》，1945年底，28個國家政府的代表簽署了這一協定，並宣佈國際復興開發銀行正式成立。為世界上最大的政府間金融機構之一。總部設在美國華盛頓，併在巴黎、紐約、倫敦、東京、日內瓦等地設有辦事處，此外還在20多個發展中成員國設立了辦事處。 </t>
    <phoneticPr fontId="21" type="noConversion"/>
  </si>
  <si>
    <t>023530   KS Equity</t>
    <phoneticPr fontId="21" type="noConversion"/>
  </si>
  <si>
    <t>樂天百貨</t>
    <phoneticPr fontId="21" type="noConversion"/>
  </si>
  <si>
    <t>HSBC</t>
    <phoneticPr fontId="21" type="noConversion"/>
  </si>
  <si>
    <t>HSBC LN EQUITY</t>
    <phoneticPr fontId="21" type="noConversion"/>
  </si>
  <si>
    <t>匯豐銀行</t>
    <phoneticPr fontId="21" type="noConversion"/>
  </si>
  <si>
    <t>RDSALN</t>
    <phoneticPr fontId="21" type="noConversion"/>
  </si>
  <si>
    <t>VTBR RM Equity</t>
    <phoneticPr fontId="21" type="noConversion"/>
  </si>
  <si>
    <t>1907 TT Equity</t>
    <phoneticPr fontId="21" type="noConversion"/>
  </si>
  <si>
    <r>
      <t>問</t>
    </r>
    <r>
      <rPr>
        <sz val="12"/>
        <color indexed="8"/>
        <rFont val="Times New Roman"/>
        <family val="1"/>
      </rPr>
      <t>:</t>
    </r>
    <r>
      <rPr>
        <sz val="12"/>
        <color indexed="8"/>
        <rFont val="新細明體"/>
        <family val="1"/>
        <charset val="136"/>
      </rPr>
      <t>何謂荷蘭標</t>
    </r>
    <r>
      <rPr>
        <sz val="12"/>
        <color indexed="8"/>
        <rFont val="Times New Roman"/>
        <family val="1"/>
      </rPr>
      <t xml:space="preserve">(Dutch Auction)? 
</t>
    </r>
    <r>
      <rPr>
        <sz val="12"/>
        <color indexed="8"/>
        <rFont val="新細明體"/>
        <family val="1"/>
        <charset val="136"/>
      </rPr>
      <t>答</t>
    </r>
    <r>
      <rPr>
        <sz val="12"/>
        <color indexed="8"/>
        <rFont val="Times New Roman"/>
        <family val="1"/>
      </rPr>
      <t>:</t>
    </r>
    <r>
      <rPr>
        <sz val="12"/>
        <color indexed="8"/>
        <rFont val="新細明體"/>
        <family val="1"/>
        <charset val="136"/>
      </rPr>
      <t>又稱為「單一價格標」，只依投標價格超過底標之順序依序得標，並一律以最低得標價格作為發行價格。例如，今發行</t>
    </r>
    <r>
      <rPr>
        <sz val="12"/>
        <color indexed="8"/>
        <rFont val="Times New Roman"/>
        <family val="1"/>
      </rPr>
      <t>300</t>
    </r>
    <r>
      <rPr>
        <sz val="12"/>
        <color indexed="8"/>
        <rFont val="新細明體"/>
        <family val="1"/>
        <charset val="136"/>
      </rPr>
      <t>億之公債，有</t>
    </r>
    <r>
      <rPr>
        <sz val="12"/>
        <color indexed="8"/>
        <rFont val="Times New Roman"/>
        <family val="1"/>
      </rPr>
      <t>A</t>
    </r>
    <r>
      <rPr>
        <sz val="12"/>
        <color indexed="8"/>
        <rFont val="新細明體"/>
        <family val="1"/>
        <charset val="136"/>
      </rPr>
      <t>、</t>
    </r>
    <r>
      <rPr>
        <sz val="12"/>
        <color indexed="8"/>
        <rFont val="Times New Roman"/>
        <family val="1"/>
      </rPr>
      <t>B</t>
    </r>
    <r>
      <rPr>
        <sz val="12"/>
        <color indexed="8"/>
        <rFont val="新細明體"/>
        <family val="1"/>
        <charset val="136"/>
      </rPr>
      <t>、</t>
    </r>
    <r>
      <rPr>
        <sz val="12"/>
        <color indexed="8"/>
        <rFont val="Times New Roman"/>
        <family val="1"/>
      </rPr>
      <t>C</t>
    </r>
    <r>
      <rPr>
        <sz val="12"/>
        <color indexed="8"/>
        <rFont val="新細明體"/>
        <family val="1"/>
        <charset val="136"/>
      </rPr>
      <t>、</t>
    </r>
    <r>
      <rPr>
        <sz val="12"/>
        <color indexed="8"/>
        <rFont val="Times New Roman"/>
        <family val="1"/>
      </rPr>
      <t>D</t>
    </r>
    <r>
      <rPr>
        <sz val="12"/>
        <color indexed="8"/>
        <rFont val="新細明體"/>
        <family val="1"/>
        <charset val="136"/>
      </rPr>
      <t>、</t>
    </r>
    <r>
      <rPr>
        <sz val="12"/>
        <color indexed="8"/>
        <rFont val="Times New Roman"/>
        <family val="1"/>
      </rPr>
      <t>E</t>
    </r>
    <r>
      <rPr>
        <sz val="12"/>
        <color indexed="8"/>
        <rFont val="新細明體"/>
        <family val="1"/>
        <charset val="136"/>
      </rPr>
      <t>五人投標，</t>
    </r>
    <r>
      <rPr>
        <sz val="12"/>
        <color indexed="8"/>
        <rFont val="Times New Roman"/>
        <family val="1"/>
      </rPr>
      <t>A</t>
    </r>
    <r>
      <rPr>
        <sz val="12"/>
        <color indexed="8"/>
        <rFont val="新細明體"/>
        <family val="1"/>
        <charset val="136"/>
      </rPr>
      <t>標價</t>
    </r>
    <r>
      <rPr>
        <sz val="12"/>
        <color indexed="8"/>
        <rFont val="Times New Roman"/>
        <family val="1"/>
      </rPr>
      <t>111</t>
    </r>
    <r>
      <rPr>
        <sz val="12"/>
        <color indexed="8"/>
        <rFont val="新細明體"/>
        <family val="1"/>
        <charset val="136"/>
      </rPr>
      <t>金額</t>
    </r>
    <r>
      <rPr>
        <sz val="12"/>
        <color indexed="8"/>
        <rFont val="Times New Roman"/>
        <family val="1"/>
      </rPr>
      <t>50</t>
    </r>
    <r>
      <rPr>
        <sz val="12"/>
        <color indexed="8"/>
        <rFont val="新細明體"/>
        <family val="1"/>
        <charset val="136"/>
      </rPr>
      <t>億，</t>
    </r>
    <r>
      <rPr>
        <sz val="12"/>
        <color indexed="8"/>
        <rFont val="Times New Roman"/>
        <family val="1"/>
      </rPr>
      <t>B</t>
    </r>
    <r>
      <rPr>
        <sz val="12"/>
        <color indexed="8"/>
        <rFont val="新細明體"/>
        <family val="1"/>
        <charset val="136"/>
      </rPr>
      <t>標價</t>
    </r>
    <r>
      <rPr>
        <sz val="12"/>
        <color indexed="8"/>
        <rFont val="Times New Roman"/>
        <family val="1"/>
      </rPr>
      <t>108</t>
    </r>
    <r>
      <rPr>
        <sz val="12"/>
        <color indexed="8"/>
        <rFont val="新細明體"/>
        <family val="1"/>
        <charset val="136"/>
      </rPr>
      <t>金額</t>
    </r>
    <r>
      <rPr>
        <sz val="12"/>
        <color indexed="8"/>
        <rFont val="Times New Roman"/>
        <family val="1"/>
      </rPr>
      <t>80</t>
    </r>
    <r>
      <rPr>
        <sz val="12"/>
        <color indexed="8"/>
        <rFont val="新細明體"/>
        <family val="1"/>
        <charset val="136"/>
      </rPr>
      <t>億，</t>
    </r>
    <r>
      <rPr>
        <sz val="12"/>
        <color indexed="8"/>
        <rFont val="Times New Roman"/>
        <family val="1"/>
      </rPr>
      <t>C</t>
    </r>
    <r>
      <rPr>
        <sz val="12"/>
        <color indexed="8"/>
        <rFont val="新細明體"/>
        <family val="1"/>
        <charset val="136"/>
      </rPr>
      <t>標價</t>
    </r>
    <r>
      <rPr>
        <sz val="12"/>
        <color indexed="8"/>
        <rFont val="Times New Roman"/>
        <family val="1"/>
      </rPr>
      <t>100</t>
    </r>
    <r>
      <rPr>
        <sz val="12"/>
        <color indexed="8"/>
        <rFont val="新細明體"/>
        <family val="1"/>
        <charset val="136"/>
      </rPr>
      <t>金額</t>
    </r>
    <r>
      <rPr>
        <sz val="12"/>
        <color indexed="8"/>
        <rFont val="Times New Roman"/>
        <family val="1"/>
      </rPr>
      <t>100</t>
    </r>
    <r>
      <rPr>
        <sz val="12"/>
        <color indexed="8"/>
        <rFont val="新細明體"/>
        <family val="1"/>
        <charset val="136"/>
      </rPr>
      <t>億，</t>
    </r>
    <r>
      <rPr>
        <sz val="12"/>
        <color indexed="8"/>
        <rFont val="Times New Roman"/>
        <family val="1"/>
      </rPr>
      <t>D</t>
    </r>
    <r>
      <rPr>
        <sz val="12"/>
        <color indexed="8"/>
        <rFont val="新細明體"/>
        <family val="1"/>
        <charset val="136"/>
      </rPr>
      <t>標價</t>
    </r>
    <r>
      <rPr>
        <sz val="12"/>
        <color indexed="8"/>
        <rFont val="Times New Roman"/>
        <family val="1"/>
      </rPr>
      <t>98</t>
    </r>
    <r>
      <rPr>
        <sz val="12"/>
        <color indexed="8"/>
        <rFont val="新細明體"/>
        <family val="1"/>
        <charset val="136"/>
      </rPr>
      <t>金額</t>
    </r>
    <r>
      <rPr>
        <sz val="12"/>
        <color indexed="8"/>
        <rFont val="Times New Roman"/>
        <family val="1"/>
      </rPr>
      <t>120</t>
    </r>
    <r>
      <rPr>
        <sz val="12"/>
        <color indexed="8"/>
        <rFont val="新細明體"/>
        <family val="1"/>
        <charset val="136"/>
      </rPr>
      <t>億，</t>
    </r>
    <r>
      <rPr>
        <sz val="12"/>
        <color indexed="8"/>
        <rFont val="Times New Roman"/>
        <family val="1"/>
      </rPr>
      <t>E</t>
    </r>
    <r>
      <rPr>
        <sz val="12"/>
        <color indexed="8"/>
        <rFont val="新細明體"/>
        <family val="1"/>
        <charset val="136"/>
      </rPr>
      <t>標價</t>
    </r>
    <r>
      <rPr>
        <sz val="12"/>
        <color indexed="8"/>
        <rFont val="Times New Roman"/>
        <family val="1"/>
      </rPr>
      <t>90</t>
    </r>
    <r>
      <rPr>
        <sz val="12"/>
        <color indexed="8"/>
        <rFont val="新細明體"/>
        <family val="1"/>
        <charset val="136"/>
      </rPr>
      <t>金額</t>
    </r>
    <r>
      <rPr>
        <sz val="12"/>
        <color indexed="8"/>
        <rFont val="Times New Roman"/>
        <family val="1"/>
      </rPr>
      <t>150</t>
    </r>
    <r>
      <rPr>
        <sz val="12"/>
        <color indexed="8"/>
        <rFont val="新細明體"/>
        <family val="1"/>
        <charset val="136"/>
      </rPr>
      <t>億。則因</t>
    </r>
    <r>
      <rPr>
        <sz val="12"/>
        <color indexed="8"/>
        <rFont val="Times New Roman"/>
        <family val="1"/>
      </rPr>
      <t>ABCD</t>
    </r>
    <r>
      <rPr>
        <sz val="12"/>
        <color indexed="8"/>
        <rFont val="新細明體"/>
        <family val="1"/>
        <charset val="136"/>
      </rPr>
      <t>之投標金額已超過三佰億而</t>
    </r>
    <r>
      <rPr>
        <sz val="12"/>
        <color indexed="8"/>
        <rFont val="Times New Roman"/>
        <family val="1"/>
      </rPr>
      <t>E</t>
    </r>
    <r>
      <rPr>
        <sz val="12"/>
        <color indexed="8"/>
        <rFont val="新細明體"/>
        <family val="1"/>
        <charset val="136"/>
      </rPr>
      <t>確定落標，此外，</t>
    </r>
    <r>
      <rPr>
        <sz val="12"/>
        <color indexed="8"/>
        <rFont val="Times New Roman"/>
        <family val="1"/>
      </rPr>
      <t>ABC</t>
    </r>
    <r>
      <rPr>
        <sz val="12"/>
        <color indexed="8"/>
        <rFont val="新細明體"/>
        <family val="1"/>
        <charset val="136"/>
      </rPr>
      <t>之投標金額已達</t>
    </r>
    <r>
      <rPr>
        <sz val="12"/>
        <color indexed="8"/>
        <rFont val="Times New Roman"/>
        <family val="1"/>
      </rPr>
      <t>230</t>
    </r>
    <r>
      <rPr>
        <sz val="12"/>
        <color indexed="8"/>
        <rFont val="新細明體"/>
        <family val="1"/>
        <charset val="136"/>
      </rPr>
      <t>億，因此</t>
    </r>
    <r>
      <rPr>
        <sz val="12"/>
        <color indexed="8"/>
        <rFont val="Times New Roman"/>
        <family val="1"/>
      </rPr>
      <t>D</t>
    </r>
    <r>
      <rPr>
        <sz val="12"/>
        <color indexed="8"/>
        <rFont val="新細明體"/>
        <family val="1"/>
        <charset val="136"/>
      </rPr>
      <t>只得標</t>
    </r>
    <r>
      <rPr>
        <sz val="12"/>
        <color indexed="8"/>
        <rFont val="Times New Roman"/>
        <family val="1"/>
      </rPr>
      <t>70</t>
    </r>
    <r>
      <rPr>
        <sz val="12"/>
        <color indexed="8"/>
        <rFont val="新細明體"/>
        <family val="1"/>
        <charset val="136"/>
      </rPr>
      <t>億，侕</t>
    </r>
    <r>
      <rPr>
        <sz val="12"/>
        <color indexed="8"/>
        <rFont val="Times New Roman"/>
        <family val="1"/>
      </rPr>
      <t>ABCD</t>
    </r>
    <r>
      <rPr>
        <sz val="12"/>
        <color indexed="8"/>
        <rFont val="新細明體"/>
        <family val="1"/>
        <charset val="136"/>
      </rPr>
      <t>四人之得標價格皆為</t>
    </r>
    <r>
      <rPr>
        <sz val="12"/>
        <color indexed="8"/>
        <rFont val="Times New Roman"/>
        <family val="1"/>
      </rPr>
      <t>98</t>
    </r>
    <r>
      <rPr>
        <sz val="12"/>
        <color indexed="8"/>
        <rFont val="新細明體"/>
        <family val="1"/>
        <charset val="136"/>
      </rPr>
      <t>。
問：相較於複式價格標，荷蘭標有何優點</t>
    </r>
    <r>
      <rPr>
        <sz val="12"/>
        <color indexed="8"/>
        <rFont val="Times New Roman"/>
        <family val="1"/>
      </rPr>
      <t xml:space="preserve">?
</t>
    </r>
    <r>
      <rPr>
        <sz val="12"/>
        <color indexed="8"/>
        <rFont val="新細明體"/>
        <family val="1"/>
        <charset val="136"/>
      </rPr>
      <t>答</t>
    </r>
    <r>
      <rPr>
        <sz val="12"/>
        <color indexed="8"/>
        <rFont val="Times New Roman"/>
        <family val="1"/>
      </rPr>
      <t>:</t>
    </r>
    <r>
      <rPr>
        <sz val="12"/>
        <color indexed="8"/>
        <rFont val="新細明體"/>
        <family val="1"/>
        <charset val="136"/>
      </rPr>
      <t xml:space="preserve">複式價格得標者因為標價高，在得標後若利率上揚則容易套牢，因此下標者相對保守，不利於發行者。反之，荷蘭標皆以最低標為得標價，因此投資人對利率風險擔憂反而低，下標相對活絡，無形中提高得標價格。
</t>
    </r>
    <r>
      <rPr>
        <sz val="12"/>
        <color indexed="8"/>
        <rFont val="Times New Roman"/>
        <family val="1"/>
      </rPr>
      <t xml:space="preserve">                                                                                                                           </t>
    </r>
    <phoneticPr fontId="21" type="noConversion"/>
  </si>
  <si>
    <t>Reference IP</t>
    <phoneticPr fontId="21" type="noConversion"/>
  </si>
  <si>
    <t>KDBZ KS Equity</t>
    <phoneticPr fontId="21" type="noConversion"/>
  </si>
  <si>
    <t>遠東宏信有限公司</t>
    <phoneticPr fontId="21" type="noConversion"/>
  </si>
  <si>
    <t>運輸-海運</t>
    <phoneticPr fontId="21" type="noConversion"/>
  </si>
  <si>
    <t>韓國友利銀行</t>
  </si>
  <si>
    <t>中升集團控股有限公司(0881.HK)創辦於1998年，總部位於遼寧大連市。為大連市最大的汽車經銷集團，其中來自於東北沿海地區所產生的收入佔集團比重最高。截至2009年9月底止，營業項目的營收比重為：汽車銷售業務(90%)、售後業務(9.6%)。公司汽車銷售品牌包括賓士、LEXUS、AUDI等豪華汽車品牌，及豐田、日產、本田、通用等中高檔汽車品牌。至於售後業務則包括維修、保養、汽車美容服務、汽車用品等等。</t>
    <phoneticPr fontId="21" type="noConversion"/>
  </si>
  <si>
    <t>問: 請問什麼是含息價格，和百元價格差別在哪邊？
答: 簡單來說，含息價格是百元價格加上應計利息，這個價位是在債券市場上實際交易的價格，所以百元價格又稱為Clean Price，含息價格又稱為Dirty Price。
問: 那什麼是應計利息呢?
答: 指自上一利息支付日至買賣結算日產生的利息收入，一般性公式為: 應計利息額=票面利率÷360×已計息天數，但實際計算細節有可能會依據不同債券發行條件有所不同，如有些債券以每年365天計算。
問: 我不想看數學公式，能不能實際給我一個例子?
答: 假設你現在想賣掉持有花旗票面利率2.7%的公司債，距離上次發息已經是120天前了，目前在市場上該債券的百元價為102元，所以應計利息為2.7%*120/360*100 = 0.9 ，這0.9也是你持有這120天所應該獲得的利息，你實際可以賣出的價格為102+0.9 = 102.9元。</t>
    <phoneticPr fontId="21" type="noConversion"/>
  </si>
  <si>
    <t>百勝餐飲</t>
  </si>
  <si>
    <t>總部位在英國倫敦的。由兩家英國海外銀行合併而成，分別是英屬南非標準銀行與印度新金山中國匯理銀行，在維多利亞女王的特許（即「渣打〔Chartered〕」這個字的英文原義）下於1853年建立， 它的業務遍及許多國家，尤其是在亞洲和非洲，截至2009年12月31日總資產高達4366.5億美元，第一級資本比率及總資本比率分別為11.5%及16.5%。。</t>
    <phoneticPr fontId="21" type="noConversion"/>
  </si>
  <si>
    <t>問: 人家都說，信用評等機構是個後知後覺的指標，那有什麼是可以嗅出市場訊息的指標嗎?
答: 有，市場上最常使用的，便是所謂的信用違約交換(Credit Default Swap，簡稱CDS)，這是一種類似保險的的合約，是由CDS買方和賣方以某一借款人為目標所簽定的合約，買方給賣方一筆費用(Premium)，若借款人違約，購買CDS的買方將從賣方那里獲得賠償。信用違約互換的買家可以借此保護自身投資。
問: 那我可以怎麼利用CDS來獲利呢?
答: CDS主要可以有兩個作用，可以用來避險也可以用來投機:
在避險方面，假如說你現在持有義大利國債，但是你現在擔心在未來這個國家有可能會付不出利息，讓你手上的債券變成一張廢紙，此時你可以購買義大利的CDS，當義大利真正出現違約的時候，你就可以獲得賠償，但是在目前希臘債務問題方面，由於是由投資人自願信減記債務，在ISDA的規範內並不算是一個信用違約事件，因此並不會觸發CDS。
在投機方面，假如你看準了某家公司資金將要出現問題，快要違約了，你便可以洞燭機先的先買進該公司的CDS，等到該公司真的發生違約，你便可以賺得CDS的賠償金，即便沒有真正出現危機，只要有消息面如新聞報導該公司狀況不佳，你先前所購買的CDS也有可能會因此上漲。</t>
    <phoneticPr fontId="21" type="noConversion"/>
  </si>
  <si>
    <r>
      <t>殼牌石油是</t>
    </r>
    <r>
      <rPr>
        <sz val="12"/>
        <rFont val="新細明體"/>
        <family val="1"/>
        <charset val="136"/>
      </rPr>
      <t>荷蘭皇家殼牌</t>
    </r>
    <r>
      <rPr>
        <sz val="12"/>
        <color indexed="8"/>
        <rFont val="新細明體"/>
        <family val="1"/>
        <charset val="136"/>
      </rPr>
      <t>設在</t>
    </r>
    <r>
      <rPr>
        <sz val="12"/>
        <rFont val="新細明體"/>
        <family val="1"/>
        <charset val="136"/>
      </rPr>
      <t>美國</t>
    </r>
    <r>
      <rPr>
        <sz val="12"/>
        <color indexed="8"/>
        <rFont val="新細明體"/>
        <family val="1"/>
        <charset val="136"/>
      </rPr>
      <t>的</t>
    </r>
    <r>
      <rPr>
        <sz val="12"/>
        <rFont val="新細明體"/>
        <family val="1"/>
        <charset val="136"/>
      </rPr>
      <t>跨國石油公司</t>
    </r>
    <r>
      <rPr>
        <sz val="12"/>
        <color indexed="8"/>
        <rFont val="Times New Roman"/>
        <family val="1"/>
      </rPr>
      <t xml:space="preserve">, </t>
    </r>
    <r>
      <rPr>
        <sz val="12"/>
        <color indexed="8"/>
        <rFont val="SimSun"/>
        <charset val="134"/>
      </rPr>
      <t>也是</t>
    </r>
    <r>
      <rPr>
        <sz val="12"/>
        <color indexed="8"/>
        <rFont val="新細明體"/>
        <family val="1"/>
        <charset val="136"/>
      </rPr>
      <t>世界最大的石油公司之一。</t>
    </r>
    <r>
      <rPr>
        <sz val="12"/>
        <color indexed="8"/>
        <rFont val="SimSun"/>
        <charset val="134"/>
      </rPr>
      <t>它的</t>
    </r>
    <r>
      <rPr>
        <sz val="12"/>
        <color indexed="8"/>
        <rFont val="新細明體"/>
        <family val="1"/>
        <charset val="136"/>
      </rPr>
      <t>總部設在美國德克薩斯州的休斯頓市。殼牌石油公司，包括它的聯合公司和它控股的股份公司是美國最大的石油和天然氣生產商，天然氣銷售商，汽油銷售商和石油化工生產商。</t>
    </r>
  </si>
  <si>
    <r>
      <t>中國中化集團公司（中文簡稱“中化集團”，英文簡稱“</t>
    </r>
    <r>
      <rPr>
        <sz val="12"/>
        <color indexed="8"/>
        <rFont val="新細明體"/>
        <family val="1"/>
        <charset val="136"/>
      </rPr>
      <t>SINOCHEM</t>
    </r>
    <r>
      <rPr>
        <sz val="12"/>
        <color indexed="8"/>
        <rFont val="新細明體"/>
        <family val="1"/>
        <charset val="136"/>
      </rPr>
      <t>”）成立於</t>
    </r>
    <r>
      <rPr>
        <sz val="12"/>
        <color indexed="8"/>
        <rFont val="新細明體"/>
        <family val="1"/>
        <charset val="136"/>
      </rPr>
      <t>1950</t>
    </r>
    <r>
      <rPr>
        <sz val="12"/>
        <color indexed="8"/>
        <rFont val="新細明體"/>
        <family val="1"/>
        <charset val="136"/>
      </rPr>
      <t>年，是國務院國資委監管的國有重要骨幹企業，前身為中國化工進出口總公司。主要業務包括：石油、化肥、化工產品貿易、分銷及物流，原油、燃料油、天然橡膠期貨；境外油氣資源勘探開發，石油煉製，化學礦采選，化肥和化工品生產；酒店、房地產開發經營。公司為中國四大國家石油公司之一，是中國最大的化肥進口商和磷複肥生產商，也是中國重要的化工產品行銷服務商。</t>
    </r>
    <phoneticPr fontId="21" type="noConversion"/>
  </si>
  <si>
    <t>中國東方航空成立於1995年，總部設於上海，前身為1988年成立的中國東方航空公司，目前為中國三大航空公司之一，同時在上海(600115 CH)、香港(670 HK)與紐約(CEA US)上市。東航目前有182個通航點，以上海為核心，航線覆蓋整個中國並輻射亞洲、歐洲、美洲及大洋洲等地區。
中國東方航空集團總資產額達1085億元人民幣，現有全資、控股公司21家，並擁有330多架大中型運輸飛機、18架通用航空飛機與151個通航點。</t>
    <phoneticPr fontId="21" type="noConversion"/>
  </si>
  <si>
    <t>YUENFO</t>
    <phoneticPr fontId="21" type="noConversion"/>
  </si>
  <si>
    <t>電信業</t>
    <phoneticPr fontId="21" type="noConversion"/>
  </si>
  <si>
    <t>卡達電訊</t>
    <phoneticPr fontId="21" type="noConversion"/>
  </si>
  <si>
    <t>化學</t>
    <phoneticPr fontId="21" type="noConversion"/>
  </si>
  <si>
    <t>BAC</t>
    <phoneticPr fontId="21" type="noConversion"/>
  </si>
  <si>
    <t>SHNHAN</t>
    <phoneticPr fontId="21" type="noConversion"/>
  </si>
  <si>
    <t>票面利率</t>
    <phoneticPr fontId="21" type="noConversion"/>
  </si>
  <si>
    <t>瑞士銀行</t>
    <phoneticPr fontId="21" type="noConversion"/>
  </si>
  <si>
    <t>福特汽車</t>
    <phoneticPr fontId="21" type="noConversion"/>
  </si>
  <si>
    <t>汽車業</t>
    <phoneticPr fontId="21" type="noConversion"/>
  </si>
  <si>
    <t>Ticker</t>
    <phoneticPr fontId="21" type="noConversion"/>
  </si>
  <si>
    <t>VEBBNK</t>
    <phoneticPr fontId="21" type="noConversion"/>
  </si>
  <si>
    <t>韓國進出口銀行為韓國的國營銀行，成立於1976年七月一日，主要是協助國家經濟發展以及促進跨國經濟合作，業務範圍包括支持進出口交易，海外投資，以及取得海外天然資源。</t>
    <phoneticPr fontId="21" type="noConversion"/>
  </si>
  <si>
    <t>EIBKOR</t>
    <phoneticPr fontId="21" type="noConversion"/>
  </si>
  <si>
    <t>WFC</t>
    <phoneticPr fontId="21" type="noConversion"/>
  </si>
  <si>
    <t>總部位於美國紐約市，2008年總資產20,360億美元，總存款10,093億美元，佔美國存款總額10.51%的比例居第二，商業銀行部旗下分行5410家，為僅次於美國銀行的美國第二大金融服務機構，業務遍及50多個國家，包括投資銀行，金融交易處理，投資管理，商業金融服務，個人銀行等。現時的摩根大通於2000年由大通曼哈頓銀行及J.P.摩根公司合併而成，並於2004年與2008年分別收購芝加哥第一銀行，華盛頓互惠銀行，和美國著名投資銀行貝爾斯登。</t>
    <phoneticPr fontId="21" type="noConversion"/>
  </si>
  <si>
    <r>
      <t>康師傅控股公司主要在中國銷售以及生產泡麵與飲料以及糕點等產品，在中國皆佔有重要地位，在營收方面，有百分之五十來自於飲料業務，百分之四十來自於泡麵業務，在中國的市佔率更超過5</t>
    </r>
    <r>
      <rPr>
        <sz val="12"/>
        <color indexed="8"/>
        <rFont val="新細明體"/>
        <family val="1"/>
        <charset val="136"/>
      </rPr>
      <t>0%以上。更為了加強與國際品牌合作，於2011年底以子公司康師傅飲品9.5%的直接股權，換購百事可樂在華飲料裝瓶業務的全部股份。</t>
    </r>
    <phoneticPr fontId="21" type="noConversion"/>
  </si>
  <si>
    <r>
      <t>大華銀行在</t>
    </r>
    <r>
      <rPr>
        <sz val="11"/>
        <color indexed="8"/>
        <rFont val="Calibri"/>
        <family val="2"/>
      </rPr>
      <t>1935</t>
    </r>
    <r>
      <rPr>
        <sz val="11"/>
        <color indexed="8"/>
        <rFont val="新細明體"/>
        <family val="1"/>
        <charset val="136"/>
      </rPr>
      <t>年創立，大華銀行為新加坡第二大銀行，業務主要集中在東南亞。在新加坡有</t>
    </r>
    <r>
      <rPr>
        <sz val="11"/>
        <color indexed="8"/>
        <rFont val="Calibri"/>
        <family val="2"/>
      </rPr>
      <t>68</t>
    </r>
    <r>
      <rPr>
        <sz val="11"/>
        <color indexed="8"/>
        <rFont val="新細明體"/>
        <family val="1"/>
        <charset val="136"/>
      </rPr>
      <t>間分行，亦在亞太、西歐和北美</t>
    </r>
    <r>
      <rPr>
        <sz val="11"/>
        <color indexed="8"/>
        <rFont val="Calibri"/>
        <family val="2"/>
      </rPr>
      <t>17</t>
    </r>
    <r>
      <rPr>
        <sz val="11"/>
        <color indexed="8"/>
        <rFont val="新細明體"/>
        <family val="1"/>
        <charset val="136"/>
      </rPr>
      <t>個國家設立分行與辦事處，擁有總資產達到</t>
    </r>
    <r>
      <rPr>
        <sz val="11"/>
        <color indexed="8"/>
        <rFont val="Calibri"/>
        <family val="2"/>
      </rPr>
      <t>1,130</t>
    </r>
    <r>
      <rPr>
        <sz val="11"/>
        <color indexed="8"/>
        <rFont val="新細明體"/>
        <family val="1"/>
        <charset val="136"/>
      </rPr>
      <t>億新加坡元，綜合實力排名世界銀行第</t>
    </r>
    <r>
      <rPr>
        <sz val="11"/>
        <color indexed="8"/>
        <rFont val="Calibri"/>
        <family val="2"/>
      </rPr>
      <t>33</t>
    </r>
    <r>
      <rPr>
        <sz val="11"/>
        <color indexed="8"/>
        <rFont val="新細明體"/>
        <family val="1"/>
        <charset val="136"/>
      </rPr>
      <t>位。</t>
    </r>
  </si>
  <si>
    <t>三菱日聯租賃是日本資產規模最大的租賃公司，於東京證券交易所及名古屋證券交易所掛牌，資產規模約為美金438億元，營收約為美金83億元，在日本 及海外共有41個據點。</t>
    <phoneticPr fontId="21" type="noConversion"/>
  </si>
  <si>
    <t>342818z RU Equity</t>
    <phoneticPr fontId="21" type="noConversion"/>
  </si>
  <si>
    <r>
      <t>新鴻基有限公司於1969年成立，並於1983年在香港聯合交易所有限公司上市(股份代號：86），為零售、企業及機構客戶裁設金融方案。業務範疇包括財富管理及經紀業務、資本市場業務、資產管理、私人財務及主要投資，並以新鴻基金融集團、新鴻基尊尚資本管理、鴻財網、亞洲聯合財務及新鴻基財務品牌經營。其分行及辦事處遍佈香港、中國內地、澳門及新加坡約100個地點。截至</t>
    </r>
    <r>
      <rPr>
        <sz val="12"/>
        <color indexed="8"/>
        <rFont val="新細明體"/>
        <family val="1"/>
        <charset val="136"/>
      </rPr>
      <t>2011</t>
    </r>
    <r>
      <rPr>
        <sz val="12"/>
        <color indexed="8"/>
        <rFont val="新細明體"/>
        <family val="1"/>
        <charset val="136"/>
      </rPr>
      <t>年</t>
    </r>
    <r>
      <rPr>
        <sz val="12"/>
        <color indexed="8"/>
        <rFont val="新細明體"/>
        <family val="1"/>
        <charset val="136"/>
      </rPr>
      <t>6</t>
    </r>
    <r>
      <rPr>
        <sz val="12"/>
        <color indexed="8"/>
        <rFont val="新細明體"/>
        <family val="1"/>
        <charset val="136"/>
      </rPr>
      <t>月</t>
    </r>
    <r>
      <rPr>
        <sz val="12"/>
        <color indexed="8"/>
        <rFont val="新細明體"/>
        <family val="1"/>
        <charset val="136"/>
      </rPr>
      <t>30</t>
    </r>
    <r>
      <rPr>
        <sz val="12"/>
        <color indexed="8"/>
        <rFont val="新細明體"/>
        <family val="1"/>
        <charset val="136"/>
      </rPr>
      <t>日，管理/託管/提供顧問服務的資產總值逾720億港元*，股東權益逾115億港元。</t>
    </r>
    <phoneticPr fontId="21" type="noConversion"/>
  </si>
  <si>
    <t>América Móvil S.A.B. de C.V</t>
  </si>
  <si>
    <t>757 HK Equity</t>
    <phoneticPr fontId="21" type="noConversion"/>
  </si>
  <si>
    <t>陽光能源</t>
  </si>
  <si>
    <t>工業</t>
    <phoneticPr fontId="21" type="noConversion"/>
  </si>
  <si>
    <t>永豐餘</t>
    <phoneticPr fontId="21" type="noConversion"/>
  </si>
  <si>
    <t>造紙業</t>
    <phoneticPr fontId="21" type="noConversion"/>
  </si>
  <si>
    <r>
      <t>原荷蘭銀行其服務網絡覆蓋全球各地，並以其力臻完善的客戶服務享譽國際，致力提供世界級的銀行服務、專業的理財諮詢與多元化的金融產品，為客戶實現一切願景。</t>
    </r>
    <r>
      <rPr>
        <sz val="12"/>
        <color indexed="63"/>
        <rFont val="Times New Roman"/>
        <family val="1"/>
      </rPr>
      <t xml:space="preserve"> </t>
    </r>
    <r>
      <rPr>
        <sz val="12"/>
        <color indexed="63"/>
        <rFont val="新細明體"/>
        <family val="1"/>
        <charset val="136"/>
      </rPr>
      <t>提供個人消費金融、企業金融及商業金融等服務。縱然歷史源遠流長，傲視同儕，擁有悠久的歷史、頂尖的國際專業團隊及多樣化創新的金融產品，依然精益求精，不斷追求創新、提昇服務品質，並積極參與公益及贊助活動。</t>
    </r>
    <phoneticPr fontId="21" type="noConversion"/>
  </si>
  <si>
    <t xml:space="preserve">           Fixed Income Markets Frontier</t>
    <phoneticPr fontId="21" type="noConversion"/>
  </si>
  <si>
    <t>Jul</t>
  </si>
  <si>
    <t>Jun</t>
  </si>
  <si>
    <t>PX_CLOSE_7D</t>
    <phoneticPr fontId="21" type="noConversion"/>
  </si>
  <si>
    <t>全球市場總覽</t>
    <phoneticPr fontId="21" type="noConversion"/>
  </si>
  <si>
    <t>美國2Y公債</t>
    <phoneticPr fontId="21" type="noConversion"/>
  </si>
  <si>
    <t>美國5Y公債</t>
    <phoneticPr fontId="21" type="noConversion"/>
  </si>
  <si>
    <t>美國10Y公債</t>
    <phoneticPr fontId="21" type="noConversion"/>
  </si>
  <si>
    <t>德國10Y公債</t>
    <phoneticPr fontId="21" type="noConversion"/>
  </si>
  <si>
    <t>USGG2YR INDEX</t>
    <phoneticPr fontId="21" type="noConversion"/>
  </si>
  <si>
    <t>英國10Y公債</t>
    <phoneticPr fontId="21" type="noConversion"/>
  </si>
  <si>
    <t>GUKG10 INDEX</t>
    <phoneticPr fontId="21" type="noConversion"/>
  </si>
  <si>
    <t>GACGB10 INDEX</t>
    <phoneticPr fontId="21" type="noConversion"/>
  </si>
  <si>
    <t>澳洲10Y公債</t>
    <phoneticPr fontId="21" type="noConversion"/>
  </si>
  <si>
    <t>法國10Y公債</t>
    <phoneticPr fontId="21" type="noConversion"/>
  </si>
  <si>
    <t>義大利10Y公債</t>
    <phoneticPr fontId="21" type="noConversion"/>
  </si>
  <si>
    <t>美國30Y公債</t>
    <phoneticPr fontId="21" type="noConversion"/>
  </si>
  <si>
    <t>GFRN10 Index</t>
    <phoneticPr fontId="21" type="noConversion"/>
  </si>
  <si>
    <t>日本10Y公債</t>
    <phoneticPr fontId="21" type="noConversion"/>
  </si>
  <si>
    <t>GJGB10 INDEX</t>
    <phoneticPr fontId="21" type="noConversion"/>
  </si>
  <si>
    <t>台灣加權指數</t>
    <phoneticPr fontId="21" type="noConversion"/>
  </si>
  <si>
    <t>債市</t>
    <phoneticPr fontId="21" type="noConversion"/>
  </si>
  <si>
    <t>股市</t>
    <phoneticPr fontId="21" type="noConversion"/>
  </si>
  <si>
    <t>道瓊工業指數</t>
    <phoneticPr fontId="21" type="noConversion"/>
  </si>
  <si>
    <t>S&amp;P 500指數</t>
    <phoneticPr fontId="21" type="noConversion"/>
  </si>
  <si>
    <t>那斯達克指數</t>
    <phoneticPr fontId="21" type="noConversion"/>
  </si>
  <si>
    <t>日經225指數</t>
    <phoneticPr fontId="21" type="noConversion"/>
  </si>
  <si>
    <t>恆生指數</t>
    <phoneticPr fontId="21" type="noConversion"/>
  </si>
  <si>
    <t>德國DAX指數</t>
    <phoneticPr fontId="21" type="noConversion"/>
  </si>
  <si>
    <t>英國FTSE指數</t>
    <phoneticPr fontId="21" type="noConversion"/>
  </si>
  <si>
    <t>UKX INDEX</t>
    <phoneticPr fontId="21" type="noConversion"/>
  </si>
  <si>
    <t>法國CAC指數</t>
    <phoneticPr fontId="21" type="noConversion"/>
  </si>
  <si>
    <t>CAC INDEX</t>
    <phoneticPr fontId="21" type="noConversion"/>
  </si>
  <si>
    <t>INDU INDEX</t>
    <phoneticPr fontId="21" type="noConversion"/>
  </si>
  <si>
    <t>SPX INDEX</t>
    <phoneticPr fontId="21" type="noConversion"/>
  </si>
  <si>
    <t>CCMP INDEX</t>
    <phoneticPr fontId="21" type="noConversion"/>
  </si>
  <si>
    <t>DAX INDEX</t>
    <phoneticPr fontId="21" type="noConversion"/>
  </si>
  <si>
    <t>TWSE INDEX</t>
    <phoneticPr fontId="21" type="noConversion"/>
  </si>
  <si>
    <t>HSI INDEX</t>
    <phoneticPr fontId="21" type="noConversion"/>
  </si>
  <si>
    <t>上證綜合指數</t>
    <phoneticPr fontId="21" type="noConversion"/>
  </si>
  <si>
    <t>SHCOMP INDEX</t>
    <phoneticPr fontId="21" type="noConversion"/>
  </si>
  <si>
    <t>最新價格</t>
    <phoneticPr fontId="21" type="noConversion"/>
  </si>
  <si>
    <t>變化(%)</t>
    <phoneticPr fontId="21" type="noConversion"/>
  </si>
  <si>
    <t>變化(bps)</t>
    <phoneticPr fontId="21" type="noConversion"/>
  </si>
  <si>
    <t>匯市</t>
    <phoneticPr fontId="21" type="noConversion"/>
  </si>
  <si>
    <t>USDTWD</t>
    <phoneticPr fontId="21" type="noConversion"/>
  </si>
  <si>
    <t>EURUSD</t>
    <phoneticPr fontId="21" type="noConversion"/>
  </si>
  <si>
    <t>GBPUSD</t>
    <phoneticPr fontId="21" type="noConversion"/>
  </si>
  <si>
    <t>AUDUSD</t>
    <phoneticPr fontId="21" type="noConversion"/>
  </si>
  <si>
    <t>USDJPY</t>
    <phoneticPr fontId="21" type="noConversion"/>
  </si>
  <si>
    <t>USDCNY</t>
    <phoneticPr fontId="21" type="noConversion"/>
  </si>
  <si>
    <t>美元指數</t>
    <phoneticPr fontId="21" type="noConversion"/>
  </si>
  <si>
    <t>DXY INDEX</t>
    <phoneticPr fontId="21" type="noConversion"/>
  </si>
  <si>
    <t>USDTWD REGN CURNCY</t>
    <phoneticPr fontId="21" type="noConversion"/>
  </si>
  <si>
    <t>EURUSD CURNCY</t>
    <phoneticPr fontId="21" type="noConversion"/>
  </si>
  <si>
    <t>GBPUSD CURNCY</t>
    <phoneticPr fontId="21" type="noConversion"/>
  </si>
  <si>
    <t>AUDUSD CURNCY</t>
    <phoneticPr fontId="21" type="noConversion"/>
  </si>
  <si>
    <t>USDJPY CURNCY</t>
    <phoneticPr fontId="21" type="noConversion"/>
  </si>
  <si>
    <t>USDCNY CURNCY</t>
    <phoneticPr fontId="21" type="noConversion"/>
  </si>
  <si>
    <t>信用市場</t>
    <phoneticPr fontId="21" type="noConversion"/>
  </si>
  <si>
    <t>LUACOAS INDEX</t>
    <phoneticPr fontId="21" type="noConversion"/>
  </si>
  <si>
    <t>iTraxx Europe 5Y</t>
    <phoneticPr fontId="21" type="noConversion"/>
  </si>
  <si>
    <t>iTraxx Asia Ex Japan 5Y</t>
    <phoneticPr fontId="21" type="noConversion"/>
  </si>
  <si>
    <t>Bloomberg US IG Corp</t>
    <phoneticPr fontId="21" type="noConversion"/>
  </si>
  <si>
    <t>ITRXEBE INDEX</t>
    <phoneticPr fontId="21" type="noConversion"/>
  </si>
  <si>
    <t>3M</t>
    <phoneticPr fontId="47" type="noConversion"/>
  </si>
  <si>
    <t>6M</t>
    <phoneticPr fontId="47" type="noConversion"/>
  </si>
  <si>
    <t>1Y</t>
    <phoneticPr fontId="47" type="noConversion"/>
  </si>
  <si>
    <t>2Y</t>
    <phoneticPr fontId="47" type="noConversion"/>
  </si>
  <si>
    <t>3Y</t>
    <phoneticPr fontId="47" type="noConversion"/>
  </si>
  <si>
    <t>5Y</t>
    <phoneticPr fontId="47" type="noConversion"/>
  </si>
  <si>
    <t>7Y</t>
    <phoneticPr fontId="47" type="noConversion"/>
  </si>
  <si>
    <t>10Y</t>
    <phoneticPr fontId="47" type="noConversion"/>
  </si>
  <si>
    <t>20Y</t>
    <phoneticPr fontId="47" type="noConversion"/>
  </si>
  <si>
    <t>30Y</t>
    <phoneticPr fontId="47" type="noConversion"/>
  </si>
  <si>
    <t>PX_CLOSE_1D</t>
    <phoneticPr fontId="47" type="noConversion"/>
  </si>
  <si>
    <t>USGG1M INDEX</t>
    <phoneticPr fontId="47" type="noConversion"/>
  </si>
  <si>
    <t>USGG3M INDEX</t>
    <phoneticPr fontId="47" type="noConversion"/>
  </si>
  <si>
    <t>USGG6M INDEX</t>
    <phoneticPr fontId="47" type="noConversion"/>
  </si>
  <si>
    <t>USGG12M  INDEX</t>
    <phoneticPr fontId="47" type="noConversion"/>
  </si>
  <si>
    <t>USGG2YR INDEX</t>
    <phoneticPr fontId="47" type="noConversion"/>
  </si>
  <si>
    <t>USGG3YR INDEX</t>
    <phoneticPr fontId="47" type="noConversion"/>
  </si>
  <si>
    <t>USGG5YR INDEX</t>
    <phoneticPr fontId="47" type="noConversion"/>
  </si>
  <si>
    <t>USGG7YR INDEX</t>
    <phoneticPr fontId="47" type="noConversion"/>
  </si>
  <si>
    <t>USGG10YR INDEX</t>
    <phoneticPr fontId="47" type="noConversion"/>
  </si>
  <si>
    <t>USGG20YR INDEX</t>
    <phoneticPr fontId="47" type="noConversion"/>
  </si>
  <si>
    <t>USGG30YR INDEX</t>
    <phoneticPr fontId="47" type="noConversion"/>
  </si>
  <si>
    <t>ITRXAGE INDEX</t>
    <phoneticPr fontId="21" type="noConversion"/>
  </si>
  <si>
    <t>IBOXHYSE INDEX</t>
    <phoneticPr fontId="21" type="noConversion"/>
  </si>
  <si>
    <t>Markit CDX US HY</t>
    <phoneticPr fontId="21" type="noConversion"/>
  </si>
  <si>
    <t>最新價格 (bps)</t>
    <phoneticPr fontId="21" type="noConversion"/>
  </si>
  <si>
    <t>1M</t>
    <phoneticPr fontId="47" type="noConversion"/>
  </si>
  <si>
    <t>GBTPGR10 INDEX</t>
    <phoneticPr fontId="21" type="noConversion"/>
  </si>
  <si>
    <t>UST</t>
    <phoneticPr fontId="47" type="noConversion"/>
  </si>
  <si>
    <t>USYC3M10 INDEX</t>
    <phoneticPr fontId="21" type="noConversion"/>
  </si>
  <si>
    <t>USYC2Y10Y INDEX</t>
    <phoneticPr fontId="21" type="noConversion"/>
  </si>
  <si>
    <t>USYC5Y30Y INDEX</t>
    <phoneticPr fontId="21" type="noConversion"/>
  </si>
  <si>
    <t>Date</t>
    <phoneticPr fontId="21" type="noConversion"/>
  </si>
  <si>
    <t>PX_LAST</t>
    <phoneticPr fontId="21" type="noConversion"/>
  </si>
  <si>
    <t>US 3M10Y</t>
    <phoneticPr fontId="21" type="noConversion"/>
  </si>
  <si>
    <t>US 2Y10Y</t>
    <phoneticPr fontId="21" type="noConversion"/>
  </si>
  <si>
    <t>US 5Y30Y</t>
    <phoneticPr fontId="21" type="noConversion"/>
  </si>
  <si>
    <t>美債殖利率曲線</t>
    <phoneticPr fontId="21" type="noConversion"/>
  </si>
  <si>
    <t>美債利差曲線</t>
    <phoneticPr fontId="21" type="noConversion"/>
  </si>
  <si>
    <t>主要公債</t>
    <phoneticPr fontId="21" type="noConversion"/>
  </si>
  <si>
    <t>主要股票指數</t>
    <phoneticPr fontId="21" type="noConversion"/>
  </si>
  <si>
    <t>主要外匯</t>
    <phoneticPr fontId="21" type="noConversion"/>
  </si>
  <si>
    <t>公債市場</t>
    <phoneticPr fontId="21" type="noConversion"/>
  </si>
  <si>
    <t>重點發行人市場表現</t>
    <phoneticPr fontId="21" type="noConversion"/>
  </si>
  <si>
    <t>產業</t>
    <phoneticPr fontId="21" type="noConversion"/>
  </si>
  <si>
    <t>A2</t>
  </si>
  <si>
    <t>Baa2</t>
  </si>
  <si>
    <t>A</t>
  </si>
  <si>
    <t>BBB-</t>
  </si>
  <si>
    <t>公司名稱</t>
    <phoneticPr fontId="21" type="noConversion"/>
  </si>
  <si>
    <t>中文名稱</t>
    <phoneticPr fontId="21" type="noConversion"/>
  </si>
  <si>
    <t>CDS</t>
    <phoneticPr fontId="21" type="noConversion"/>
  </si>
  <si>
    <t>S&amp;P</t>
  </si>
  <si>
    <t>Moody's</t>
  </si>
  <si>
    <t>Fitch</t>
  </si>
  <si>
    <t>RTG_MDY_SEN_UNSECURED_DEBT</t>
  </si>
  <si>
    <t>RTG_SP_OUTLOOK</t>
    <phoneticPr fontId="21" type="noConversion"/>
  </si>
  <si>
    <t>RTG_moody_long_term_date</t>
  </si>
  <si>
    <t>CDS_SPREAD_TICKER_5Y</t>
    <phoneticPr fontId="21" type="noConversion"/>
  </si>
  <si>
    <t>NAME_CHINESE_TRADITIONAL</t>
  </si>
  <si>
    <t>CHG_PCT_1D</t>
    <phoneticPr fontId="21" type="noConversion"/>
  </si>
  <si>
    <t>CHG_PCT_5D</t>
    <phoneticPr fontId="21" type="noConversion"/>
  </si>
  <si>
    <t>CHG_PCT_YTD</t>
    <phoneticPr fontId="21" type="noConversion"/>
  </si>
  <si>
    <t>PX_Last</t>
    <phoneticPr fontId="21" type="noConversion"/>
  </si>
  <si>
    <t>CHG_NET_1D</t>
    <phoneticPr fontId="21" type="noConversion"/>
  </si>
  <si>
    <t>CHG_NET_5D</t>
    <phoneticPr fontId="21" type="noConversion"/>
  </si>
  <si>
    <t>CHG_NET_YTD</t>
    <phoneticPr fontId="21" type="noConversion"/>
  </si>
  <si>
    <t>RTG_SP_LT_FC_ISSUER_Credit</t>
    <phoneticPr fontId="21" type="noConversion"/>
  </si>
  <si>
    <t>RTG_MDY_ISSUER</t>
    <phoneticPr fontId="21" type="noConversion"/>
  </si>
  <si>
    <t>RTG_FITCH_LT_ISSUER_DEFAULT</t>
    <phoneticPr fontId="21" type="noConversion"/>
  </si>
  <si>
    <t>RTG_MDY_OUTLOOK</t>
    <phoneticPr fontId="21" type="noConversion"/>
  </si>
  <si>
    <t>RTG_Fitch_Outlook</t>
    <phoneticPr fontId="21" type="noConversion"/>
  </si>
  <si>
    <t>issuer</t>
  </si>
  <si>
    <t>rtg_mdy_issuer_rtg_dt</t>
    <phoneticPr fontId="88" type="noConversion"/>
  </si>
  <si>
    <t>mkt cap</t>
    <phoneticPr fontId="88" type="noConversion"/>
  </si>
  <si>
    <t>mkt $ bn</t>
    <phoneticPr fontId="88" type="noConversion"/>
  </si>
  <si>
    <t>FITCH</t>
  </si>
  <si>
    <t>mkt cap US bn</t>
    <phoneticPr fontId="88" type="noConversion"/>
  </si>
  <si>
    <r>
      <rPr>
        <b/>
        <sz val="10"/>
        <color theme="0"/>
        <rFont val="微軟正黑體"/>
        <family val="2"/>
        <charset val="136"/>
      </rPr>
      <t>產業</t>
    </r>
    <phoneticPr fontId="88" type="noConversion"/>
  </si>
  <si>
    <r>
      <rPr>
        <b/>
        <sz val="10"/>
        <color theme="0"/>
        <rFont val="微軟正黑體"/>
        <family val="2"/>
        <charset val="136"/>
      </rPr>
      <t>公司名稱</t>
    </r>
    <phoneticPr fontId="88" type="noConversion"/>
  </si>
  <si>
    <r>
      <rPr>
        <b/>
        <sz val="10"/>
        <color theme="0"/>
        <rFont val="微軟正黑體"/>
        <family val="2"/>
        <charset val="136"/>
      </rPr>
      <t>中文名稱</t>
    </r>
    <phoneticPr fontId="88" type="noConversion"/>
  </si>
  <si>
    <t>股價/匯率觀察</t>
    <phoneticPr fontId="21" type="noConversion"/>
  </si>
  <si>
    <r>
      <t>CDS</t>
    </r>
    <r>
      <rPr>
        <b/>
        <sz val="10"/>
        <color theme="0"/>
        <rFont val="微軟正黑體"/>
        <family val="2"/>
        <charset val="136"/>
      </rPr>
      <t>警示</t>
    </r>
    <phoneticPr fontId="21" type="noConversion"/>
  </si>
  <si>
    <r>
      <rPr>
        <b/>
        <sz val="10"/>
        <color theme="0"/>
        <rFont val="微軟正黑體"/>
        <family val="2"/>
        <charset val="136"/>
      </rPr>
      <t>信評警示</t>
    </r>
    <phoneticPr fontId="21" type="noConversion"/>
  </si>
  <si>
    <t>Outlook</t>
    <phoneticPr fontId="21" type="noConversion"/>
  </si>
  <si>
    <t>Rating Checking</t>
    <phoneticPr fontId="21" type="noConversion"/>
  </si>
  <si>
    <t>Outlook Checking</t>
    <phoneticPr fontId="21" type="noConversion"/>
  </si>
  <si>
    <t>評等改變</t>
  </si>
  <si>
    <r>
      <rPr>
        <sz val="10"/>
        <color indexed="8"/>
        <rFont val="微軟正黑體"/>
        <family val="2"/>
        <charset val="136"/>
      </rPr>
      <t>最新股價</t>
    </r>
    <phoneticPr fontId="21" type="noConversion"/>
  </si>
  <si>
    <r>
      <t>1W %</t>
    </r>
    <r>
      <rPr>
        <sz val="10"/>
        <color theme="1"/>
        <rFont val="微軟正黑體"/>
        <family val="2"/>
        <charset val="136"/>
      </rPr>
      <t>△</t>
    </r>
    <phoneticPr fontId="21" type="noConversion"/>
  </si>
  <si>
    <r>
      <t>YTD  %</t>
    </r>
    <r>
      <rPr>
        <sz val="10"/>
        <color theme="1"/>
        <rFont val="微軟正黑體"/>
        <family val="2"/>
        <charset val="136"/>
      </rPr>
      <t>△</t>
    </r>
    <phoneticPr fontId="21" type="noConversion"/>
  </si>
  <si>
    <r>
      <rPr>
        <sz val="10"/>
        <color theme="1"/>
        <rFont val="微軟正黑體"/>
        <family val="2"/>
        <charset val="136"/>
      </rPr>
      <t>最新</t>
    </r>
    <r>
      <rPr>
        <sz val="10"/>
        <color theme="1"/>
        <rFont val="Calibri"/>
        <family val="2"/>
      </rPr>
      <t>CDS</t>
    </r>
    <phoneticPr fontId="21" type="noConversion"/>
  </si>
  <si>
    <r>
      <t xml:space="preserve">1W  </t>
    </r>
    <r>
      <rPr>
        <sz val="10"/>
        <color theme="1"/>
        <rFont val="微軟正黑體"/>
        <family val="2"/>
        <charset val="136"/>
      </rPr>
      <t>△</t>
    </r>
    <phoneticPr fontId="21" type="noConversion"/>
  </si>
  <si>
    <r>
      <t xml:space="preserve">YTD   </t>
    </r>
    <r>
      <rPr>
        <sz val="10"/>
        <color theme="1"/>
        <rFont val="微軟正黑體"/>
        <family val="2"/>
        <charset val="136"/>
      </rPr>
      <t>△</t>
    </r>
    <phoneticPr fontId="21" type="noConversion"/>
  </si>
  <si>
    <r>
      <rPr>
        <sz val="10"/>
        <color indexed="8"/>
        <rFont val="微軟正黑體"/>
        <family val="2"/>
        <charset val="136"/>
      </rPr>
      <t>變動</t>
    </r>
    <r>
      <rPr>
        <sz val="10"/>
        <color indexed="8"/>
        <rFont val="Calibri"/>
        <family val="2"/>
      </rPr>
      <t>?</t>
    </r>
    <phoneticPr fontId="21" type="noConversion"/>
  </si>
  <si>
    <t>Y?</t>
    <phoneticPr fontId="88" type="noConversion"/>
  </si>
  <si>
    <t>RTG_SP_LT_LC_ISS_cred_rtg_dt</t>
  </si>
  <si>
    <t>RTG_FITCH_LT_issuer_dflt_rtg_dt</t>
  </si>
  <si>
    <t>上周五收盤</t>
    <phoneticPr fontId="88" type="noConversion"/>
  </si>
  <si>
    <r>
      <rPr>
        <b/>
        <sz val="10"/>
        <color rgb="FF00B050"/>
        <rFont val="Microsoft JhengHei"/>
        <family val="2"/>
        <charset val="136"/>
      </rPr>
      <t>上上</t>
    </r>
    <r>
      <rPr>
        <sz val="10"/>
        <color theme="1"/>
        <rFont val="Microsoft JhengHei"/>
        <family val="2"/>
      </rPr>
      <t>周五收盤</t>
    </r>
    <phoneticPr fontId="88" type="noConversion"/>
  </si>
  <si>
    <t>一周變化</t>
    <phoneticPr fontId="88" type="noConversion"/>
  </si>
  <si>
    <t>1301 TT Equity</t>
    <phoneticPr fontId="88" type="noConversion"/>
  </si>
  <si>
    <t>原物料</t>
    <phoneticPr fontId="88" type="noConversion"/>
  </si>
  <si>
    <t>BBB</t>
  </si>
  <si>
    <t>Baa1</t>
  </si>
  <si>
    <t>-</t>
  </si>
  <si>
    <t>NEG</t>
  </si>
  <si>
    <t xml:space="preserve"> </t>
  </si>
  <si>
    <t>BHP AU Equity</t>
    <phoneticPr fontId="88" type="noConversion"/>
  </si>
  <si>
    <t>A-</t>
  </si>
  <si>
    <t>A1</t>
  </si>
  <si>
    <t>STABLE</t>
  </si>
  <si>
    <t>BAS gr Equity</t>
    <phoneticPr fontId="88" type="noConversion"/>
  </si>
  <si>
    <t>A3</t>
  </si>
  <si>
    <t>RIO ln Equity</t>
    <phoneticPr fontId="88" type="noConversion"/>
  </si>
  <si>
    <t>bas gr Equity</t>
    <phoneticPr fontId="88" type="noConversion"/>
  </si>
  <si>
    <t>1006z ci Equity</t>
    <phoneticPr fontId="88" type="noConversion"/>
  </si>
  <si>
    <t>3091z us Equity</t>
    <phoneticPr fontId="88" type="noConversion"/>
  </si>
  <si>
    <t>vale3 bz Equity</t>
    <phoneticPr fontId="88" type="noConversion"/>
  </si>
  <si>
    <t>POS</t>
  </si>
  <si>
    <t>1006Z CI Equity</t>
    <phoneticPr fontId="88" type="noConversion"/>
  </si>
  <si>
    <t>BBB+</t>
  </si>
  <si>
    <t>700 HK Equity</t>
  </si>
  <si>
    <t>通訊</t>
    <phoneticPr fontId="88" type="noConversion"/>
  </si>
  <si>
    <t>A+</t>
  </si>
  <si>
    <t>9984 JP Equity</t>
  </si>
  <si>
    <t>BB+</t>
  </si>
  <si>
    <t>Ba3u</t>
  </si>
  <si>
    <t>CTL US Equity</t>
  </si>
  <si>
    <t>B-</t>
  </si>
  <si>
    <t>B3 *+</t>
  </si>
  <si>
    <t>CCC+ *+</t>
  </si>
  <si>
    <t>T US Equity</t>
  </si>
  <si>
    <t>VZ US Equity</t>
    <phoneticPr fontId="88" type="noConversion"/>
  </si>
  <si>
    <t>ora fp Equity</t>
    <phoneticPr fontId="88" type="noConversion"/>
  </si>
  <si>
    <t>DTE gr Equity</t>
    <phoneticPr fontId="88" type="noConversion"/>
  </si>
  <si>
    <t>017670 ks Equity</t>
    <phoneticPr fontId="88" type="noConversion"/>
  </si>
  <si>
    <t>VOD LN Equity</t>
  </si>
  <si>
    <t>TMUS US Equity</t>
    <phoneticPr fontId="88" type="noConversion"/>
  </si>
  <si>
    <t>TEF SM Equity</t>
    <phoneticPr fontId="88" type="noConversion"/>
  </si>
  <si>
    <t>Baa3</t>
  </si>
  <si>
    <t>CMCSA US Equity</t>
    <phoneticPr fontId="88" type="noConversion"/>
  </si>
  <si>
    <t>AMXL MM Equity</t>
    <phoneticPr fontId="88" type="noConversion"/>
  </si>
  <si>
    <t>nflx US Equity</t>
    <phoneticPr fontId="88" type="noConversion"/>
  </si>
  <si>
    <t>DIS US Equity</t>
    <phoneticPr fontId="88" type="noConversion"/>
  </si>
  <si>
    <t>wbd US Equity</t>
    <phoneticPr fontId="88" type="noConversion"/>
  </si>
  <si>
    <t>媒體</t>
    <phoneticPr fontId="88" type="noConversion"/>
  </si>
  <si>
    <t>foxa US Equity</t>
    <phoneticPr fontId="88" type="noConversion"/>
  </si>
  <si>
    <t>6758 jp Equity</t>
    <phoneticPr fontId="88" type="noConversion"/>
  </si>
  <si>
    <t>F US Equity</t>
  </si>
  <si>
    <t>汽車</t>
    <phoneticPr fontId="88" type="noConversion"/>
  </si>
  <si>
    <t>Ba1</t>
  </si>
  <si>
    <t>GM US Equity</t>
    <phoneticPr fontId="88" type="noConversion"/>
  </si>
  <si>
    <t>STLA US Equity</t>
    <phoneticPr fontId="88" type="noConversion"/>
  </si>
  <si>
    <t>TSLA US Equity</t>
    <phoneticPr fontId="88" type="noConversion"/>
  </si>
  <si>
    <t>DAI GR Equity</t>
    <phoneticPr fontId="88" type="noConversion"/>
  </si>
  <si>
    <t>Au</t>
  </si>
  <si>
    <t>rno fp Equity</t>
    <phoneticPr fontId="88" type="noConversion"/>
  </si>
  <si>
    <t>WD</t>
  </si>
  <si>
    <t>BMW GR Equity</t>
    <phoneticPr fontId="88" type="noConversion"/>
  </si>
  <si>
    <t>VOW GR Equity</t>
    <phoneticPr fontId="88" type="noConversion"/>
  </si>
  <si>
    <t>005380 KS Equity</t>
    <phoneticPr fontId="88" type="noConversion"/>
  </si>
  <si>
    <t>7203 JP Equity</t>
    <phoneticPr fontId="88" type="noConversion"/>
  </si>
  <si>
    <t>SBUX US Equity</t>
    <phoneticPr fontId="88" type="noConversion"/>
  </si>
  <si>
    <t>消費</t>
    <phoneticPr fontId="88" type="noConversion"/>
  </si>
  <si>
    <t>ABI BB Equity</t>
    <phoneticPr fontId="88" type="noConversion"/>
  </si>
  <si>
    <t>KO US Equity</t>
    <phoneticPr fontId="88" type="noConversion"/>
  </si>
  <si>
    <t>nesn sw Equity</t>
    <phoneticPr fontId="88" type="noConversion"/>
  </si>
  <si>
    <t>AA-</t>
  </si>
  <si>
    <t>Aa3</t>
  </si>
  <si>
    <t>A+u</t>
  </si>
  <si>
    <t>pg us Equity</t>
    <phoneticPr fontId="88" type="noConversion"/>
  </si>
  <si>
    <t>ulvr ln Equity</t>
    <phoneticPr fontId="88" type="noConversion"/>
  </si>
  <si>
    <t>WDu</t>
  </si>
  <si>
    <t>unh us Equity</t>
    <phoneticPr fontId="88" type="noConversion"/>
  </si>
  <si>
    <t>NR</t>
  </si>
  <si>
    <t>abt us Equity</t>
    <phoneticPr fontId="88" type="noConversion"/>
  </si>
  <si>
    <t>MCD US Equity</t>
    <phoneticPr fontId="88" type="noConversion"/>
  </si>
  <si>
    <t>uber US Equity</t>
    <phoneticPr fontId="88" type="noConversion"/>
  </si>
  <si>
    <t>MMM US Equity</t>
    <phoneticPr fontId="88" type="noConversion"/>
  </si>
  <si>
    <t>nke US Equity</t>
    <phoneticPr fontId="88" type="noConversion"/>
  </si>
  <si>
    <t>WMT US Equity</t>
    <phoneticPr fontId="88" type="noConversion"/>
  </si>
  <si>
    <t>AA</t>
  </si>
  <si>
    <t>Aa2</t>
  </si>
  <si>
    <t>cost US Equity</t>
    <phoneticPr fontId="88" type="noConversion"/>
  </si>
  <si>
    <t>KHC US Equity</t>
    <phoneticPr fontId="88" type="noConversion"/>
  </si>
  <si>
    <t>JNJ US Equity</t>
    <phoneticPr fontId="88" type="noConversion"/>
  </si>
  <si>
    <t>AAA</t>
  </si>
  <si>
    <t>Aaa</t>
  </si>
  <si>
    <t>KMB US Equity</t>
    <phoneticPr fontId="88" type="noConversion"/>
  </si>
  <si>
    <t>CVS US Equity</t>
    <phoneticPr fontId="88" type="noConversion"/>
  </si>
  <si>
    <t>PFE US Equity</t>
    <phoneticPr fontId="88" type="noConversion"/>
  </si>
  <si>
    <t>ABBV US Equity</t>
    <phoneticPr fontId="88" type="noConversion"/>
  </si>
  <si>
    <t>MO US Equity</t>
  </si>
  <si>
    <t>or eu Equity</t>
    <phoneticPr fontId="88" type="noConversion"/>
  </si>
  <si>
    <t>rms fp Equity</t>
    <phoneticPr fontId="88" type="noConversion"/>
  </si>
  <si>
    <t>精品</t>
    <phoneticPr fontId="88" type="noConversion"/>
  </si>
  <si>
    <t>mc fp Equity</t>
    <phoneticPr fontId="88" type="noConversion"/>
  </si>
  <si>
    <t>cfr sw equity</t>
    <phoneticPr fontId="88" type="noConversion"/>
  </si>
  <si>
    <t>cdi fp equity</t>
    <phoneticPr fontId="88" type="noConversion"/>
  </si>
  <si>
    <t>1004Q sj equity</t>
    <phoneticPr fontId="88" type="noConversion"/>
  </si>
  <si>
    <t>race im equity</t>
  </si>
  <si>
    <t>lam im equity</t>
  </si>
  <si>
    <t>4504859z im equity</t>
    <phoneticPr fontId="88" type="noConversion"/>
  </si>
  <si>
    <t>1232Z MM Equity</t>
  </si>
  <si>
    <t>能源</t>
    <phoneticPr fontId="88" type="noConversion"/>
  </si>
  <si>
    <t>B3</t>
  </si>
  <si>
    <t>B+</t>
  </si>
  <si>
    <t>PERT IJ Equity</t>
    <phoneticPr fontId="88" type="noConversion"/>
  </si>
  <si>
    <t>xom us Equity</t>
    <phoneticPr fontId="88" type="noConversion"/>
  </si>
  <si>
    <t>PTG mk Equity</t>
    <phoneticPr fontId="88" type="noConversion"/>
  </si>
  <si>
    <t>shel ln Equity</t>
    <phoneticPr fontId="88" type="noConversion"/>
  </si>
  <si>
    <t>ARAMCO AB Equity</t>
    <phoneticPr fontId="88" type="noConversion"/>
  </si>
  <si>
    <t>PETR4 BZ Equity</t>
  </si>
  <si>
    <t>BB</t>
  </si>
  <si>
    <t>1167Z CH Equity</t>
  </si>
  <si>
    <t>金融</t>
    <phoneticPr fontId="88" type="noConversion"/>
  </si>
  <si>
    <t>1359 HK Equity</t>
  </si>
  <si>
    <t>2799 HK Equity</t>
  </si>
  <si>
    <t>3988 HK Equity</t>
  </si>
  <si>
    <t>1398 HK Equity</t>
    <phoneticPr fontId="88" type="noConversion"/>
  </si>
  <si>
    <t>939 HK Equity</t>
  </si>
  <si>
    <t>3328 HK Equity</t>
    <phoneticPr fontId="88" type="noConversion"/>
  </si>
  <si>
    <t>601288 CH Equity</t>
    <phoneticPr fontId="88" type="noConversion"/>
  </si>
  <si>
    <t>C US Equity</t>
  </si>
  <si>
    <t>BAC US Equity</t>
  </si>
  <si>
    <t>JPM US Equity</t>
  </si>
  <si>
    <t>WFC US Equity</t>
  </si>
  <si>
    <t>GS US Equity</t>
  </si>
  <si>
    <t>MS US Equity</t>
    <phoneticPr fontId="88" type="noConversion"/>
  </si>
  <si>
    <t>BNP FP Equity</t>
  </si>
  <si>
    <t>v us Equity</t>
    <phoneticPr fontId="88" type="noConversion"/>
  </si>
  <si>
    <t>ma us Equity</t>
    <phoneticPr fontId="88" type="noConversion"/>
  </si>
  <si>
    <t>axp us Equity</t>
    <phoneticPr fontId="88" type="noConversion"/>
  </si>
  <si>
    <t>bx us Equity</t>
    <phoneticPr fontId="88" type="noConversion"/>
  </si>
  <si>
    <t>kkr us Equity</t>
    <phoneticPr fontId="88" type="noConversion"/>
  </si>
  <si>
    <t>GLE FP Equity</t>
  </si>
  <si>
    <t>ACA FP Equity</t>
  </si>
  <si>
    <t>KN FP Equity</t>
    <phoneticPr fontId="88" type="noConversion"/>
  </si>
  <si>
    <t>HSBA LN Equity</t>
  </si>
  <si>
    <t>STAN LN Equity</t>
  </si>
  <si>
    <t>BARC LN Equity</t>
  </si>
  <si>
    <t>NWG LN Equity</t>
    <phoneticPr fontId="88" type="noConversion"/>
  </si>
  <si>
    <t>LLOY LN Equity</t>
  </si>
  <si>
    <t>nda fh Equity</t>
    <phoneticPr fontId="88" type="noConversion"/>
  </si>
  <si>
    <t>dnb no Equity</t>
    <phoneticPr fontId="88" type="noConversion"/>
  </si>
  <si>
    <t>DBK GR Equity</t>
    <phoneticPr fontId="88" type="noConversion"/>
  </si>
  <si>
    <t>CBK GR Equity</t>
    <phoneticPr fontId="88" type="noConversion"/>
  </si>
  <si>
    <t>INGA NA Equity</t>
    <phoneticPr fontId="88" type="noConversion"/>
  </si>
  <si>
    <t>ABN NA Equity</t>
    <phoneticPr fontId="88" type="noConversion"/>
  </si>
  <si>
    <t>RABO NA Equity</t>
    <phoneticPr fontId="88" type="noConversion"/>
  </si>
  <si>
    <t>UBSG SW Equity</t>
  </si>
  <si>
    <t>SAN SM Equity</t>
    <phoneticPr fontId="88" type="noConversion"/>
  </si>
  <si>
    <t>BBVA SM Equity</t>
    <phoneticPr fontId="88" type="noConversion"/>
  </si>
  <si>
    <t>A3 *+</t>
  </si>
  <si>
    <t>BBB+ *+</t>
  </si>
  <si>
    <t>UCG IM Equity</t>
    <phoneticPr fontId="88" type="noConversion"/>
  </si>
  <si>
    <t>ISP IM Equity</t>
    <phoneticPr fontId="88" type="noConversion"/>
  </si>
  <si>
    <t>ANZ AU Equity</t>
    <phoneticPr fontId="88" type="noConversion"/>
  </si>
  <si>
    <t>CBA AU Equity</t>
    <phoneticPr fontId="88" type="noConversion"/>
  </si>
  <si>
    <t>NAB AU Equity</t>
    <phoneticPr fontId="88" type="noConversion"/>
  </si>
  <si>
    <t>WBC AU Equity</t>
    <phoneticPr fontId="88" type="noConversion"/>
  </si>
  <si>
    <t>MQG AU Equity</t>
    <phoneticPr fontId="88" type="noConversion"/>
  </si>
  <si>
    <t>RY CN Equity</t>
    <phoneticPr fontId="88" type="noConversion"/>
  </si>
  <si>
    <t>TD CN Equity</t>
    <phoneticPr fontId="88" type="noConversion"/>
  </si>
  <si>
    <t>8306 JP Equity</t>
    <phoneticPr fontId="88" type="noConversion"/>
  </si>
  <si>
    <t>8316 JP Equity</t>
    <phoneticPr fontId="88" type="noConversion"/>
  </si>
  <si>
    <t>8411 JP Equity</t>
    <phoneticPr fontId="88" type="noConversion"/>
  </si>
  <si>
    <t>BBL TB Equity</t>
    <phoneticPr fontId="88" type="noConversion"/>
  </si>
  <si>
    <t>ENBDRI19 UH Equity</t>
  </si>
  <si>
    <t>ADCB UH Equity</t>
  </si>
  <si>
    <t>FAB UH Equity</t>
  </si>
  <si>
    <t>HALKB TI Equity</t>
  </si>
  <si>
    <t>MNG LN Equity</t>
  </si>
  <si>
    <t>PRU LN Equity</t>
  </si>
  <si>
    <t>PRU US Equity</t>
    <phoneticPr fontId="88" type="noConversion"/>
  </si>
  <si>
    <t>0001 JP Equity</t>
    <phoneticPr fontId="88" type="noConversion"/>
  </si>
  <si>
    <t>1299 HK Equity</t>
    <phoneticPr fontId="88" type="noConversion"/>
  </si>
  <si>
    <t>DANSKE DC Equity</t>
  </si>
  <si>
    <t>1552729D US Equity</t>
  </si>
  <si>
    <t>2881 TT Equity</t>
  </si>
  <si>
    <t>BRK/A US Equity</t>
  </si>
  <si>
    <t>AA-u</t>
  </si>
  <si>
    <t>SREN SW Equity</t>
  </si>
  <si>
    <t>(P)A2</t>
  </si>
  <si>
    <t>SEBA SS Equity</t>
  </si>
  <si>
    <t>8750 JP Equity</t>
  </si>
  <si>
    <t>1133Z IJ Equity</t>
  </si>
  <si>
    <t>USDIDR REGN Curncy</t>
    <phoneticPr fontId="88" type="noConversion"/>
  </si>
  <si>
    <t>主權</t>
    <phoneticPr fontId="88" type="noConversion"/>
  </si>
  <si>
    <t>1319293d jp Equity</t>
    <phoneticPr fontId="88" type="noConversion"/>
  </si>
  <si>
    <t>USDjpy BGN Curncy</t>
    <phoneticPr fontId="88" type="noConversion"/>
  </si>
  <si>
    <t>45793z ci Equity</t>
    <phoneticPr fontId="88" type="noConversion"/>
  </si>
  <si>
    <t>USDclp BGN Curncy</t>
    <phoneticPr fontId="88" type="noConversion"/>
  </si>
  <si>
    <t>1426Z MM Equity</t>
  </si>
  <si>
    <t>USDMXN BGN Curncy</t>
  </si>
  <si>
    <t>rokz KS equity</t>
    <phoneticPr fontId="88" type="noConversion"/>
  </si>
  <si>
    <t>USDkrw BGN Curncy</t>
    <phoneticPr fontId="88" type="noConversion"/>
  </si>
  <si>
    <t>3344642Z AB Equity</t>
  </si>
  <si>
    <t>USDSAR REGN Curncy</t>
    <phoneticPr fontId="88" type="noConversion"/>
  </si>
  <si>
    <t>1525z au Equity</t>
    <phoneticPr fontId="88" type="noConversion"/>
  </si>
  <si>
    <t>aud Curncy</t>
    <phoneticPr fontId="88" type="noConversion"/>
  </si>
  <si>
    <t>AAAu</t>
  </si>
  <si>
    <t>50184Z SJ Equity</t>
  </si>
  <si>
    <t>USDZAR BGN Curncy</t>
  </si>
  <si>
    <t>BB-</t>
  </si>
  <si>
    <t>Ba2</t>
  </si>
  <si>
    <t>3344650Z QD Equity</t>
  </si>
  <si>
    <t>USDQAR REGN Curncy</t>
  </si>
  <si>
    <t>3352z US Equity</t>
    <phoneticPr fontId="88" type="noConversion"/>
  </si>
  <si>
    <t>DXY Curncy</t>
  </si>
  <si>
    <t>AA+u</t>
  </si>
  <si>
    <t>Aa1</t>
  </si>
  <si>
    <t>PRCH CH Equity</t>
  </si>
  <si>
    <t>USDCNY REGN Curncy</t>
    <phoneticPr fontId="88" type="noConversion"/>
  </si>
  <si>
    <t>6152Z LN Equity</t>
  </si>
  <si>
    <t>GBP Curncy</t>
    <phoneticPr fontId="88" type="noConversion"/>
  </si>
  <si>
    <t>AAu</t>
  </si>
  <si>
    <t>DELL US Equity</t>
  </si>
  <si>
    <t>科技</t>
    <phoneticPr fontId="88" type="noConversion"/>
  </si>
  <si>
    <t>Asml na Equity</t>
    <phoneticPr fontId="88" type="noConversion"/>
  </si>
  <si>
    <t>sap gr Equity</t>
    <phoneticPr fontId="88" type="noConversion"/>
  </si>
  <si>
    <t>AMZN US Equity</t>
    <phoneticPr fontId="88" type="noConversion"/>
  </si>
  <si>
    <t>2330 tt Equity</t>
    <phoneticPr fontId="88" type="noConversion"/>
  </si>
  <si>
    <t>AAPL US Equity</t>
    <phoneticPr fontId="88" type="noConversion"/>
  </si>
  <si>
    <t>AA+</t>
  </si>
  <si>
    <t>MSFT US Equity</t>
    <phoneticPr fontId="88" type="noConversion"/>
  </si>
  <si>
    <t>NVDA US Equity</t>
    <phoneticPr fontId="88" type="noConversion"/>
  </si>
  <si>
    <t>META US Equity</t>
    <phoneticPr fontId="88" type="noConversion"/>
  </si>
  <si>
    <t>Googl US Equity</t>
    <phoneticPr fontId="88" type="noConversion"/>
  </si>
  <si>
    <t>INTC US Equity</t>
    <phoneticPr fontId="88" type="noConversion"/>
  </si>
  <si>
    <t>STX US Equity</t>
    <phoneticPr fontId="88" type="noConversion"/>
  </si>
  <si>
    <t>AVGO US Equity</t>
    <phoneticPr fontId="88" type="noConversion"/>
  </si>
  <si>
    <t>005930 kS Equity</t>
    <phoneticPr fontId="88" type="noConversion"/>
  </si>
  <si>
    <t>HPQ US Equity</t>
    <phoneticPr fontId="88" type="noConversion"/>
  </si>
  <si>
    <t>HPE US Equity</t>
  </si>
  <si>
    <t>BABA US Equity</t>
    <phoneticPr fontId="88" type="noConversion"/>
  </si>
  <si>
    <t>BIDU US Equity</t>
    <phoneticPr fontId="88" type="noConversion"/>
  </si>
  <si>
    <t>EDF FP Equity</t>
  </si>
  <si>
    <t>公用事業</t>
    <phoneticPr fontId="88" type="noConversion"/>
  </si>
  <si>
    <t>enel im Equity</t>
    <phoneticPr fontId="88" type="noConversion"/>
  </si>
  <si>
    <t>eix us Equity</t>
    <phoneticPr fontId="88" type="noConversion"/>
  </si>
  <si>
    <t>1001Z SJ Equity</t>
    <phoneticPr fontId="88" type="noConversion"/>
  </si>
  <si>
    <t>B</t>
  </si>
  <si>
    <t>B2</t>
  </si>
  <si>
    <t>PLN IJ Equity</t>
  </si>
  <si>
    <t>PFE us Equity</t>
    <phoneticPr fontId="88" type="noConversion"/>
  </si>
  <si>
    <t>製藥</t>
    <phoneticPr fontId="88" type="noConversion"/>
  </si>
  <si>
    <t>jnj us Equity</t>
    <phoneticPr fontId="88" type="noConversion"/>
  </si>
  <si>
    <t>abbv us Equity</t>
    <phoneticPr fontId="88" type="noConversion"/>
  </si>
  <si>
    <t>lly us Equity</t>
    <phoneticPr fontId="88" type="noConversion"/>
  </si>
  <si>
    <t>novn sw Equity</t>
    <phoneticPr fontId="88" type="noConversion"/>
  </si>
  <si>
    <t>novob dc equity</t>
    <phoneticPr fontId="88" type="noConversion"/>
  </si>
  <si>
    <t>air fp equity</t>
    <phoneticPr fontId="88" type="noConversion"/>
  </si>
  <si>
    <t>航太</t>
    <phoneticPr fontId="88" type="noConversion"/>
  </si>
  <si>
    <t>BA US Equity</t>
    <phoneticPr fontId="88" type="noConversion"/>
  </si>
  <si>
    <t>公式不同</t>
    <phoneticPr fontId="88" type="noConversion"/>
  </si>
  <si>
    <t>金融</t>
    <phoneticPr fontId="21" type="noConversion"/>
  </si>
  <si>
    <t>previous 1w</t>
    <phoneticPr fontId="21" type="noConversion"/>
  </si>
  <si>
    <t>A-</t>
    <phoneticPr fontId="21" type="noConversion"/>
  </si>
  <si>
    <t>SECURITY_NAME</t>
    <phoneticPr fontId="21" type="noConversion"/>
  </si>
  <si>
    <t>通訊</t>
    <phoneticPr fontId="21" type="noConversion"/>
  </si>
  <si>
    <t>科技</t>
    <phoneticPr fontId="21" type="noConversion"/>
  </si>
  <si>
    <t>汽車</t>
    <phoneticPr fontId="21" type="noConversion"/>
  </si>
  <si>
    <t>消費</t>
    <phoneticPr fontId="21" type="noConversion"/>
  </si>
  <si>
    <t>能源</t>
    <phoneticPr fontId="21" type="noConversion"/>
  </si>
  <si>
    <t>製藥</t>
    <phoneticPr fontId="21" type="noConversion"/>
  </si>
  <si>
    <t>公用事業</t>
    <phoneticPr fontId="21" type="noConversion"/>
  </si>
  <si>
    <t>原物料</t>
    <phoneticPr fontId="21" type="noConversion"/>
  </si>
  <si>
    <t>航太</t>
    <phoneticPr fontId="21" type="noConversion"/>
  </si>
  <si>
    <t>1398 HK Equity</t>
  </si>
  <si>
    <t>3328 HK Equity</t>
  </si>
  <si>
    <t>601288 CH Equity</t>
  </si>
  <si>
    <t>MS US Equity</t>
  </si>
  <si>
    <t>KN FP Equity</t>
  </si>
  <si>
    <t>NWG LN Equity</t>
  </si>
  <si>
    <t>DBK GR Equity</t>
  </si>
  <si>
    <t>CBK GR Equity</t>
  </si>
  <si>
    <t>INGA NA Equity</t>
  </si>
  <si>
    <t>ABN NA Equity</t>
  </si>
  <si>
    <t>SAN SM Equity</t>
  </si>
  <si>
    <t>BBVA SM Equity</t>
  </si>
  <si>
    <t>ANZ AU Equity</t>
  </si>
  <si>
    <t>CBA AU Equity</t>
  </si>
  <si>
    <t>NAB AU Equity</t>
  </si>
  <si>
    <t>WBC AU Equity</t>
  </si>
  <si>
    <t>MQG AU Equity</t>
  </si>
  <si>
    <t>VZ US Equity</t>
  </si>
  <si>
    <t>DTE gr Equity</t>
  </si>
  <si>
    <t>TMUS US Equity</t>
  </si>
  <si>
    <t>AMZN US Equity</t>
  </si>
  <si>
    <t>2330 tt Equity</t>
  </si>
  <si>
    <t>AAPL US Equity</t>
  </si>
  <si>
    <t>MSFT US Equity</t>
  </si>
  <si>
    <t>NVDA US Equity</t>
  </si>
  <si>
    <t>META US Equity</t>
  </si>
  <si>
    <t>Googl US Equity</t>
  </si>
  <si>
    <t>TSLA US Equity</t>
  </si>
  <si>
    <t>7203 JP Equity</t>
  </si>
  <si>
    <t>WMT US Equity</t>
  </si>
  <si>
    <t>cost US Equity</t>
  </si>
  <si>
    <t>abt us Equity</t>
  </si>
  <si>
    <t>nesn sw Equity</t>
  </si>
  <si>
    <t>pg us Equity</t>
  </si>
  <si>
    <t>KO US Equity</t>
  </si>
  <si>
    <t>unh us Equity</t>
  </si>
  <si>
    <t>PERT IJ Equity</t>
  </si>
  <si>
    <t>ARAMCO AB Equity</t>
  </si>
  <si>
    <t>shel ln Equity</t>
  </si>
  <si>
    <t>xom us Equity</t>
  </si>
  <si>
    <t>JNJ US Equity</t>
  </si>
  <si>
    <t>ABBV US Equity</t>
  </si>
  <si>
    <t>lly us Equity</t>
  </si>
  <si>
    <t>novn sw Equity</t>
  </si>
  <si>
    <t>enel im Equity</t>
  </si>
  <si>
    <t>BHP AU Equity</t>
  </si>
  <si>
    <t>1006z ci Equity</t>
  </si>
  <si>
    <t>RIO ln Equity</t>
  </si>
  <si>
    <t>air fp equity</t>
  </si>
  <si>
    <t>BA US Equity</t>
  </si>
  <si>
    <t>Previous 1W (L)</t>
    <phoneticPr fontId="47" type="noConversion"/>
  </si>
  <si>
    <t>Yield (L)</t>
    <phoneticPr fontId="47" type="noConversion"/>
  </si>
  <si>
    <t>Change (R, bps)</t>
    <phoneticPr fontId="47" type="noConversion"/>
  </si>
  <si>
    <t>Issuer Name</t>
  </si>
  <si>
    <t>CUSIP</t>
  </si>
  <si>
    <t>Pricing Date</t>
  </si>
  <si>
    <t>Tranche Size</t>
  </si>
  <si>
    <t>Tenor</t>
  </si>
  <si>
    <t>IPT Midpoint</t>
  </si>
  <si>
    <t>Issue Spread</t>
  </si>
  <si>
    <t>Compression</t>
  </si>
  <si>
    <t>Book</t>
  </si>
  <si>
    <t>Peak Book</t>
  </si>
  <si>
    <t>Coverage</t>
  </si>
  <si>
    <t>New Issue Spread</t>
  </si>
  <si>
    <t>Current Spread</t>
  </si>
  <si>
    <t>Corp Ticker</t>
  </si>
  <si>
    <t>IPT Range</t>
  </si>
  <si>
    <t>NIC</t>
  </si>
  <si>
    <t>Formula Col. 1</t>
  </si>
  <si>
    <t>Attrition Rate</t>
  </si>
  <si>
    <t>Change</t>
  </si>
  <si>
    <t>Ind Sector</t>
  </si>
  <si>
    <t>Ind Group</t>
  </si>
  <si>
    <t>Ind Subgroup</t>
  </si>
  <si>
    <t>BB Composite</t>
  </si>
  <si>
    <t>GB/Ln Ind</t>
  </si>
  <si>
    <t>Soc Instrmnt Ind</t>
  </si>
  <si>
    <t>Sustain Instrmnt Ind</t>
  </si>
  <si>
    <t>IG PRIMARY MARKET ANALYSIS</t>
  </si>
  <si>
    <t>Tracks 2025 USD IG Primary Supply</t>
  </si>
  <si>
    <t>Subscribe to Bloomberg's New Issue Concession Analysis {NSUB NIC &lt;GO&gt;}</t>
  </si>
  <si>
    <t>#ERROR</t>
  </si>
  <si>
    <t>ID_ISIN</t>
    <phoneticPr fontId="21" type="noConversion"/>
  </si>
  <si>
    <t>發行人</t>
    <phoneticPr fontId="21" type="noConversion"/>
  </si>
  <si>
    <t>定價日</t>
    <phoneticPr fontId="21" type="noConversion"/>
  </si>
  <si>
    <t>天期</t>
    <phoneticPr fontId="21" type="noConversion"/>
  </si>
  <si>
    <t>Period</t>
  </si>
  <si>
    <t xml:space="preserve">     --</t>
  </si>
  <si>
    <t>貿易收支</t>
  </si>
  <si>
    <t>標普全球美國服務業PMI</t>
  </si>
  <si>
    <t>標普全球美國綜合PMI</t>
  </si>
  <si>
    <t>ISM服務指數</t>
  </si>
  <si>
    <t>MBA 貸款申請指數</t>
  </si>
  <si>
    <t>非農業生產力</t>
  </si>
  <si>
    <t>單位勞工成本</t>
  </si>
  <si>
    <t>首次申請失業救濟金人數</t>
  </si>
  <si>
    <t>Initial Claims 4-Wk Moving Avg</t>
  </si>
  <si>
    <t>連續申請失業救濟金人數</t>
  </si>
  <si>
    <t>躉售交易銷售(月比)</t>
  </si>
  <si>
    <t>躉售存貨(月比)</t>
  </si>
  <si>
    <t>紐約聯邦1年通膨預期</t>
  </si>
  <si>
    <t>消費信貸</t>
  </si>
  <si>
    <t>金融(主順位)</t>
  </si>
  <si>
    <t>金融(次順位)</t>
  </si>
  <si>
    <t>原物料</t>
  </si>
  <si>
    <t>公用事業</t>
  </si>
  <si>
    <t>非核心消費</t>
  </si>
  <si>
    <t>能源</t>
  </si>
  <si>
    <t>醫療保線</t>
  </si>
  <si>
    <t>工業</t>
  </si>
  <si>
    <t>科技</t>
  </si>
  <si>
    <t>核心消費</t>
  </si>
  <si>
    <t>通訊</t>
  </si>
  <si>
    <t>USOAIGFI INDEX</t>
  </si>
  <si>
    <t>USOAIGFS INDEX</t>
  </si>
  <si>
    <t>USOAIGMA INDEX</t>
  </si>
  <si>
    <t>USOAIGUT INDEX</t>
  </si>
  <si>
    <t>USOAIGCD INDEX</t>
  </si>
  <si>
    <t>USOAIGEN INDEX</t>
  </si>
  <si>
    <t>USOAIGHC INDEX</t>
  </si>
  <si>
    <t>USOAIGIN INDEX</t>
  </si>
  <si>
    <t>USOAIGTC INDEX</t>
  </si>
  <si>
    <t>USOAIGCS INDEX</t>
  </si>
  <si>
    <t>USOAIGCO INDEX</t>
  </si>
  <si>
    <t>認購倍數</t>
    <phoneticPr fontId="21" type="noConversion"/>
  </si>
  <si>
    <t>發行狀況統計</t>
    <phoneticPr fontId="21" type="noConversion"/>
  </si>
  <si>
    <t>IG (ex-SSA)</t>
    <phoneticPr fontId="21" type="noConversion"/>
  </si>
  <si>
    <t>YTD</t>
    <phoneticPr fontId="21" type="noConversion"/>
  </si>
  <si>
    <t>New Issue Concession (bps)</t>
    <phoneticPr fontId="21" type="noConversion"/>
  </si>
  <si>
    <t>Books (Times Covered)</t>
    <phoneticPr fontId="21" type="noConversion"/>
  </si>
  <si>
    <t>Compression (bps)</t>
    <phoneticPr fontId="21" type="noConversion"/>
  </si>
  <si>
    <t>Actual</t>
    <phoneticPr fontId="21" type="noConversion"/>
  </si>
  <si>
    <t>Projected</t>
    <phoneticPr fontId="21" type="noConversion"/>
  </si>
  <si>
    <t>Day</t>
    <phoneticPr fontId="21" type="noConversion"/>
  </si>
  <si>
    <t>WTD</t>
    <phoneticPr fontId="21" type="noConversion"/>
  </si>
  <si>
    <t>MTD</t>
    <phoneticPr fontId="21" type="noConversion"/>
  </si>
  <si>
    <t>$1.5trl</t>
    <phoneticPr fontId="21" type="noConversion"/>
  </si>
  <si>
    <t>上週發行量總量與估計</t>
    <phoneticPr fontId="21" type="noConversion"/>
  </si>
  <si>
    <t>1)</t>
  </si>
  <si>
    <t>-$61.0b</t>
  </si>
  <si>
    <t>Country Code</t>
  </si>
  <si>
    <t>Index</t>
  </si>
  <si>
    <t>Relevance</t>
  </si>
  <si>
    <t>-$71.5b</t>
  </si>
  <si>
    <t>USTBTOT Index</t>
  </si>
  <si>
    <t>4)</t>
  </si>
  <si>
    <t>Jul F</t>
  </si>
  <si>
    <t>MPMIUSSA Index</t>
  </si>
  <si>
    <t>5)</t>
  </si>
  <si>
    <t>MPMIUSCA Index</t>
  </si>
  <si>
    <t>6)</t>
  </si>
  <si>
    <t>NAPMNMI Index</t>
  </si>
  <si>
    <t>7)</t>
  </si>
  <si>
    <t>ISM服務價格支付</t>
  </si>
  <si>
    <t>NAPMNPRC Index</t>
  </si>
  <si>
    <t>8)</t>
  </si>
  <si>
    <t>ISM服務新訂單</t>
  </si>
  <si>
    <t>NAPMNNO Index</t>
  </si>
  <si>
    <t>9)</t>
  </si>
  <si>
    <t>ISM服務就業</t>
  </si>
  <si>
    <t>NAPMNEMP Index</t>
  </si>
  <si>
    <t>10)</t>
  </si>
  <si>
    <t>MBAVCHNG Index</t>
  </si>
  <si>
    <t>11)</t>
  </si>
  <si>
    <t>2Q P</t>
  </si>
  <si>
    <t>PRODNFR% Index</t>
  </si>
  <si>
    <t>12)</t>
  </si>
  <si>
    <t>COSTNFR% Index</t>
  </si>
  <si>
    <t>13)</t>
  </si>
  <si>
    <t>222k</t>
  </si>
  <si>
    <t>218k</t>
  </si>
  <si>
    <t>INJCJC Index</t>
  </si>
  <si>
    <t>14)</t>
  </si>
  <si>
    <t>221.00k</t>
  </si>
  <si>
    <t>INJCJC4 Index</t>
  </si>
  <si>
    <t>15)</t>
  </si>
  <si>
    <t>1950k</t>
  </si>
  <si>
    <t>1946k</t>
  </si>
  <si>
    <t>INJCSP Index</t>
  </si>
  <si>
    <t>16)</t>
  </si>
  <si>
    <t>MWSLCHNG Index</t>
  </si>
  <si>
    <t>17)</t>
  </si>
  <si>
    <t>Jun F</t>
  </si>
  <si>
    <t>MWINCHNG Index</t>
  </si>
  <si>
    <t>18)</t>
  </si>
  <si>
    <t>NYCNM1IR Index</t>
  </si>
  <si>
    <t>19)</t>
  </si>
  <si>
    <t>$7.350b</t>
  </si>
  <si>
    <t>$5.102b</t>
  </si>
  <si>
    <t>CICRTOT Index</t>
  </si>
  <si>
    <t>20)</t>
  </si>
  <si>
    <t>NFIB 中小型企業樂觀指數</t>
  </si>
  <si>
    <t>SBOITOTL Index</t>
  </si>
  <si>
    <t>21)</t>
  </si>
  <si>
    <t>實質平均時薪(年比)</t>
  </si>
  <si>
    <t>REALYRAW Index</t>
  </si>
  <si>
    <t>22)</t>
  </si>
  <si>
    <t>實質平均週薪(年比)</t>
  </si>
  <si>
    <t>REALYRAE Index</t>
  </si>
  <si>
    <t>23)</t>
  </si>
  <si>
    <t>CPI(月比)</t>
  </si>
  <si>
    <t>CPI CHNG Index</t>
  </si>
  <si>
    <t>24)</t>
  </si>
  <si>
    <t>CPI(不含食品及能源)(月比)</t>
  </si>
  <si>
    <t>CPUPXCHG Index</t>
  </si>
  <si>
    <t>25)</t>
  </si>
  <si>
    <t>CPI(年比)</t>
  </si>
  <si>
    <t>CPI YOY Index</t>
  </si>
  <si>
    <t>26)</t>
  </si>
  <si>
    <t>CPI(不含食品及能源)(年比)</t>
  </si>
  <si>
    <t>CPI XYOY Index</t>
  </si>
  <si>
    <t>27)</t>
  </si>
  <si>
    <t>CPI指數(未經季調)</t>
  </si>
  <si>
    <t>CPURNSA Index</t>
  </si>
  <si>
    <t>28)</t>
  </si>
  <si>
    <t>CPI 主要指數 經季調</t>
  </si>
  <si>
    <t>CPUPAXFE Index</t>
  </si>
  <si>
    <t>償債順位</t>
    <phoneticPr fontId="21" type="noConversion"/>
  </si>
  <si>
    <t>票息</t>
    <phoneticPr fontId="21" type="noConversion"/>
  </si>
  <si>
    <t>Rank</t>
    <phoneticPr fontId="21" type="noConversion"/>
  </si>
  <si>
    <t>NAME_CHINESE_TRADITIONAL</t>
    <phoneticPr fontId="21" type="noConversion"/>
  </si>
  <si>
    <t>Coupon</t>
    <phoneticPr fontId="21" type="noConversion"/>
  </si>
  <si>
    <t>CPN</t>
    <phoneticPr fontId="21" type="noConversion"/>
  </si>
  <si>
    <t>Yield</t>
    <phoneticPr fontId="21" type="noConversion"/>
  </si>
  <si>
    <t>殖利率</t>
    <phoneticPr fontId="21" type="noConversion"/>
  </si>
  <si>
    <t>T + 120 Area</t>
  </si>
  <si>
    <t>STANDARD CHARTERED PLC</t>
  </si>
  <si>
    <t>STANLN</t>
  </si>
  <si>
    <t>Financial</t>
  </si>
  <si>
    <t>Banks</t>
  </si>
  <si>
    <t>Commer Banks Non-US</t>
  </si>
  <si>
    <t>N</t>
  </si>
  <si>
    <t>#N/A N/A</t>
  </si>
  <si>
    <t>Consumer, Cyclical</t>
  </si>
  <si>
    <t>Auto Manufacturers</t>
  </si>
  <si>
    <t>Auto-Med&amp;Heavy Duty Trks</t>
  </si>
  <si>
    <t>REITS</t>
  </si>
  <si>
    <t>Insurance</t>
  </si>
  <si>
    <t>Multi-line Insurance</t>
  </si>
  <si>
    <t>Technology</t>
  </si>
  <si>
    <t>Software</t>
  </si>
  <si>
    <t>Utilities</t>
  </si>
  <si>
    <t>Electric</t>
  </si>
  <si>
    <t>Electric-Integrated</t>
  </si>
  <si>
    <t>PACCAR FINANCIAL CORP</t>
  </si>
  <si>
    <t>PCAR</t>
  </si>
  <si>
    <t>Data Processing/Mgmt</t>
  </si>
  <si>
    <t>Consumer, Non-cyclical</t>
  </si>
  <si>
    <t>Commercial Services</t>
  </si>
  <si>
    <t>Electric-Distribution</t>
  </si>
  <si>
    <t>Y</t>
  </si>
  <si>
    <t>DOMINION ENERGY INC</t>
  </si>
  <si>
    <t>D</t>
  </si>
  <si>
    <t>PUBLIC SERVICE COLORADO</t>
  </si>
  <si>
    <t>XEL</t>
  </si>
  <si>
    <t>744448DB4</t>
  </si>
  <si>
    <t>Private Equity</t>
  </si>
  <si>
    <t>Property/Casualty Ins</t>
  </si>
  <si>
    <t>Agriculture</t>
  </si>
  <si>
    <t>Tobacco</t>
  </si>
  <si>
    <t>Diversified Banking Inst</t>
  </si>
  <si>
    <t>YAS_BOND_YLD</t>
    <phoneticPr fontId="21" type="noConversion"/>
  </si>
  <si>
    <t>中英文確認</t>
    <phoneticPr fontId="21" type="noConversion"/>
  </si>
  <si>
    <t>English Name</t>
    <phoneticPr fontId="21" type="noConversion"/>
  </si>
  <si>
    <t>發行量(MM)</t>
    <phoneticPr fontId="21" type="noConversion"/>
  </si>
  <si>
    <t>PAYMENT_RANK</t>
    <phoneticPr fontId="21" type="noConversion"/>
  </si>
  <si>
    <t>週變化(%)</t>
    <phoneticPr fontId="21" type="noConversion"/>
  </si>
  <si>
    <t>利率</t>
    <phoneticPr fontId="21" type="noConversion"/>
  </si>
  <si>
    <t>前週利率</t>
    <phoneticPr fontId="21" type="noConversion"/>
  </si>
  <si>
    <t>前週收盤</t>
    <phoneticPr fontId="21" type="noConversion"/>
  </si>
  <si>
    <t>變化</t>
    <phoneticPr fontId="21" type="noConversion"/>
  </si>
  <si>
    <t>週變化</t>
    <phoneticPr fontId="21" type="noConversion"/>
  </si>
  <si>
    <t>價格</t>
    <phoneticPr fontId="21" type="noConversion"/>
  </si>
  <si>
    <t>前週價格</t>
    <phoneticPr fontId="21" type="noConversion"/>
  </si>
  <si>
    <t>TFLO-&gt;Sectors (Corporate Bonds); Period is 1 Week</t>
  </si>
  <si>
    <t>Total Volume</t>
  </si>
  <si>
    <t>Dealer to Client Volume</t>
  </si>
  <si>
    <t>Dealer to Affiliate Volume</t>
  </si>
  <si>
    <t>Dlr to Dlr Vol</t>
  </si>
  <si>
    <t>Sector</t>
  </si>
  <si>
    <t>Volume(M)</t>
  </si>
  <si>
    <t>Buys(M)</t>
  </si>
  <si>
    <t>Sells(M)</t>
  </si>
  <si>
    <t>Net(M)</t>
  </si>
  <si>
    <t>B/S%</t>
  </si>
  <si>
    <t>Total</t>
  </si>
  <si>
    <t>Financials</t>
  </si>
  <si>
    <t>Consumer Discretionary</t>
  </si>
  <si>
    <t>Energy</t>
  </si>
  <si>
    <t>Health Care</t>
  </si>
  <si>
    <t>Communications</t>
  </si>
  <si>
    <t>Industrials</t>
  </si>
  <si>
    <t>Consumer Staples</t>
  </si>
  <si>
    <t>Materials</t>
  </si>
  <si>
    <t>TFLO-&gt;Maturity (Corporate Bonds); Period is 1 Week</t>
  </si>
  <si>
    <t>Maturity</t>
  </si>
  <si>
    <t>3 -7 yr</t>
  </si>
  <si>
    <t>&gt; 12 yr</t>
  </si>
  <si>
    <t>7 -12 yr</t>
  </si>
  <si>
    <t>1 -3 yr</t>
  </si>
  <si>
    <t>0 -1 yr</t>
  </si>
  <si>
    <t>Matured</t>
  </si>
  <si>
    <t>TFLO-&gt;Rating (Corporate Bonds); Period is 1 Week</t>
  </si>
  <si>
    <t>Rating</t>
  </si>
  <si>
    <t>Investment Grade</t>
  </si>
  <si>
    <t>Aa1-Aa3</t>
  </si>
  <si>
    <t>A1-A3</t>
  </si>
  <si>
    <t>Baa1-Baa3</t>
  </si>
  <si>
    <t>High Yield</t>
  </si>
  <si>
    <t>Ba1-Ba3</t>
  </si>
  <si>
    <t>B1-B3</t>
  </si>
  <si>
    <t>Caa1-Caa3</t>
  </si>
  <si>
    <t>Ca</t>
  </si>
  <si>
    <t>C</t>
  </si>
  <si>
    <t>Not Rated</t>
  </si>
  <si>
    <t>real_cusip</t>
  </si>
  <si>
    <t>Cpn</t>
  </si>
  <si>
    <t>R</t>
  </si>
  <si>
    <t>S</t>
  </si>
  <si>
    <t>T</t>
  </si>
  <si>
    <t>Sz(M)</t>
  </si>
  <si>
    <t>Price</t>
  </si>
  <si>
    <t>Chg</t>
  </si>
  <si>
    <t>Yield</t>
  </si>
  <si>
    <t>Spr</t>
  </si>
  <si>
    <t>Hi Px</t>
  </si>
  <si>
    <t>Low Px</t>
  </si>
  <si>
    <t>Z-Spr</t>
  </si>
  <si>
    <t>I-Spr</t>
  </si>
  <si>
    <t>ASW</t>
  </si>
  <si>
    <t>OAS</t>
  </si>
  <si>
    <t>G-Spr</t>
  </si>
  <si>
    <t>Trd</t>
  </si>
  <si>
    <t>Vol(M)</t>
  </si>
  <si>
    <t>Time</t>
  </si>
  <si>
    <t>JPM</t>
  </si>
  <si>
    <t>N.A.</t>
  </si>
  <si>
    <t>46647PEX @TRL1 Corp</t>
  </si>
  <si>
    <t>WFC</t>
  </si>
  <si>
    <t>MS</t>
  </si>
  <si>
    <t>GS</t>
  </si>
  <si>
    <t>BAC</t>
  </si>
  <si>
    <t>CVS</t>
  </si>
  <si>
    <t>AVGO</t>
  </si>
  <si>
    <t>AXP</t>
  </si>
  <si>
    <t>GM</t>
  </si>
  <si>
    <t>VZ</t>
  </si>
  <si>
    <t>PNC</t>
  </si>
  <si>
    <t>DB</t>
  </si>
  <si>
    <t>MUFG</t>
  </si>
  <si>
    <t>AAPL</t>
  </si>
  <si>
    <t>NWG</t>
  </si>
  <si>
    <t>TGT</t>
  </si>
  <si>
    <t>EIX</t>
  </si>
  <si>
    <t>RY</t>
  </si>
  <si>
    <t>CMCSA</t>
  </si>
  <si>
    <t>NI</t>
  </si>
  <si>
    <t>BIIB</t>
  </si>
  <si>
    <t>RIOLN</t>
  </si>
  <si>
    <t>HSBC</t>
  </si>
  <si>
    <t>HPQ</t>
  </si>
  <si>
    <t>DHI</t>
  </si>
  <si>
    <t>OKE</t>
  </si>
  <si>
    <t>STT</t>
  </si>
  <si>
    <t>LLY</t>
  </si>
  <si>
    <t>DELL</t>
  </si>
  <si>
    <t>BATSLN</t>
  </si>
  <si>
    <t>GOOGL</t>
  </si>
  <si>
    <t>TMUS</t>
  </si>
  <si>
    <t>UBS</t>
  </si>
  <si>
    <t>EXR</t>
  </si>
  <si>
    <t>CMI</t>
  </si>
  <si>
    <t>KMI</t>
  </si>
  <si>
    <t>HST</t>
  </si>
  <si>
    <t>AER</t>
  </si>
  <si>
    <t>MU</t>
  </si>
  <si>
    <t>SRE</t>
  </si>
  <si>
    <t>BK</t>
  </si>
  <si>
    <t>SANUSA</t>
  </si>
  <si>
    <t>MET</t>
  </si>
  <si>
    <t>CM</t>
  </si>
  <si>
    <t>LYB</t>
  </si>
  <si>
    <t>DUK</t>
  </si>
  <si>
    <t>WMT</t>
  </si>
  <si>
    <t>AEE</t>
  </si>
  <si>
    <t>VICI</t>
  </si>
  <si>
    <t>LPLA</t>
  </si>
  <si>
    <t>BAH</t>
  </si>
  <si>
    <t>SO</t>
  </si>
  <si>
    <t>RSG</t>
  </si>
  <si>
    <t>DTE</t>
  </si>
  <si>
    <t>GD</t>
  </si>
  <si>
    <t>MDLZ</t>
  </si>
  <si>
    <t>PAYX</t>
  </si>
  <si>
    <t>O</t>
  </si>
  <si>
    <t>BNCN</t>
  </si>
  <si>
    <t>ATH</t>
  </si>
  <si>
    <t>KOF</t>
  </si>
  <si>
    <t>KDP</t>
  </si>
  <si>
    <t>STLD</t>
  </si>
  <si>
    <t>KEYS</t>
  </si>
  <si>
    <t>AEP</t>
  </si>
  <si>
    <t>INTNED</t>
  </si>
  <si>
    <t>AZO</t>
  </si>
  <si>
    <t>ADP</t>
  </si>
  <si>
    <t>AMT</t>
  </si>
  <si>
    <t>IDA</t>
  </si>
  <si>
    <t>BRKHEC</t>
  </si>
  <si>
    <t>AMH</t>
  </si>
  <si>
    <t>PLD</t>
  </si>
  <si>
    <t>SBUX</t>
  </si>
  <si>
    <t>ETR</t>
  </si>
  <si>
    <t>CP</t>
  </si>
  <si>
    <t>STZ</t>
  </si>
  <si>
    <t>DGELN</t>
  </si>
  <si>
    <t>FE</t>
  </si>
  <si>
    <t>PM</t>
  </si>
  <si>
    <t>CBG</t>
  </si>
  <si>
    <t>JBHT</t>
  </si>
  <si>
    <t>ONCRTX</t>
  </si>
  <si>
    <t>CTVA</t>
  </si>
  <si>
    <t>REG</t>
  </si>
  <si>
    <t>CMS</t>
  </si>
  <si>
    <t>LGENSO</t>
  </si>
  <si>
    <t>EQR</t>
  </si>
  <si>
    <t>COLD</t>
  </si>
  <si>
    <t>CNHI</t>
  </si>
  <si>
    <t>RELLN</t>
  </si>
  <si>
    <t>PG</t>
  </si>
  <si>
    <t>NTRCN</t>
  </si>
  <si>
    <t>CTAS</t>
  </si>
  <si>
    <t>NIPLIF</t>
  </si>
  <si>
    <t>MARGRO</t>
  </si>
  <si>
    <t>STOR</t>
  </si>
  <si>
    <t>NSC</t>
  </si>
  <si>
    <t>TEL</t>
  </si>
  <si>
    <t>BCP</t>
  </si>
  <si>
    <t>H</t>
  </si>
  <si>
    <t>STLA</t>
  </si>
  <si>
    <t>AES</t>
  </si>
  <si>
    <t>AMCR</t>
  </si>
  <si>
    <t>CL</t>
  </si>
  <si>
    <t>NWN</t>
  </si>
  <si>
    <t>PRU</t>
  </si>
  <si>
    <t>PSD</t>
  </si>
  <si>
    <t>GIBACN</t>
  </si>
  <si>
    <t>HYNMTR</t>
  </si>
  <si>
    <t>BMW</t>
  </si>
  <si>
    <t>MBGGR</t>
  </si>
  <si>
    <t>ETN</t>
  </si>
  <si>
    <t>重點發行人市場表現</t>
    <phoneticPr fontId="88" type="noConversion"/>
  </si>
  <si>
    <t>產業</t>
    <phoneticPr fontId="88" type="noConversion"/>
  </si>
  <si>
    <t>公司名稱</t>
    <phoneticPr fontId="88" type="noConversion"/>
  </si>
  <si>
    <t>中文名稱</t>
    <phoneticPr fontId="88" type="noConversion"/>
  </si>
  <si>
    <t>股價/匯率觀察</t>
    <phoneticPr fontId="88" type="noConversion"/>
  </si>
  <si>
    <t>CDS警示</t>
    <phoneticPr fontId="88" type="noConversion"/>
  </si>
  <si>
    <t>信評警示</t>
    <phoneticPr fontId="88" type="noConversion"/>
  </si>
  <si>
    <t>Outlook</t>
    <phoneticPr fontId="88" type="noConversion"/>
  </si>
  <si>
    <r>
      <rPr>
        <sz val="10"/>
        <color indexed="8"/>
        <rFont val="微軟正黑體"/>
        <family val="2"/>
        <charset val="136"/>
      </rPr>
      <t>最新股價/</t>
    </r>
    <r>
      <rPr>
        <sz val="10"/>
        <color rgb="FF000000"/>
        <rFont val="Microsoft JhengHei"/>
        <family val="2"/>
      </rPr>
      <t>匯率</t>
    </r>
    <phoneticPr fontId="21" type="noConversion"/>
  </si>
  <si>
    <r>
      <t>1D%</t>
    </r>
    <r>
      <rPr>
        <sz val="10"/>
        <color theme="1"/>
        <rFont val="微軟正黑體"/>
        <family val="2"/>
        <charset val="136"/>
      </rPr>
      <t>△</t>
    </r>
    <phoneticPr fontId="21" type="noConversion"/>
  </si>
  <si>
    <r>
      <t xml:space="preserve">1D </t>
    </r>
    <r>
      <rPr>
        <sz val="10"/>
        <color theme="1"/>
        <rFont val="微軟正黑體"/>
        <family val="2"/>
        <charset val="136"/>
      </rPr>
      <t>△</t>
    </r>
    <phoneticPr fontId="21" type="noConversion"/>
  </si>
  <si>
    <t>Bank of China Ltd</t>
  </si>
  <si>
    <t>中國銀行股份有限公司</t>
  </si>
  <si>
    <t>Industrial &amp; Commercial Bank o</t>
  </si>
  <si>
    <t>中國工商銀行股份有限公司</t>
  </si>
  <si>
    <t>China Construction Bank Corp</t>
  </si>
  <si>
    <t>中國建設銀行股份有限公司</t>
  </si>
  <si>
    <t>Bank of Communications Co Ltd</t>
  </si>
  <si>
    <t>交通銀行股份有限公司</t>
  </si>
  <si>
    <t>Agricultural Bank of China Ltd</t>
  </si>
  <si>
    <t>中國農業銀行股份有限公司</t>
  </si>
  <si>
    <t>Citigroup Inc</t>
  </si>
  <si>
    <t>花旗集團</t>
  </si>
  <si>
    <t>Bank of America Corp</t>
  </si>
  <si>
    <t>美國銀行</t>
  </si>
  <si>
    <t>JPMorgan Chase &amp; Co</t>
  </si>
  <si>
    <t>摩根大通銀行</t>
  </si>
  <si>
    <t>Wells Fargo &amp; Co</t>
  </si>
  <si>
    <t>富國銀行</t>
  </si>
  <si>
    <t>Goldman Sachs Group Inc/The</t>
  </si>
  <si>
    <t>高盛集團</t>
  </si>
  <si>
    <t>Morgan Stanley</t>
  </si>
  <si>
    <t>摩根士丹利</t>
  </si>
  <si>
    <t>BNP Paribas SA</t>
  </si>
  <si>
    <t>法國巴黎銀行</t>
  </si>
  <si>
    <t>Societe Generale SA</t>
  </si>
  <si>
    <t>法國興業銀行</t>
  </si>
  <si>
    <t>Credit Agricole SA</t>
  </si>
  <si>
    <t>法國農業信貸銀行</t>
  </si>
  <si>
    <t>Natixis SA</t>
  </si>
  <si>
    <t>法國外貿銀行股份有限公司</t>
  </si>
  <si>
    <t>BPCE SA</t>
  </si>
  <si>
    <t>BPCE有限責任公司</t>
  </si>
  <si>
    <t>HSBC Holdings PLC</t>
  </si>
  <si>
    <t>匯豐控股</t>
  </si>
  <si>
    <t>Standard Chartered PLC</t>
  </si>
  <si>
    <t>渣打集團</t>
  </si>
  <si>
    <t>Barclays PLC</t>
  </si>
  <si>
    <t>巴克萊集團</t>
  </si>
  <si>
    <t>Natwest Group PLC</t>
  </si>
  <si>
    <r>
      <rPr>
        <sz val="10"/>
        <color theme="1"/>
        <rFont val="微軟正黑體"/>
        <family val="2"/>
        <charset val="136"/>
      </rPr>
      <t>國民西敏寺銀行集團公開有限</t>
    </r>
    <r>
      <rPr>
        <sz val="10"/>
        <color theme="1"/>
        <rFont val="新細明體"/>
        <family val="2"/>
        <charset val="136"/>
      </rPr>
      <t>公司</t>
    </r>
    <phoneticPr fontId="88" type="noConversion"/>
  </si>
  <si>
    <t>Lloyds Banking Group PLC</t>
  </si>
  <si>
    <t>駿懋銀行集團</t>
  </si>
  <si>
    <t>Deutsche Bank AG</t>
  </si>
  <si>
    <t>德意志銀行</t>
  </si>
  <si>
    <t>Commerzbank AG</t>
  </si>
  <si>
    <t>德國商業銀行</t>
  </si>
  <si>
    <t>ING Groep NV</t>
  </si>
  <si>
    <t>荷蘭國際集團</t>
  </si>
  <si>
    <t>ABN AMRO Bank NV</t>
  </si>
  <si>
    <t>荷蘭銀行公眾有限公司</t>
  </si>
  <si>
    <t>UBS Group AG</t>
  </si>
  <si>
    <t>瑞銀集團公司</t>
  </si>
  <si>
    <t>Banco Santander SA</t>
  </si>
  <si>
    <t>西班牙國際銀行</t>
  </si>
  <si>
    <t>Banco Bilbao Vizcaya Argentari</t>
  </si>
  <si>
    <t>畢爾巴鄂比斯開銀行</t>
  </si>
  <si>
    <t>Mitsubishi UFJ Financial Group</t>
  </si>
  <si>
    <t>三菱UFJ金融集團公司</t>
  </si>
  <si>
    <t>Sumitomo Mitsui Financial Grou</t>
  </si>
  <si>
    <t>三井住友金融集團公司</t>
  </si>
  <si>
    <t>Mizuho Financial Group Inc</t>
  </si>
  <si>
    <t>瑞穗金融集團</t>
  </si>
  <si>
    <t>ANZ Group Holdings Ltd</t>
  </si>
  <si>
    <t>澳盛銀行集團控股有限公司</t>
  </si>
  <si>
    <t>Commonwealth Bank of Australia</t>
  </si>
  <si>
    <t>澳洲聯邦銀行</t>
  </si>
  <si>
    <t>National Australia Bank Ltd</t>
  </si>
  <si>
    <t>澳大利亞國家銀行</t>
  </si>
  <si>
    <t>Westpac Banking Corp</t>
  </si>
  <si>
    <t>西太平洋銀行公司</t>
  </si>
  <si>
    <t>Macquarie Group Ltd</t>
  </si>
  <si>
    <t>麥格理集團</t>
  </si>
  <si>
    <t>Vodafone Group PLC</t>
  </si>
  <si>
    <t>沃達豐集團公開有限公司</t>
  </si>
  <si>
    <t>Verizon Communications Inc</t>
  </si>
  <si>
    <t>威瑞森電信公司</t>
  </si>
  <si>
    <t>Deutsche Telekom AG</t>
  </si>
  <si>
    <t>德意志電信</t>
  </si>
  <si>
    <t>T-Mobile US Inc</t>
  </si>
  <si>
    <t>T-Mobile美國公司</t>
  </si>
  <si>
    <t>AT&amp;T Inc</t>
  </si>
  <si>
    <t>AT&amp;T公司</t>
  </si>
  <si>
    <t>Amazon.com Inc</t>
  </si>
  <si>
    <t>亞馬遜公司</t>
  </si>
  <si>
    <t>Taiwan Semiconductor Manufactu</t>
  </si>
  <si>
    <t>台灣積體電路製造股份有限公司</t>
  </si>
  <si>
    <t>Apple Inc</t>
  </si>
  <si>
    <t>蘋果公司</t>
  </si>
  <si>
    <t>Microsoft Corp</t>
  </si>
  <si>
    <t>微軟</t>
  </si>
  <si>
    <t>NVIDIA Corp</t>
  </si>
  <si>
    <t>輝達</t>
  </si>
  <si>
    <t>Meta Platforms Inc</t>
  </si>
  <si>
    <t>Meta平台公司</t>
  </si>
  <si>
    <t>Alphabet Inc</t>
  </si>
  <si>
    <t>Alphabet公司</t>
  </si>
  <si>
    <t>Oracle Corp</t>
  </si>
  <si>
    <t>甲骨文公司</t>
  </si>
  <si>
    <t>Broadcom Inc</t>
  </si>
  <si>
    <t>博通公司</t>
  </si>
  <si>
    <t>Intel Corp</t>
  </si>
  <si>
    <t>英特爾</t>
  </si>
  <si>
    <t>Tesla Inc</t>
  </si>
  <si>
    <t>特斯拉公司</t>
  </si>
  <si>
    <t>Toyota Motor Corp</t>
  </si>
  <si>
    <t>豐田汽車公司</t>
  </si>
  <si>
    <t>Walmart Inc</t>
  </si>
  <si>
    <t>沃爾瑪公司</t>
  </si>
  <si>
    <t>Costco Wholesale Corp</t>
  </si>
  <si>
    <t>好市多公司</t>
  </si>
  <si>
    <t>Abbott Laboratories</t>
  </si>
  <si>
    <t>亞培</t>
  </si>
  <si>
    <t>McDonald's Corp</t>
  </si>
  <si>
    <t>麥當勞公司</t>
  </si>
  <si>
    <t>Nestle SA</t>
  </si>
  <si>
    <t>雀巢</t>
  </si>
  <si>
    <t>Procter &amp; Gamble Co/The</t>
  </si>
  <si>
    <t>寶僑公司</t>
  </si>
  <si>
    <t>Coca-Cola Co/The</t>
  </si>
  <si>
    <t>可口可樂公司</t>
  </si>
  <si>
    <t>3M Co</t>
  </si>
  <si>
    <t>3M</t>
  </si>
  <si>
    <t>UnitedHealth Group Inc</t>
  </si>
  <si>
    <t>聯合健康集團公司</t>
  </si>
  <si>
    <t>Petroleos Mexicanos</t>
  </si>
  <si>
    <t>墨西哥石油公司</t>
  </si>
  <si>
    <t>Pertamina Persero PT</t>
  </si>
  <si>
    <t>印尼國家石油有限公司</t>
  </si>
  <si>
    <t>Saudi Arabian Oil Co</t>
  </si>
  <si>
    <t>沙烏地阿拉伯國家石油公司</t>
  </si>
  <si>
    <t>Shell PLC</t>
  </si>
  <si>
    <t>殼牌公開有限公司</t>
  </si>
  <si>
    <t>Exxon Mobil Corp</t>
  </si>
  <si>
    <t>埃克森美孚公司</t>
  </si>
  <si>
    <t>Johnson &amp; Johnson</t>
  </si>
  <si>
    <t>嬌生公司</t>
  </si>
  <si>
    <t>AbbVie Inc</t>
  </si>
  <si>
    <t>艾伯維公司</t>
  </si>
  <si>
    <t>Eli Lilly &amp; Co</t>
  </si>
  <si>
    <t>禮來公司</t>
  </si>
  <si>
    <t>Novartis AG</t>
  </si>
  <si>
    <t>諾華公司</t>
  </si>
  <si>
    <t>Electricite de France SA</t>
  </si>
  <si>
    <t>法國電力有限責任公司</t>
  </si>
  <si>
    <t>Comision Federal de Electricid</t>
  </si>
  <si>
    <t>聯邦電力委員會</t>
  </si>
  <si>
    <t>Enel SpA</t>
  </si>
  <si>
    <t>義大利國家電力公司</t>
  </si>
  <si>
    <t>Perusahaan Perseroan Persero P</t>
  </si>
  <si>
    <t>國家電力公司</t>
  </si>
  <si>
    <t>BHP Group Ltd</t>
  </si>
  <si>
    <t>必和必拓集團有限公司</t>
  </si>
  <si>
    <t>Corp Nacional del Cobre de Chi</t>
  </si>
  <si>
    <t>智利國家銅業公司</t>
  </si>
  <si>
    <t>Rio Tinto PLC</t>
  </si>
  <si>
    <t>力拓公開有限公司</t>
  </si>
  <si>
    <t>Netflix Inc</t>
  </si>
  <si>
    <t>網飛公司</t>
  </si>
  <si>
    <t>Walt Disney Co/The</t>
  </si>
  <si>
    <t>華特迪士尼公司</t>
  </si>
  <si>
    <t>Sony Group Corp</t>
  </si>
  <si>
    <t>索尼</t>
  </si>
  <si>
    <t>Paramount Global</t>
  </si>
  <si>
    <t>派拉蒙全球</t>
  </si>
  <si>
    <t>Airbus SE</t>
  </si>
  <si>
    <t>空中巴士公司</t>
  </si>
  <si>
    <t>Boeing Co/The</t>
  </si>
  <si>
    <t>波音公司</t>
  </si>
  <si>
    <t>Republic of Chile</t>
  </si>
  <si>
    <t>智利共和國</t>
  </si>
  <si>
    <t>United Mexican States</t>
  </si>
  <si>
    <t>墨西哥合眾國</t>
  </si>
  <si>
    <t>Republic of South Africa</t>
  </si>
  <si>
    <t>南非共和國</t>
  </si>
  <si>
    <t>Republic of Indonesia</t>
  </si>
  <si>
    <t>印尼共和國</t>
  </si>
  <si>
    <t>Kingdom of Saudi Arabia</t>
  </si>
  <si>
    <t>沙烏地阿拉伯王國</t>
  </si>
  <si>
    <t>State of Qatar</t>
  </si>
  <si>
    <t>卡達</t>
  </si>
  <si>
    <t>參考牌告RP利率</t>
    <phoneticPr fontId="88" type="noConversion"/>
  </si>
  <si>
    <t>3Mth</t>
    <phoneticPr fontId="88" type="noConversion"/>
  </si>
  <si>
    <t>6Mth</t>
    <phoneticPr fontId="88" type="noConversion"/>
  </si>
  <si>
    <t>12Mth</t>
    <phoneticPr fontId="88" type="noConversion"/>
  </si>
  <si>
    <t>美元</t>
    <phoneticPr fontId="88" type="noConversion"/>
  </si>
  <si>
    <t>英鎊</t>
    <phoneticPr fontId="88" type="noConversion"/>
  </si>
  <si>
    <t>人民幣</t>
    <phoneticPr fontId="88" type="noConversion"/>
  </si>
  <si>
    <t>南非幣</t>
    <phoneticPr fontId="88" type="noConversion"/>
  </si>
  <si>
    <t>3358410Z FP EQUITY</t>
    <phoneticPr fontId="21" type="noConversion"/>
  </si>
  <si>
    <t>8316 JP Equity</t>
  </si>
  <si>
    <t>8411 JP Equity</t>
  </si>
  <si>
    <t>ORCL US Equity</t>
    <phoneticPr fontId="21" type="noConversion"/>
  </si>
  <si>
    <t>ORCL US Equity</t>
    <phoneticPr fontId="21" type="noConversion"/>
  </si>
  <si>
    <t>AVGO US Equity</t>
    <phoneticPr fontId="21" type="noConversion"/>
  </si>
  <si>
    <t>INTC US Equity</t>
    <phoneticPr fontId="21" type="noConversion"/>
  </si>
  <si>
    <t>MCD US Equity</t>
    <phoneticPr fontId="21" type="noConversion"/>
  </si>
  <si>
    <t>MMM US Equity</t>
    <phoneticPr fontId="21" type="noConversion"/>
  </si>
  <si>
    <t>1016Z MM Equity</t>
    <phoneticPr fontId="21" type="noConversion"/>
  </si>
  <si>
    <t>PARA US Equity</t>
    <phoneticPr fontId="21" type="noConversion"/>
  </si>
  <si>
    <t>媒體</t>
    <phoneticPr fontId="21" type="noConversion"/>
  </si>
  <si>
    <t>主權</t>
    <phoneticPr fontId="21" type="noConversion"/>
  </si>
  <si>
    <t>美國投資等級債券初級市場</t>
    <phoneticPr fontId="21" type="noConversion"/>
  </si>
  <si>
    <t>Pipelines</t>
  </si>
  <si>
    <t>Diversified Finan Serv</t>
  </si>
  <si>
    <t>Invest Mgmnt/Advis Serv</t>
  </si>
  <si>
    <t>BMW US CAPITAL LLC</t>
  </si>
  <si>
    <t>Auto-Cars/Light Trucks</t>
  </si>
  <si>
    <t>EXTRA SPACE STORAGE LP</t>
  </si>
  <si>
    <t>REITS-Storage</t>
  </si>
  <si>
    <t>UBS GROUP AG</t>
  </si>
  <si>
    <t>#N/A Field Not Applicable</t>
  </si>
  <si>
    <t>Basic Materials</t>
  </si>
  <si>
    <t>Chemicals</t>
  </si>
  <si>
    <t>ROYAL BANK OF CANADA</t>
  </si>
  <si>
    <t>DEUTSCHE BANK NY</t>
  </si>
  <si>
    <t>Commer Banks-Eastern US</t>
  </si>
  <si>
    <t>Finance-Invest Bnkr/Brkr</t>
  </si>
  <si>
    <t>Finance-Credit Card</t>
  </si>
  <si>
    <t>Industrial</t>
  </si>
  <si>
    <t>Aerospace/Defense</t>
  </si>
  <si>
    <t>YP651971</t>
  </si>
  <si>
    <t>WELLS FARGO &amp; COMPANY</t>
  </si>
  <si>
    <t>95000U3W1</t>
  </si>
  <si>
    <t>Super-Regional Banks-US</t>
  </si>
  <si>
    <t>NEW YORK LIFE GLOBAL FDG</t>
  </si>
  <si>
    <t>NYLIFE</t>
  </si>
  <si>
    <t>Mutual Insurance</t>
  </si>
  <si>
    <t>AMERICAN EXPRESS CO</t>
  </si>
  <si>
    <t>Beverages</t>
  </si>
  <si>
    <t>Beverages-Non-alcoholic</t>
  </si>
  <si>
    <t>Machinery-Diversified</t>
  </si>
  <si>
    <t>Machinery-Farm</t>
  </si>
  <si>
    <t>BANK OF AMERICA CORP</t>
  </si>
  <si>
    <t>PNC BANK NA</t>
  </si>
  <si>
    <t>PNC FINANCIAL SERVICES</t>
  </si>
  <si>
    <t>Life/Health Insurance</t>
  </si>
  <si>
    <t>Investment Companies</t>
  </si>
  <si>
    <t>JPMORGAN CHASE &amp; CO</t>
  </si>
  <si>
    <t>Food</t>
  </si>
  <si>
    <t>ATHENE GLOBAL FUNDING</t>
  </si>
  <si>
    <t>Finance-Leasing Compan</t>
  </si>
  <si>
    <t>AVIATION CAPITAL GROUP</t>
  </si>
  <si>
    <t>ACGCAP</t>
  </si>
  <si>
    <t>PACIFIC LIFE GF II</t>
  </si>
  <si>
    <t>PACLIF</t>
  </si>
  <si>
    <t>Telecommunications</t>
  </si>
  <si>
    <t>WESTERN-SOUTHERN GLOBAL</t>
  </si>
  <si>
    <t>WSFIN</t>
  </si>
  <si>
    <t>Oil&amp;Gas</t>
  </si>
  <si>
    <t>Oil Comp-Explor&amp;Prodtn</t>
  </si>
  <si>
    <t>CANADIAN IMPERIAL BANK</t>
  </si>
  <si>
    <t>Semiconductors</t>
  </si>
  <si>
    <t>Electronic Compo-Semicon</t>
  </si>
  <si>
    <t>REITS-Diversified</t>
  </si>
  <si>
    <t>AVOLON HOLDINGS FNDG LTD</t>
  </si>
  <si>
    <t>AVOL</t>
  </si>
  <si>
    <t>Trucking&amp;Leasing</t>
  </si>
  <si>
    <t>Transport-Equip&amp;Leasng</t>
  </si>
  <si>
    <t>Cellular Telecom</t>
  </si>
  <si>
    <t>REITS-Apartments</t>
  </si>
  <si>
    <t>REITS-Single Tenant</t>
  </si>
  <si>
    <t>BNP PARIBAS</t>
  </si>
  <si>
    <t>BNP</t>
  </si>
  <si>
    <t>Telephone-Integrated</t>
  </si>
  <si>
    <t>NISOURCE INC</t>
  </si>
  <si>
    <t>Gas</t>
  </si>
  <si>
    <t>Gas-Distribution</t>
  </si>
  <si>
    <t>YQ601704</t>
  </si>
  <si>
    <t>65473PAU9</t>
  </si>
  <si>
    <t>HYUNDAI CAPITAL AMERICA</t>
  </si>
  <si>
    <t>REITS-Shopping Centers</t>
  </si>
  <si>
    <t>Commercial Serv-Finance</t>
  </si>
  <si>
    <t>REITS-Warehouse/Industr</t>
  </si>
  <si>
    <t>Reinsurance</t>
  </si>
  <si>
    <t>Electronics</t>
  </si>
  <si>
    <t>Electronic Connectors</t>
  </si>
  <si>
    <t>TARGET CORP</t>
  </si>
  <si>
    <t>Retail</t>
  </si>
  <si>
    <t>Retail-Discount</t>
  </si>
  <si>
    <t>Home Builders</t>
  </si>
  <si>
    <t>Bldg-Residential/Commer</t>
  </si>
  <si>
    <t>Iron/Steel</t>
  </si>
  <si>
    <t>Steel-Producers</t>
  </si>
  <si>
    <t>MUTUAL OF OMAHA GLOBAL</t>
  </si>
  <si>
    <t>MUTOMA</t>
  </si>
  <si>
    <t>Fiduciary Banks</t>
  </si>
  <si>
    <t>Transportation</t>
  </si>
  <si>
    <t>Transport-Rail</t>
  </si>
  <si>
    <t>EQH</t>
  </si>
  <si>
    <t>HSBC HOLDINGS PLC</t>
  </si>
  <si>
    <t>Environmental Control</t>
  </si>
  <si>
    <t>Non-hazardous Waste Disp</t>
  </si>
  <si>
    <t>Forest Products&amp;Paper</t>
  </si>
  <si>
    <t>Paper&amp;Related Products</t>
  </si>
  <si>
    <t>Electric-Generation</t>
  </si>
  <si>
    <t>Cosmetics/Personal Care</t>
  </si>
  <si>
    <t>Cosmetics&amp;Toiletries</t>
  </si>
  <si>
    <t>Auto Parts&amp;Equipment</t>
  </si>
  <si>
    <t>Auto/Trk Prts&amp;Equip-Orig</t>
  </si>
  <si>
    <t>Machinery-Constr&amp;Mining</t>
  </si>
  <si>
    <t>Transport-Services</t>
  </si>
  <si>
    <t>YO434693</t>
  </si>
  <si>
    <t>ENI SPA</t>
  </si>
  <si>
    <t>26874RAQ1</t>
  </si>
  <si>
    <t>ENIIM</t>
  </si>
  <si>
    <t>Oil Comp-Integrated</t>
  </si>
  <si>
    <t>YO435520</t>
  </si>
  <si>
    <t>AEP TRANSMISSION CO LLC</t>
  </si>
  <si>
    <t>00115AAS8</t>
  </si>
  <si>
    <t>Electric-Transmission</t>
  </si>
  <si>
    <t>YO435818</t>
  </si>
  <si>
    <t>FIRST INDUSTRIAL LP</t>
  </si>
  <si>
    <t>32055RAS6</t>
  </si>
  <si>
    <t>FR</t>
  </si>
  <si>
    <t>YO435693</t>
  </si>
  <si>
    <t>EIDP INC</t>
  </si>
  <si>
    <t>263534CS6</t>
  </si>
  <si>
    <t>Agricultural Chemicals</t>
  </si>
  <si>
    <t>YO435926</t>
  </si>
  <si>
    <t>DUKE ENERGY INDIANA LLC</t>
  </si>
  <si>
    <t>26443TAF3</t>
  </si>
  <si>
    <t>YO436105</t>
  </si>
  <si>
    <t>LENNAR CORP</t>
  </si>
  <si>
    <t>526057CY8</t>
  </si>
  <si>
    <t>LEN</t>
  </si>
  <si>
    <t>YO393349</t>
  </si>
  <si>
    <t>ASCOT GROUP LTD</t>
  </si>
  <si>
    <t>04365XAB4</t>
  </si>
  <si>
    <t>ASCOTG</t>
  </si>
  <si>
    <t>YO327020</t>
  </si>
  <si>
    <t>404280EW5</t>
  </si>
  <si>
    <t>YO327022</t>
  </si>
  <si>
    <t>404280EZ8</t>
  </si>
  <si>
    <t>YO327027</t>
  </si>
  <si>
    <t>404280EX3</t>
  </si>
  <si>
    <t>YO352481</t>
  </si>
  <si>
    <t>AIB GROUP PLC</t>
  </si>
  <si>
    <t>00135TAF1</t>
  </si>
  <si>
    <t>AIB</t>
  </si>
  <si>
    <t>YO353130</t>
  </si>
  <si>
    <t>REGENCY CENTERS LP</t>
  </si>
  <si>
    <t>75884RBD4</t>
  </si>
  <si>
    <t>YO305348</t>
  </si>
  <si>
    <t>04685A4N8</t>
  </si>
  <si>
    <t>YO256119</t>
  </si>
  <si>
    <t>85325C2H4</t>
  </si>
  <si>
    <t>YO256122</t>
  </si>
  <si>
    <t>85325C2G6</t>
  </si>
  <si>
    <t>YO258829</t>
  </si>
  <si>
    <t>WINDFALL MINING GROUP</t>
  </si>
  <si>
    <t>973244AA4</t>
  </si>
  <si>
    <t>GFISJ</t>
  </si>
  <si>
    <t>Mining</t>
  </si>
  <si>
    <t>Mining Services</t>
  </si>
  <si>
    <t>YO253374</t>
  </si>
  <si>
    <t>SHINHAN BANK</t>
  </si>
  <si>
    <t>824589AJ4</t>
  </si>
  <si>
    <t>SHNHAN</t>
  </si>
  <si>
    <t>YO268794</t>
  </si>
  <si>
    <t>EATON CAPITAL ULC</t>
  </si>
  <si>
    <t>27806HAA9</t>
  </si>
  <si>
    <t>Machinery-Electric Util</t>
  </si>
  <si>
    <t>YO268705</t>
  </si>
  <si>
    <t>69353RFY9</t>
  </si>
  <si>
    <t>YO269110</t>
  </si>
  <si>
    <t>693475CD5</t>
  </si>
  <si>
    <t>YO269251</t>
  </si>
  <si>
    <t>902613BQ0</t>
  </si>
  <si>
    <t>YO269207</t>
  </si>
  <si>
    <t>STARBUCKS CORP</t>
  </si>
  <si>
    <t>855244BN8</t>
  </si>
  <si>
    <t>Retail-Restaurants</t>
  </si>
  <si>
    <t>YO269213</t>
  </si>
  <si>
    <t>855244BL2</t>
  </si>
  <si>
    <t>YO269216</t>
  </si>
  <si>
    <t>855244BM0</t>
  </si>
  <si>
    <t>YO269438</t>
  </si>
  <si>
    <t>251526DA4</t>
  </si>
  <si>
    <t>YO269568</t>
  </si>
  <si>
    <t>HOST HOTELS &amp; RESORTS LP</t>
  </si>
  <si>
    <t>44107TBD7</t>
  </si>
  <si>
    <t>REITS-Hotels</t>
  </si>
  <si>
    <t>YO270094</t>
  </si>
  <si>
    <t>CUMMINS INC</t>
  </si>
  <si>
    <t>231021AY2</t>
  </si>
  <si>
    <t>YO270098</t>
  </si>
  <si>
    <t>231021AZ9</t>
  </si>
  <si>
    <t>YO270101</t>
  </si>
  <si>
    <t>231021BA3</t>
  </si>
  <si>
    <t>YO270397</t>
  </si>
  <si>
    <t>06051GMT3</t>
  </si>
  <si>
    <t>YO272055</t>
  </si>
  <si>
    <t>06051GMU0</t>
  </si>
  <si>
    <t>YO270399</t>
  </si>
  <si>
    <t>06051GMW6</t>
  </si>
  <si>
    <t>YO271323</t>
  </si>
  <si>
    <t>LYB INT FINANCE III</t>
  </si>
  <si>
    <t>50249AAP8</t>
  </si>
  <si>
    <t>Chemicals-Diversified</t>
  </si>
  <si>
    <t>YO271135</t>
  </si>
  <si>
    <t>AMERICAN HOMES 4 RENT</t>
  </si>
  <si>
    <t>02666TAK3</t>
  </si>
  <si>
    <t>YO271376</t>
  </si>
  <si>
    <t>BIOGEN INC</t>
  </si>
  <si>
    <t>09062XAN3</t>
  </si>
  <si>
    <t>Biotechnology</t>
  </si>
  <si>
    <t>Medical-Biomedical/Gene</t>
  </si>
  <si>
    <t>YO271378</t>
  </si>
  <si>
    <t>09062XAL7</t>
  </si>
  <si>
    <t>YO271381</t>
  </si>
  <si>
    <t>09062XAM5</t>
  </si>
  <si>
    <t>YO271636</t>
  </si>
  <si>
    <t>25746UDY2</t>
  </si>
  <si>
    <t>YO272626</t>
  </si>
  <si>
    <t>SURA ASSET MANAGEMENT</t>
  </si>
  <si>
    <t>78486LAB8</t>
  </si>
  <si>
    <t>SUAMSA</t>
  </si>
  <si>
    <t>YO223453</t>
  </si>
  <si>
    <t>APPLE INC</t>
  </si>
  <si>
    <t>037833EY2</t>
  </si>
  <si>
    <t>Computers</t>
  </si>
  <si>
    <t>YO223455</t>
  </si>
  <si>
    <t>037833EZ9</t>
  </si>
  <si>
    <t>YO223457</t>
  </si>
  <si>
    <t>037833FA3</t>
  </si>
  <si>
    <t>YO223460</t>
  </si>
  <si>
    <t>037833FB1</t>
  </si>
  <si>
    <t>YO223890</t>
  </si>
  <si>
    <t>AUTOMATIC DATA PROCESSNG</t>
  </si>
  <si>
    <t>053015AJ2</t>
  </si>
  <si>
    <t>YO224792</t>
  </si>
  <si>
    <t>COMCAST CORP</t>
  </si>
  <si>
    <t>20030NER8</t>
  </si>
  <si>
    <t>Media</t>
  </si>
  <si>
    <t>Cable/Satellite TV</t>
  </si>
  <si>
    <t>YO224795</t>
  </si>
  <si>
    <t>20030NEP2</t>
  </si>
  <si>
    <t>YO224797</t>
  </si>
  <si>
    <t>20030NEQ0</t>
  </si>
  <si>
    <t>ENTERGY ARKANSAS LLC</t>
  </si>
  <si>
    <t>29366MAF5</t>
  </si>
  <si>
    <t>05/05/25</t>
  </si>
  <si>
    <t>YO224620</t>
  </si>
  <si>
    <t>AMERICAN INTERNATIONAL</t>
  </si>
  <si>
    <t>026874DW4</t>
  </si>
  <si>
    <t>AIG</t>
  </si>
  <si>
    <t>YO224623</t>
  </si>
  <si>
    <t>026874DX2</t>
  </si>
  <si>
    <t>YO225093</t>
  </si>
  <si>
    <t>69371RT71</t>
  </si>
  <si>
    <t>YO225607</t>
  </si>
  <si>
    <t>PROLOGIS LP</t>
  </si>
  <si>
    <t>74340XCQ2</t>
  </si>
  <si>
    <t>YO225610</t>
  </si>
  <si>
    <t>74340XCR0</t>
  </si>
  <si>
    <t>YO225515</t>
  </si>
  <si>
    <t>DTE ELECTRIC CO</t>
  </si>
  <si>
    <t>23338VAW6</t>
  </si>
  <si>
    <t>YO225516</t>
  </si>
  <si>
    <t>23338VAY2</t>
  </si>
  <si>
    <t>YO225517</t>
  </si>
  <si>
    <t>23338VAZ9</t>
  </si>
  <si>
    <t>YO226245</t>
  </si>
  <si>
    <t>GENERAL MOTORS CO</t>
  </si>
  <si>
    <t>37045VBC3</t>
  </si>
  <si>
    <t>YO226249</t>
  </si>
  <si>
    <t>37045VBA7</t>
  </si>
  <si>
    <t>YO226251</t>
  </si>
  <si>
    <t>37045VBB5</t>
  </si>
  <si>
    <t>YO156949</t>
  </si>
  <si>
    <t>CITIGROUP INC</t>
  </si>
  <si>
    <t>172967PZ8</t>
  </si>
  <si>
    <t>YO156950</t>
  </si>
  <si>
    <t>172967PY1</t>
  </si>
  <si>
    <t>YO156951</t>
  </si>
  <si>
    <t>172967QA2</t>
  </si>
  <si>
    <t>YO156952</t>
  </si>
  <si>
    <t>172967QB0</t>
  </si>
  <si>
    <t>YO157016</t>
  </si>
  <si>
    <t>MASSMUTUAL GLOBAL FUNDIN</t>
  </si>
  <si>
    <t>57629TBX4</t>
  </si>
  <si>
    <t>MASSMU</t>
  </si>
  <si>
    <t>YO157024</t>
  </si>
  <si>
    <t>ERP OPERATING LP</t>
  </si>
  <si>
    <t>26884ABQ5</t>
  </si>
  <si>
    <t>YO157025</t>
  </si>
  <si>
    <t>MONDELEZ INTERNATIONAL</t>
  </si>
  <si>
    <t>609207BF1</t>
  </si>
  <si>
    <t>Food-Confectionery</t>
  </si>
  <si>
    <t>YO157026</t>
  </si>
  <si>
    <t>609207BG9</t>
  </si>
  <si>
    <t>YO157027</t>
  </si>
  <si>
    <t>609207BH7</t>
  </si>
  <si>
    <t>YO157023</t>
  </si>
  <si>
    <t>COCA-COLA FEMSA SAB CV</t>
  </si>
  <si>
    <t>191241AK4</t>
  </si>
  <si>
    <t>YO157056</t>
  </si>
  <si>
    <t>EQT AB</t>
  </si>
  <si>
    <t>29439EAA7</t>
  </si>
  <si>
    <t>EQTSS</t>
  </si>
  <si>
    <t>YO157080</t>
  </si>
  <si>
    <t>MAREX GROUP PLC</t>
  </si>
  <si>
    <t>566539AB8</t>
  </si>
  <si>
    <t>YO128795</t>
  </si>
  <si>
    <t>09659W3C6</t>
  </si>
  <si>
    <t>YO128791</t>
  </si>
  <si>
    <t>09659W3B8</t>
  </si>
  <si>
    <t>YO128797</t>
  </si>
  <si>
    <t>09659W3D4</t>
  </si>
  <si>
    <t>YO127678</t>
  </si>
  <si>
    <t>ORBIA ADVANCE CORP SAB</t>
  </si>
  <si>
    <t>68560EAC2</t>
  </si>
  <si>
    <t>ORBIA</t>
  </si>
  <si>
    <t>Chemicals-Plastics</t>
  </si>
  <si>
    <t>YO127679</t>
  </si>
  <si>
    <t>68560EAD0</t>
  </si>
  <si>
    <t>YO126986</t>
  </si>
  <si>
    <t>CELULOSA ARAUCO CONSTITU</t>
  </si>
  <si>
    <t>YO1269860</t>
  </si>
  <si>
    <t>CELARA</t>
  </si>
  <si>
    <t>YO084332</t>
  </si>
  <si>
    <t>TYCO ELECTRONICS GROUP S</t>
  </si>
  <si>
    <t>902133BC0</t>
  </si>
  <si>
    <t>YO084334</t>
  </si>
  <si>
    <t>902133BD8</t>
  </si>
  <si>
    <t>YO085614</t>
  </si>
  <si>
    <t>LAS VEGAS SANDS CORP</t>
  </si>
  <si>
    <t>517834AM9</t>
  </si>
  <si>
    <t>LVS</t>
  </si>
  <si>
    <t>Lodging</t>
  </si>
  <si>
    <t>Casino Hotels</t>
  </si>
  <si>
    <t>YO085617</t>
  </si>
  <si>
    <t>517834AN7</t>
  </si>
  <si>
    <t>YO086912</t>
  </si>
  <si>
    <t>SOUTHWESTERN PUBLIC SERV</t>
  </si>
  <si>
    <t>845743BY8</t>
  </si>
  <si>
    <t>YO087626</t>
  </si>
  <si>
    <t>CONSTELLATION BRANDS INC</t>
  </si>
  <si>
    <t>21036PBS6</t>
  </si>
  <si>
    <t>Brewery</t>
  </si>
  <si>
    <t>YO087664</t>
  </si>
  <si>
    <t>WEIR GROUP INC</t>
  </si>
  <si>
    <t>94877DAA2</t>
  </si>
  <si>
    <t>WEIRLN</t>
  </si>
  <si>
    <t>Machinery-Pumps</t>
  </si>
  <si>
    <t>YO088247</t>
  </si>
  <si>
    <t>GOLDMAN SACHS PRIVATE CR</t>
  </si>
  <si>
    <t>38152BAA9</t>
  </si>
  <si>
    <t>GSCRED</t>
  </si>
  <si>
    <t>YO092149</t>
  </si>
  <si>
    <t>38152BAC5</t>
  </si>
  <si>
    <t>YO034637</t>
  </si>
  <si>
    <t>KOOKMIN BANK</t>
  </si>
  <si>
    <t>500498AL4</t>
  </si>
  <si>
    <t>CITNAT</t>
  </si>
  <si>
    <t>YO034638</t>
  </si>
  <si>
    <t>500498AM2</t>
  </si>
  <si>
    <t>YO034777</t>
  </si>
  <si>
    <t>POSCO HOLDINGS INC</t>
  </si>
  <si>
    <t>693483AJ8</t>
  </si>
  <si>
    <t>PKX</t>
  </si>
  <si>
    <t>YO034778</t>
  </si>
  <si>
    <t>693483AK5</t>
  </si>
  <si>
    <t>YO047863</t>
  </si>
  <si>
    <t>ALPHABET INC</t>
  </si>
  <si>
    <t>02079KAK3</t>
  </si>
  <si>
    <t>Internet</t>
  </si>
  <si>
    <t>Web Portals/ISP</t>
  </si>
  <si>
    <t>YO047865</t>
  </si>
  <si>
    <t>02079KAL1</t>
  </si>
  <si>
    <t>YO047868</t>
  </si>
  <si>
    <t>02079KAM9</t>
  </si>
  <si>
    <t>YO047870</t>
  </si>
  <si>
    <t>02079KAN7</t>
  </si>
  <si>
    <t>YO049393</t>
  </si>
  <si>
    <t>PROCTER &amp; GAMBLE CO/THE</t>
  </si>
  <si>
    <t>742718GM5</t>
  </si>
  <si>
    <t>YO049411</t>
  </si>
  <si>
    <t>742718GN3</t>
  </si>
  <si>
    <t>YO049912</t>
  </si>
  <si>
    <t>GENERAL DYNAMICS CORP</t>
  </si>
  <si>
    <t>369550BR8</t>
  </si>
  <si>
    <t>YO049513</t>
  </si>
  <si>
    <t>D.R. HORTON INC</t>
  </si>
  <si>
    <t>23331ABT5</t>
  </si>
  <si>
    <t>YO050506</t>
  </si>
  <si>
    <t>CONSUMERS ENERGY CO</t>
  </si>
  <si>
    <t>210518DY9</t>
  </si>
  <si>
    <t>YO050509</t>
  </si>
  <si>
    <t>210518DZ6</t>
  </si>
  <si>
    <t>YO051224</t>
  </si>
  <si>
    <t>COLGATE-PALMOLIVE CO</t>
  </si>
  <si>
    <t>194162AT0</t>
  </si>
  <si>
    <t>YO051284</t>
  </si>
  <si>
    <t>NORTHERN STATES PWR-MINN</t>
  </si>
  <si>
    <t>665772CZ0</t>
  </si>
  <si>
    <t>YO051287</t>
  </si>
  <si>
    <t>665772DA4</t>
  </si>
  <si>
    <t>YO051508</t>
  </si>
  <si>
    <t>RYDER SYSTEM INC</t>
  </si>
  <si>
    <t>78355HLF4</t>
  </si>
  <si>
    <t>YO051406</t>
  </si>
  <si>
    <t>PHILIP MORRIS INTL INC</t>
  </si>
  <si>
    <t>718172DR7</t>
  </si>
  <si>
    <t>YO051408</t>
  </si>
  <si>
    <t>718172DS5</t>
  </si>
  <si>
    <t>YO051410</t>
  </si>
  <si>
    <t>718172DT3</t>
  </si>
  <si>
    <t>YO051412</t>
  </si>
  <si>
    <t>718172DU0</t>
  </si>
  <si>
    <t>YO051866</t>
  </si>
  <si>
    <t>KEURIG DR PEPPER INC</t>
  </si>
  <si>
    <t>49271VAY6</t>
  </si>
  <si>
    <t>YO051871</t>
  </si>
  <si>
    <t>49271VAZ3</t>
  </si>
  <si>
    <t>YO051875</t>
  </si>
  <si>
    <t>49271VBA7</t>
  </si>
  <si>
    <t>YO051878</t>
  </si>
  <si>
    <t>49271VBB5</t>
  </si>
  <si>
    <t>YO052016</t>
  </si>
  <si>
    <t>CBRE SERVICES INC</t>
  </si>
  <si>
    <t>12505BAJ9</t>
  </si>
  <si>
    <t>Real Estate</t>
  </si>
  <si>
    <t>Real Estate Mgmnt/Servic</t>
  </si>
  <si>
    <t>YO052017</t>
  </si>
  <si>
    <t>12505BAK6</t>
  </si>
  <si>
    <t>YO052125</t>
  </si>
  <si>
    <t>NORFOLK SOUTHERN CORP</t>
  </si>
  <si>
    <t>655844CV8</t>
  </si>
  <si>
    <t>Baa1 *+</t>
  </si>
  <si>
    <t>YO052087</t>
  </si>
  <si>
    <t>CINTAS CORPORATION NO. 2</t>
  </si>
  <si>
    <t>17252MAR1</t>
  </si>
  <si>
    <t>NIPLIF 6 1/2 04/30/55</t>
  </si>
  <si>
    <t>NIPPON LIFE INSURANCE</t>
  </si>
  <si>
    <t>654579AP6</t>
  </si>
  <si>
    <t>7.25% Area</t>
  </si>
  <si>
    <t>YP950999</t>
  </si>
  <si>
    <t>MICRON TECHNOLOGY INC</t>
  </si>
  <si>
    <t>595112CG6</t>
  </si>
  <si>
    <t>YP951000</t>
  </si>
  <si>
    <t>595112CH4</t>
  </si>
  <si>
    <t>YP951775</t>
  </si>
  <si>
    <t>95954A2A0</t>
  </si>
  <si>
    <t>06055HAH6</t>
  </si>
  <si>
    <t>YP951926</t>
  </si>
  <si>
    <t>69448TAC5</t>
  </si>
  <si>
    <t>YP901023</t>
  </si>
  <si>
    <t>WALMART INC</t>
  </si>
  <si>
    <t>931142FL2</t>
  </si>
  <si>
    <t>YP901026</t>
  </si>
  <si>
    <t>931142FM0</t>
  </si>
  <si>
    <t>YP901028</t>
  </si>
  <si>
    <t>931142FN8</t>
  </si>
  <si>
    <t>YP901030</t>
  </si>
  <si>
    <t>931142FP3</t>
  </si>
  <si>
    <t>YP901290</t>
  </si>
  <si>
    <t>GUARDIAN LIFE GLOB FUND</t>
  </si>
  <si>
    <t>40139LBK8</t>
  </si>
  <si>
    <t>GUARDN</t>
  </si>
  <si>
    <t>BANCO DE CREDITO DEL PER</t>
  </si>
  <si>
    <t>05971U2J5</t>
  </si>
  <si>
    <t>YP901467</t>
  </si>
  <si>
    <t>RENTOKIL TERMINIX LLC</t>
  </si>
  <si>
    <t>760130AA2</t>
  </si>
  <si>
    <t>RTOLN</t>
  </si>
  <si>
    <t>Building-Maint&amp;Service</t>
  </si>
  <si>
    <t>YP901468</t>
  </si>
  <si>
    <t>760130AB0</t>
  </si>
  <si>
    <t>YP854053</t>
  </si>
  <si>
    <t>KINDER MORGAN INC</t>
  </si>
  <si>
    <t>49456BBB6</t>
  </si>
  <si>
    <t>YP854056</t>
  </si>
  <si>
    <t>49456BBC4</t>
  </si>
  <si>
    <t>YP855777</t>
  </si>
  <si>
    <t>STATE STREET CORP</t>
  </si>
  <si>
    <t>857477DA8</t>
  </si>
  <si>
    <t>YP855779</t>
  </si>
  <si>
    <t>857477CZ4</t>
  </si>
  <si>
    <t>YP855780</t>
  </si>
  <si>
    <t>857477DB6</t>
  </si>
  <si>
    <t>YP856873</t>
  </si>
  <si>
    <t>64953BBW7</t>
  </si>
  <si>
    <t>YP856882</t>
  </si>
  <si>
    <t>64953BBV9</t>
  </si>
  <si>
    <t>YP858257</t>
  </si>
  <si>
    <t>BROOKFIELD ASSET MANAGEM</t>
  </si>
  <si>
    <t>113004AA3</t>
  </si>
  <si>
    <t>BAMCN</t>
  </si>
  <si>
    <t>YP835809</t>
  </si>
  <si>
    <t>025816ED7</t>
  </si>
  <si>
    <t>YP835810</t>
  </si>
  <si>
    <t>025816EE5</t>
  </si>
  <si>
    <t>YP835812</t>
  </si>
  <si>
    <t>025816EF2</t>
  </si>
  <si>
    <t>YP835814</t>
  </si>
  <si>
    <t>025816EH8</t>
  </si>
  <si>
    <t>YP714235</t>
  </si>
  <si>
    <t>MOLEX ELECTRONICS TECH</t>
  </si>
  <si>
    <t>60856BAE4</t>
  </si>
  <si>
    <t>MOLX</t>
  </si>
  <si>
    <t>Electrical Compo&amp;Equip</t>
  </si>
  <si>
    <t>Electric Products-Misc</t>
  </si>
  <si>
    <t>YP714238</t>
  </si>
  <si>
    <t>60856BAF1</t>
  </si>
  <si>
    <t>YP629693</t>
  </si>
  <si>
    <t>MITSUBISHI UFJ FIN GRP</t>
  </si>
  <si>
    <t>606822DK7</t>
  </si>
  <si>
    <t>YP629695</t>
  </si>
  <si>
    <t>606822DJ0</t>
  </si>
  <si>
    <t>YP629697</t>
  </si>
  <si>
    <t>606822DL5</t>
  </si>
  <si>
    <t>YP651966</t>
  </si>
  <si>
    <t>95000U3T8</t>
  </si>
  <si>
    <t>YP651968</t>
  </si>
  <si>
    <t>95000U3U5</t>
  </si>
  <si>
    <t>YP651972</t>
  </si>
  <si>
    <t>95000U3V3</t>
  </si>
  <si>
    <t>YP652772</t>
  </si>
  <si>
    <t>GOLDMAN SACHS GROUP INC</t>
  </si>
  <si>
    <t>38141GC77</t>
  </si>
  <si>
    <t>YP652775</t>
  </si>
  <si>
    <t>38141GC85</t>
  </si>
  <si>
    <t>YP652776</t>
  </si>
  <si>
    <t>38141GC93</t>
  </si>
  <si>
    <t>YP596578</t>
  </si>
  <si>
    <t>MORGAN STANLEY</t>
  </si>
  <si>
    <t>61747YFY6</t>
  </si>
  <si>
    <t>YP599422</t>
  </si>
  <si>
    <t>61747YFW0</t>
  </si>
  <si>
    <t>YP596582</t>
  </si>
  <si>
    <t>61747YFZ3</t>
  </si>
  <si>
    <t>YP596587</t>
  </si>
  <si>
    <t>61747YGA7</t>
  </si>
  <si>
    <t>YP602873</t>
  </si>
  <si>
    <t>BANK OF NEW YORK MELLON</t>
  </si>
  <si>
    <t>06405LAF8</t>
  </si>
  <si>
    <t>Money Center Banks</t>
  </si>
  <si>
    <t>YP602875</t>
  </si>
  <si>
    <t>06405LAG6</t>
  </si>
  <si>
    <t>YP602879</t>
  </si>
  <si>
    <t>06405LAH4</t>
  </si>
  <si>
    <t>YP602432</t>
  </si>
  <si>
    <t>HP INC</t>
  </si>
  <si>
    <t>40434LAR6</t>
  </si>
  <si>
    <t>YP602434</t>
  </si>
  <si>
    <t>40434LAS4</t>
  </si>
  <si>
    <t>YP602847</t>
  </si>
  <si>
    <t>TRANS-ALLEGHENY INTERSTA</t>
  </si>
  <si>
    <t>893045AF1</t>
  </si>
  <si>
    <t>YP606116</t>
  </si>
  <si>
    <t>46647PEY8</t>
  </si>
  <si>
    <t>YP606119</t>
  </si>
  <si>
    <t>46647PEX0</t>
  </si>
  <si>
    <t>YQ819092</t>
  </si>
  <si>
    <t>JAPAN TOBACCO INC</t>
  </si>
  <si>
    <t>471105AC0</t>
  </si>
  <si>
    <t>JAPTOB</t>
  </si>
  <si>
    <t>YQ819094</t>
  </si>
  <si>
    <t>471105AD8</t>
  </si>
  <si>
    <t>YQ819095</t>
  </si>
  <si>
    <t>471105AE6</t>
  </si>
  <si>
    <t>YP435444</t>
  </si>
  <si>
    <t>AUTOZONE INC</t>
  </si>
  <si>
    <t>053332BM3</t>
  </si>
  <si>
    <t>Retail-Auto Parts</t>
  </si>
  <si>
    <t>YP435294</t>
  </si>
  <si>
    <t>DIAGEO INVESTMENT CORP</t>
  </si>
  <si>
    <t>25245BAC1</t>
  </si>
  <si>
    <t>Beverages-Wine/Spirits</t>
  </si>
  <si>
    <t>YP435314</t>
  </si>
  <si>
    <t>25245BAE7</t>
  </si>
  <si>
    <t>YP436337</t>
  </si>
  <si>
    <t>KEYSIGHT TECHNOLOGIES</t>
  </si>
  <si>
    <t>49338LAH6</t>
  </si>
  <si>
    <t>Electronic Measur Instr</t>
  </si>
  <si>
    <t>YP307939</t>
  </si>
  <si>
    <t>PAYCHEX INC</t>
  </si>
  <si>
    <t>704326AA5</t>
  </si>
  <si>
    <t>YP307942</t>
  </si>
  <si>
    <t>704326AB3</t>
  </si>
  <si>
    <t>YP307945</t>
  </si>
  <si>
    <t>704326AC1</t>
  </si>
  <si>
    <t>YQ972539</t>
  </si>
  <si>
    <t>AMRIZE FINANCE US LLC</t>
  </si>
  <si>
    <t>43475RAA4</t>
  </si>
  <si>
    <t>AMRZ</t>
  </si>
  <si>
    <t>Building Materials</t>
  </si>
  <si>
    <t>Bldg Prod-Cement/Aggreg</t>
  </si>
  <si>
    <t>YQ972541</t>
  </si>
  <si>
    <t>43475RAB2</t>
  </si>
  <si>
    <t>YQ972543</t>
  </si>
  <si>
    <t>43475RAC0</t>
  </si>
  <si>
    <t>YQ972544</t>
  </si>
  <si>
    <t>43475RAD8</t>
  </si>
  <si>
    <t>YQ926410</t>
  </si>
  <si>
    <t>LPL HOLDINGS INC</t>
  </si>
  <si>
    <t>50212YAN4</t>
  </si>
  <si>
    <t>YQ926415</t>
  </si>
  <si>
    <t>50212YAP9</t>
  </si>
  <si>
    <t>YQ926421</t>
  </si>
  <si>
    <t>50212YAQ7</t>
  </si>
  <si>
    <t>YQ928313</t>
  </si>
  <si>
    <t>REALTY INCOME CORP</t>
  </si>
  <si>
    <t>756109CT9</t>
  </si>
  <si>
    <t>YQ928798</t>
  </si>
  <si>
    <t>NEXA RESOURCES SA</t>
  </si>
  <si>
    <t>65290DAC7</t>
  </si>
  <si>
    <t>NEXA</t>
  </si>
  <si>
    <t>Non-Ferrous Metals</t>
  </si>
  <si>
    <t>YQ744971</t>
  </si>
  <si>
    <t>UNITED OVERSEAS BANK LTD</t>
  </si>
  <si>
    <t>91127KAK8</t>
  </si>
  <si>
    <t>UOBSP</t>
  </si>
  <si>
    <t>YQ744973</t>
  </si>
  <si>
    <t>91127KAL6</t>
  </si>
  <si>
    <t>YQ744974</t>
  </si>
  <si>
    <t>91127KAM4</t>
  </si>
  <si>
    <t>YQ756534</t>
  </si>
  <si>
    <t>MSD INVESTMENT CORP</t>
  </si>
  <si>
    <t>55354LAA7</t>
  </si>
  <si>
    <t>MSINTM</t>
  </si>
  <si>
    <t>YQ756548</t>
  </si>
  <si>
    <t>62829D2F6</t>
  </si>
  <si>
    <t>YQ756553</t>
  </si>
  <si>
    <t>BGC GROUP INC</t>
  </si>
  <si>
    <t>05555LAC5</t>
  </si>
  <si>
    <t>BGC</t>
  </si>
  <si>
    <t>YQ756563</t>
  </si>
  <si>
    <t>FORTITUDE GROUP HOLDINGS</t>
  </si>
  <si>
    <t>34966XAA6</t>
  </si>
  <si>
    <t>FORTRE</t>
  </si>
  <si>
    <t>YQ756571</t>
  </si>
  <si>
    <t>UNION ELECTRIC CO</t>
  </si>
  <si>
    <t>906548DA7</t>
  </si>
  <si>
    <t>YQ756579</t>
  </si>
  <si>
    <t>DELL INT LLC / EMC CORP</t>
  </si>
  <si>
    <t>24703TAL0</t>
  </si>
  <si>
    <t>YQ756580</t>
  </si>
  <si>
    <t>24703TAM8</t>
  </si>
  <si>
    <t>YQ756581</t>
  </si>
  <si>
    <t>24703TAN6</t>
  </si>
  <si>
    <t>YQ756582</t>
  </si>
  <si>
    <t>24703TAP1</t>
  </si>
  <si>
    <t>YQ756560</t>
  </si>
  <si>
    <t>VICI PROPERTIES LP</t>
  </si>
  <si>
    <t>925650AJ2</t>
  </si>
  <si>
    <t>YQ756561</t>
  </si>
  <si>
    <t>925650AK9</t>
  </si>
  <si>
    <t>YQ756591</t>
  </si>
  <si>
    <t>MERCEDES-BENZ FIN NA</t>
  </si>
  <si>
    <t>58769JBC0</t>
  </si>
  <si>
    <t>YQ756592</t>
  </si>
  <si>
    <t>58769JBD8</t>
  </si>
  <si>
    <t>YQ756593</t>
  </si>
  <si>
    <t>58769JBE6</t>
  </si>
  <si>
    <t>YQ756594</t>
  </si>
  <si>
    <t>58769JBF3</t>
  </si>
  <si>
    <t>YQ756595</t>
  </si>
  <si>
    <t>58769JBG1</t>
  </si>
  <si>
    <t>YQ756596</t>
  </si>
  <si>
    <t>58769JBH9</t>
  </si>
  <si>
    <t>YQ756611</t>
  </si>
  <si>
    <t>GA GLOBAL FUNDING TRUST</t>
  </si>
  <si>
    <t>36143L2T1</t>
  </si>
  <si>
    <t>GBLATL</t>
  </si>
  <si>
    <t>YQ757057</t>
  </si>
  <si>
    <t>GLENCORE FUNDING LLC</t>
  </si>
  <si>
    <t>378272CB2</t>
  </si>
  <si>
    <t>GLENLN</t>
  </si>
  <si>
    <t>Metal-Diversified</t>
  </si>
  <si>
    <t>YQ251238</t>
  </si>
  <si>
    <t>LGENERGYSOLUTION</t>
  </si>
  <si>
    <t>50205MAF6</t>
  </si>
  <si>
    <t>YQ251242</t>
  </si>
  <si>
    <t>50205MAG4</t>
  </si>
  <si>
    <t>YQ251244</t>
  </si>
  <si>
    <t>50205MAH2</t>
  </si>
  <si>
    <t>YQ251243</t>
  </si>
  <si>
    <t>50205MAJ8</t>
  </si>
  <si>
    <t>YQ720488</t>
  </si>
  <si>
    <t>AERCAP IRELAND CAP/GLOBA</t>
  </si>
  <si>
    <t>00774MBQ7</t>
  </si>
  <si>
    <t>YQ719048</t>
  </si>
  <si>
    <t>AMERICOLD REALTY OPER PA</t>
  </si>
  <si>
    <t>03063UAB7</t>
  </si>
  <si>
    <t>YQ674685</t>
  </si>
  <si>
    <t>SWISS RE SUB FIN PLC</t>
  </si>
  <si>
    <t>87088QAB0</t>
  </si>
  <si>
    <t>SRENVX</t>
  </si>
  <si>
    <t>YQ671823</t>
  </si>
  <si>
    <t>44891ADP9</t>
  </si>
  <si>
    <t>YQ671824</t>
  </si>
  <si>
    <t>44891ADS3</t>
  </si>
  <si>
    <t>YQ671825</t>
  </si>
  <si>
    <t>44891ADQ7</t>
  </si>
  <si>
    <t>YQ671826</t>
  </si>
  <si>
    <t>44891ADT1</t>
  </si>
  <si>
    <t>YQ671827</t>
  </si>
  <si>
    <t>44891ADR5</t>
  </si>
  <si>
    <t>YQ671818</t>
  </si>
  <si>
    <t>SMBC AVIATION CAPITAL FI</t>
  </si>
  <si>
    <t>78448TAN2</t>
  </si>
  <si>
    <t>SMBCAC</t>
  </si>
  <si>
    <t>YQ248325</t>
  </si>
  <si>
    <t>MARUBENI CORP</t>
  </si>
  <si>
    <t>573810AE8</t>
  </si>
  <si>
    <t>MARUB</t>
  </si>
  <si>
    <t>Distribution/Wholesale</t>
  </si>
  <si>
    <t>Import/Export</t>
  </si>
  <si>
    <t>YQ681846</t>
  </si>
  <si>
    <t>RELX CAPITAL INC</t>
  </si>
  <si>
    <t>74949LAF9</t>
  </si>
  <si>
    <t>YQ681848</t>
  </si>
  <si>
    <t>74949LAG7</t>
  </si>
  <si>
    <t>YQ682740</t>
  </si>
  <si>
    <t>MACQUARIE AIRFINANCE HLD</t>
  </si>
  <si>
    <t>55609NAF5</t>
  </si>
  <si>
    <t>MCAIRH</t>
  </si>
  <si>
    <t>YQ683323</t>
  </si>
  <si>
    <t>05401AAZ4</t>
  </si>
  <si>
    <t>YQ683619</t>
  </si>
  <si>
    <t>78017DAF5</t>
  </si>
  <si>
    <t>YQ683621</t>
  </si>
  <si>
    <t>78017DAG3</t>
  </si>
  <si>
    <t>YQ683623</t>
  </si>
  <si>
    <t>78017DAH1</t>
  </si>
  <si>
    <t>YQ683626</t>
  </si>
  <si>
    <t>78017DAJ7</t>
  </si>
  <si>
    <t>YQ683542</t>
  </si>
  <si>
    <t>VERIZON COMMUNICATIONS</t>
  </si>
  <si>
    <t>92343VGZ1</t>
  </si>
  <si>
    <t>YQ683672</t>
  </si>
  <si>
    <t>HARBOUR ENERGY PLC</t>
  </si>
  <si>
    <t>411618AD3</t>
  </si>
  <si>
    <t>HBRLN</t>
  </si>
  <si>
    <t>YQ683751</t>
  </si>
  <si>
    <t>SAN DIEGO G &amp; E</t>
  </si>
  <si>
    <t>797440CG7</t>
  </si>
  <si>
    <t>YQ684398</t>
  </si>
  <si>
    <t>378272BX5</t>
  </si>
  <si>
    <t>YQ684413</t>
  </si>
  <si>
    <t>378272BY3</t>
  </si>
  <si>
    <t>YQ684415</t>
  </si>
  <si>
    <t>378272BZ0</t>
  </si>
  <si>
    <t>YQ684417</t>
  </si>
  <si>
    <t>378272CA4</t>
  </si>
  <si>
    <t>YQ684355</t>
  </si>
  <si>
    <t>EQUITABLE FINANCIAL LIFE</t>
  </si>
  <si>
    <t>29449WAT4</t>
  </si>
  <si>
    <t>YQ684573</t>
  </si>
  <si>
    <t>OKLAHOMA G&amp;E CO</t>
  </si>
  <si>
    <t>678858BZ3</t>
  </si>
  <si>
    <t>OGE</t>
  </si>
  <si>
    <t>YQ684554</t>
  </si>
  <si>
    <t>13607PH98</t>
  </si>
  <si>
    <t>YQ684676</t>
  </si>
  <si>
    <t>T-MOBILE USA INC</t>
  </si>
  <si>
    <t>87264ADS1</t>
  </si>
  <si>
    <t>YQ684680</t>
  </si>
  <si>
    <t>87264ADT9</t>
  </si>
  <si>
    <t>YQ684682</t>
  </si>
  <si>
    <t>87264ADU6</t>
  </si>
  <si>
    <t>YQ602374</t>
  </si>
  <si>
    <t>05369AAR2</t>
  </si>
  <si>
    <t>YQ602376</t>
  </si>
  <si>
    <t>05369AAS0</t>
  </si>
  <si>
    <t>YQ601647</t>
  </si>
  <si>
    <t>17327CBA0</t>
  </si>
  <si>
    <t>YQ600796</t>
  </si>
  <si>
    <t>ELEMENT FLEET MANAGEMENT</t>
  </si>
  <si>
    <t>286181AP7</t>
  </si>
  <si>
    <t>EFNCN</t>
  </si>
  <si>
    <t>Rental Auto/Equipment</t>
  </si>
  <si>
    <t>YQ603058</t>
  </si>
  <si>
    <t>ALABAMA POWER CO</t>
  </si>
  <si>
    <t>010392GC6</t>
  </si>
  <si>
    <t>YQ601342</t>
  </si>
  <si>
    <t>87612EBT2</t>
  </si>
  <si>
    <t>YQ472882</t>
  </si>
  <si>
    <t>BANGKOK BANK PCL/HK</t>
  </si>
  <si>
    <t>06000GAA9</t>
  </si>
  <si>
    <t>BBLTB</t>
  </si>
  <si>
    <t>YQ523939</t>
  </si>
  <si>
    <t>PACIFICORP</t>
  </si>
  <si>
    <t>695114DF2</t>
  </si>
  <si>
    <t>YQ526954</t>
  </si>
  <si>
    <t>CNH INDUSTRIAL CAP LLC</t>
  </si>
  <si>
    <t>12592BAU8</t>
  </si>
  <si>
    <t>YQ524327</t>
  </si>
  <si>
    <t>FORD MOTOR CREDIT CO LLC</t>
  </si>
  <si>
    <t>345397G72</t>
  </si>
  <si>
    <t>F</t>
  </si>
  <si>
    <t>YQ524328</t>
  </si>
  <si>
    <t>345397G80</t>
  </si>
  <si>
    <t>YQ524329</t>
  </si>
  <si>
    <t>345397G98</t>
  </si>
  <si>
    <t>YQ518351</t>
  </si>
  <si>
    <t>ING GROEP NV</t>
  </si>
  <si>
    <t>456837BQ5</t>
  </si>
  <si>
    <t>YQ518352</t>
  </si>
  <si>
    <t>456837BP7</t>
  </si>
  <si>
    <t>YQ518353</t>
  </si>
  <si>
    <t>456837BR3</t>
  </si>
  <si>
    <t>YQ518354</t>
  </si>
  <si>
    <t>456837BS1</t>
  </si>
  <si>
    <t>YQ522458</t>
  </si>
  <si>
    <t>KASPI.KZ JSC</t>
  </si>
  <si>
    <t>466281AA0</t>
  </si>
  <si>
    <t>JSCKSP</t>
  </si>
  <si>
    <t>YQ523230</t>
  </si>
  <si>
    <t>NATWEST MARKETS PLC</t>
  </si>
  <si>
    <t>63906YAM0</t>
  </si>
  <si>
    <t>YQ523233</t>
  </si>
  <si>
    <t>63906YAN8</t>
  </si>
  <si>
    <t>YQ523234</t>
  </si>
  <si>
    <t>63906YAP3</t>
  </si>
  <si>
    <t>YQ523238</t>
  </si>
  <si>
    <t>63906YAQ1</t>
  </si>
  <si>
    <t>YQ525948</t>
  </si>
  <si>
    <t>STORE CAPITAL LLC</t>
  </si>
  <si>
    <t>862123AA4</t>
  </si>
  <si>
    <t>YQ523096</t>
  </si>
  <si>
    <t>VOLKSWAGEN GROUP AMERICA</t>
  </si>
  <si>
    <t>928668CN0</t>
  </si>
  <si>
    <t>VW</t>
  </si>
  <si>
    <t>YQ523093</t>
  </si>
  <si>
    <t>928668CT7</t>
  </si>
  <si>
    <t>YQ523103</t>
  </si>
  <si>
    <t>928668CP5</t>
  </si>
  <si>
    <t>YQ523104</t>
  </si>
  <si>
    <t>928668CQ3</t>
  </si>
  <si>
    <t>YQ523106</t>
  </si>
  <si>
    <t>928668CR1</t>
  </si>
  <si>
    <t>YQ523108</t>
  </si>
  <si>
    <t>928668CS9</t>
  </si>
  <si>
    <t>YQ523928</t>
  </si>
  <si>
    <t>XCEL ENERGY INC</t>
  </si>
  <si>
    <t>98389BBD1</t>
  </si>
  <si>
    <t>YQ523931</t>
  </si>
  <si>
    <t>98389BBE9</t>
  </si>
  <si>
    <t>YQ488389</t>
  </si>
  <si>
    <t>05565ECU7</t>
  </si>
  <si>
    <t>YQ488390</t>
  </si>
  <si>
    <t>05565ECV5</t>
  </si>
  <si>
    <t>YQ488392</t>
  </si>
  <si>
    <t>05565ECW3</t>
  </si>
  <si>
    <t>YQ488393</t>
  </si>
  <si>
    <t>05565ECX1</t>
  </si>
  <si>
    <t>YQ488395</t>
  </si>
  <si>
    <t>05565ECY9</t>
  </si>
  <si>
    <t>YQ488397</t>
  </si>
  <si>
    <t>05565ECZ6</t>
  </si>
  <si>
    <t>YQ488569</t>
  </si>
  <si>
    <t>HYATT HOTELS CORP</t>
  </si>
  <si>
    <t>448579AU6</t>
  </si>
  <si>
    <t>Hotels&amp;Motels</t>
  </si>
  <si>
    <t>YQ488573</t>
  </si>
  <si>
    <t>448579AV4</t>
  </si>
  <si>
    <t>YQ487620</t>
  </si>
  <si>
    <t>ONCOR ELECTRIC DELIVERY</t>
  </si>
  <si>
    <t>68233JCY8</t>
  </si>
  <si>
    <t>YQ487622</t>
  </si>
  <si>
    <t>68233JCZ5</t>
  </si>
  <si>
    <t>YQ487624</t>
  </si>
  <si>
    <t>68233JDA9</t>
  </si>
  <si>
    <t>YQ487648</t>
  </si>
  <si>
    <t>SANTANDER HOLDINGS USA</t>
  </si>
  <si>
    <t>80282KBN5</t>
  </si>
  <si>
    <t>YQ487649</t>
  </si>
  <si>
    <t>80282KBP0</t>
  </si>
  <si>
    <t>YQ487650</t>
  </si>
  <si>
    <t>80282KBQ8</t>
  </si>
  <si>
    <t>YQ487633</t>
  </si>
  <si>
    <t>REPUBLIC SERVICES INC</t>
  </si>
  <si>
    <t>760759BL3</t>
  </si>
  <si>
    <t>YQ487635</t>
  </si>
  <si>
    <t>760759BM1</t>
  </si>
  <si>
    <t>ZB140368</t>
  </si>
  <si>
    <t>744448CZ2</t>
  </si>
  <si>
    <t>03/17/25</t>
  </si>
  <si>
    <t>YQ488161</t>
  </si>
  <si>
    <t>YQ385418</t>
  </si>
  <si>
    <t>DBS GROUP HOLDINGS LTD</t>
  </si>
  <si>
    <t>24023KAL2</t>
  </si>
  <si>
    <t>DBSSP</t>
  </si>
  <si>
    <t>YQ385420</t>
  </si>
  <si>
    <t>24023KAM0</t>
  </si>
  <si>
    <t>YQ385422</t>
  </si>
  <si>
    <t>24023KAP3</t>
  </si>
  <si>
    <t>YQ361964</t>
  </si>
  <si>
    <t>CGI INC</t>
  </si>
  <si>
    <t>12532HAK0</t>
  </si>
  <si>
    <t>Computer Services</t>
  </si>
  <si>
    <t>EQUITABLE HOLDINGS INC</t>
  </si>
  <si>
    <t>29452EAD3</t>
  </si>
  <si>
    <t>YQ361853</t>
  </si>
  <si>
    <t>SOUTHERN CAL EDISON</t>
  </si>
  <si>
    <t>842400JJ3</t>
  </si>
  <si>
    <t>A- *-</t>
  </si>
  <si>
    <t>YQ361857</t>
  </si>
  <si>
    <t>842400JK0</t>
  </si>
  <si>
    <t>YQ365343</t>
  </si>
  <si>
    <t>NORTHWESTERN CORP</t>
  </si>
  <si>
    <t>66807TAA0</t>
  </si>
  <si>
    <t>NWE</t>
  </si>
  <si>
    <t>YQ362804</t>
  </si>
  <si>
    <t>AES CORP/THE</t>
  </si>
  <si>
    <t>00130HCM5</t>
  </si>
  <si>
    <t>YQ363263</t>
  </si>
  <si>
    <t>CANADIAN PACIFIC RAILWAY</t>
  </si>
  <si>
    <t>13645RBJ2</t>
  </si>
  <si>
    <t>YQ363266</t>
  </si>
  <si>
    <t>13645RBK9</t>
  </si>
  <si>
    <t>YQ363073</t>
  </si>
  <si>
    <t>STELLANTIS FIN US INC</t>
  </si>
  <si>
    <t>85855CAM2</t>
  </si>
  <si>
    <t>YQ363077</t>
  </si>
  <si>
    <t>85855CAK6</t>
  </si>
  <si>
    <t>YQ363084</t>
  </si>
  <si>
    <t>85855CAL4</t>
  </si>
  <si>
    <t>ESGR 7 1/2 04/01/45</t>
  </si>
  <si>
    <t>ENSTAR GROUP LTD</t>
  </si>
  <si>
    <t>29359UAD1</t>
  </si>
  <si>
    <t>ESGR</t>
  </si>
  <si>
    <t>YQ364534</t>
  </si>
  <si>
    <t>AMCOR FLEXIBLES NORTH AM</t>
  </si>
  <si>
    <t>02344AAC2</t>
  </si>
  <si>
    <t>Packaging&amp;Containers</t>
  </si>
  <si>
    <t>Containers-Paper/Plastic</t>
  </si>
  <si>
    <t>YQ364535</t>
  </si>
  <si>
    <t>02344AAD0</t>
  </si>
  <si>
    <t>YQ364536</t>
  </si>
  <si>
    <t>02344AAE8</t>
  </si>
  <si>
    <t>NWN 7 09/15/55</t>
  </si>
  <si>
    <t>NORTHWEST NATURAL HOLDI</t>
  </si>
  <si>
    <t>66765NAA3</t>
  </si>
  <si>
    <t>YQ364771</t>
  </si>
  <si>
    <t>NETAPP INC</t>
  </si>
  <si>
    <t>64110DAM6</t>
  </si>
  <si>
    <t>NTAP</t>
  </si>
  <si>
    <t>Computers-Memory Devices</t>
  </si>
  <si>
    <t>YQ364773</t>
  </si>
  <si>
    <t>64110DAN4</t>
  </si>
  <si>
    <t>YQ305808</t>
  </si>
  <si>
    <t>AES ANDES SA</t>
  </si>
  <si>
    <t>00111VAD9</t>
  </si>
  <si>
    <t>YQ306723</t>
  </si>
  <si>
    <t>RIO TINTO FIN USA PLC</t>
  </si>
  <si>
    <t>76720AAQ9</t>
  </si>
  <si>
    <t>YQ306725</t>
  </si>
  <si>
    <t>76720AAR7</t>
  </si>
  <si>
    <t>YQ306726</t>
  </si>
  <si>
    <t>76720AAY2</t>
  </si>
  <si>
    <t>YQ306728</t>
  </si>
  <si>
    <t>76720AAS5</t>
  </si>
  <si>
    <t>YQ306729</t>
  </si>
  <si>
    <t>76720AAT3</t>
  </si>
  <si>
    <t>YQ306733</t>
  </si>
  <si>
    <t>76720AAU0</t>
  </si>
  <si>
    <t>YQ306735</t>
  </si>
  <si>
    <t>76720AAV8</t>
  </si>
  <si>
    <t>YQ306737</t>
  </si>
  <si>
    <t>76720AAW6</t>
  </si>
  <si>
    <t>YQ308318</t>
  </si>
  <si>
    <t>BAT CAPITAL CORP</t>
  </si>
  <si>
    <t>05526DCB9</t>
  </si>
  <si>
    <t>YQ308327</t>
  </si>
  <si>
    <t>05526DCC7</t>
  </si>
  <si>
    <t>YQ308333</t>
  </si>
  <si>
    <t>05526DCD5</t>
  </si>
  <si>
    <t>YQ308220</t>
  </si>
  <si>
    <t>JB HUNT TRANSPRT SVCS</t>
  </si>
  <si>
    <t>445658CG0</t>
  </si>
  <si>
    <t>Transport-Truck</t>
  </si>
  <si>
    <t>YQ308622</t>
  </si>
  <si>
    <t>BOOZ ALLEN HAMILTON INC</t>
  </si>
  <si>
    <t>09951LAD5</t>
  </si>
  <si>
    <t>YQ308747</t>
  </si>
  <si>
    <t>NORDEA BANK ABP</t>
  </si>
  <si>
    <t>65558RAL3</t>
  </si>
  <si>
    <t>NDAFH</t>
  </si>
  <si>
    <t>YQ308749</t>
  </si>
  <si>
    <t>65558RAM1</t>
  </si>
  <si>
    <t>YQ308952</t>
  </si>
  <si>
    <t>AMERICAN TOWER CORP</t>
  </si>
  <si>
    <t>03027XCN8</t>
  </si>
  <si>
    <t>YQ308955</t>
  </si>
  <si>
    <t>03027XCP3</t>
  </si>
  <si>
    <t>YQ309017</t>
  </si>
  <si>
    <t>NUTRIEN LTD</t>
  </si>
  <si>
    <t>67077MBE7</t>
  </si>
  <si>
    <t>YQ309020</t>
  </si>
  <si>
    <t>67077MBF4</t>
  </si>
  <si>
    <t>YQ309615</t>
  </si>
  <si>
    <t>PRUDENTIAL FINANCIAL INC</t>
  </si>
  <si>
    <t>74432QCK9</t>
  </si>
  <si>
    <t>YQ309667</t>
  </si>
  <si>
    <t>EDISON INTERNATIONAL</t>
  </si>
  <si>
    <t>281020BC0</t>
  </si>
  <si>
    <t>BBB *-</t>
  </si>
  <si>
    <t>METLIFE INC</t>
  </si>
  <si>
    <t>59156RCQ9</t>
  </si>
  <si>
    <t>YQ260450</t>
  </si>
  <si>
    <t>ENTERGY MISSISSIPPI LLC</t>
  </si>
  <si>
    <t>29366WAG1</t>
  </si>
  <si>
    <t>YQ260689</t>
  </si>
  <si>
    <t>PUGET ENERGY INC</t>
  </si>
  <si>
    <t>745310AP7</t>
  </si>
  <si>
    <t>YQ261426</t>
  </si>
  <si>
    <t>IDAHO POWER CO</t>
  </si>
  <si>
    <t>45138LBL6</t>
  </si>
  <si>
    <t>YQ261112</t>
  </si>
  <si>
    <t>ADVANCED MICRO DEVICES</t>
  </si>
  <si>
    <t>007903BH9</t>
  </si>
  <si>
    <t>AMD</t>
  </si>
  <si>
    <t>YQ261115</t>
  </si>
  <si>
    <t>007903BJ5</t>
  </si>
  <si>
    <t>YQ262491</t>
  </si>
  <si>
    <t>STEEL DYNAMICS INC</t>
  </si>
  <si>
    <t>858119BS8</t>
  </si>
  <si>
    <t>YQ262513</t>
  </si>
  <si>
    <t>858119BT6</t>
  </si>
  <si>
    <t>YQ264787</t>
  </si>
  <si>
    <t>30225VAU1</t>
  </si>
  <si>
    <t>3358410Z FP EQUITY</t>
  </si>
  <si>
    <t>目前殖利率</t>
    <phoneticPr fontId="21" type="noConversion"/>
  </si>
  <si>
    <t>筆數</t>
    <phoneticPr fontId="21" type="noConversion"/>
  </si>
  <si>
    <t>債市回顧及展望</t>
    <phoneticPr fontId="21" type="noConversion"/>
  </si>
  <si>
    <t>1016Z MM Equity</t>
  </si>
  <si>
    <t>NFLX US Equity</t>
  </si>
  <si>
    <t>DIS US Equity</t>
  </si>
  <si>
    <t>6758 JP Equity</t>
  </si>
  <si>
    <t>PARA US Equity</t>
  </si>
  <si>
    <t>45793z ci Equity</t>
  </si>
  <si>
    <t>Weely Bond Flow</t>
    <phoneticPr fontId="21" type="noConversion"/>
  </si>
  <si>
    <t>Security_Name</t>
    <phoneticPr fontId="21" type="noConversion"/>
  </si>
  <si>
    <t>PAYMENT_RANK</t>
  </si>
  <si>
    <t>MTY_YEARS</t>
    <phoneticPr fontId="21" type="noConversion"/>
  </si>
  <si>
    <t>總量 (M)</t>
    <phoneticPr fontId="21" type="noConversion"/>
  </si>
  <si>
    <t>天期 (y)</t>
    <phoneticPr fontId="21" type="noConversion"/>
  </si>
  <si>
    <t>RTG_SP_LT_FC_ISSUER_Credit</t>
  </si>
  <si>
    <t>RTG_MDY_ISSUER</t>
  </si>
  <si>
    <t>RTG_FITCH_LT_ISSUER_DEFAULT</t>
  </si>
  <si>
    <t>依產業</t>
    <phoneticPr fontId="21" type="noConversion"/>
  </si>
  <si>
    <t>依天期</t>
    <phoneticPr fontId="21" type="noConversion"/>
  </si>
  <si>
    <t>依信評</t>
    <phoneticPr fontId="21" type="noConversion"/>
  </si>
  <si>
    <t>TFLO-&gt;Tickers (Corporate Bonds); Period is 1 Week</t>
  </si>
  <si>
    <t>投資等級債券交易量 Top 20</t>
    <phoneticPr fontId="21" type="noConversion"/>
  </si>
  <si>
    <t>依發行人 (Top 10 vol.)</t>
    <phoneticPr fontId="21" type="noConversion"/>
  </si>
  <si>
    <t>股價/匯價</t>
    <phoneticPr fontId="21" type="noConversion"/>
  </si>
  <si>
    <t>焦點新聞</t>
    <phoneticPr fontId="21" type="noConversion"/>
  </si>
  <si>
    <t>Attrition (%)</t>
    <phoneticPr fontId="21" type="noConversion"/>
  </si>
  <si>
    <t>從G5貼</t>
    <phoneticPr fontId="21" type="noConversion"/>
  </si>
  <si>
    <t>ETR 5.45 06/01/34</t>
  </si>
  <si>
    <t>Baa1 *-</t>
  </si>
  <si>
    <t>BBB-(EXP)</t>
  </si>
  <si>
    <t>BAC 6 5/8 PERP</t>
  </si>
  <si>
    <t>BCP 6.45 07/30/35</t>
  </si>
  <si>
    <t>EQH 6.7 03/28/55</t>
  </si>
  <si>
    <t>MET 6.35 03/15/55</t>
  </si>
  <si>
    <t>5000+</t>
  </si>
  <si>
    <r>
      <t>1W %</t>
    </r>
    <r>
      <rPr>
        <b/>
        <sz val="18"/>
        <rFont val="微軟正黑體"/>
        <family val="2"/>
        <charset val="136"/>
      </rPr>
      <t>△</t>
    </r>
  </si>
  <si>
    <r>
      <t xml:space="preserve">1W </t>
    </r>
    <r>
      <rPr>
        <b/>
        <sz val="18"/>
        <rFont val="微軟正黑體"/>
        <family val="2"/>
        <charset val="136"/>
      </rPr>
      <t>△</t>
    </r>
    <phoneticPr fontId="21" type="noConversion"/>
  </si>
  <si>
    <r>
      <t xml:space="preserve">YTD   </t>
    </r>
    <r>
      <rPr>
        <b/>
        <sz val="18"/>
        <rFont val="微軟正黑體"/>
        <family val="2"/>
        <charset val="136"/>
      </rPr>
      <t>△</t>
    </r>
  </si>
  <si>
    <r>
      <t>資料來源：</t>
    </r>
    <r>
      <rPr>
        <sz val="16"/>
        <color rgb="FF000000"/>
        <rFont val="Calibri"/>
        <family val="2"/>
      </rPr>
      <t>Bloomberg</t>
    </r>
    <phoneticPr fontId="21" type="noConversion"/>
  </si>
  <si>
    <t>2055/10/15</t>
  </si>
  <si>
    <t>Aa3/A+</t>
  </si>
  <si>
    <t>A1/A-</t>
  </si>
  <si>
    <t>A2/BBB+</t>
  </si>
  <si>
    <t>2035/10/15</t>
  </si>
  <si>
    <t>Baa2/BBB</t>
  </si>
  <si>
    <t>2035/9/15</t>
  </si>
  <si>
    <t>Baa3/BBB</t>
  </si>
  <si>
    <t>Baa1/BBB</t>
  </si>
  <si>
    <t>A2/A</t>
  </si>
  <si>
    <t>A3/BBB+</t>
  </si>
  <si>
    <t>2036/4/22</t>
  </si>
  <si>
    <t>A1/A</t>
  </si>
  <si>
    <t>Baa1/BBB+</t>
  </si>
  <si>
    <t>Baa3/BBB+</t>
  </si>
  <si>
    <t>Baa3/BBB-</t>
  </si>
  <si>
    <t>MRK</t>
  </si>
  <si>
    <t>CI</t>
  </si>
  <si>
    <t>ORCL</t>
  </si>
  <si>
    <t>2036/1/15</t>
  </si>
  <si>
    <t>Baa1/A-</t>
  </si>
  <si>
    <t>68389XDB @TRL1 Corp</t>
  </si>
  <si>
    <t>2055/8/3</t>
  </si>
  <si>
    <t>Baa2/BBB-</t>
  </si>
  <si>
    <t>46647PFC @TRL1 Corp</t>
  </si>
  <si>
    <t>2036/7/23</t>
  </si>
  <si>
    <t>A3/A-</t>
  </si>
  <si>
    <t>PERP</t>
  </si>
  <si>
    <t>2031/2/15</t>
  </si>
  <si>
    <t>A1/BBB+</t>
  </si>
  <si>
    <t>2035/7/15</t>
  </si>
  <si>
    <t>2032/10/15</t>
  </si>
  <si>
    <t>87264ADV @TRL1 Corp</t>
  </si>
  <si>
    <t>2033/12/15</t>
  </si>
  <si>
    <t>A2/A-</t>
  </si>
  <si>
    <t>Aa3/AA-</t>
  </si>
  <si>
    <t>COF</t>
  </si>
  <si>
    <t>HPE</t>
  </si>
  <si>
    <t>PWR</t>
  </si>
  <si>
    <t>TFC</t>
  </si>
  <si>
    <t>PCG</t>
  </si>
  <si>
    <t>Aa2/AA-</t>
  </si>
  <si>
    <t>COP</t>
  </si>
  <si>
    <t>UNH</t>
  </si>
  <si>
    <t>A2/A+</t>
  </si>
  <si>
    <t>UPS</t>
  </si>
  <si>
    <t>17:09</t>
  </si>
  <si>
    <t>SANTAN</t>
  </si>
  <si>
    <t>172967QH @TRL1 Corp</t>
  </si>
  <si>
    <t>2036/9/11</t>
  </si>
  <si>
    <t>16:00</t>
  </si>
  <si>
    <t>16:30</t>
  </si>
  <si>
    <t>15:56</t>
  </si>
  <si>
    <t>INTC</t>
  </si>
  <si>
    <t>15:34</t>
  </si>
  <si>
    <t>2030/10/15</t>
  </si>
  <si>
    <t>13:32</t>
  </si>
  <si>
    <t>2032/3/15</t>
  </si>
  <si>
    <t>A1/A+</t>
  </si>
  <si>
    <t>2035/3/1</t>
  </si>
  <si>
    <t>Baa2/BBB+</t>
  </si>
  <si>
    <t>14:17</t>
  </si>
  <si>
    <t>ABIBB</t>
  </si>
  <si>
    <t>11135FCK @TRL1 Corp</t>
  </si>
  <si>
    <t>2030/7/15</t>
  </si>
  <si>
    <t>20030NEG @TRL1 Corp</t>
  </si>
  <si>
    <t>2064/5/15</t>
  </si>
  <si>
    <t>682680DC @TRL1 Corp</t>
  </si>
  <si>
    <t>46625HRV @TRL1 Corp</t>
  </si>
  <si>
    <t>2026/10/1</t>
  </si>
  <si>
    <t>2035/4/15</t>
  </si>
  <si>
    <t>06406RCJ @TRL1 Corp</t>
  </si>
  <si>
    <t>2036/6/6</t>
  </si>
  <si>
    <t>Aa3/A</t>
  </si>
  <si>
    <t>15:21</t>
  </si>
  <si>
    <t>404280CV @TRL1 Corp</t>
  </si>
  <si>
    <t>2029/8/17</t>
  </si>
  <si>
    <t>13:08</t>
  </si>
  <si>
    <t>11271LAQ @TRL1 Corp</t>
  </si>
  <si>
    <t>98389BBE @TRL1 Corp</t>
  </si>
  <si>
    <t>74762EAP @TRL1 Corp</t>
  </si>
  <si>
    <t>2035/8/9</t>
  </si>
  <si>
    <t>16:01</t>
  </si>
  <si>
    <t>17325FBR @TRL1 Corp</t>
  </si>
  <si>
    <t>2030/5/29</t>
  </si>
  <si>
    <t>16:45</t>
  </si>
  <si>
    <t>03522AAJ @TRL1 Corp</t>
  </si>
  <si>
    <t>2046/2/1</t>
  </si>
  <si>
    <t>12:56</t>
  </si>
  <si>
    <t>20826FBL @TRL1 Corp</t>
  </si>
  <si>
    <t>2035/1/15</t>
  </si>
  <si>
    <t>89788MAP @TRL1 Corp</t>
  </si>
  <si>
    <t>2034/6/8</t>
  </si>
  <si>
    <t>842400JG @TRL1 Corp</t>
  </si>
  <si>
    <t>00206RMM @TRL1 Corp</t>
  </si>
  <si>
    <t>2033/12/1</t>
  </si>
  <si>
    <t>11135FCL @TRL1 Corp</t>
  </si>
  <si>
    <t>2032/7/15</t>
  </si>
  <si>
    <t>458140BJ @TRL1 Corp</t>
  </si>
  <si>
    <t>2049/11/15</t>
  </si>
  <si>
    <t>780082AY @TRL1 Corp</t>
  </si>
  <si>
    <t>2085/11/24</t>
  </si>
  <si>
    <t>80281LAY @TRL1 Corp</t>
  </si>
  <si>
    <t>SANUK</t>
  </si>
  <si>
    <t>2036/9/22</t>
  </si>
  <si>
    <t>2031/3/15</t>
  </si>
  <si>
    <t>LOW</t>
  </si>
  <si>
    <t>TD</t>
  </si>
  <si>
    <t>HD</t>
  </si>
  <si>
    <t>UBER</t>
  </si>
  <si>
    <t>ABBV</t>
  </si>
  <si>
    <t>HNDA</t>
  </si>
  <si>
    <t>48128AAJ @TRL1 Corp</t>
  </si>
  <si>
    <t>2033/3/2</t>
  </si>
  <si>
    <t>A3/A</t>
  </si>
  <si>
    <t>68389XDR @TRL1 Corp</t>
  </si>
  <si>
    <t>2055/9/26</t>
  </si>
  <si>
    <t>68389XDM @TRL1 Corp</t>
  </si>
  <si>
    <t>2035/9/26</t>
  </si>
  <si>
    <t>68389XDT @TRL1 Corp</t>
  </si>
  <si>
    <t>2065/9/26</t>
  </si>
  <si>
    <t>11135FCW @TRL1 Corp</t>
  </si>
  <si>
    <t>548661EX @TRL1 Corp</t>
  </si>
  <si>
    <t>TMO</t>
  </si>
  <si>
    <t>HCA</t>
  </si>
  <si>
    <t>2055/9/15</t>
  </si>
  <si>
    <t>532457DE @TRL1 Corp</t>
  </si>
  <si>
    <t>11135FCM @TRL1 Corp</t>
  </si>
  <si>
    <t>883556DF @TRL1 Corp</t>
  </si>
  <si>
    <t>2037/10/7</t>
  </si>
  <si>
    <t>694308KY @TRL1 Corp</t>
  </si>
  <si>
    <t>META</t>
  </si>
  <si>
    <t>2054/8/15</t>
  </si>
  <si>
    <t>2035/11/1</t>
  </si>
  <si>
    <t>25746UEA @TRL1 Corp</t>
  </si>
  <si>
    <t>2056/2/15</t>
  </si>
  <si>
    <t>95000U3W @TRL1 Corp</t>
  </si>
  <si>
    <t>2031/4/23</t>
  </si>
  <si>
    <t>532457DF @TRL1 Corp</t>
  </si>
  <si>
    <t>00206RNC @TRL1 Corp</t>
  </si>
  <si>
    <t>00108WAU @TRL1 Corp</t>
  </si>
  <si>
    <t>91324PFL @TRL1 Corp</t>
  </si>
  <si>
    <t>2054/7/15</t>
  </si>
  <si>
    <t>404280EX @TRL1 Corp</t>
  </si>
  <si>
    <t>2036/5/13</t>
  </si>
  <si>
    <t>110122EK @TRL1 Corp</t>
  </si>
  <si>
    <t>BMY</t>
  </si>
  <si>
    <t>2054/2/22</t>
  </si>
  <si>
    <t>25746UDZ @TRL1 Corp</t>
  </si>
  <si>
    <t>2035/10/1</t>
  </si>
  <si>
    <t>2051/12/1</t>
  </si>
  <si>
    <t>126650EM @TRL1 Corp</t>
  </si>
  <si>
    <t>2065/9/15</t>
  </si>
  <si>
    <t>42824CCA @TRL1 Corp</t>
  </si>
  <si>
    <t>126650EL @TRL1 Corp</t>
  </si>
  <si>
    <t>2036/3/15</t>
  </si>
  <si>
    <t>00287YDW @TRL1 Corp</t>
  </si>
  <si>
    <t>2054/3/15</t>
  </si>
  <si>
    <t>375558CD @TRL1 Corp</t>
  </si>
  <si>
    <t>GILD</t>
  </si>
  <si>
    <t>2054/11/15</t>
  </si>
  <si>
    <t>20030NEQ @TRL1 Corp</t>
  </si>
  <si>
    <t>2055/5/15</t>
  </si>
  <si>
    <t>14040HDJ @TRL1 Corp</t>
  </si>
  <si>
    <t>2036/1/30</t>
  </si>
  <si>
    <t>Baa1/BBB-</t>
  </si>
  <si>
    <t>03522AAH @TRL1 Corp</t>
  </si>
  <si>
    <t>2036/2/1</t>
  </si>
  <si>
    <t>76720AAV @TRL1 Corp</t>
  </si>
  <si>
    <t>2055/3/14</t>
  </si>
  <si>
    <t>BA</t>
  </si>
  <si>
    <t>92343VGN @TRL1 Corp</t>
  </si>
  <si>
    <t>00774MAV @TRL1 Corp</t>
  </si>
  <si>
    <t>2026/10/29</t>
  </si>
  <si>
    <t>911312CK @TRL1 Corp</t>
  </si>
  <si>
    <t>2055/5/14</t>
  </si>
  <si>
    <t>2034/8/15</t>
  </si>
  <si>
    <t>補充說明</t>
    <phoneticPr fontId="21" type="noConversion"/>
  </si>
  <si>
    <t>項目</t>
    <phoneticPr fontId="21" type="noConversion"/>
  </si>
  <si>
    <t>SNX</t>
  </si>
  <si>
    <t>T + 110 Area</t>
  </si>
  <si>
    <t>T + 115 Area</t>
  </si>
  <si>
    <t>BNS</t>
  </si>
  <si>
    <t>中國稀土出口管制措施</t>
    <phoneticPr fontId="21" type="noConversion"/>
  </si>
  <si>
    <t>輕稀土 vs. 重稀土</t>
    <phoneticPr fontId="21" type="noConversion"/>
  </si>
  <si>
    <t>全球稀土出口與精煉比例</t>
    <phoneticPr fontId="21" type="noConversion"/>
  </si>
  <si>
    <t>國家/地區</t>
    <phoneticPr fontId="21" type="noConversion"/>
  </si>
  <si>
    <t>開採比例 (%)</t>
    <phoneticPr fontId="21" type="noConversion"/>
  </si>
  <si>
    <t>精煉比例 (%)</t>
    <phoneticPr fontId="21" type="noConversion"/>
  </si>
  <si>
    <t>出口比例 (%)</t>
    <phoneticPr fontId="21" type="noConversion"/>
  </si>
  <si>
    <t>中國</t>
    <phoneticPr fontId="21" type="noConversion"/>
  </si>
  <si>
    <t>美國</t>
    <phoneticPr fontId="21" type="noConversion"/>
  </si>
  <si>
    <t>澳洲</t>
    <phoneticPr fontId="21" type="noConversion"/>
  </si>
  <si>
    <t>緬甸與東南亞</t>
    <phoneticPr fontId="21" type="noConversion"/>
  </si>
  <si>
    <t>加拿大</t>
    <phoneticPr fontId="21" type="noConversion"/>
  </si>
  <si>
    <t>歐洲</t>
    <phoneticPr fontId="21" type="noConversion"/>
  </si>
  <si>
    <t>全球唯一能提供全部17種稀土金屬的國家</t>
    <phoneticPr fontId="21" type="noConversion"/>
  </si>
  <si>
    <t>主要礦場為加州 Mountain Pass，仍依賴中國精煉</t>
    <phoneticPr fontId="21" type="noConversion"/>
  </si>
  <si>
    <t>擁有全球第4大蘊藏量，積極擴產與建精煉廠</t>
    <phoneticPr fontId="21" type="noConversion"/>
  </si>
  <si>
    <t>向中國出口氧化物或原礦，部分具初步分離能力</t>
    <phoneticPr fontId="21" type="noConversion"/>
  </si>
  <si>
    <t>擁有全球最大稀土氧化物蘊藏量之一，尚在開發階段</t>
    <phoneticPr fontId="21" type="noConversion"/>
  </si>
  <si>
    <t>歐盟目標2030年滿足20%內部需求</t>
    <phoneticPr fontId="21" type="noConversion"/>
  </si>
  <si>
    <t>影響舉例</t>
    <phoneticPr fontId="21" type="noConversion"/>
  </si>
  <si>
    <t>輕稀土</t>
    <phoneticPr fontId="21" type="noConversion"/>
  </si>
  <si>
    <t>重稀土</t>
    <phoneticPr fontId="21" type="noConversion"/>
  </si>
  <si>
    <t>核心成員</t>
    <phoneticPr fontId="21" type="noConversion"/>
  </si>
  <si>
    <t>釹(Nd)、鐠(Pr)</t>
    <phoneticPr fontId="21" type="noConversion"/>
  </si>
  <si>
    <t>鏑(Dy)、鋱(Tb)</t>
    <phoneticPr fontId="21" type="noConversion"/>
  </si>
  <si>
    <t>核心用途</t>
    <phoneticPr fontId="21" type="noConversion"/>
  </si>
  <si>
    <t>讓釹磁鐵在其端高溫下保持性能</t>
    <phoneticPr fontId="21" type="noConversion"/>
  </si>
  <si>
    <t>高性能釹鐵硼(NdFeB)永磁體</t>
    <phoneticPr fontId="21" type="noConversion"/>
  </si>
  <si>
    <t>地殼含量</t>
    <phoneticPr fontId="21" type="noConversion"/>
  </si>
  <si>
    <t>較高，較易開採</t>
    <phoneticPr fontId="21" type="noConversion"/>
  </si>
  <si>
    <t>較低，分布稀少</t>
    <phoneticPr fontId="21" type="noConversion"/>
  </si>
  <si>
    <t>供應來源</t>
    <phoneticPr fontId="21" type="noConversion"/>
  </si>
  <si>
    <t>中國、澳洲、美國</t>
    <phoneticPr fontId="21" type="noConversion"/>
  </si>
  <si>
    <t>幾乎集中在中國南方礦區(如江西)</t>
    <phoneticPr fontId="21" type="noConversion"/>
  </si>
  <si>
    <t>精煉難度</t>
    <phoneticPr fontId="21" type="noConversion"/>
  </si>
  <si>
    <t>相對較低</t>
    <phoneticPr fontId="21" type="noConversion"/>
  </si>
  <si>
    <t>分離技術複雜，成本高</t>
    <phoneticPr fontId="21" type="noConversion"/>
  </si>
  <si>
    <t>戰略價值</t>
    <phoneticPr fontId="21" type="noConversion"/>
  </si>
  <si>
    <t>高科技產業基礎</t>
    <phoneticPr fontId="21" type="noConversion"/>
  </si>
  <si>
    <t>軍功與能源產業關鍵材料</t>
    <phoneticPr fontId="21" type="noConversion"/>
  </si>
  <si>
    <t>1. 一輛Model Y的驅動馬達裡，躺著約1公斤的釹磁鐵。缺了釹，電動車革命將直接熄火。
2. 一座海上風力發電機，需要數噸的釹磁鐵來實現高效發電。
3. Iphone的震動馬達、工廠的機器人等，無數設備將癱瘓。</t>
    <phoneticPr fontId="21" type="noConversion"/>
  </si>
  <si>
    <t>1. 一架F-35戰鬥機需要約450公斤稀土，大部分用於雷達、電子戰系統。導彈制導、潛艇靜音驅動，也依賴重稀土。</t>
    <phoneticPr fontId="21" type="noConversion"/>
  </si>
  <si>
    <t xml:space="preserve">中國商務部在10/9發布「2025 年第 61 號」公告，自2025年12月起，擴大稀土管制：
- 新增五種稀土元素及多項提煉設備。
- 凡產品含有超過 0.1% 中國稀土成分，或使用中國稀土技術者，出口前須申請許可。
- 軍事用途稀土材料全面禁止出口，包括導彈、戰機、潛艦、雷射、測距儀等關鍵零件。
美國對稀土出口管制的回應：
-  宣布自 11/1 起（或更早視情況）對中輸美商品加徵額外 100% 關稅，並祭出「關鍵軟體」出口管制。 
- 美國與 G7國家（包括歐盟、日本、韓國等）展開協調行動，尋求建立替代稀土供應鏈。
產業影響：
- 軍功產業受創：稀土磁鐵是精密導引、隱形技術與高功率馬達的核心元件。
- 半導體與AI產業供應鏈中斷：晶片電容器使用「超純鏑」製造，全球供應幾乎全來自中國無錫市一家精煉廠。
- 電動車與能源產業成本上升：電動車馬達與風力發電機使用大量稀土磁鐵，傳統燃油車也使用稀土磁鐵於座椅、方向盤、煞車系統等。
本次管制清單並未涵蓋全球用量最大的輕稀土「釹」和「鐠」，因為，若全面禁止，將讓全球電動車和風點產業瞬間停擺，也損害中國自身的下游客戶。選擇性的管制重稀土，則達到精準打擊並製造威攝的多重戰略目的。
</t>
    <phoneticPr fontId="21" type="noConversion"/>
  </si>
  <si>
    <t>美國稀土相關企業列表</t>
    <phoneticPr fontId="21" type="noConversion"/>
  </si>
  <si>
    <t>產業環節</t>
    <phoneticPr fontId="21" type="noConversion"/>
  </si>
  <si>
    <t>核心資產/技術</t>
    <phoneticPr fontId="21" type="noConversion"/>
  </si>
  <si>
    <t>最新進展</t>
    <phoneticPr fontId="21" type="noConversion"/>
  </si>
  <si>
    <t>礦山、分離、磁材</t>
    <phoneticPr fontId="21" type="noConversion"/>
  </si>
  <si>
    <t>Mountain Pass礦場、德州磁材場</t>
    <phoneticPr fontId="21" type="noConversion"/>
  </si>
  <si>
    <t>國防部為最大股東，對釹與鐠產品設定每公斤110美元的保底價格</t>
    <phoneticPr fontId="21" type="noConversion"/>
  </si>
  <si>
    <t>MP</t>
    <phoneticPr fontId="21" type="noConversion"/>
  </si>
  <si>
    <t>公司代碼</t>
    <phoneticPr fontId="21" type="noConversion"/>
  </si>
  <si>
    <t>USAR</t>
    <phoneticPr fontId="21" type="noConversion"/>
  </si>
  <si>
    <t>IDR</t>
    <phoneticPr fontId="21" type="noConversion"/>
  </si>
  <si>
    <t>UUUU</t>
    <phoneticPr fontId="21" type="noConversion"/>
  </si>
  <si>
    <t>UAMY</t>
    <phoneticPr fontId="21" type="noConversion"/>
  </si>
  <si>
    <t>NB</t>
    <phoneticPr fontId="21" type="noConversion"/>
  </si>
  <si>
    <t>UURAF</t>
    <phoneticPr fontId="21" type="noConversion"/>
  </si>
  <si>
    <t>MTRN</t>
    <phoneticPr fontId="21" type="noConversion"/>
  </si>
  <si>
    <t>AREC</t>
    <phoneticPr fontId="21" type="noConversion"/>
  </si>
  <si>
    <t>CRML</t>
    <phoneticPr fontId="21" type="noConversion"/>
  </si>
  <si>
    <t>軍功磁材、雷射塗層</t>
    <phoneticPr fontId="21" type="noConversion"/>
  </si>
  <si>
    <t>再生料、分離</t>
    <phoneticPr fontId="21" type="noConversion"/>
  </si>
  <si>
    <t>銻、沸石、貴金屬</t>
    <phoneticPr fontId="21" type="noConversion"/>
  </si>
  <si>
    <t>新礦開發</t>
    <phoneticPr fontId="21" type="noConversion"/>
  </si>
  <si>
    <t>分離技術</t>
    <phoneticPr fontId="21" type="noConversion"/>
  </si>
  <si>
    <t>合金/磁粉</t>
    <phoneticPr fontId="21" type="noConversion"/>
  </si>
  <si>
    <t>稀土回收</t>
    <phoneticPr fontId="21" type="noConversion"/>
  </si>
  <si>
    <t>礦場開發</t>
    <phoneticPr fontId="21" type="noConversion"/>
  </si>
  <si>
    <t>Round Top 礦場、RapidSX萃取技術</t>
    <phoneticPr fontId="21" type="noConversion"/>
  </si>
  <si>
    <t>軍用磁體技術、雷射塗層材料</t>
    <phoneticPr fontId="21" type="noConversion"/>
  </si>
  <si>
    <t>Utah White Mesa Mill</t>
    <phoneticPr fontId="21" type="noConversion"/>
  </si>
  <si>
    <t>美國唯一銻冶煉廠</t>
    <phoneticPr fontId="21" type="noConversion"/>
  </si>
  <si>
    <t>Nebraska Elk Creek 礦</t>
    <phoneticPr fontId="21" type="noConversion"/>
  </si>
  <si>
    <t>RapidSX 萃取技術 + Louisiana產線</t>
    <phoneticPr fontId="21" type="noConversion"/>
  </si>
  <si>
    <t>Ohio工廠生產高溫磁粉</t>
    <phoneticPr fontId="21" type="noConversion"/>
  </si>
  <si>
    <t>回收與再利用技術</t>
    <phoneticPr fontId="21" type="noConversion"/>
  </si>
  <si>
    <t>格陵蘭稀土礦權</t>
    <phoneticPr fontId="21" type="noConversion"/>
  </si>
  <si>
    <t>提供F-35所需稀土，軍工應用為主</t>
    <phoneticPr fontId="21" type="noConversion"/>
  </si>
  <si>
    <t>可量產中國限制出口的重稀土氧化物</t>
    <phoneticPr fontId="21" type="noConversion"/>
  </si>
  <si>
    <t>與國防部合作，擴展稀土應用</t>
    <phoneticPr fontId="21" type="noConversion"/>
  </si>
  <si>
    <t>申請 DOE 融資，含稀土與關鍵金屬</t>
    <phoneticPr fontId="21" type="noConversion"/>
  </si>
  <si>
    <t>獲美國防部補助1,840萬美元</t>
    <phoneticPr fontId="21" type="noConversion"/>
  </si>
  <si>
    <t>與歐洲車廠簽長期供應協議</t>
    <phoneticPr fontId="21" type="noConversion"/>
  </si>
  <si>
    <t>聚焦環保稀土回收，股價波動大</t>
    <phoneticPr fontId="21" type="noConversion"/>
  </si>
  <si>
    <t>美國政府擬入股，擴展北極供應鏈</t>
    <phoneticPr fontId="21" type="noConversion"/>
  </si>
  <si>
    <t>建構美國本土供應鏈，市場猜測川普政府將入股</t>
    <phoneticPr fontId="21" type="noConversion"/>
  </si>
  <si>
    <t>焦點_稀土貿易戰</t>
    <phoneticPr fontId="21" type="noConversion"/>
  </si>
  <si>
    <t>焦點_私募信貸的隱憂</t>
    <phoneticPr fontId="21" type="noConversion"/>
  </si>
  <si>
    <t>近期私募信貸事件</t>
    <phoneticPr fontId="21" type="noConversion"/>
  </si>
  <si>
    <t>Apollo Global Management</t>
    <phoneticPr fontId="21" type="noConversion"/>
  </si>
  <si>
    <t>基金主要資產類型</t>
    <phoneticPr fontId="21" type="noConversion"/>
  </si>
  <si>
    <t>事件</t>
    <phoneticPr fontId="21" type="noConversion"/>
  </si>
  <si>
    <t>時間</t>
    <phoneticPr fontId="21" type="noConversion"/>
  </si>
  <si>
    <t>內容</t>
    <phoneticPr fontId="21" type="noConversion"/>
  </si>
  <si>
    <t>結果</t>
    <phoneticPr fontId="21" type="noConversion"/>
  </si>
  <si>
    <t>影響</t>
    <phoneticPr fontId="21" type="noConversion"/>
  </si>
  <si>
    <t>Tricolor Holdings 與 First Brands Group 破產</t>
    <phoneticPr fontId="21" type="noConversion"/>
  </si>
  <si>
    <t>2025年9月</t>
    <phoneticPr fontId="21" type="noConversion"/>
  </si>
  <si>
    <t>1. 多家銀行（如摩根大通、Fifth Third Bancorp）曝險。
2. 私募信貸市場震盪，Blue Owl Capital股價重挫。</t>
    <phoneticPr fontId="21" type="noConversion"/>
  </si>
  <si>
    <t>1. 引發「蟑螂理論」擔憂：一宗壞帳可能代表更多潛在風險。
2. 信貸品質與放貸審查標準遭質疑。
3. 私募信貸與高收益債市場利差擴大，投資人風險意識升高。</t>
    <phoneticPr fontId="21" type="noConversion"/>
  </si>
  <si>
    <t>IMF與SEC警示私募信貸風險</t>
    <phoneticPr fontId="21" type="noConversion"/>
  </si>
  <si>
    <t>2025年10月</t>
    <phoneticPr fontId="21" type="noConversion"/>
  </si>
  <si>
    <t>1. IMF呼籲監管機構關注銀行對私募信貸基金的風險敞口。
2. SEC要求私募信貸基金提高透明度。</t>
    <phoneticPr fontId="21" type="noConversion"/>
  </si>
  <si>
    <t>1. 私募信貸機構面臨合規壓力。
2. 投資人對私募信貸資產重新評價，部分基金遭贖回。
3. 信貸市場流動性與定價能力受挑戰。</t>
    <phoneticPr fontId="21" type="noConversion"/>
  </si>
  <si>
    <t>區域性銀行信貸踩雷</t>
    <phoneticPr fontId="21" type="noConversion"/>
  </si>
  <si>
    <t>1. Zions Bancorp與Western Alliance Bancorp爆出貸款損失，部分與Tricolor、First Brands有關。
2. 涉及非存款類金融機構（NDFI）貸款，與私募信貸密切相關。</t>
    <phoneticPr fontId="21" type="noConversion"/>
  </si>
  <si>
    <t>1. Zions股價暴跌13%，WAL跌逾10%，區域銀行ETF（KRE）單日跌幅達6.2%
2. KBW區域銀行指數創半年最大跌幅。
3. 市場避險情緒升溫，VIX指數飆升。</t>
    <phoneticPr fontId="21" type="noConversion"/>
  </si>
  <si>
    <t>投資人擔憂私募信貸風險擴散至銀行體系。</t>
    <phoneticPr fontId="21" type="noConversion"/>
  </si>
  <si>
    <t>2023年銀行危機時間軸</t>
    <phoneticPr fontId="21" type="noConversion"/>
  </si>
  <si>
    <t>Silvergate Bank倒閉。Silicon Valley Bank宣布$1.8bn損失，其母公司SVB Financial遭到Moody's降評。</t>
    <phoneticPr fontId="21" type="noConversion"/>
  </si>
  <si>
    <t>SVB股價大跌，導致美國銀行、摩根大通、花旗集團和富國銀行市值損失達5200萬美元。</t>
    <phoneticPr fontId="21" type="noConversion"/>
  </si>
  <si>
    <t>監管機構接管Signature Bank，並宣布受影響的銀行客戶將獲得其存款資金的返還。</t>
    <phoneticPr fontId="21" type="noConversion"/>
  </si>
  <si>
    <t>監管機構宣布接管SVB。</t>
    <phoneticPr fontId="21" type="noConversion"/>
  </si>
  <si>
    <t>SVB Financial申請破產保護</t>
    <phoneticPr fontId="21" type="noConversion"/>
  </si>
  <si>
    <r>
      <t>瑞士信貸銀行股價創低，法國巴黎銀行和德意志銀行等歐洲銀行股價下挫。第一共和銀行信用評等被標普全球降為</t>
    </r>
    <r>
      <rPr>
        <b/>
        <sz val="18"/>
        <color rgb="FF000000"/>
        <rFont val="細明體"/>
        <family val="3"/>
        <charset val="136"/>
      </rPr>
      <t>「</t>
    </r>
    <r>
      <rPr>
        <b/>
        <sz val="18"/>
        <color rgb="FF000000"/>
        <rFont val="微軟正黑體"/>
        <family val="2"/>
        <charset val="136"/>
      </rPr>
      <t>垃圾</t>
    </r>
    <r>
      <rPr>
        <b/>
        <sz val="18"/>
        <color rgb="FF000000"/>
        <rFont val="細明體"/>
        <family val="3"/>
        <charset val="136"/>
      </rPr>
      <t>」</t>
    </r>
    <r>
      <rPr>
        <b/>
        <sz val="18"/>
        <color rgb="FF000000"/>
        <rFont val="微軟正黑體"/>
        <family val="2"/>
        <charset val="136"/>
      </rPr>
      <t>等級。</t>
    </r>
    <phoneticPr fontId="21" type="noConversion"/>
  </si>
  <si>
    <t>UBS完成對瑞士信貸銀行的收購；JPMorgan計畫穩定第一共和銀行，第一共和銀行股價上漲30%；SVB大部分資產轉移到First Citizens BancShares。</t>
    <phoneticPr fontId="21" type="noConversion"/>
  </si>
  <si>
    <t>2023年4月</t>
    <phoneticPr fontId="21" type="noConversion"/>
  </si>
  <si>
    <t>2023年3月18~
2023年3月27</t>
    <phoneticPr fontId="21" type="noConversion"/>
  </si>
  <si>
    <t>第一共和銀行臨近破產，暫停派息、股價下跌。</t>
    <phoneticPr fontId="21" type="noConversion"/>
  </si>
  <si>
    <t>監管機構接管了第一共和銀行。隨後，其他地區性銀行出現連鎖反應，存款價值下跌。</t>
    <phoneticPr fontId="21" type="noConversion"/>
  </si>
  <si>
    <t>資料來源：FDIC</t>
    <phoneticPr fontId="21" type="noConversion"/>
  </si>
  <si>
    <t>歷年銀行倒閉家數及資產規模</t>
    <phoneticPr fontId="21" type="noConversion"/>
  </si>
  <si>
    <t>私募信貸AUM</t>
    <phoneticPr fontId="21" type="noConversion"/>
  </si>
  <si>
    <t>私募信貸相關股票</t>
    <phoneticPr fontId="21" type="noConversion"/>
  </si>
  <si>
    <t>股票代碼</t>
    <phoneticPr fontId="21" type="noConversion"/>
  </si>
  <si>
    <t>BX</t>
    <phoneticPr fontId="21" type="noConversion"/>
  </si>
  <si>
    <t>Blackstone Inc.</t>
    <phoneticPr fontId="21" type="noConversion"/>
  </si>
  <si>
    <t>私募信貸 AUM
(十億美元)</t>
    <phoneticPr fontId="21" type="noConversion"/>
  </si>
  <si>
    <t>Senior Secured Loans, Direct Lending</t>
    <phoneticPr fontId="21" type="noConversion"/>
  </si>
  <si>
    <t>ARES</t>
    <phoneticPr fontId="21" type="noConversion"/>
  </si>
  <si>
    <t>KKR</t>
    <phoneticPr fontId="21" type="noConversion"/>
  </si>
  <si>
    <t>CGBD</t>
    <phoneticPr fontId="21" type="noConversion"/>
  </si>
  <si>
    <t>ARCC</t>
    <phoneticPr fontId="21" type="noConversion"/>
  </si>
  <si>
    <t>FSIC</t>
    <phoneticPr fontId="21" type="noConversion"/>
  </si>
  <si>
    <t>GSBD</t>
    <phoneticPr fontId="21" type="noConversion"/>
  </si>
  <si>
    <t>APO</t>
    <phoneticPr fontId="21" type="noConversion"/>
  </si>
  <si>
    <t>OWL</t>
    <phoneticPr fontId="21" type="noConversion"/>
  </si>
  <si>
    <t>Ares Management Corp</t>
    <phoneticPr fontId="21" type="noConversion"/>
  </si>
  <si>
    <t>KKR &amp; Co. Inc</t>
    <phoneticPr fontId="21" type="noConversion"/>
  </si>
  <si>
    <t>Carlyle Group BDC</t>
    <phoneticPr fontId="21" type="noConversion"/>
  </si>
  <si>
    <t>Ares Capital Corporation</t>
    <phoneticPr fontId="21" type="noConversion"/>
  </si>
  <si>
    <t>FS KKR Capital Corp</t>
    <phoneticPr fontId="21" type="noConversion"/>
  </si>
  <si>
    <t>Goldman Sachs BDC</t>
    <phoneticPr fontId="21" type="noConversion"/>
  </si>
  <si>
    <t>Blue Owl Capital</t>
    <phoneticPr fontId="21" type="noConversion"/>
  </si>
  <si>
    <t>Direct Lending, Opportunistic Credit</t>
    <phoneticPr fontId="21" type="noConversion"/>
  </si>
  <si>
    <t>Middle Market Loans</t>
    <phoneticPr fontId="21" type="noConversion"/>
  </si>
  <si>
    <t>Direct Lending, Structured Credit, Opportunistic Credit</t>
    <phoneticPr fontId="21" type="noConversion"/>
  </si>
  <si>
    <t>Direct Lending, GP Financing, Triple Net Lease</t>
    <phoneticPr fontId="21" type="noConversion"/>
  </si>
  <si>
    <t>1. Tricolor：二手車貸款機構，疑涉欺詐，導致摩根大通損失1.7億美元。
2. First Brands：汽車零件供應商，依賴私募與對沖基金融資，部分資產重複抵押。約有100~500億美元債務。</t>
    <phoneticPr fontId="21" type="noConversion"/>
  </si>
  <si>
    <t>38141GD4 @TRL1 Corp</t>
  </si>
  <si>
    <t>2036/10/21</t>
  </si>
  <si>
    <t>46647PFE @TRL1 Corp</t>
  </si>
  <si>
    <t>2036/10/22</t>
  </si>
  <si>
    <t>61748UAN @TRL1 Corp</t>
  </si>
  <si>
    <t>2031/10/22</t>
  </si>
  <si>
    <t>14040HDN @TRL1 Corp</t>
  </si>
  <si>
    <t>38141GD2 @TRL1 Corp</t>
  </si>
  <si>
    <t>2029/10/21</t>
  </si>
  <si>
    <t>61748UAM @TRL1 Corp</t>
  </si>
  <si>
    <t>2051/2/15</t>
  </si>
  <si>
    <t>FANG</t>
  </si>
  <si>
    <t>06055HAK @TRL1 Corp</t>
  </si>
  <si>
    <t>T + 85 Area</t>
  </si>
  <si>
    <t>PERSHING SQUARE HOLDINGS</t>
  </si>
  <si>
    <t>71531QAG6</t>
  </si>
  <si>
    <t>PSHNA</t>
  </si>
  <si>
    <t>GENERAL MOTORS FINL CO</t>
  </si>
  <si>
    <t>37045XFL5</t>
  </si>
  <si>
    <t>539439BF5</t>
  </si>
  <si>
    <t>801060AG9</t>
  </si>
  <si>
    <t>801060AJ3</t>
  </si>
  <si>
    <t>801060AH7</t>
  </si>
  <si>
    <t>801060AE4</t>
  </si>
  <si>
    <t>404119DD8</t>
  </si>
  <si>
    <t>404119DE6</t>
  </si>
  <si>
    <t>404119DF3</t>
  </si>
  <si>
    <t>404119DH9</t>
  </si>
  <si>
    <t>718172DX4</t>
  </si>
  <si>
    <t>718172EB1</t>
  </si>
  <si>
    <t>718172DY2</t>
  </si>
  <si>
    <t>718172EA3</t>
  </si>
  <si>
    <t>718172DZ9</t>
  </si>
  <si>
    <t>844741BL1</t>
  </si>
  <si>
    <t>844741BM9</t>
  </si>
  <si>
    <t>742718GP8</t>
  </si>
  <si>
    <t>742718GQ6</t>
  </si>
  <si>
    <t>78355HLG2</t>
  </si>
  <si>
    <t>032095AW1</t>
  </si>
  <si>
    <t>032095AV3</t>
  </si>
  <si>
    <t>032095AY7</t>
  </si>
  <si>
    <t>032095AZ4</t>
  </si>
  <si>
    <t>032095BA8</t>
  </si>
  <si>
    <t>032095AX9</t>
  </si>
  <si>
    <t>032095BB6</t>
  </si>
  <si>
    <t>74350LAD6</t>
  </si>
  <si>
    <t>74350LAE4</t>
  </si>
  <si>
    <t>00973RAQ6</t>
  </si>
  <si>
    <t>APH</t>
  </si>
  <si>
    <t>2055/11/15</t>
  </si>
  <si>
    <t>NA/A-</t>
  </si>
  <si>
    <t>713448GK @TRL1 Corp</t>
  </si>
  <si>
    <t>PEP</t>
  </si>
  <si>
    <t>2035/7/23</t>
  </si>
  <si>
    <t>37045XFL @TRL1 Corp</t>
  </si>
  <si>
    <t>2028/10/27</t>
  </si>
  <si>
    <t>172967QF @TRL1 Corp</t>
  </si>
  <si>
    <t>2031/9/11</t>
  </si>
  <si>
    <t>2035/5/15</t>
  </si>
  <si>
    <t>2035/6/15</t>
  </si>
  <si>
    <t>HSBC 4.619 11/06/31</t>
  </si>
  <si>
    <t>404280FE4</t>
  </si>
  <si>
    <t>HSBC Float 11/06/31</t>
  </si>
  <si>
    <t>404280FF1</t>
  </si>
  <si>
    <t>HSBC 5.133 11/06/36</t>
  </si>
  <si>
    <t>404280FG9</t>
  </si>
  <si>
    <t>T + 130 Area</t>
  </si>
  <si>
    <t>META 4.2 11/15/30</t>
  </si>
  <si>
    <t>META PLATFORMS INC</t>
  </si>
  <si>
    <t>30303MAB8</t>
  </si>
  <si>
    <t>Internet Content-Entmnt</t>
  </si>
  <si>
    <t>META 4.6 11/15/32</t>
  </si>
  <si>
    <t>30303MAC6</t>
  </si>
  <si>
    <t>T + 105 Area</t>
  </si>
  <si>
    <t>META 4 7/8 11/15/35</t>
  </si>
  <si>
    <t>30303MAD4</t>
  </si>
  <si>
    <t>META 5 1/2 11/15/45</t>
  </si>
  <si>
    <t>30303M8X3</t>
  </si>
  <si>
    <t>30303MAE2</t>
  </si>
  <si>
    <t>30303M8Y1</t>
  </si>
  <si>
    <t>63906YAT5</t>
  </si>
  <si>
    <t>63906YAR9</t>
  </si>
  <si>
    <t>63906YAS7</t>
  </si>
  <si>
    <t>T + 95 Area</t>
  </si>
  <si>
    <t>BANCO SANTANDER SA</t>
  </si>
  <si>
    <t>05971KAR0</t>
  </si>
  <si>
    <t>05971KAT6</t>
  </si>
  <si>
    <t>05971KAS8</t>
  </si>
  <si>
    <t>PPG INDUSTRIES INC</t>
  </si>
  <si>
    <t>693506BY2</t>
  </si>
  <si>
    <t>PPG</t>
  </si>
  <si>
    <t>HUBBELL INC</t>
  </si>
  <si>
    <t>443510AL6</t>
  </si>
  <si>
    <t>HUBB</t>
  </si>
  <si>
    <t>Electronic Compo-Misc</t>
  </si>
  <si>
    <t>MSCI</t>
  </si>
  <si>
    <t>LLOYDS BANKING GROUP PLC</t>
  </si>
  <si>
    <t>53944YBD4</t>
  </si>
  <si>
    <t>LLOYDS</t>
  </si>
  <si>
    <t>10/28/25</t>
  </si>
  <si>
    <t>53944YBF9</t>
  </si>
  <si>
    <t>53944YBE2</t>
  </si>
  <si>
    <t>AAL 5.65 11/11/34</t>
  </si>
  <si>
    <t>AMER AIRLINE 25-1B PTT</t>
  </si>
  <si>
    <t>02377PAA3</t>
  </si>
  <si>
    <t>AAL</t>
  </si>
  <si>
    <t>Airlines</t>
  </si>
  <si>
    <t>AMER AIRLINE 25-1A PTT</t>
  </si>
  <si>
    <t>02377NAA8</t>
  </si>
  <si>
    <t>(P)A+</t>
  </si>
  <si>
    <t>78017DAN8</t>
  </si>
  <si>
    <t>78017DAP3</t>
  </si>
  <si>
    <t>78017DAQ1</t>
  </si>
  <si>
    <t>BLACKSTONE REG FINANCE</t>
  </si>
  <si>
    <t>092914AB6</t>
  </si>
  <si>
    <t>BX</t>
  </si>
  <si>
    <t>092914AC4</t>
  </si>
  <si>
    <t>MEITUAN</t>
  </si>
  <si>
    <t>58533EAG8</t>
  </si>
  <si>
    <t>MEITUA</t>
  </si>
  <si>
    <t>E-Commerce/Services</t>
  </si>
  <si>
    <t>58533EAH6</t>
  </si>
  <si>
    <t>58533EAJ2</t>
  </si>
  <si>
    <t>345397H89</t>
  </si>
  <si>
    <t>FABSJV 5.9 01/25/30</t>
  </si>
  <si>
    <t>FOUNDRY JV HOLDCO LLC</t>
  </si>
  <si>
    <t>350930AB9</t>
  </si>
  <si>
    <t>FABSJV</t>
  </si>
  <si>
    <t>350930AF0</t>
  </si>
  <si>
    <t>FABSJV 6.15 01/25/32</t>
  </si>
  <si>
    <t>350930AC7</t>
  </si>
  <si>
    <t>350930AG8</t>
  </si>
  <si>
    <t>T + 135 Area</t>
  </si>
  <si>
    <t>FABSJV 5 7/8 01/25/34</t>
  </si>
  <si>
    <t>350930AA1</t>
  </si>
  <si>
    <t>T + 145 Area</t>
  </si>
  <si>
    <t>FABSJV 6 1/4 01/25/35</t>
  </si>
  <si>
    <t>350930AD5</t>
  </si>
  <si>
    <t>350930AH6</t>
  </si>
  <si>
    <t>T + 150 Area</t>
  </si>
  <si>
    <t>350930AJ2</t>
  </si>
  <si>
    <t>T + 155 Area</t>
  </si>
  <si>
    <t>FABSJV 6.4 01/25/38</t>
  </si>
  <si>
    <t>350930AE3</t>
  </si>
  <si>
    <t>T + 160 Area</t>
  </si>
  <si>
    <t>TEXTRON INC</t>
  </si>
  <si>
    <t>883203CF6</t>
  </si>
  <si>
    <t>TXT</t>
  </si>
  <si>
    <t>Miscellaneous Manufactur</t>
  </si>
  <si>
    <t>Diversified Manufact Op</t>
  </si>
  <si>
    <t>LLOYDS 6 5/8 PERP</t>
  </si>
  <si>
    <t>SANOFI SA</t>
  </si>
  <si>
    <t>SANFP</t>
  </si>
  <si>
    <t>Pharmaceuticals</t>
  </si>
  <si>
    <t>Medical-Drugs</t>
  </si>
  <si>
    <t>801060AF1</t>
  </si>
  <si>
    <t>DNB BANK ASA</t>
  </si>
  <si>
    <t>25601B2E4</t>
  </si>
  <si>
    <t>DNBNO</t>
  </si>
  <si>
    <t>HCA INC</t>
  </si>
  <si>
    <t>Healthcare-Services</t>
  </si>
  <si>
    <t>Medical-Hospitals</t>
  </si>
  <si>
    <t>SOUTHWEST AIRLINES CO</t>
  </si>
  <si>
    <t>LUV</t>
  </si>
  <si>
    <t>AMPHENOL CORP</t>
  </si>
  <si>
    <t>PROLOGIS TARGETED US</t>
  </si>
  <si>
    <t>PLDTLF</t>
  </si>
  <si>
    <t>AKER BP ASA</t>
  </si>
  <si>
    <t>AKERBP</t>
  </si>
  <si>
    <t>GMT</t>
  </si>
  <si>
    <t>30303MAD @TRL1 Corp</t>
  </si>
  <si>
    <t>2035/11/15</t>
  </si>
  <si>
    <t>10/31</t>
  </si>
  <si>
    <t>30303MAB @TRL1 Corp</t>
  </si>
  <si>
    <t>2030/11/15</t>
  </si>
  <si>
    <t>30303MAC @TRL1 Corp</t>
  </si>
  <si>
    <t>2032/11/15</t>
  </si>
  <si>
    <t>30303M8X @TRL1 Corp</t>
  </si>
  <si>
    <t>2045/11/15</t>
  </si>
  <si>
    <t>30303MAE @TRL1 Corp</t>
  </si>
  <si>
    <t>30303M8Y @TRL1 Corp</t>
  </si>
  <si>
    <t>2065/11/15</t>
  </si>
  <si>
    <t>FI</t>
  </si>
  <si>
    <t>032095AX @TRL1 Corp</t>
  </si>
  <si>
    <t>2028/11/15</t>
  </si>
  <si>
    <t>87264ADX @TRL1 Corp</t>
  </si>
  <si>
    <t>337738AV @TRL1 Corp</t>
  </si>
  <si>
    <t>2049/7/1</t>
  </si>
  <si>
    <t>89115KAJ @TRL1 Corp</t>
  </si>
  <si>
    <t>68389XDP @TRL1 Corp</t>
  </si>
  <si>
    <t>2045/9/26</t>
  </si>
  <si>
    <t>023135CJ @TRL1 Corp</t>
  </si>
  <si>
    <t>AMZN</t>
  </si>
  <si>
    <t>2052/4/13</t>
  </si>
  <si>
    <t>A1/AA</t>
  </si>
  <si>
    <t>58933YBT @TRL1 Corp</t>
  </si>
  <si>
    <t>55354GAS @TRL1 Corp</t>
  </si>
  <si>
    <t>949746SH @TRL1 Corp</t>
  </si>
  <si>
    <t>2026/10/23</t>
  </si>
  <si>
    <t>404119DD @TRL1 Corp</t>
  </si>
  <si>
    <t>03835VAJ @TRL1 Corp</t>
  </si>
  <si>
    <t>APTV</t>
  </si>
  <si>
    <t>844741BL @TRL1 Corp</t>
  </si>
  <si>
    <t>02079KAM @TRL1 Corp</t>
  </si>
  <si>
    <t>Aa2/AA+</t>
  </si>
  <si>
    <t>872898AA @TRL1 Corp</t>
  </si>
  <si>
    <t>TAISEM</t>
  </si>
  <si>
    <t>2026/10/25</t>
  </si>
  <si>
    <t>032095AW @TRL1 Corp</t>
  </si>
  <si>
    <t>2027/11/15</t>
  </si>
  <si>
    <t>801060AJ @TRL1 Corp</t>
  </si>
  <si>
    <t>2032/11/3</t>
  </si>
  <si>
    <t>Aa3/AA</t>
  </si>
  <si>
    <t>38141GYM @TRL1 Corp</t>
  </si>
  <si>
    <t>2027/10/21</t>
  </si>
  <si>
    <t>097023CW @TRL1 Corp</t>
  </si>
  <si>
    <t>2050/5/1</t>
  </si>
  <si>
    <t>337738AU @TRL1 Corp</t>
  </si>
  <si>
    <t>2029/7/1</t>
  </si>
  <si>
    <t>883556DE @TRL1 Corp</t>
  </si>
  <si>
    <t>2035/10/7</t>
  </si>
  <si>
    <t>337738BP @TRL1 Corp</t>
  </si>
  <si>
    <t>89788JAH @TRL1 Corp</t>
  </si>
  <si>
    <t>2029/10/23</t>
  </si>
  <si>
    <t>337738BM @TRL1 Corp</t>
  </si>
  <si>
    <t>2030/3/15</t>
  </si>
  <si>
    <t>801060AF @TRL1 Corp</t>
  </si>
  <si>
    <t>2027/11/3</t>
  </si>
  <si>
    <t>742718GP @TRL1 Corp</t>
  </si>
  <si>
    <t>92343VGZ @TRL1 Corp</t>
  </si>
  <si>
    <t>2035/4/2</t>
  </si>
  <si>
    <t>46647PDW @TRL1 Corp</t>
  </si>
  <si>
    <t>2027/10/22</t>
  </si>
  <si>
    <t>89115KAE @TRL1 Corp</t>
  </si>
  <si>
    <t>2028/10/13</t>
  </si>
  <si>
    <t>11135FCT @TRL1 Corp</t>
  </si>
  <si>
    <t>2034/4/15</t>
  </si>
  <si>
    <t>12636YAJ @TRL1 Corp</t>
  </si>
  <si>
    <t>CRHID</t>
  </si>
  <si>
    <t>2036/2/9</t>
  </si>
  <si>
    <t>00774MAW @TRL1 Corp</t>
  </si>
  <si>
    <t>2028/10/29</t>
  </si>
  <si>
    <t>12636YAH @TRL1 Corp</t>
  </si>
  <si>
    <t>2031/2/9</t>
  </si>
  <si>
    <t>92343VGW @TRL1 Corp</t>
  </si>
  <si>
    <t>2054/2/23</t>
  </si>
  <si>
    <t>459200LK @TRL1 Corp</t>
  </si>
  <si>
    <t>IBM</t>
  </si>
  <si>
    <t>2055/2/10</t>
  </si>
  <si>
    <t>532457CY @TRL1 Corp</t>
  </si>
  <si>
    <t>2055/2/12</t>
  </si>
  <si>
    <t>302491AX @TRL1 Corp</t>
  </si>
  <si>
    <t>FMC</t>
  </si>
  <si>
    <t>2033/5/18</t>
  </si>
  <si>
    <t>02079KAL @TRL1 Corp</t>
  </si>
  <si>
    <t>883203CF @TRL1 Corp</t>
  </si>
  <si>
    <t>032095AV @TRL1 Corp</t>
  </si>
  <si>
    <t>58933YBS @TRL1 Corp</t>
  </si>
  <si>
    <t>443510AL @TRL1 Corp</t>
  </si>
  <si>
    <t>931142FP @TRL1 Corp</t>
  </si>
  <si>
    <t>2035/4/28</t>
  </si>
  <si>
    <t>Aa2/AA</t>
  </si>
  <si>
    <t>89788MAQ @TRL1 Corp</t>
  </si>
  <si>
    <t>2029/10/30</t>
  </si>
  <si>
    <t>718172DZ @TRL1 Corp</t>
  </si>
  <si>
    <t>2032/10/29</t>
  </si>
  <si>
    <t>166756BL @TRL1 Corp</t>
  </si>
  <si>
    <t>CVX</t>
  </si>
  <si>
    <t>172967PU @TRL1 Corp</t>
  </si>
  <si>
    <t>2036/1/24</t>
  </si>
  <si>
    <t>571903BX @TRL1 Corp</t>
  </si>
  <si>
    <t>MAR</t>
  </si>
  <si>
    <t>092914AB @TRL1 Corp</t>
  </si>
  <si>
    <t>2030/11/3</t>
  </si>
  <si>
    <t>NA/A+</t>
  </si>
  <si>
    <t>337738BL @TRL1 Corp</t>
  </si>
  <si>
    <t>2034/3/15</t>
  </si>
  <si>
    <t>718172EA @TRL1 Corp</t>
  </si>
  <si>
    <t>2035/10/29</t>
  </si>
  <si>
    <t>95000U4B @TRL1 Corp</t>
  </si>
  <si>
    <t>2036/9/15</t>
  </si>
  <si>
    <t>532457DC @TRL1 Corp</t>
  </si>
  <si>
    <t>015271BE @TRL1 Corp</t>
  </si>
  <si>
    <t>ARE</t>
  </si>
  <si>
    <t>61776NVG @TRL1 Corp</t>
  </si>
  <si>
    <t>2031/7/18</t>
  </si>
  <si>
    <t>38141GA4 @TRL1 Corp</t>
  </si>
  <si>
    <t>2029/10/24</t>
  </si>
  <si>
    <t>337738BE @TRL1 Corp</t>
  </si>
  <si>
    <t>337738BH @TRL1 Corp</t>
  </si>
  <si>
    <t>2033/8/21</t>
  </si>
  <si>
    <t>713448FZ @TRL1 Corp</t>
  </si>
  <si>
    <t>2054/7/17</t>
  </si>
  <si>
    <t>20030NEP @TRL1 Corp</t>
  </si>
  <si>
    <t>64110LAZ @TRL1 Corp</t>
  </si>
  <si>
    <t>NFLX</t>
  </si>
  <si>
    <t>337738BN @TRL1 Corp</t>
  </si>
  <si>
    <t>2034/8/12</t>
  </si>
  <si>
    <t>68389XBY @TRL1 Corp</t>
  </si>
  <si>
    <t>2060/4/1</t>
  </si>
  <si>
    <t>11135FCX @TRL1 Corp</t>
  </si>
  <si>
    <t>2038/2/15</t>
  </si>
  <si>
    <t>06051GJA @TRL1 Corp</t>
  </si>
  <si>
    <t>2051/3/20</t>
  </si>
  <si>
    <t>166756BJ @TRL1 Corp</t>
  </si>
  <si>
    <t>883556DD @TRL1 Corp</t>
  </si>
  <si>
    <t>2032/10/7</t>
  </si>
  <si>
    <t>55336VCC @TRL1 Corp</t>
  </si>
  <si>
    <t>MPLX</t>
  </si>
  <si>
    <t>87264ABF @TRL1 Corp</t>
  </si>
  <si>
    <t>2030/4/15</t>
  </si>
  <si>
    <t>00206RKJ @TRL1 Corp</t>
  </si>
  <si>
    <t>2053/9/15</t>
  </si>
  <si>
    <t>15189TBS @TRL1 Corp</t>
  </si>
  <si>
    <t>CNP</t>
  </si>
  <si>
    <t>2056/4/1</t>
  </si>
  <si>
    <t>801060AH @TRL1 Corp</t>
  </si>
  <si>
    <t>2028/11/3</t>
  </si>
  <si>
    <t>337738BK @TRL1 Corp</t>
  </si>
  <si>
    <t>46647PES @TRL1 Corp</t>
  </si>
  <si>
    <t>2045/11/29</t>
  </si>
  <si>
    <t>23331ABU @TRL1 Corp</t>
  </si>
  <si>
    <t>38141GVS @TRL1 Corp</t>
  </si>
  <si>
    <t>2045/10/21</t>
  </si>
  <si>
    <t>337738BJ @TRL1 Corp</t>
  </si>
  <si>
    <t>2027/3/15</t>
  </si>
  <si>
    <t>64110LBA @TRL1 Corp</t>
  </si>
  <si>
    <t>12636YAK @TRL1 Corp</t>
  </si>
  <si>
    <t>2056/2/9</t>
  </si>
  <si>
    <t>95000U3G @TRL1 Corp</t>
  </si>
  <si>
    <t>46647PBX @TRL1 Corp</t>
  </si>
  <si>
    <t>2032/2/4</t>
  </si>
  <si>
    <t>30303M8W @TRL1 Corp</t>
  </si>
  <si>
    <t>2064/8/15</t>
  </si>
  <si>
    <t>02079KAN @TRL1 Corp</t>
  </si>
  <si>
    <t>2065/5/15</t>
  </si>
  <si>
    <t>11135FCU @TRL1 Corp</t>
  </si>
  <si>
    <t>2033/4/15</t>
  </si>
  <si>
    <t>06419GEE @TRL1 Corp</t>
  </si>
  <si>
    <t>2085/10/27</t>
  </si>
  <si>
    <t>20030NEK @TRL1 Corp</t>
  </si>
  <si>
    <t>2054/6/1</t>
  </si>
  <si>
    <t>172967KY @TRL1 Corp</t>
  </si>
  <si>
    <t>2026/10/21</t>
  </si>
  <si>
    <t>46647PCJ @TRL1 Corp</t>
  </si>
  <si>
    <t>2029/6/1</t>
  </si>
  <si>
    <t>404119CK @TRL1 Corp</t>
  </si>
  <si>
    <t>90353TAQ @TRL1 Corp</t>
  </si>
  <si>
    <t>2054/9/15</t>
  </si>
  <si>
    <t>302491AY @TRL1 Corp</t>
  </si>
  <si>
    <t>2053/5/18</t>
  </si>
  <si>
    <t>91159HJP @TRL1 Corp</t>
  </si>
  <si>
    <t>USB</t>
  </si>
  <si>
    <t>2027/10/26</t>
  </si>
  <si>
    <t>14040HDC @TRL1 Corp</t>
  </si>
  <si>
    <t>2031/10/30</t>
  </si>
  <si>
    <t>02665WGL @TRL1 Corp</t>
  </si>
  <si>
    <t>2030/9/4</t>
  </si>
  <si>
    <t>097023DU @TRL1 Corp</t>
  </si>
  <si>
    <t>2064/5/1</t>
  </si>
  <si>
    <t>30303M8H @TRL1 Corp</t>
  </si>
  <si>
    <t>2032/8/15</t>
  </si>
  <si>
    <t>883556DC @TRL1 Corp</t>
  </si>
  <si>
    <t>2031/3/1</t>
  </si>
  <si>
    <t>30303M8Q @TRL1 Corp</t>
  </si>
  <si>
    <t>2053/5/15</t>
  </si>
  <si>
    <t>06406RAV @TRL1 Corp</t>
  </si>
  <si>
    <t>2026/10/15</t>
  </si>
  <si>
    <t>78017TAB @TRL1 Corp</t>
  </si>
  <si>
    <t>RCL</t>
  </si>
  <si>
    <t>125523AH @TRL1 Corp</t>
  </si>
  <si>
    <t>2028/10/15</t>
  </si>
  <si>
    <t>90331HPP @TRL1 Corp</t>
  </si>
  <si>
    <t>46647PDX @TRL1 Corp</t>
  </si>
  <si>
    <t>87264AAZ @TRL1 Corp</t>
  </si>
  <si>
    <t>2050/4/15</t>
  </si>
  <si>
    <t>06051GJL @TRL1 Corp</t>
  </si>
  <si>
    <t>2031/10/24</t>
  </si>
  <si>
    <t>191216DZ @TRL1 Corp</t>
  </si>
  <si>
    <t>KO</t>
  </si>
  <si>
    <t>2055/1/14</t>
  </si>
  <si>
    <t>17275RBZ @TRL1 Corp</t>
  </si>
  <si>
    <t>CSCO</t>
  </si>
  <si>
    <t>2035/2/24</t>
  </si>
  <si>
    <t>A1/AA-</t>
  </si>
  <si>
    <t>031162DR @TRL1 Corp</t>
  </si>
  <si>
    <t>AMGN</t>
  </si>
  <si>
    <t>404119DC @TRL1 Corp</t>
  </si>
  <si>
    <t>2055/3/1</t>
  </si>
  <si>
    <t>87162WAM @TRL1 Corp</t>
  </si>
  <si>
    <t>2029/1/17</t>
  </si>
  <si>
    <t>404280FB @TRL1 Corp</t>
  </si>
  <si>
    <t>2036/9/10</t>
  </si>
  <si>
    <t>361448BS @TRL1 Corp</t>
  </si>
  <si>
    <t>171239AM @TRL1 Corp</t>
  </si>
  <si>
    <t>CB</t>
  </si>
  <si>
    <t>2035/8/15</t>
  </si>
  <si>
    <t>801060AG @TRL1 Corp</t>
  </si>
  <si>
    <t>09261XAL @TRL1 Corp</t>
  </si>
  <si>
    <t>BXSL</t>
  </si>
  <si>
    <t>2031/1/31</t>
  </si>
  <si>
    <t>361448BR @TRL1 Corp</t>
  </si>
  <si>
    <t>2054/6/5</t>
  </si>
  <si>
    <t>437076DF @TRL1 Corp</t>
  </si>
  <si>
    <t>2054/6/25</t>
  </si>
  <si>
    <t>20030NDS @TRL1 Corp</t>
  </si>
  <si>
    <t>2051/11/1</t>
  </si>
  <si>
    <t>17275RBU @TRL1 Corp</t>
  </si>
  <si>
    <t>2054/2/26</t>
  </si>
  <si>
    <t>11135FCS @TRL1 Corp</t>
  </si>
  <si>
    <t>404119BY @TRL1 Corp</t>
  </si>
  <si>
    <t>2039/6/15</t>
  </si>
  <si>
    <t>61690U8G @TRL1 Corp</t>
  </si>
  <si>
    <t>2027/10/15</t>
  </si>
  <si>
    <t>606822DL @TRL1 Corp</t>
  </si>
  <si>
    <t>2036/4/24</t>
  </si>
  <si>
    <t>25278XBA @TRL1 Corp</t>
  </si>
  <si>
    <t>2054/4/18</t>
  </si>
  <si>
    <t>20030NEJ @TRL1 Corp</t>
  </si>
  <si>
    <t>2034/6/1</t>
  </si>
  <si>
    <t>00206RMN @TRL1 Corp</t>
  </si>
  <si>
    <t>2057/12/1</t>
  </si>
  <si>
    <t>09062XAL @TRL1 Corp</t>
  </si>
  <si>
    <t>38141GC5 @TRL1 Corp</t>
  </si>
  <si>
    <t>2056/1/28</t>
  </si>
  <si>
    <t>87264ADW @TRL1 Corp</t>
  </si>
  <si>
    <t>2033/1/15</t>
  </si>
  <si>
    <t>097023DG @TRL1 Corp</t>
  </si>
  <si>
    <t>2026/2/4</t>
  </si>
  <si>
    <t>78017FZQ @TRL1 Corp</t>
  </si>
  <si>
    <t>2027/10/18</t>
  </si>
  <si>
    <t>優步 (UBER)</t>
    <phoneticPr fontId="21" type="noConversion"/>
  </si>
  <si>
    <t>營收與獲利皆大幅優於預期，受惠於稅務利益與平台用戶成長。Q3行程數創歷史新高，毛利率提升。儘管Q4指引略低於市場預期，管理層強調AI與多元商業模式為未來成長動能。
營收：$13.47bn（年增 20%，優於預期）
EPS：$3.11（含 $4.9bn 稅務利益）
淨利：$6.6bn
營業利潤率：8.1%（Adjusted EBITDA $2.3bn，年增 33%）
行程數：3.5bn（年增 22%）
自由現金流：$2.2bn
平台用戶：189m（年增 17%）
11/4消息公布後，UBER股價下跌5.1%。</t>
    <phoneticPr fontId="21" type="noConversion"/>
  </si>
  <si>
    <t>AppLovin (APP)</t>
    <phoneticPr fontId="21" type="noConversion"/>
  </si>
  <si>
    <t>季度表現穩健，槓桿率現在低於1倍。過去12個月的EBITDA約為$4bn，相較於$3.5bn 的債務，槓桿率為0.9倍，淨槓桿率為0.5倍。第三季FCF達到$1.05bn，過去12個月的FCF為33.4億美元。
營收：$1.41bn（年增 68%，預期 $1.34bn）
EPS：$2.45（年增 96%，預期 $2.38）
淨利：$836mio（年增 92%）
Adjusted EBITDA：$1.16bn（年增 79%，EBITDA margin 82%）
自由現金流：$1.05bn（年增 92%）
現金與等值資產：$1.7bn
股數：339M（Q3末）
回購：Q3回購1.3M股，總額 $571M；授權擴大 $3.2B，剩餘 $3.3B
11/6消息公布後，APP股價持平。</t>
    <phoneticPr fontId="21" type="noConversion"/>
  </si>
  <si>
    <t>甲骨文 (ORCL)</t>
    <phoneticPr fontId="21" type="noConversion"/>
  </si>
  <si>
    <t>「銀行為與Oracle相關的新墨西哥數據中心提供180億美元貸款」。與之前類似的消息一樣，這並非ORCL的債務，而是開發商的債務。此消息將是類似於Vantage交易的建設貸款，條件看起來與Vantage交易相似，例如比SOFR高2.5%的利率，期限為4年。這個新墨西哥設施早已宣布，因此這並非新消息或超出預期。
消息公布後，ORCL信用利差widen 6bps。</t>
    <phoneticPr fontId="21" type="noConversion"/>
  </si>
  <si>
    <t>杜克能源 (DUK)</t>
    <phoneticPr fontId="21" type="noConversion"/>
  </si>
  <si>
    <t>本季獲利與營收皆優於預期，受惠於零售電力銷售成長與新費率實施。全年EPS指引上修至 $6.25~$6.35，並重申2029年前年均EPS成長率5%~7%。公司宣布五年資本支出計畫上修至 $95bn~$105bn，聚焦電網升級與清潔能源轉型。
營收：$8.54bn（年增 4.8%，優於預期）
EPS：$1.81（年增 11.7%，預期 $1.75）
淨利：$1.42bn
營業利潤率：未公布（Adjusted EBITDA 未列）
ROE：1.95%（低於產業平均）
11/7財報公布後，股價持平。</t>
    <phoneticPr fontId="21" type="noConversion"/>
  </si>
  <si>
    <t>CNH Industrial (CNH)</t>
    <phoneticPr fontId="21" type="noConversion"/>
  </si>
  <si>
    <t>儘管EPS大幅優於預期，營收年減且毛利率下滑，導致股價重挫。農業部門受北美重型設備需求崩跌影響，銷售年減 11%；建設部門則年增 8%。全年EPS指引下修至 $0.44~$0.50，反映地緣銷售組合不利與關稅壓力。
營收：$4.4bn（年減 5%，略優於預期）
EPS：$0.36（預期 $0.13，驚喜幅度 +176.9%）
淨利：$67mio（年減 78%）
Adjusted EPS：$0.08（年減 67%）
Adjusted EBIT（工業部門）：$104mio（年減 69%）
自由現金流（工業部門）：吸收 $188mio
毛利率：下滑 5.6 個百分點至 2.8%
11/7財報公布後，CNH股價下跌6%。</t>
    <phoneticPr fontId="21" type="noConversion"/>
  </si>
  <si>
    <t>$120bn</t>
    <phoneticPr fontId="21" type="noConversion"/>
  </si>
  <si>
    <t>波克夏 (BRKHEC)</t>
    <phoneticPr fontId="21" type="noConversion"/>
  </si>
  <si>
    <t>巴菲特的Berkshire Hathaway所擁有的公用事業公司PacifiCorp，近日警告可能因2020年勞動節週末奧勒岡州野火的加速審判而面臨流動性壓力。上週五(11/7)，標普將Pacificorp的FMBs（第一抵押債券）評級下調至BBB+，並將展望維持在負面。最值得注意的是，評級機構指出，未來12個月內該評級可能會再被下調超過一級。PacifiCorp已經預留28.5億美元，包括第三季的1億美元，用於應對涉及超過2000個建築物和50萬英畝土地的訴訟，這些訴訟索賠金額高達550億美元。
消息公布後，BRKHEC信用利差widen 9bps。</t>
    <phoneticPr fontId="21" type="noConversion"/>
  </si>
  <si>
    <t>Finance-Other Services</t>
  </si>
  <si>
    <t>T + 165 Area</t>
  </si>
  <si>
    <t>T + 75 Area</t>
  </si>
  <si>
    <t>11/05/25</t>
  </si>
  <si>
    <t>TRANSCONT GAS PIPE LINE</t>
  </si>
  <si>
    <t>WMB</t>
  </si>
  <si>
    <t>T + 120-125</t>
  </si>
  <si>
    <t>WMB 5 3/4 03/15/56</t>
  </si>
  <si>
    <t>893574AT0</t>
  </si>
  <si>
    <t>T + 130-135</t>
  </si>
  <si>
    <t>CBG 4.9 01/15/33</t>
  </si>
  <si>
    <t>12505BAL4</t>
  </si>
  <si>
    <t>PII 5.6 03/01/31</t>
  </si>
  <si>
    <t>POLARIS INC</t>
  </si>
  <si>
    <t>731068AB8</t>
  </si>
  <si>
    <t>PII</t>
  </si>
  <si>
    <t>T + 200-212.5</t>
  </si>
  <si>
    <t>Leisure Time</t>
  </si>
  <si>
    <t>Recreational Vehicles</t>
  </si>
  <si>
    <t>APO 4.6 01/15/31</t>
  </si>
  <si>
    <t>APOLLO GLOBAL MANAGEMENT</t>
  </si>
  <si>
    <t>03769MAF3</t>
  </si>
  <si>
    <t>APO</t>
  </si>
  <si>
    <t>APO 5.15 08/12/35</t>
  </si>
  <si>
    <t>03769MAE6</t>
  </si>
  <si>
    <t>MAT 5 11/17/30</t>
  </si>
  <si>
    <t>MATTEL INC</t>
  </si>
  <si>
    <t>577081BG6</t>
  </si>
  <si>
    <t>MAT</t>
  </si>
  <si>
    <t>Toys/Games/Hobbies</t>
  </si>
  <si>
    <t>Toys</t>
  </si>
  <si>
    <t>ICE 3.95 12/01/28</t>
  </si>
  <si>
    <t>INTERCONTINENTALEXCHANGE</t>
  </si>
  <si>
    <t>45865VAA8</t>
  </si>
  <si>
    <t>ICE</t>
  </si>
  <si>
    <t>ICE 4.2 03/15/31</t>
  </si>
  <si>
    <t>45865VAC4</t>
  </si>
  <si>
    <t>T + 90 Area</t>
  </si>
  <si>
    <t>PCAR 4 11/07/28</t>
  </si>
  <si>
    <t>69371RU20</t>
  </si>
  <si>
    <t>T + 62.5 Area</t>
  </si>
  <si>
    <t>EQIX 4.6 11/15/30</t>
  </si>
  <si>
    <t>EQUINIX EU 2 FINANCING C</t>
  </si>
  <si>
    <t>29390XAG9</t>
  </si>
  <si>
    <t>EQIX</t>
  </si>
  <si>
    <t>NWE 5.073 03/21/30</t>
  </si>
  <si>
    <t>T + 100 Area</t>
  </si>
  <si>
    <t>HIW 5.35 01/15/33</t>
  </si>
  <si>
    <t>HIGHWOODS REALTY LP</t>
  </si>
  <si>
    <t>431282AV4</t>
  </si>
  <si>
    <t>HIW</t>
  </si>
  <si>
    <t>REITS-Office Property</t>
  </si>
  <si>
    <t>ETR 5 7/8 06/15/56</t>
  </si>
  <si>
    <t>ENTERGY CORP</t>
  </si>
  <si>
    <t>29364GAR4</t>
  </si>
  <si>
    <t>ETR 6.1 06/15/56</t>
  </si>
  <si>
    <t>29364GAS2</t>
  </si>
  <si>
    <t>WLK 5.55 11/15/35</t>
  </si>
  <si>
    <t>WESTLAKE CORP</t>
  </si>
  <si>
    <t>960413BB7</t>
  </si>
  <si>
    <t>WLK</t>
  </si>
  <si>
    <t>WLK 6 3/8 11/15/55</t>
  </si>
  <si>
    <t>960413BC5</t>
  </si>
  <si>
    <t>UBS 4.844 11/06/33</t>
  </si>
  <si>
    <t>902613BT4</t>
  </si>
  <si>
    <t>UBS 5.528 05/06/47</t>
  </si>
  <si>
    <t>902613BU1</t>
  </si>
  <si>
    <t>GOOGL 3 7/8 11/15/28</t>
  </si>
  <si>
    <t>02079KAV9</t>
  </si>
  <si>
    <t>GOOGL Float 11/15/28</t>
  </si>
  <si>
    <t>02079KAU1</t>
  </si>
  <si>
    <t>GOOGL 4.1 11/15/30</t>
  </si>
  <si>
    <t>02079KAW7</t>
  </si>
  <si>
    <t>GOOGL 4 3/8 11/15/32</t>
  </si>
  <si>
    <t>02079KAX5</t>
  </si>
  <si>
    <t>GOOGL 4.7 11/15/35</t>
  </si>
  <si>
    <t>02079KAY3</t>
  </si>
  <si>
    <t>GOOGL 5.35 11/15/45</t>
  </si>
  <si>
    <t>02079KAZ0</t>
  </si>
  <si>
    <t>GOOGL 5.45 11/15/55</t>
  </si>
  <si>
    <t>02079KBA4</t>
  </si>
  <si>
    <t>GOOGL 5.7 11/15/2075</t>
  </si>
  <si>
    <t>02079KBB2</t>
  </si>
  <si>
    <t>NOVNVX 3.9 11/05/28</t>
  </si>
  <si>
    <t>NOVARTIS CAPITAL CORP</t>
  </si>
  <si>
    <t>66989HAX6</t>
  </si>
  <si>
    <t>NOVNVX</t>
  </si>
  <si>
    <t>NOVNVX Float 11/05/28</t>
  </si>
  <si>
    <t>66989HBD9</t>
  </si>
  <si>
    <t>NOVNVX 4.1 11/05/30</t>
  </si>
  <si>
    <t>66989HAY4</t>
  </si>
  <si>
    <t>NOVNVX 4.3 11/05/32</t>
  </si>
  <si>
    <t>66989HAZ1</t>
  </si>
  <si>
    <t>NOVNVX 4.6 11/05/35</t>
  </si>
  <si>
    <t>66989HBA5</t>
  </si>
  <si>
    <t>NOVNVX 5.2 11/05/45</t>
  </si>
  <si>
    <t>66989HBB3</t>
  </si>
  <si>
    <t>NOVNVX 5.3 11/05/55</t>
  </si>
  <si>
    <t>66989HBC1</t>
  </si>
  <si>
    <t>WEC 5 5/8 05/15/56</t>
  </si>
  <si>
    <t>WEC ENERGY GROUP INC</t>
  </si>
  <si>
    <t>92939UAU0</t>
  </si>
  <si>
    <t>WEC</t>
  </si>
  <si>
    <t>EPR 4 3/4 11/15/30</t>
  </si>
  <si>
    <t>EPR PROPERTIES</t>
  </si>
  <si>
    <t>26884UAH2</t>
  </si>
  <si>
    <t>EPR</t>
  </si>
  <si>
    <t>LNC 5.35 11/15/35</t>
  </si>
  <si>
    <t>LINCOLN NATIONAL CORP</t>
  </si>
  <si>
    <t>534187BZ1</t>
  </si>
  <si>
    <t>LNC</t>
  </si>
  <si>
    <t>NI 5 3/4 07/15/56</t>
  </si>
  <si>
    <t>65473PAY1</t>
  </si>
  <si>
    <t>BRKHEC 5 1/2 11/15/56</t>
  </si>
  <si>
    <t>MIDAMERICAN ENERGY CO</t>
  </si>
  <si>
    <t>595620BA2</t>
  </si>
  <si>
    <t>BNKOKL 6.108 11/06/40</t>
  </si>
  <si>
    <t>BOKF NA</t>
  </si>
  <si>
    <t>05572YHP0</t>
  </si>
  <si>
    <t>BNKOKL</t>
  </si>
  <si>
    <t>Commer Banks-Central US</t>
  </si>
  <si>
    <t>EBAY 4 1/4 03/06/29</t>
  </si>
  <si>
    <t>EBAY INC</t>
  </si>
  <si>
    <t>278642BD4</t>
  </si>
  <si>
    <t>EBAY</t>
  </si>
  <si>
    <t>E-Commerce/Products</t>
  </si>
  <si>
    <t>EBAY 5 1/8 11/06/35</t>
  </si>
  <si>
    <t>278642BE2</t>
  </si>
  <si>
    <t>RDSALN 4 1/8 11/06/30</t>
  </si>
  <si>
    <t>SHELL FINANCE US INC</t>
  </si>
  <si>
    <t>822905AN5</t>
  </si>
  <si>
    <t>RDSALN</t>
  </si>
  <si>
    <t>RDSALN Float 11/06/30</t>
  </si>
  <si>
    <t>822905AP0</t>
  </si>
  <si>
    <t>RDSALN 4 3/4 01/06/36</t>
  </si>
  <si>
    <t>822905AQ8</t>
  </si>
  <si>
    <t>HWM 4.55 11/15/32</t>
  </si>
  <si>
    <t>HOWMET AEROSPACE INC</t>
  </si>
  <si>
    <t>443201AD0</t>
  </si>
  <si>
    <t>HWM</t>
  </si>
  <si>
    <t>Aerospace/Defense-Equip</t>
  </si>
  <si>
    <t>MAA 4.65 01/15/33</t>
  </si>
  <si>
    <t>MID-AMERICA APARTMENTS</t>
  </si>
  <si>
    <t>59523UAY3</t>
  </si>
  <si>
    <t>MAA</t>
  </si>
  <si>
    <t>YJ778863</t>
  </si>
  <si>
    <t>YJ778876</t>
  </si>
  <si>
    <t>YJ780179</t>
  </si>
  <si>
    <t>YJ780178</t>
  </si>
  <si>
    <t>YJ780180</t>
  </si>
  <si>
    <t>YJ780560</t>
  </si>
  <si>
    <t>YJ780555</t>
  </si>
  <si>
    <t>YJ780561</t>
  </si>
  <si>
    <t>YJ782356</t>
  </si>
  <si>
    <t>YJ783795</t>
  </si>
  <si>
    <t>YL026965</t>
  </si>
  <si>
    <t>MSCI INC</t>
  </si>
  <si>
    <t>55354GAR1</t>
  </si>
  <si>
    <t>Decision Support Softwar</t>
  </si>
  <si>
    <t>YJ667016</t>
  </si>
  <si>
    <t>YJ667789</t>
  </si>
  <si>
    <t>YJ667033</t>
  </si>
  <si>
    <t>(P)BBB</t>
  </si>
  <si>
    <t>YJ674663</t>
  </si>
  <si>
    <t>YJ674412</t>
  </si>
  <si>
    <t>YJ674672</t>
  </si>
  <si>
    <t>YJ674420</t>
  </si>
  <si>
    <t>YJ673929</t>
  </si>
  <si>
    <t>YJ673932</t>
  </si>
  <si>
    <t>YJ613098</t>
  </si>
  <si>
    <t>YJ613139</t>
  </si>
  <si>
    <t>YJ613187</t>
  </si>
  <si>
    <t>YJ675240</t>
  </si>
  <si>
    <t>YR253688</t>
  </si>
  <si>
    <t>YR253689</t>
  </si>
  <si>
    <t>YR253690</t>
  </si>
  <si>
    <t>YR253691</t>
  </si>
  <si>
    <t>YJ675145</t>
  </si>
  <si>
    <t>YJ628237</t>
  </si>
  <si>
    <t>YJ628239</t>
  </si>
  <si>
    <t>YJ628242</t>
  </si>
  <si>
    <t>YJ628244</t>
  </si>
  <si>
    <t>YJ628247</t>
  </si>
  <si>
    <t>YJ629144</t>
  </si>
  <si>
    <t>YJ629140</t>
  </si>
  <si>
    <t>YJ629141</t>
  </si>
  <si>
    <t>YJ629142</t>
  </si>
  <si>
    <t>YJ629143</t>
  </si>
  <si>
    <t>YJ630485</t>
  </si>
  <si>
    <t>YJ630486</t>
  </si>
  <si>
    <t>YJ630487</t>
  </si>
  <si>
    <t>YJ630488</t>
  </si>
  <si>
    <t>YJ630489</t>
  </si>
  <si>
    <t>YJ630491</t>
  </si>
  <si>
    <t>YJ630492</t>
  </si>
  <si>
    <t>YJ629840</t>
  </si>
  <si>
    <t>YJ629853</t>
  </si>
  <si>
    <t>YJ630531</t>
  </si>
  <si>
    <t>YJ630572</t>
  </si>
  <si>
    <t>YJ630573</t>
  </si>
  <si>
    <t>YJ630575</t>
  </si>
  <si>
    <t>YJ630576</t>
  </si>
  <si>
    <t>YJ630577</t>
  </si>
  <si>
    <t>YJ630578</t>
  </si>
  <si>
    <t>YJ630579</t>
  </si>
  <si>
    <t>YJ631464</t>
  </si>
  <si>
    <t>YJ631475</t>
  </si>
  <si>
    <t>YJ631748</t>
  </si>
  <si>
    <t>YJ467301</t>
  </si>
  <si>
    <t>YJ477627</t>
  </si>
  <si>
    <t>11/04/25</t>
    <phoneticPr fontId="21" type="noConversion"/>
  </si>
  <si>
    <t>Baa1</t>
    <phoneticPr fontId="21" type="noConversion"/>
  </si>
  <si>
    <t>A2</t>
    <phoneticPr fontId="21" type="noConversion"/>
  </si>
  <si>
    <t>Baa2</t>
    <phoneticPr fontId="21" type="noConversion"/>
  </si>
  <si>
    <t>BBB</t>
    <phoneticPr fontId="21" type="noConversion"/>
  </si>
  <si>
    <t>A3</t>
    <phoneticPr fontId="21" type="noConversion"/>
  </si>
  <si>
    <t>BBB-</t>
    <phoneticPr fontId="21" type="noConversion"/>
  </si>
  <si>
    <t>Baa3</t>
    <phoneticPr fontId="21" type="noConversion"/>
  </si>
  <si>
    <t>02079KBA @TRL1 Corp</t>
  </si>
  <si>
    <t>02079KAY @TRL1 Corp</t>
  </si>
  <si>
    <t>02079KBB @TRL1 Corp</t>
  </si>
  <si>
    <t>2075/11/15</t>
  </si>
  <si>
    <t>02079KAW @TRL1 Corp</t>
  </si>
  <si>
    <t>92343VHJ @TRL1 Corp</t>
  </si>
  <si>
    <t>2055/11/30</t>
  </si>
  <si>
    <t>02079KAZ @TRL1 Corp</t>
  </si>
  <si>
    <t>404280FG @TRL1 Corp</t>
  </si>
  <si>
    <t>2036/11/6</t>
  </si>
  <si>
    <t>92343VHK @TRL1 Corp</t>
  </si>
  <si>
    <t>2065/11/30</t>
  </si>
  <si>
    <t>404280FE @TRL1 Corp</t>
  </si>
  <si>
    <t>2031/11/6</t>
  </si>
  <si>
    <t>11/11~11/17市場回顧</t>
    <phoneticPr fontId="21" type="noConversion"/>
  </si>
  <si>
    <t>APA / REPSEP</t>
    <phoneticPr fontId="21" type="noConversion"/>
  </si>
  <si>
    <t>Repsol 正在考慮將其上游業務與 Apache（以及其他潛在合併夥伴）進行反向合併，這可能為其提供更快速的途徑成為上市公司。目前的細節對我們來說是信用正面的，因為這將意味著更大的規模和更高的多元化，且槓桿率不會有顯著變化。假設上述條件成立，該合併後的實體信用利差可能會tighten 15~20bps ，但需要注意的是，Repsol 仍處於「考慮選項」的階段。APA 應該表現優於市場，因為一些人可能將此視為向其他潛在買家的開放機會。
11/13消息公布後，APA信用利差tighten 7bps，REPSEP信用利差tighten 3bps。</t>
    <phoneticPr fontId="21" type="noConversion"/>
  </si>
  <si>
    <t>迪士尼 (DIS)</t>
    <phoneticPr fontId="21" type="noConversion"/>
  </si>
  <si>
    <t xml:space="preserve">迪士尼獲利優於分析師估計，不過旗下有線電視與傳統電視業務持續萎縮，抵銷串流與主題樂園的亮眼表現，使股價在美股盤前一度下跌逾 5%。回購金額從 $3.5bn提高到$7bn，根據他們提供的指引，這應該會需要發行債券。迪士尼目前有約 $7bn的短期債務，其中大部分可能會尋求再融資。
營收：$22.5bn（低於預期 $22.7bn~22.8bn）
EPS：$1.11（優於預期 $1.05~$1.07）
營運利益：$352mio（年增 39%）
11/13財報公布後，DIS股價下跌7.8%。 </t>
    <phoneticPr fontId="21" type="noConversion"/>
  </si>
  <si>
    <t>默克 (MRK)</t>
    <phoneticPr fontId="21" type="noConversion"/>
  </si>
  <si>
    <t>默克以92億美元收購Cidara Therapeutics，相較於之前的收盤價，溢價超過100%。Cidara專注於開發藥物-Fc結合物，這將與MRK的抗病毒業務相結合。雖然新聞未提及融資細節，但預期MRK可能會回到市場籌資，並且由於交易預計在2026年第一季度完成，他們可能會在今年年底之前或等到2026財年初進行融資。默克近來在併購上呈現明顯「加速感」，顯示公司對Keytruda專利懸崖的時間壓力心知肚明，必須及早透過交易把未來十年的營收空窗補齊，其增量債務/流通股可能會移動到&gt;=5的水平。即便如此，MRK的表現仍可能優於BMY/PFE，但MRK可能會繼續積極進行併購，這將限制其相對於ABBV的交易表現。
11/14消息公布後，默克股價持平，信用利差widen 2bps。</t>
    <phoneticPr fontId="21" type="noConversion"/>
  </si>
  <si>
    <t>必和必拓 (BHP)</t>
    <phoneticPr fontId="21" type="noConversion"/>
  </si>
  <si>
    <t>英國法院裁定BHP需對2015年Mariana水壩坍塌事件負法律責任，此判決僅決定誰需負責，而非他們需支付多少賠償金。損害賠償的審判將於10月26日至明年3月27日進行。值得注意的是，Mariana水壩坍塌事件的大部分賠償已透過巴西法律框架處理，因此我們不預期會有巨額賠償。然而，這則新聞增加了一些小幅的尾端風險及新聞風險，可能導致RIOLN的些微利差擴大。
11/14消息公布後，BHP股價盤前一度下跌3.2%。</t>
    <phoneticPr fontId="21" type="noConversion"/>
  </si>
  <si>
    <t>JBS NV (JBS)</t>
    <phoneticPr fontId="21" type="noConversion"/>
  </si>
  <si>
    <t>業績表現優於預期，主要受益於牛肉和雞肉業務的良好表現。電話會議的重點將放在未來的利潤率上，因為牛肉市場仍面臨挑戰，而雞肉市場因其短周期特性也備受關注。JBS似乎動用了約10億美元的短期融資設施，但可能是由於現金流和股票回購的時間安排所致。
營收：$2.26bn，創歷史新高，同比增長 13%，超過市場預期（預測 $2.2bn）
淨利：$581mio，YOY - 16%
EPS：$0.52，雖然同比下降，但仍 高於市場預測（$0.4945）
調整後 EBITDA：$18.35 億美元，同比下降 15%，利潤率約 8.1% 
自由現金流：$3.83 億美元
槓桿比率：2.39x，維持在公司長期目標範圍 
ROE（過去 12 個月）：23.7%，顯示資本回報穩健 
11/14消息公布後，JBS股價持平。</t>
    <phoneticPr fontId="21" type="noConversion"/>
  </si>
  <si>
    <t xml:space="preserve">上週美債10y利率維持10bps之內震盪，全週利率微漲2bps，curve steepen。美國政府結束關門，投資者等待勞動力市場與通膨數據更新。上半週債券交易員大量買入壓注10y美債收益率跌破4%的期權，因為即將公布的一系列數據可能重塑市場對美國經濟前景的預期。上週以來加密貨幣大跌，比特幣抹去今年以來所有漲幅，標普500較全球股指溢價逾50%，上週以來股市的selloff顯示出投機情緒正在退場；目前市場對風險擔憂的情緒略有升溫，部分原因仍來自脆弱的信用相關數據以及偏緊的資金。根據惠譽評級的數據，美國10月份次級車貸違約率創新高，而緊接大空頭Michael Burry質疑科技巨頭通過延長計算設備折舊年限可能在帳面上虛增盈利增速後，新債王Gundlach將矛頭直指私人信貸市場，認為風險正源於對私營企業的危險貸款及對人工智能的過度期待，並可能將全球市場推向新一輪崩盤。資金部分，近幾週一系列短期利率居高不下，SOFR甚至出現自2020年3月疫情高峰以來非加息週期中的單日最大波動，造成市場緊縮的主因是國庫券發行增加，吸走了短期市場現金，令銀行體系流動性減少，以回購為基礎的基準利率進一步高於美聯儲支付給銀行準備金的利率(IORB)水平，而美聯儲的常設回購機制(SRF)近幾週亦被頻繁使用。在風險情緒降溫的上週，多位Fed官員釋出鷹派訊號，期貨市場目前預期美國12月降息1碼的機率僅剩42.9%。 
其它市場部分，日圓兌美元匯率跌至155，創今年2月以來新低，預計將促使東京官員行使口頭干預以遏制匯率下滑；美國關稅打擊日本出口，拖累日本Q3 GDP季減年率1.8%，創下六季以來首次萎縮紀錄；澳州10月就業人數增加42200人，高於預估的20000人，顯示就業市場依舊有韌性。
展望本週，美國即將公布一系列數據，重要數據公布時間如下，11/20公布9月非農就業報告、21日為9月實際薪資數據、26日將發布Q3 GDP修正值，當天10月個人所得支出以及PCE指數也將出爐；12/4將公布10月國際貿易報告，5日公布11月就業報告，10日則預定公布11月CPI，緊接著就是今年最後一次的FOMC會議。Fund flow部分，美股連續第9週淨流入($6.4bn)、IG bonds連續29週淨流入($10.9bn)；技術分析部分，雖10y美債利率日線於上週打破向下格局，但週月線仍延續下行趨勢，30y利率目前則來到4.74~4.76%壓力區，向上力道應不至於持續。
</t>
    <phoneticPr fontId="21" type="noConversion"/>
  </si>
  <si>
    <t>美國短天期利率承壓</t>
    <phoneticPr fontId="21" type="noConversion"/>
  </si>
  <si>
    <t>$26.3bn</t>
    <phoneticPr fontId="21" type="noConversion"/>
  </si>
  <si>
    <t>$20bn</t>
    <phoneticPr fontId="21" type="noConversion"/>
  </si>
  <si>
    <t>$26bn</t>
    <phoneticPr fontId="21" type="noConversion"/>
  </si>
  <si>
    <t>$110bn</t>
    <phoneticPr fontId="21" type="noConversion"/>
  </si>
  <si>
    <t>$1,529bn</t>
    <phoneticPr fontId="21" type="noConversion"/>
  </si>
  <si>
    <r>
      <rPr>
        <b/>
        <sz val="22"/>
        <rFont val="微軟正黑體"/>
        <family val="2"/>
        <charset val="136"/>
      </rPr>
      <t xml:space="preserve">上週IG信用利差整體走窄，全週+1~+5bps，US IG widen 2bp，US HY widen 17bps。
S&amp;P將UPS展望調整為負面，UPS信用利差widen 2bps。Moody’s 將 AppLovin 的高級無擔保評級上調至 Baa3，展望為正向。
11/12：IG closed +1/2bps。TMT underperformed，不同發行人漲跌各異(PARA -8, VZ +1, GOOGL +2, META +3, ORCL +13)，ORCL而後有short covering flow 。
</t>
    </r>
    <r>
      <rPr>
        <b/>
        <u/>
        <sz val="22"/>
        <rFont val="微軟正黑體"/>
        <family val="2"/>
        <charset val="136"/>
      </rPr>
      <t xml:space="preserve">初級市場
</t>
    </r>
    <r>
      <rPr>
        <b/>
        <sz val="22"/>
        <rFont val="微軟正黑體"/>
        <family val="2"/>
        <charset val="136"/>
      </rPr>
      <t xml:space="preserve">11/12：4個發行人定價$4.4bn IG bonds，NIC 1bps，認購倍數4x。Host Hotel發行$400mio WNG 3y券，獲得10x的認購峰值。
</t>
    </r>
    <r>
      <rPr>
        <b/>
        <sz val="20"/>
        <rFont val="微軟正黑體"/>
        <family val="2"/>
        <charset val="136"/>
      </rPr>
      <t xml:space="preserve">
11/13：6個發行人定價$3.6bn IG bonds，NIC 4bps，認購倍數2.5x。DXC Technology在4年後發行5y券，IPT提供了大約50bps的NIC，由於股市不佳，order book僅$650mio，guidance unchanged。
11/17：10個發行人定價$26.3bn IG bonds，NIC 2bps，認購倍數3.6x。Amazon為近期發行量最大的發行人，定價$15bn債券。由於股市selloff，order book attrition攀高至40%，幾乎是YTD平均21%的兩倍。
</t>
    </r>
    <phoneticPr fontId="21" type="noConversion"/>
  </si>
  <si>
    <t>BAMCN 4.653 11/15/30</t>
  </si>
  <si>
    <t>113004AB1</t>
  </si>
  <si>
    <t>11/13/25</t>
  </si>
  <si>
    <t>BAMCN 5.298 01/15/36</t>
  </si>
  <si>
    <t>113004AC9</t>
  </si>
  <si>
    <t>T + 140 Area</t>
  </si>
  <si>
    <t>BWP 5 3/8 02/15/36</t>
  </si>
  <si>
    <t>BOARDWALK PIPELINES LP</t>
  </si>
  <si>
    <t>096630AL2</t>
  </si>
  <si>
    <t>BWP</t>
  </si>
  <si>
    <t>G 4.95 11/18/30</t>
  </si>
  <si>
    <t>GENPACT UK/USA INC</t>
  </si>
  <si>
    <t>37256EAA0</t>
  </si>
  <si>
    <t>G</t>
  </si>
  <si>
    <t>IT 4.95 03/20/31</t>
  </si>
  <si>
    <t>GARTNER INC</t>
  </si>
  <si>
    <t>366651AJ6</t>
  </si>
  <si>
    <t>IT</t>
  </si>
  <si>
    <t>IT 5.6 11/20/35</t>
  </si>
  <si>
    <t>366651AK3</t>
  </si>
  <si>
    <t>PDM 5 5/8 01/15/33</t>
  </si>
  <si>
    <t>PIEDMONT OPERATING PARTN</t>
  </si>
  <si>
    <t>720198AK6</t>
  </si>
  <si>
    <t>PDM</t>
  </si>
  <si>
    <t>T + 215 Area</t>
  </si>
  <si>
    <t>CRBG 6 7/8 PERP</t>
  </si>
  <si>
    <t>COREBRIDGE FINANCIAL INC</t>
  </si>
  <si>
    <t>21871XAU3</t>
  </si>
  <si>
    <t>CRBG</t>
  </si>
  <si>
    <t>7% Area</t>
  </si>
  <si>
    <t>HST 4 1/4 12/15/28</t>
  </si>
  <si>
    <t>44107TBE5</t>
  </si>
  <si>
    <t>11/12/25</t>
  </si>
  <si>
    <t>CPGX 4.999 11/17/32</t>
  </si>
  <si>
    <t>COLUMBIA PIPELINE HOLDCO</t>
  </si>
  <si>
    <t>19828AAF4</t>
  </si>
  <si>
    <t>CPGX</t>
  </si>
  <si>
    <t>NTRS 4.15 11/19/30</t>
  </si>
  <si>
    <t>NORTHERN TRUST CORP</t>
  </si>
  <si>
    <t>665859AY0</t>
  </si>
  <si>
    <t>NTRS</t>
  </si>
  <si>
    <t>T + 80 Area</t>
  </si>
  <si>
    <t>NTRS 5.117 11/19/40</t>
  </si>
  <si>
    <t>665859AZ7</t>
  </si>
  <si>
    <t>SCHW 4.343 11/14/31</t>
  </si>
  <si>
    <t>CHARLES SCHWAB CORP</t>
  </si>
  <si>
    <t>808513CK9</t>
  </si>
  <si>
    <t>SCHW</t>
  </si>
  <si>
    <t>SCHW 4.914 11/14/36</t>
  </si>
  <si>
    <t>808513CL7</t>
  </si>
  <si>
    <t>61776NZT3</t>
  </si>
  <si>
    <t>61776NZW6</t>
  </si>
  <si>
    <t>11/17/25</t>
    <phoneticPr fontId="21" type="noConversion"/>
  </si>
  <si>
    <t>61776NZU0</t>
    <phoneticPr fontId="21" type="noConversion"/>
  </si>
  <si>
    <t>A+</t>
    <phoneticPr fontId="21" type="noConversion"/>
  </si>
  <si>
    <t>Aa3</t>
    <phoneticPr fontId="21" type="noConversion"/>
  </si>
  <si>
    <t>AA-</t>
    <phoneticPr fontId="21" type="noConversion"/>
  </si>
  <si>
    <t>023135CS3</t>
  </si>
  <si>
    <t>023135CT1</t>
  </si>
  <si>
    <t>023135CU8</t>
  </si>
  <si>
    <t>023135CV6</t>
  </si>
  <si>
    <t>023135CW4</t>
  </si>
  <si>
    <t>023135CY0</t>
  </si>
  <si>
    <t>448579AW2</t>
  </si>
  <si>
    <t>AA</t>
    <phoneticPr fontId="21" type="noConversion"/>
  </si>
  <si>
    <t>A1</t>
    <phoneticPr fontId="21" type="noConversion"/>
  </si>
  <si>
    <t>038336AB9</t>
  </si>
  <si>
    <t>BBB+</t>
    <phoneticPr fontId="21" type="noConversion"/>
  </si>
  <si>
    <t>83272YAC6</t>
  </si>
  <si>
    <t>29250NCM5</t>
  </si>
  <si>
    <t>29250NCN3</t>
  </si>
  <si>
    <t>29250NCP8</t>
  </si>
  <si>
    <t>30037EAC7</t>
  </si>
  <si>
    <t>A</t>
    <phoneticPr fontId="21" type="noConversion"/>
  </si>
  <si>
    <t>92921LAA4</t>
  </si>
  <si>
    <t>209111GP2</t>
  </si>
  <si>
    <t>16:19</t>
  </si>
  <si>
    <t>16:54</t>
  </si>
  <si>
    <t>16:57</t>
  </si>
  <si>
    <t>16:49</t>
  </si>
  <si>
    <t>15:47</t>
  </si>
  <si>
    <t>16:37</t>
  </si>
  <si>
    <t>023135CT @TRL1 Corp</t>
  </si>
  <si>
    <t>2030/11/20</t>
  </si>
  <si>
    <t>NA/AA</t>
  </si>
  <si>
    <t>17:05</t>
  </si>
  <si>
    <t>16:53</t>
  </si>
  <si>
    <t>15:57</t>
  </si>
  <si>
    <t>92343VHG @TRL1 Corp</t>
  </si>
  <si>
    <t>023135CW @TRL1 Corp</t>
  </si>
  <si>
    <t>2055/11/20</t>
  </si>
  <si>
    <t>17:02</t>
  </si>
  <si>
    <t>16:39</t>
  </si>
  <si>
    <t>16:02</t>
  </si>
  <si>
    <t>68389XDH @TRL1 Corp</t>
  </si>
  <si>
    <t>2030/9/26</t>
  </si>
  <si>
    <t>16:32</t>
  </si>
  <si>
    <t>15:51</t>
  </si>
  <si>
    <t>16:17</t>
  </si>
  <si>
    <t>023135CV @TRL1 Corp</t>
  </si>
  <si>
    <t>2035/11/20</t>
  </si>
  <si>
    <t>17:01</t>
  </si>
  <si>
    <t>023135CY @TRL1 Corp</t>
  </si>
  <si>
    <t>2065/11/20</t>
  </si>
  <si>
    <t>16:58</t>
  </si>
  <si>
    <t>023135CS @TRL1 Corp</t>
  </si>
  <si>
    <t>2028/11/20</t>
  </si>
  <si>
    <t>92343VHF @TRL1 Corp</t>
  </si>
  <si>
    <t>15:49</t>
  </si>
  <si>
    <t>As of Tue Nov 18 2025 10:09:39 GMT+0800 (HKT)</t>
    <phoneticPr fontId="21" type="noConversion"/>
  </si>
  <si>
    <t>As of Tue Nov 18 2025 10:45:09 GMT+0800 (HKT)</t>
    <phoneticPr fontId="21" type="noConversion"/>
  </si>
  <si>
    <t>As of Tue Nov 18 2025 10:45:45 GMT+0800 (HKT)</t>
    <phoneticPr fontId="21" type="noConversion"/>
  </si>
  <si>
    <t>As of Tue Nov 18 2025 10:46:18 GMT+0800 (HKT)</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</si>
</sst>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76" formatCode="0.00_ "/>
    <numFmt numFmtId="177" formatCode="0.000_ "/>
    <numFmt numFmtId="178" formatCode="_-[$€-2]* #,##0.00_-;\-[$€-2]* #,##0.00_-;_-[$€-2]* &quot;-&quot;??_-"/>
    <numFmt numFmtId="179" formatCode="0_ "/>
    <numFmt numFmtId="180" formatCode="0.00_);[Red]\(0.00\)"/>
    <numFmt numFmtId="181" formatCode="0.000_);[Red]\(0.000\)"/>
    <numFmt numFmtId="182" formatCode="0.0_ "/>
    <numFmt numFmtId="183" formatCode="0.0%"/>
    <numFmt numFmtId="184" formatCode="0.0_);[Red]\(0.0\)"/>
    <numFmt numFmtId="185" formatCode="_-* #,##0_-;\-* #,##0_-;_-* &quot;-&quot;??_-;_-@_-"/>
    <numFmt numFmtId="186" formatCode="_-* #,##0.0_-;\-* #,##0.0_-;_-* &quot;-&quot;??_-;_-@_-"/>
    <numFmt numFmtId="187" formatCode="0_ ;[Red]\-0\ "/>
    <numFmt numFmtId="188" formatCode="m/dd/yyyy\ h:mm"/>
    <numFmt numFmtId="189" formatCode="m/d;@"/>
    <numFmt numFmtId="190" formatCode="0.0"/>
    <numFmt numFmtId="191" formatCode="0.0_ ;[Red]\-0.0\ "/>
    <numFmt numFmtId="192" formatCode="0.00_ ;[Red]\-0.00\ "/>
    <numFmt numFmtId="193" formatCode="##0.00_)\%;[Red]\(##0.00\)\%"/>
    <numFmt numFmtId="194" formatCode="#,##0.00##_);[Red]\(#,##0.00##\)"/>
    <numFmt numFmtId="195" formatCode="#,##0.00_);[Red]\(#,##0.00\)"/>
  </numFmts>
  <fonts count="157">
    <font>
      <sz val="12"/>
      <color indexed="8"/>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indexed="8"/>
      <name val="新細明體"/>
      <family val="1"/>
      <charset val="136"/>
    </font>
    <font>
      <sz val="9"/>
      <name val="新細明體"/>
      <family val="1"/>
      <charset val="136"/>
    </font>
    <font>
      <sz val="12"/>
      <name val="新細明體"/>
      <family val="1"/>
      <charset val="136"/>
    </font>
    <font>
      <sz val="12"/>
      <color indexed="8"/>
      <name val="新細明體"/>
      <family val="1"/>
      <charset val="136"/>
    </font>
    <font>
      <sz val="12"/>
      <color indexed="17"/>
      <name val="新細明體"/>
      <family val="1"/>
      <charset val="136"/>
    </font>
    <font>
      <sz val="12"/>
      <color indexed="20"/>
      <name val="新細明體"/>
      <family val="1"/>
      <charset val="136"/>
    </font>
    <font>
      <sz val="10"/>
      <color indexed="8"/>
      <name val="微軟正黑體"/>
      <family val="2"/>
      <charset val="136"/>
    </font>
    <font>
      <sz val="10"/>
      <name val="微軟正黑體"/>
      <family val="2"/>
      <charset val="136"/>
    </font>
    <font>
      <sz val="12"/>
      <color indexed="8"/>
      <name val="Times New Roman"/>
      <family val="1"/>
    </font>
    <font>
      <sz val="12"/>
      <color indexed="63"/>
      <name val="新細明體"/>
      <family val="1"/>
      <charset val="136"/>
    </font>
    <font>
      <sz val="12"/>
      <color indexed="63"/>
      <name val="細明體"/>
      <family val="3"/>
      <charset val="136"/>
    </font>
    <font>
      <sz val="12"/>
      <color indexed="63"/>
      <name val="Arial"/>
      <family val="2"/>
    </font>
    <font>
      <sz val="12"/>
      <color indexed="8"/>
      <name val="新細明體"/>
      <family val="1"/>
      <charset val="136"/>
    </font>
    <font>
      <sz val="12"/>
      <color indexed="63"/>
      <name val="Times New Roman"/>
      <family val="1"/>
    </font>
    <font>
      <sz val="12"/>
      <color indexed="8"/>
      <name val="細明體"/>
      <family val="3"/>
      <charset val="136"/>
    </font>
    <font>
      <b/>
      <sz val="9"/>
      <color indexed="9"/>
      <name val="微軟正黑體"/>
      <family val="2"/>
      <charset val="136"/>
    </font>
    <font>
      <sz val="12"/>
      <color indexed="8"/>
      <name val="微軟正黑體"/>
      <family val="2"/>
      <charset val="136"/>
    </font>
    <font>
      <b/>
      <sz val="40"/>
      <color indexed="9"/>
      <name val="微軟正黑體"/>
      <family val="2"/>
      <charset val="136"/>
    </font>
    <font>
      <sz val="11"/>
      <color indexed="8"/>
      <name val="微軟正黑體"/>
      <family val="2"/>
      <charset val="136"/>
    </font>
    <font>
      <sz val="14"/>
      <color indexed="8"/>
      <name val="微軟正黑體"/>
      <family val="2"/>
      <charset val="136"/>
    </font>
    <font>
      <b/>
      <sz val="12"/>
      <name val="微軟正黑體"/>
      <family val="2"/>
      <charset val="136"/>
    </font>
    <font>
      <b/>
      <sz val="10"/>
      <color indexed="8"/>
      <name val="微軟正黑體"/>
      <family val="2"/>
      <charset val="136"/>
    </font>
    <font>
      <sz val="12"/>
      <color indexed="9"/>
      <name val="微軟正黑體"/>
      <family val="2"/>
      <charset val="136"/>
    </font>
    <font>
      <sz val="10"/>
      <color indexed="50"/>
      <name val="微軟正黑體"/>
      <family val="2"/>
      <charset val="136"/>
    </font>
    <font>
      <sz val="10"/>
      <name val="Arial"/>
      <family val="2"/>
    </font>
    <font>
      <sz val="11"/>
      <color indexed="8"/>
      <name val="Calibri"/>
      <family val="2"/>
    </font>
    <font>
      <sz val="11"/>
      <color indexed="8"/>
      <name val="新細明體"/>
      <family val="1"/>
      <charset val="136"/>
    </font>
    <font>
      <sz val="9"/>
      <name val="微軟正黑體"/>
      <family val="2"/>
      <charset val="136"/>
    </font>
    <font>
      <b/>
      <sz val="24"/>
      <color indexed="9"/>
      <name val="微軟正黑體"/>
      <family val="2"/>
      <charset val="136"/>
    </font>
    <font>
      <sz val="24"/>
      <color indexed="9"/>
      <name val="微軟正黑體"/>
      <family val="2"/>
      <charset val="136"/>
    </font>
    <font>
      <sz val="8"/>
      <name val="微軟正黑體"/>
      <family val="2"/>
      <charset val="136"/>
    </font>
    <font>
      <sz val="12"/>
      <color theme="1"/>
      <name val="新細明體"/>
      <family val="1"/>
      <charset val="136"/>
      <scheme val="minor"/>
    </font>
    <font>
      <sz val="12"/>
      <color theme="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b/>
      <sz val="18"/>
      <color theme="3"/>
      <name val="新細明體"/>
      <family val="1"/>
      <charset val="136"/>
      <scheme val="maj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10"/>
      <color theme="1"/>
      <name val="微軟正黑體"/>
      <family val="2"/>
      <charset val="136"/>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rgb="FF9C6500"/>
      <name val="新細明體"/>
      <family val="2"/>
      <charset val="136"/>
      <scheme val="minor"/>
    </font>
    <font>
      <sz val="12"/>
      <color rgb="FF9C5700"/>
      <name val="新細明體"/>
      <family val="2"/>
      <charset val="136"/>
      <scheme val="minor"/>
    </font>
    <font>
      <b/>
      <sz val="10"/>
      <color theme="0"/>
      <name val="微軟正黑體"/>
      <family val="2"/>
      <charset val="136"/>
    </font>
    <font>
      <sz val="10"/>
      <color theme="1"/>
      <name val="Calibri"/>
      <family val="2"/>
    </font>
    <font>
      <sz val="9"/>
      <name val="新細明體"/>
      <family val="2"/>
      <charset val="136"/>
      <scheme val="minor"/>
    </font>
    <font>
      <b/>
      <sz val="12"/>
      <color rgb="FFFF0000"/>
      <name val="細明體"/>
      <family val="3"/>
      <charset val="136"/>
    </font>
    <font>
      <b/>
      <sz val="10"/>
      <color theme="0"/>
      <name val="Calibri"/>
      <family val="2"/>
    </font>
    <font>
      <sz val="10"/>
      <color theme="0"/>
      <name val="Calibri"/>
      <family val="2"/>
    </font>
    <font>
      <sz val="10"/>
      <color theme="1"/>
      <name val="Microsoft JhengHei"/>
      <family val="2"/>
    </font>
    <font>
      <sz val="10"/>
      <color theme="1"/>
      <name val="Microsoft JhengHei"/>
      <family val="2"/>
      <charset val="136"/>
    </font>
    <font>
      <sz val="10"/>
      <color indexed="8"/>
      <name val="Calibri"/>
      <family val="2"/>
    </font>
    <font>
      <b/>
      <sz val="10"/>
      <color rgb="FF00B050"/>
      <name val="Microsoft JhengHei"/>
      <family val="2"/>
      <charset val="136"/>
    </font>
    <font>
      <b/>
      <sz val="10"/>
      <color theme="1"/>
      <name val="微軟正黑體"/>
      <family val="2"/>
      <charset val="136"/>
    </font>
    <font>
      <sz val="10"/>
      <color theme="1"/>
      <name val="新細明體"/>
      <family val="1"/>
      <charset val="136"/>
    </font>
    <font>
      <sz val="11"/>
      <color rgb="FF000000"/>
      <name val="Calibri"/>
      <family val="2"/>
    </font>
    <font>
      <b/>
      <sz val="11"/>
      <color indexed="8"/>
      <name val="微軟正黑體"/>
      <family val="2"/>
      <charset val="136"/>
    </font>
    <font>
      <b/>
      <sz val="12"/>
      <color indexed="8"/>
      <name val="新細明體"/>
      <family val="1"/>
      <charset val="136"/>
    </font>
    <font>
      <sz val="11"/>
      <name val="微軟正黑體"/>
      <family val="2"/>
      <charset val="136"/>
    </font>
    <font>
      <sz val="10"/>
      <name val="Calibri"/>
      <family val="2"/>
    </font>
    <font>
      <b/>
      <sz val="11"/>
      <color indexed="9"/>
      <name val="Calibri"/>
      <family val="2"/>
    </font>
    <font>
      <b/>
      <sz val="11"/>
      <color theme="1"/>
      <name val="新細明體"/>
      <family val="2"/>
      <scheme val="minor"/>
    </font>
    <font>
      <sz val="11"/>
      <name val="Calibri"/>
      <family val="2"/>
    </font>
    <font>
      <sz val="11"/>
      <color theme="1"/>
      <name val="新細明體"/>
      <family val="2"/>
      <scheme val="minor"/>
    </font>
    <font>
      <b/>
      <sz val="11.5"/>
      <color indexed="9"/>
      <name val="AvantGarde"/>
      <family val="2"/>
    </font>
    <font>
      <sz val="12"/>
      <color indexed="8"/>
      <name val="SimSun"/>
      <charset val="134"/>
    </font>
    <font>
      <b/>
      <sz val="30"/>
      <color theme="4" tint="-0.499984740745262"/>
      <name val="微軟正黑體"/>
      <family val="2"/>
      <charset val="136"/>
    </font>
    <font>
      <b/>
      <sz val="15"/>
      <color theme="1"/>
      <name val="微軟正黑體"/>
      <family val="2"/>
      <charset val="136"/>
    </font>
    <font>
      <sz val="10"/>
      <color theme="1"/>
      <name val="Calibri"/>
      <family val="2"/>
      <charset val="136"/>
    </font>
    <font>
      <sz val="10"/>
      <color theme="1"/>
      <name val="細明體"/>
      <family val="3"/>
      <charset val="136"/>
    </font>
    <font>
      <sz val="10"/>
      <color rgb="FF000000"/>
      <name val="Microsoft JhengHei"/>
      <family val="2"/>
    </font>
    <font>
      <sz val="10"/>
      <color theme="1"/>
      <name val="新細明體"/>
      <family val="2"/>
      <charset val="136"/>
    </font>
    <font>
      <b/>
      <sz val="12"/>
      <color theme="1"/>
      <name val="微軟正黑體"/>
      <family val="2"/>
      <charset val="136"/>
    </font>
    <font>
      <sz val="14"/>
      <color indexed="8"/>
      <name val="新細明體"/>
      <family val="1"/>
      <charset val="136"/>
    </font>
    <font>
      <b/>
      <sz val="16"/>
      <name val="微軟正黑體"/>
      <family val="2"/>
      <charset val="136"/>
    </font>
    <font>
      <sz val="16"/>
      <color indexed="8"/>
      <name val="新細明體"/>
      <family val="1"/>
      <charset val="136"/>
    </font>
    <font>
      <b/>
      <sz val="18"/>
      <name val="微軟正黑體"/>
      <family val="2"/>
      <charset val="136"/>
    </font>
    <font>
      <sz val="18"/>
      <color indexed="8"/>
      <name val="新細明體"/>
      <family val="1"/>
      <charset val="136"/>
    </font>
    <font>
      <sz val="16"/>
      <color indexed="8"/>
      <name val="Calibri"/>
      <family val="2"/>
    </font>
    <font>
      <sz val="16"/>
      <color indexed="8"/>
      <name val="微軟正黑體"/>
      <family val="2"/>
      <charset val="136"/>
    </font>
    <font>
      <sz val="18"/>
      <color indexed="8"/>
      <name val="微軟正黑體"/>
      <family val="2"/>
      <charset val="136"/>
    </font>
    <font>
      <b/>
      <sz val="16"/>
      <color indexed="8"/>
      <name val="新細明體"/>
      <family val="1"/>
      <charset val="136"/>
    </font>
    <font>
      <b/>
      <sz val="18"/>
      <name val="Calibri"/>
      <family val="2"/>
    </font>
    <font>
      <sz val="18"/>
      <color indexed="8"/>
      <name val="Calibri"/>
      <family val="2"/>
    </font>
    <font>
      <b/>
      <sz val="16"/>
      <color indexed="8"/>
      <name val="微軟正黑體"/>
      <family val="2"/>
      <charset val="136"/>
    </font>
    <font>
      <sz val="16"/>
      <color theme="1"/>
      <name val="Calibri"/>
      <family val="2"/>
    </font>
    <font>
      <b/>
      <sz val="20"/>
      <name val="微軟正黑體"/>
      <family val="2"/>
      <charset val="136"/>
    </font>
    <font>
      <b/>
      <sz val="20"/>
      <color indexed="8"/>
      <name val="新細明體"/>
      <family val="1"/>
      <charset val="136"/>
    </font>
    <font>
      <sz val="20"/>
      <color indexed="8"/>
      <name val="新細明體"/>
      <family val="1"/>
      <charset val="136"/>
    </font>
    <font>
      <sz val="20"/>
      <color indexed="8"/>
      <name val="微軟正黑體"/>
      <family val="2"/>
      <charset val="136"/>
    </font>
    <font>
      <sz val="16"/>
      <color rgb="FF000000"/>
      <name val="Calibri"/>
      <family val="2"/>
    </font>
    <font>
      <b/>
      <sz val="16"/>
      <color indexed="8"/>
      <name val="Calibri"/>
      <family val="2"/>
    </font>
    <font>
      <sz val="16"/>
      <name val="Calibri"/>
      <family val="2"/>
    </font>
    <font>
      <sz val="20"/>
      <color indexed="50"/>
      <name val="微軟正黑體"/>
      <family val="2"/>
      <charset val="136"/>
    </font>
    <font>
      <b/>
      <sz val="20"/>
      <name val="Calibri"/>
      <family val="2"/>
    </font>
    <font>
      <b/>
      <sz val="20"/>
      <name val="Microsoft JhengHei"/>
      <family val="2"/>
    </font>
    <font>
      <sz val="20"/>
      <color indexed="8"/>
      <name val="Calibri"/>
      <family val="2"/>
    </font>
    <font>
      <b/>
      <sz val="20"/>
      <color indexed="8"/>
      <name val="微軟正黑體"/>
      <family val="2"/>
      <charset val="136"/>
    </font>
    <font>
      <sz val="16"/>
      <color indexed="50"/>
      <name val="Calibri"/>
      <family val="2"/>
    </font>
    <font>
      <sz val="16"/>
      <name val="微軟正黑體"/>
      <family val="2"/>
      <charset val="136"/>
    </font>
    <font>
      <b/>
      <sz val="20"/>
      <color rgb="FF000000"/>
      <name val="微軟正黑體"/>
      <family val="2"/>
      <charset val="136"/>
    </font>
    <font>
      <b/>
      <sz val="20"/>
      <name val="新細明體"/>
      <family val="1"/>
      <charset val="136"/>
    </font>
    <font>
      <b/>
      <sz val="18"/>
      <color rgb="FF000000"/>
      <name val="微軟正黑體"/>
      <family val="2"/>
      <charset val="136"/>
    </font>
    <font>
      <b/>
      <sz val="18"/>
      <color indexed="8"/>
      <name val="微軟正黑體"/>
      <family val="2"/>
      <charset val="136"/>
    </font>
    <font>
      <b/>
      <sz val="18"/>
      <color indexed="8"/>
      <name val="新細明體"/>
      <family val="1"/>
      <charset val="136"/>
    </font>
    <font>
      <b/>
      <sz val="18"/>
      <color rgb="FF000000"/>
      <name val="細明體"/>
      <family val="3"/>
      <charset val="136"/>
    </font>
    <font>
      <b/>
      <sz val="20"/>
      <color theme="0"/>
      <name val="微軟正黑體"/>
      <family val="2"/>
      <charset val="136"/>
    </font>
    <font>
      <sz val="20"/>
      <color theme="0"/>
      <name val="新細明體"/>
      <family val="1"/>
      <charset val="136"/>
    </font>
    <font>
      <b/>
      <sz val="22"/>
      <name val="微軟正黑體"/>
      <family val="2"/>
      <charset val="136"/>
    </font>
    <font>
      <b/>
      <u/>
      <sz val="22"/>
      <name val="微軟正黑體"/>
      <family val="2"/>
      <charset val="136"/>
    </font>
    <font>
      <b/>
      <sz val="22"/>
      <color rgb="FF000000"/>
      <name val="微軟正黑體"/>
      <family val="2"/>
      <charset val="136"/>
    </font>
    <font>
      <b/>
      <sz val="22"/>
      <color indexed="8"/>
      <name val="新細明體"/>
      <family val="1"/>
      <charset val="136"/>
    </font>
    <font>
      <sz val="22"/>
      <color indexed="8"/>
      <name val="新細明體"/>
      <family val="1"/>
      <charset val="136"/>
    </font>
    <font>
      <sz val="22"/>
      <color indexed="8"/>
      <name val="微軟正黑體"/>
      <family val="2"/>
      <charset val="136"/>
    </font>
  </fonts>
  <fills count="52">
    <fill>
      <patternFill patternType="none"/>
    </fill>
    <fill>
      <patternFill patternType="gray125"/>
    </fill>
    <fill>
      <patternFill patternType="solid">
        <fgColor indexed="45"/>
      </patternFill>
    </fill>
    <fill>
      <patternFill patternType="solid">
        <fgColor indexed="42"/>
      </patternFill>
    </fill>
    <fill>
      <patternFill patternType="solid">
        <fgColor indexed="26"/>
      </patternFill>
    </fill>
    <fill>
      <patternFill patternType="solid">
        <fgColor indexed="18"/>
        <bgColor indexed="64"/>
      </patternFill>
    </fill>
    <fill>
      <patternFill patternType="solid">
        <fgColor indexed="44"/>
        <bgColor indexed="64"/>
      </patternFill>
    </fill>
    <fill>
      <patternFill patternType="solid">
        <fgColor indexed="5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rgb="FFFFFF00"/>
        <bgColor indexed="64"/>
      </patternFill>
    </fill>
    <fill>
      <patternFill patternType="solid">
        <fgColor theme="4" tint="0.59999389629810485"/>
        <bgColor indexed="64"/>
      </patternFill>
    </fill>
    <fill>
      <patternFill patternType="solid">
        <fgColor rgb="FF4D7C91"/>
        <bgColor indexed="64"/>
      </patternFill>
    </fill>
    <fill>
      <patternFill patternType="solid">
        <fgColor theme="1"/>
        <bgColor indexed="64"/>
      </patternFill>
    </fill>
    <fill>
      <patternFill patternType="solid">
        <fgColor theme="1" tint="0.499984740745262"/>
        <bgColor indexed="64"/>
      </patternFill>
    </fill>
    <fill>
      <patternFill patternType="solid">
        <fgColor rgb="FFFFFFCC"/>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4F81BD"/>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14999847407452621"/>
        <bgColor indexed="64"/>
      </patternFill>
    </fill>
  </fills>
  <borders count="117">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bottom style="medium">
        <color indexed="64"/>
      </bottom>
      <diagonal/>
    </border>
    <border>
      <left/>
      <right/>
      <top/>
      <bottom style="double">
        <color indexed="64"/>
      </bottom>
      <diagonal/>
    </border>
    <border>
      <left/>
      <right/>
      <top style="double">
        <color indexed="64"/>
      </top>
      <bottom/>
      <diagonal/>
    </border>
    <border>
      <left/>
      <right/>
      <top/>
      <bottom style="thin">
        <color indexed="9"/>
      </bottom>
      <diagonal/>
    </border>
    <border>
      <left style="thin">
        <color indexed="9"/>
      </left>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style="thin">
        <color indexed="9"/>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hair">
        <color theme="1" tint="0.34998626667073579"/>
      </left>
      <right style="medium">
        <color theme="1" tint="0.34998626667073579"/>
      </right>
      <top/>
      <bottom style="medium">
        <color theme="1" tint="0.34998626667073579"/>
      </bottom>
      <diagonal/>
    </border>
    <border>
      <left style="medium">
        <color theme="1" tint="0.34998626667073579"/>
      </left>
      <right/>
      <top style="medium">
        <color theme="1" tint="0.34998626667073579"/>
      </top>
      <bottom/>
      <diagonal/>
    </border>
    <border>
      <left/>
      <right/>
      <top style="medium">
        <color theme="1" tint="0.34998626667073579"/>
      </top>
      <bottom/>
      <diagonal/>
    </border>
    <border>
      <left style="medium">
        <color theme="1" tint="0.34998626667073579"/>
      </left>
      <right style="thin">
        <color indexed="64"/>
      </right>
      <top style="medium">
        <color theme="1" tint="0.34998626667073579"/>
      </top>
      <bottom/>
      <diagonal/>
    </border>
    <border>
      <left style="thin">
        <color indexed="64"/>
      </left>
      <right style="thin">
        <color indexed="64"/>
      </right>
      <top style="medium">
        <color theme="1" tint="0.34998626667073579"/>
      </top>
      <bottom/>
      <diagonal/>
    </border>
    <border>
      <left style="thin">
        <color indexed="64"/>
      </left>
      <right style="medium">
        <color theme="1" tint="0.34998626667073579"/>
      </right>
      <top style="medium">
        <color theme="1" tint="0.34998626667073579"/>
      </top>
      <bottom/>
      <diagonal/>
    </border>
    <border>
      <left style="medium">
        <color theme="1" tint="0.34998626667073579"/>
      </left>
      <right/>
      <top style="medium">
        <color theme="1" tint="0.34998626667073579"/>
      </top>
      <bottom style="medium">
        <color theme="1" tint="0.34998626667073579"/>
      </bottom>
      <diagonal/>
    </border>
    <border>
      <left style="medium">
        <color theme="1" tint="0.34998626667073579"/>
      </left>
      <right style="medium">
        <color theme="1" tint="0.34998626667073579"/>
      </right>
      <top style="medium">
        <color theme="1" tint="0.34998626667073579"/>
      </top>
      <bottom style="medium">
        <color theme="1" tint="0.34998626667073579"/>
      </bottom>
      <diagonal/>
    </border>
    <border>
      <left style="medium">
        <color theme="1" tint="0.34998626667073579"/>
      </left>
      <right style="thin">
        <color indexed="64"/>
      </right>
      <top style="medium">
        <color theme="1" tint="0.34998626667073579"/>
      </top>
      <bottom style="medium">
        <color theme="1" tint="0.34998626667073579"/>
      </bottom>
      <diagonal/>
    </border>
    <border>
      <left/>
      <right style="hair">
        <color theme="1" tint="0.34998626667073579"/>
      </right>
      <top style="medium">
        <color theme="1" tint="0.34998626667073579"/>
      </top>
      <bottom style="medium">
        <color theme="1" tint="0.34998626667073579"/>
      </bottom>
      <diagonal/>
    </border>
    <border>
      <left style="hair">
        <color theme="1" tint="0.34998626667073579"/>
      </left>
      <right style="hair">
        <color theme="1" tint="0.34998626667073579"/>
      </right>
      <top style="medium">
        <color theme="1" tint="0.34998626667073579"/>
      </top>
      <bottom style="medium">
        <color theme="1" tint="0.34998626667073579"/>
      </bottom>
      <diagonal/>
    </border>
    <border>
      <left style="hair">
        <color theme="1" tint="0.34998626667073579"/>
      </left>
      <right style="medium">
        <color theme="1" tint="0.34998626667073579"/>
      </right>
      <top style="medium">
        <color theme="1" tint="0.34998626667073579"/>
      </top>
      <bottom style="medium">
        <color theme="1" tint="0.34998626667073579"/>
      </bottom>
      <diagonal/>
    </border>
    <border>
      <left style="medium">
        <color theme="1" tint="0.34998626667073579"/>
      </left>
      <right style="hair">
        <color theme="1" tint="0.34998626667073579"/>
      </right>
      <top style="medium">
        <color theme="1" tint="0.34998626667073579"/>
      </top>
      <bottom style="medium">
        <color theme="1" tint="0.34998626667073579"/>
      </bottom>
      <diagonal/>
    </border>
    <border>
      <left style="medium">
        <color theme="1" tint="0.34998626667073579"/>
      </left>
      <right style="medium">
        <color theme="1" tint="0.34998626667073579"/>
      </right>
      <top style="medium">
        <color theme="1" tint="0.34998626667073579"/>
      </top>
      <bottom/>
      <diagonal/>
    </border>
    <border>
      <left style="medium">
        <color theme="1" tint="0.34998626667073579"/>
      </left>
      <right style="medium">
        <color theme="1" tint="0.34998626667073579"/>
      </right>
      <top style="medium">
        <color theme="1" tint="0.34998626667073579"/>
      </top>
      <bottom style="hair">
        <color theme="1" tint="0.34998626667073579"/>
      </bottom>
      <diagonal/>
    </border>
    <border>
      <left/>
      <right/>
      <top style="medium">
        <color theme="1" tint="0.34998626667073579"/>
      </top>
      <bottom style="hair">
        <color theme="1" tint="0.34998626667073579"/>
      </bottom>
      <diagonal/>
    </border>
    <border>
      <left style="medium">
        <color theme="1" tint="0.34998626667073579"/>
      </left>
      <right style="hair">
        <color theme="1" tint="0.34998626667073579"/>
      </right>
      <top style="medium">
        <color theme="1" tint="0.34998626667073579"/>
      </top>
      <bottom style="hair">
        <color theme="1" tint="0.34998626667073579"/>
      </bottom>
      <diagonal/>
    </border>
    <border>
      <left style="hair">
        <color theme="1" tint="0.34998626667073579"/>
      </left>
      <right style="hair">
        <color theme="1" tint="0.34998626667073579"/>
      </right>
      <top style="medium">
        <color theme="1" tint="0.34998626667073579"/>
      </top>
      <bottom style="hair">
        <color theme="1" tint="0.34998626667073579"/>
      </bottom>
      <diagonal/>
    </border>
    <border>
      <left style="hair">
        <color theme="1" tint="0.34998626667073579"/>
      </left>
      <right style="medium">
        <color theme="1" tint="0.34998626667073579"/>
      </right>
      <top style="medium">
        <color theme="1" tint="0.34998626667073579"/>
      </top>
      <bottom style="hair">
        <color theme="1" tint="0.34998626667073579"/>
      </bottom>
      <diagonal/>
    </border>
    <border>
      <left style="hair">
        <color theme="1" tint="0.34998626667073579"/>
      </left>
      <right/>
      <top style="medium">
        <color theme="1" tint="0.34998626667073579"/>
      </top>
      <bottom style="hair">
        <color theme="1" tint="0.34998626667073579"/>
      </bottom>
      <diagonal/>
    </border>
    <border>
      <left style="medium">
        <color theme="1" tint="0.34998626667073579"/>
      </left>
      <right style="medium">
        <color theme="1" tint="0.34998626667073579"/>
      </right>
      <top/>
      <bottom/>
      <diagonal/>
    </border>
    <border>
      <left style="medium">
        <color theme="1" tint="0.34998626667073579"/>
      </left>
      <right style="hair">
        <color theme="1" tint="0.34998626667073579"/>
      </right>
      <top style="hair">
        <color theme="1" tint="0.34998626667073579"/>
      </top>
      <bottom/>
      <diagonal/>
    </border>
    <border>
      <left style="hair">
        <color theme="1" tint="0.34998626667073579"/>
      </left>
      <right style="hair">
        <color theme="1" tint="0.34998626667073579"/>
      </right>
      <top/>
      <bottom/>
      <diagonal/>
    </border>
    <border>
      <left style="hair">
        <color theme="1" tint="0.34998626667073579"/>
      </left>
      <right style="medium">
        <color theme="1" tint="0.34998626667073579"/>
      </right>
      <top style="hair">
        <color theme="1" tint="0.34998626667073579"/>
      </top>
      <bottom/>
      <diagonal/>
    </border>
    <border>
      <left/>
      <right style="hair">
        <color theme="1" tint="0.34998626667073579"/>
      </right>
      <top style="hair">
        <color theme="1" tint="0.34998626667073579"/>
      </top>
      <bottom/>
      <diagonal/>
    </border>
    <border>
      <left style="hair">
        <color theme="1" tint="0.34998626667073579"/>
      </left>
      <right style="hair">
        <color theme="1" tint="0.34998626667073579"/>
      </right>
      <top style="hair">
        <color theme="1" tint="0.34998626667073579"/>
      </top>
      <bottom/>
      <diagonal/>
    </border>
    <border>
      <left style="hair">
        <color theme="1" tint="0.34998626667073579"/>
      </left>
      <right/>
      <top style="hair">
        <color theme="1" tint="0.34998626667073579"/>
      </top>
      <bottom/>
      <diagonal/>
    </border>
    <border>
      <left style="medium">
        <color theme="1" tint="0.34998626667073579"/>
      </left>
      <right style="hair">
        <color theme="1" tint="0.34998626667073579"/>
      </right>
      <top/>
      <bottom/>
      <diagonal/>
    </border>
    <border>
      <left style="hair">
        <color theme="1" tint="0.34998626667073579"/>
      </left>
      <right style="medium">
        <color theme="1" tint="0.34998626667073579"/>
      </right>
      <top/>
      <bottom/>
      <diagonal/>
    </border>
    <border>
      <left style="hair">
        <color theme="1" tint="0.34998626667073579"/>
      </left>
      <right style="hair">
        <color theme="1" tint="0.34998626667073579"/>
      </right>
      <top style="hair">
        <color theme="1" tint="0.34998626667073579"/>
      </top>
      <bottom style="hair">
        <color theme="1" tint="0.34998626667073579"/>
      </bottom>
      <diagonal/>
    </border>
    <border>
      <left style="medium">
        <color theme="1" tint="0.34998626667073579"/>
      </left>
      <right style="medium">
        <color theme="1" tint="0.34998626667073579"/>
      </right>
      <top/>
      <bottom style="medium">
        <color theme="1" tint="0.34998626667073579"/>
      </bottom>
      <diagonal/>
    </border>
    <border>
      <left style="medium">
        <color theme="1" tint="0.34998626667073579"/>
      </left>
      <right style="hair">
        <color theme="1" tint="0.34998626667073579"/>
      </right>
      <top/>
      <bottom style="medium">
        <color theme="1" tint="0.34998626667073579"/>
      </bottom>
      <diagonal/>
    </border>
    <border>
      <left style="hair">
        <color theme="1" tint="0.34998626667073579"/>
      </left>
      <right style="hair">
        <color theme="1" tint="0.34998626667073579"/>
      </right>
      <top/>
      <bottom style="medium">
        <color theme="1" tint="0.34998626667073579"/>
      </bottom>
      <diagonal/>
    </border>
    <border>
      <left style="medium">
        <color theme="1" tint="0.34998626667073579"/>
      </left>
      <right/>
      <top style="medium">
        <color theme="1" tint="0.34998626667073579"/>
      </top>
      <bottom style="hair">
        <color theme="1" tint="0.34998626667073579"/>
      </bottom>
      <diagonal/>
    </border>
    <border>
      <left style="hair">
        <color theme="1" tint="0.34998626667073579"/>
      </left>
      <right style="hair">
        <color theme="1" tint="0.34998626667073579"/>
      </right>
      <top style="medium">
        <color theme="1" tint="0.34998626667073579"/>
      </top>
      <bottom/>
      <diagonal/>
    </border>
    <border>
      <left style="medium">
        <color theme="1" tint="0.34998626667073579"/>
      </left>
      <right/>
      <top style="hair">
        <color theme="1" tint="0.34998626667073579"/>
      </top>
      <bottom style="hair">
        <color theme="1" tint="0.34998626667073579"/>
      </bottom>
      <diagonal/>
    </border>
    <border>
      <left style="medium">
        <color theme="1" tint="0.34998626667073579"/>
      </left>
      <right style="medium">
        <color theme="1" tint="0.34998626667073579"/>
      </right>
      <top style="hair">
        <color theme="1" tint="0.34998626667073579"/>
      </top>
      <bottom style="hair">
        <color theme="1" tint="0.34998626667073579"/>
      </bottom>
      <diagonal/>
    </border>
    <border>
      <left/>
      <right/>
      <top style="hair">
        <color theme="1" tint="0.34998626667073579"/>
      </top>
      <bottom style="hair">
        <color theme="1" tint="0.34998626667073579"/>
      </bottom>
      <diagonal/>
    </border>
    <border>
      <left style="medium">
        <color theme="1" tint="0.34998626667073579"/>
      </left>
      <right style="hair">
        <color theme="1" tint="0.34998626667073579"/>
      </right>
      <top style="hair">
        <color theme="1" tint="0.34998626667073579"/>
      </top>
      <bottom style="hair">
        <color theme="1" tint="0.34998626667073579"/>
      </bottom>
      <diagonal/>
    </border>
    <border>
      <left style="hair">
        <color theme="1" tint="0.34998626667073579"/>
      </left>
      <right style="medium">
        <color theme="1" tint="0.34998626667073579"/>
      </right>
      <top style="hair">
        <color theme="1" tint="0.34998626667073579"/>
      </top>
      <bottom style="hair">
        <color theme="1" tint="0.34998626667073579"/>
      </bottom>
      <diagonal/>
    </border>
    <border>
      <left style="medium">
        <color theme="1" tint="0.34998626667073579"/>
      </left>
      <right/>
      <top style="hair">
        <color theme="1" tint="0.34998626667073579"/>
      </top>
      <bottom/>
      <diagonal/>
    </border>
    <border>
      <left style="medium">
        <color theme="1" tint="0.34998626667073579"/>
      </left>
      <right/>
      <top style="hair">
        <color theme="1" tint="0.34998626667073579"/>
      </top>
      <bottom style="medium">
        <color theme="1" tint="0.34998626667073579"/>
      </bottom>
      <diagonal/>
    </border>
    <border>
      <left style="medium">
        <color theme="1" tint="0.34998626667073579"/>
      </left>
      <right style="medium">
        <color theme="1" tint="0.34998626667073579"/>
      </right>
      <top style="hair">
        <color theme="1" tint="0.34998626667073579"/>
      </top>
      <bottom/>
      <diagonal/>
    </border>
    <border>
      <left/>
      <right/>
      <top style="hair">
        <color theme="1" tint="0.34998626667073579"/>
      </top>
      <bottom/>
      <diagonal/>
    </border>
    <border>
      <left style="medium">
        <color theme="1" tint="0.34998626667073579"/>
      </left>
      <right/>
      <top/>
      <bottom/>
      <diagonal/>
    </border>
    <border>
      <left style="medium">
        <color theme="1" tint="0.34998626667073579"/>
      </left>
      <right style="medium">
        <color theme="1" tint="0.34998626667073579"/>
      </right>
      <top/>
      <bottom style="hair">
        <color theme="1" tint="0.34998626667073579"/>
      </bottom>
      <diagonal/>
    </border>
    <border>
      <left style="medium">
        <color theme="1" tint="0.34998626667073579"/>
      </left>
      <right style="hair">
        <color theme="1" tint="0.34998626667073579"/>
      </right>
      <top/>
      <bottom style="hair">
        <color theme="1" tint="0.34998626667073579"/>
      </bottom>
      <diagonal/>
    </border>
    <border>
      <left style="hair">
        <color theme="1" tint="0.34998626667073579"/>
      </left>
      <right style="hair">
        <color theme="1" tint="0.34998626667073579"/>
      </right>
      <top/>
      <bottom style="hair">
        <color theme="1" tint="0.34998626667073579"/>
      </bottom>
      <diagonal/>
    </border>
    <border>
      <left style="hair">
        <color theme="1" tint="0.34998626667073579"/>
      </left>
      <right style="medium">
        <color theme="1" tint="0.34998626667073579"/>
      </right>
      <top/>
      <bottom style="hair">
        <color theme="1" tint="0.34998626667073579"/>
      </bottom>
      <diagonal/>
    </border>
    <border>
      <left style="medium">
        <color theme="1" tint="0.34998626667073579"/>
      </left>
      <right style="hair">
        <color theme="1" tint="0.34998626667073579"/>
      </right>
      <top style="medium">
        <color theme="1" tint="0.34998626667073579"/>
      </top>
      <bottom/>
      <diagonal/>
    </border>
    <border>
      <left style="hair">
        <color theme="1" tint="0.34998626667073579"/>
      </left>
      <right style="medium">
        <color theme="1" tint="0.34998626667073579"/>
      </right>
      <top style="medium">
        <color theme="1" tint="0.34998626667073579"/>
      </top>
      <bottom/>
      <diagonal/>
    </border>
    <border>
      <left/>
      <right style="hair">
        <color theme="1" tint="0.34998626667073579"/>
      </right>
      <top style="medium">
        <color theme="1" tint="0.34998626667073579"/>
      </top>
      <bottom/>
      <diagonal/>
    </border>
    <border>
      <left style="hair">
        <color theme="1" tint="0.34998626667073579"/>
      </left>
      <right/>
      <top style="medium">
        <color theme="1" tint="0.34998626667073579"/>
      </top>
      <bottom/>
      <diagonal/>
    </border>
    <border>
      <left style="medium">
        <color theme="1" tint="0.34998626667073579"/>
      </left>
      <right style="medium">
        <color theme="1" tint="0.34998626667073579"/>
      </right>
      <top style="hair">
        <color theme="1" tint="0.34998626667073579"/>
      </top>
      <bottom style="medium">
        <color theme="1" tint="0.34998626667073579"/>
      </bottom>
      <diagonal/>
    </border>
    <border>
      <left/>
      <right/>
      <top style="hair">
        <color theme="1" tint="0.34998626667073579"/>
      </top>
      <bottom style="medium">
        <color theme="1" tint="0.34998626667073579"/>
      </bottom>
      <diagonal/>
    </border>
    <border>
      <left style="medium">
        <color theme="1" tint="0.34998626667073579"/>
      </left>
      <right style="hair">
        <color theme="1" tint="0.34998626667073579"/>
      </right>
      <top style="hair">
        <color theme="1" tint="0.34998626667073579"/>
      </top>
      <bottom style="medium">
        <color theme="1" tint="0.34998626667073579"/>
      </bottom>
      <diagonal/>
    </border>
    <border>
      <left style="hair">
        <color theme="1" tint="0.34998626667073579"/>
      </left>
      <right style="hair">
        <color theme="1" tint="0.34998626667073579"/>
      </right>
      <top style="hair">
        <color theme="1" tint="0.34998626667073579"/>
      </top>
      <bottom style="medium">
        <color theme="1" tint="0.34998626667073579"/>
      </bottom>
      <diagonal/>
    </border>
    <border>
      <left style="hair">
        <color theme="1" tint="0.34998626667073579"/>
      </left>
      <right style="medium">
        <color theme="1" tint="0.34998626667073579"/>
      </right>
      <top style="hair">
        <color theme="1" tint="0.34998626667073579"/>
      </top>
      <bottom style="medium">
        <color theme="1" tint="0.34998626667073579"/>
      </bottom>
      <diagonal/>
    </border>
    <border>
      <left/>
      <right style="hair">
        <color theme="1" tint="0.34998626667073579"/>
      </right>
      <top style="hair">
        <color theme="1" tint="0.34998626667073579"/>
      </top>
      <bottom style="medium">
        <color theme="1" tint="0.34998626667073579"/>
      </bottom>
      <diagonal/>
    </border>
    <border>
      <left style="hair">
        <color theme="1" tint="0.34998626667073579"/>
      </left>
      <right/>
      <top style="hair">
        <color theme="1" tint="0.34998626667073579"/>
      </top>
      <bottom style="medium">
        <color theme="1" tint="0.34998626667073579"/>
      </bottom>
      <diagonal/>
    </border>
    <border>
      <left style="medium">
        <color theme="1" tint="0.34998626667073579"/>
      </left>
      <right/>
      <top/>
      <bottom style="hair">
        <color theme="1" tint="0.34998626667073579"/>
      </bottom>
      <diagonal/>
    </border>
    <border>
      <left/>
      <right/>
      <top/>
      <bottom style="medium">
        <color theme="1" tint="0.34998626667073579"/>
      </bottom>
      <diagonal/>
    </border>
    <border>
      <left style="thin">
        <color indexed="9"/>
      </left>
      <right style="thin">
        <color indexed="9"/>
      </right>
      <top style="thin">
        <color indexed="9"/>
      </top>
      <bottom/>
      <diagonal/>
    </border>
    <border>
      <left style="thin">
        <color indexed="9"/>
      </left>
      <right style="thin">
        <color indexed="9"/>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1" tint="0.24994659260841701"/>
      </left>
      <right style="medium">
        <color theme="1" tint="0.24994659260841701"/>
      </right>
      <top/>
      <bottom style="medium">
        <color theme="1" tint="0.34998626667073579"/>
      </bottom>
      <diagonal/>
    </border>
    <border>
      <left style="medium">
        <color theme="1" tint="0.24994659260841701"/>
      </left>
      <right/>
      <top/>
      <bottom style="medium">
        <color theme="1" tint="0.34998626667073579"/>
      </bottom>
      <diagonal/>
    </border>
    <border>
      <left style="medium">
        <color theme="1" tint="0.34998626667073579"/>
      </left>
      <right style="medium">
        <color theme="1" tint="0.24994659260841701"/>
      </right>
      <top style="medium">
        <color theme="1" tint="0.34998626667073579"/>
      </top>
      <bottom style="medium">
        <color theme="1" tint="0.34998626667073579"/>
      </bottom>
      <diagonal/>
    </border>
    <border>
      <left style="medium">
        <color theme="1" tint="0.24994659260841701"/>
      </left>
      <right style="medium">
        <color theme="1" tint="0.24994659260841701"/>
      </right>
      <top style="medium">
        <color theme="1" tint="0.34998626667073579"/>
      </top>
      <bottom style="medium">
        <color theme="1" tint="0.34998626667073579"/>
      </bottom>
      <diagonal/>
    </border>
    <border>
      <left style="medium">
        <color theme="1" tint="0.24994659260841701"/>
      </left>
      <right style="medium">
        <color theme="1" tint="0.34998626667073579"/>
      </right>
      <top style="medium">
        <color theme="1" tint="0.34998626667073579"/>
      </top>
      <bottom style="medium">
        <color theme="1" tint="0.34998626667073579"/>
      </bottom>
      <diagonal/>
    </border>
    <border>
      <left/>
      <right style="medium">
        <color theme="1" tint="0.24994659260841701"/>
      </right>
      <top/>
      <bottom style="medium">
        <color theme="1" tint="0.34998626667073579"/>
      </bottom>
      <diagonal/>
    </border>
    <border>
      <left style="medium">
        <color theme="1" tint="0.24994659260841701"/>
      </left>
      <right style="medium">
        <color theme="1" tint="0.24994659260841701"/>
      </right>
      <top style="medium">
        <color theme="1" tint="0.24994659260841701"/>
      </top>
      <bottom style="medium">
        <color theme="1" tint="0.34998626667073579"/>
      </bottom>
      <diagonal/>
    </border>
    <border>
      <left style="medium">
        <color theme="1" tint="0.24994659260841701"/>
      </left>
      <right style="medium">
        <color theme="1" tint="0.34998626667073579"/>
      </right>
      <top style="medium">
        <color theme="1" tint="0.24994659260841701"/>
      </top>
      <bottom style="medium">
        <color theme="1" tint="0.34998626667073579"/>
      </bottom>
      <diagonal/>
    </border>
    <border>
      <left/>
      <right style="medium">
        <color theme="1" tint="0.24994659260841701"/>
      </right>
      <top style="medium">
        <color theme="1" tint="0.24994659260841701"/>
      </top>
      <bottom style="medium">
        <color theme="1" tint="0.24994659260841701"/>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34998626667073579"/>
      </left>
      <right/>
      <top/>
      <bottom style="medium">
        <color theme="1" tint="0.34998626667073579"/>
      </bottom>
      <diagonal/>
    </border>
    <border>
      <left/>
      <right style="hair">
        <color theme="1" tint="0.34998626667073579"/>
      </right>
      <top/>
      <bottom style="medium">
        <color theme="1" tint="0.34998626667073579"/>
      </bottom>
      <diagonal/>
    </border>
    <border>
      <left/>
      <right style="hair">
        <color theme="1" tint="0.34998626667073579"/>
      </right>
      <top style="hair">
        <color theme="1" tint="0.34998626667073579"/>
      </top>
      <bottom style="hair">
        <color theme="1" tint="0.34998626667073579"/>
      </bottom>
      <diagonal/>
    </border>
    <border>
      <left/>
      <right style="hair">
        <color theme="1" tint="0.34998626667073579"/>
      </right>
      <top style="medium">
        <color theme="1" tint="0.34998626667073579"/>
      </top>
      <bottom style="hair">
        <color theme="1" tint="0.34998626667073579"/>
      </bottom>
      <diagonal/>
    </border>
    <border>
      <left/>
      <right style="hair">
        <color theme="1" tint="0.34998626667073579"/>
      </right>
      <top/>
      <bottom/>
      <diagonal/>
    </border>
    <border>
      <left/>
      <right style="hair">
        <color theme="1" tint="0.34998626667073579"/>
      </right>
      <top/>
      <bottom style="hair">
        <color theme="1" tint="0.34998626667073579"/>
      </bottom>
      <diagonal/>
    </border>
    <border>
      <left/>
      <right/>
      <top style="thin">
        <color indexed="9"/>
      </top>
      <bottom/>
      <diagonal/>
    </border>
    <border>
      <left/>
      <right/>
      <top style="thin">
        <color indexed="64"/>
      </top>
      <bottom/>
      <diagonal/>
    </border>
    <border>
      <left style="thin">
        <color indexed="9"/>
      </left>
      <right/>
      <top style="thin">
        <color indexed="9"/>
      </top>
      <bottom/>
      <diagonal/>
    </border>
    <border>
      <left/>
      <right style="thin">
        <color indexed="9"/>
      </right>
      <top style="thin">
        <color indexed="9"/>
      </top>
      <bottom/>
      <diagonal/>
    </border>
    <border>
      <left style="thin">
        <color indexed="9"/>
      </left>
      <right style="thin">
        <color indexed="9"/>
      </right>
      <top style="thin">
        <color indexed="9"/>
      </top>
      <bottom/>
      <diagonal/>
    </border>
  </borders>
  <cellStyleXfs count="531">
    <xf numFmtId="0" fontId="0" fillId="0" borderId="0">
      <alignment vertical="center"/>
    </xf>
    <xf numFmtId="0" fontId="51" fillId="8" borderId="0" applyNumberFormat="0" applyBorder="0" applyAlignment="0" applyProtection="0">
      <alignment vertical="center"/>
    </xf>
    <xf numFmtId="0" fontId="51" fillId="9" borderId="0" applyNumberFormat="0" applyBorder="0" applyAlignment="0" applyProtection="0">
      <alignment vertical="center"/>
    </xf>
    <xf numFmtId="0" fontId="51" fillId="10" borderId="0" applyNumberFormat="0" applyBorder="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3" borderId="0" applyNumberFormat="0" applyBorder="0" applyAlignment="0" applyProtection="0">
      <alignment vertical="center"/>
    </xf>
    <xf numFmtId="0" fontId="51" fillId="14"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178" fontId="22" fillId="0" borderId="0" applyFont="0" applyFill="0" applyBorder="0" applyAlignment="0" applyProtection="0">
      <alignment vertical="center"/>
    </xf>
    <xf numFmtId="0" fontId="22" fillId="0" borderId="0"/>
    <xf numFmtId="0" fontId="20" fillId="4" borderId="1" applyNumberFormat="0" applyFont="0" applyAlignment="0" applyProtection="0">
      <alignment vertical="center"/>
    </xf>
    <xf numFmtId="0" fontId="44" fillId="0" borderId="0"/>
    <xf numFmtId="0" fontId="22" fillId="0" borderId="0"/>
    <xf numFmtId="0" fontId="51" fillId="0" borderId="0">
      <alignment vertical="center"/>
    </xf>
    <xf numFmtId="0" fontId="22" fillId="0" borderId="0">
      <alignment vertical="center"/>
    </xf>
    <xf numFmtId="0" fontId="27" fillId="0" borderId="0">
      <alignment vertical="center"/>
    </xf>
    <xf numFmtId="43" fontId="23" fillId="0" borderId="0" applyFont="0" applyFill="0" applyBorder="0" applyAlignment="0" applyProtection="0">
      <alignment vertical="center"/>
    </xf>
    <xf numFmtId="0" fontId="53" fillId="26" borderId="0" applyNumberFormat="0" applyBorder="0" applyAlignment="0" applyProtection="0">
      <alignment vertical="center"/>
    </xf>
    <xf numFmtId="0" fontId="54" fillId="0" borderId="21" applyNumberFormat="0" applyFill="0" applyAlignment="0" applyProtection="0">
      <alignment vertical="center"/>
    </xf>
    <xf numFmtId="0" fontId="55" fillId="27" borderId="0" applyNumberFormat="0" applyBorder="0" applyAlignment="0" applyProtection="0">
      <alignment vertical="center"/>
    </xf>
    <xf numFmtId="0" fontId="24" fillId="3" borderId="0" applyNumberFormat="0" applyBorder="0" applyAlignment="0" applyProtection="0">
      <alignment vertical="center"/>
    </xf>
    <xf numFmtId="9" fontId="22" fillId="0" borderId="0" applyFont="0" applyFill="0" applyBorder="0" applyAlignment="0" applyProtection="0"/>
    <xf numFmtId="0" fontId="56" fillId="28" borderId="22" applyNumberFormat="0" applyAlignment="0" applyProtection="0">
      <alignment vertical="center"/>
    </xf>
    <xf numFmtId="0" fontId="57" fillId="0" borderId="23" applyNumberFormat="0" applyFill="0" applyAlignment="0" applyProtection="0">
      <alignment vertical="center"/>
    </xf>
    <xf numFmtId="0" fontId="51" fillId="29" borderId="24" applyNumberFormat="0" applyFont="0" applyAlignment="0" applyProtection="0">
      <alignment vertical="center"/>
    </xf>
    <xf numFmtId="0" fontId="58" fillId="0" borderId="0" applyNumberFormat="0" applyFill="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9" fillId="0" borderId="25" applyNumberFormat="0" applyFill="0" applyAlignment="0" applyProtection="0">
      <alignment vertical="center"/>
    </xf>
    <xf numFmtId="0" fontId="60" fillId="0" borderId="26" applyNumberFormat="0" applyFill="0" applyAlignment="0" applyProtection="0">
      <alignment vertical="center"/>
    </xf>
    <xf numFmtId="0" fontId="61" fillId="0" borderId="27" applyNumberFormat="0" applyFill="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36" borderId="22" applyNumberFormat="0" applyAlignment="0" applyProtection="0">
      <alignment vertical="center"/>
    </xf>
    <xf numFmtId="0" fontId="64" fillId="28" borderId="28" applyNumberFormat="0" applyAlignment="0" applyProtection="0">
      <alignment vertical="center"/>
    </xf>
    <xf numFmtId="0" fontId="65" fillId="37" borderId="29" applyNumberFormat="0" applyAlignment="0" applyProtection="0">
      <alignment vertical="center"/>
    </xf>
    <xf numFmtId="0" fontId="66" fillId="38" borderId="0" applyNumberFormat="0" applyBorder="0" applyAlignment="0" applyProtection="0">
      <alignment vertical="center"/>
    </xf>
    <xf numFmtId="0" fontId="25" fillId="2" borderId="0" applyNumberFormat="0" applyBorder="0" applyAlignment="0" applyProtection="0">
      <alignment vertical="center"/>
    </xf>
    <xf numFmtId="0" fontId="67" fillId="0" borderId="0" applyNumberFormat="0" applyFill="0" applyBorder="0" applyAlignment="0" applyProtection="0">
      <alignment vertical="center"/>
    </xf>
    <xf numFmtId="9" fontId="20" fillId="0" borderId="0" applyFont="0" applyFill="0" applyBorder="0" applyAlignment="0" applyProtection="0">
      <alignment vertical="center"/>
    </xf>
    <xf numFmtId="0" fontId="19" fillId="0" borderId="0">
      <alignment vertical="center"/>
    </xf>
    <xf numFmtId="0" fontId="84" fillId="26" borderId="0" applyNumberFormat="0" applyBorder="0" applyAlignment="0" applyProtection="0">
      <alignment vertical="center"/>
    </xf>
    <xf numFmtId="0" fontId="19" fillId="29" borderId="24" applyNumberFormat="0" applyFont="0" applyAlignment="0" applyProtection="0">
      <alignment vertical="center"/>
    </xf>
    <xf numFmtId="0" fontId="83" fillId="20" borderId="0" applyNumberFormat="0" applyBorder="0" applyAlignment="0" applyProtection="0">
      <alignment vertical="center"/>
    </xf>
    <xf numFmtId="0" fontId="83" fillId="21"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5" borderId="0" applyNumberFormat="0" applyBorder="0" applyAlignment="0" applyProtection="0">
      <alignment vertical="center"/>
    </xf>
    <xf numFmtId="0" fontId="18" fillId="0" borderId="0">
      <alignment vertical="center"/>
    </xf>
    <xf numFmtId="0" fontId="18" fillId="29" borderId="24" applyNumberFormat="0" applyFont="0" applyAlignment="0" applyProtection="0">
      <alignment vertical="center"/>
    </xf>
    <xf numFmtId="0" fontId="17" fillId="0" borderId="0">
      <alignment vertical="center"/>
    </xf>
    <xf numFmtId="0" fontId="17" fillId="29" borderId="24" applyNumberFormat="0" applyFont="0" applyAlignment="0" applyProtection="0">
      <alignment vertical="center"/>
    </xf>
    <xf numFmtId="0" fontId="17" fillId="8" borderId="0" applyNumberFormat="0" applyBorder="0" applyAlignment="0" applyProtection="0">
      <alignment vertical="center"/>
    </xf>
    <xf numFmtId="0" fontId="17" fillId="14" borderId="0" applyNumberFormat="0" applyBorder="0" applyAlignment="0" applyProtection="0">
      <alignment vertical="center"/>
    </xf>
    <xf numFmtId="0" fontId="17" fillId="9" borderId="0" applyNumberFormat="0" applyBorder="0" applyAlignment="0" applyProtection="0">
      <alignment vertical="center"/>
    </xf>
    <xf numFmtId="0" fontId="17" fillId="15" borderId="0" applyNumberFormat="0" applyBorder="0" applyAlignment="0" applyProtection="0">
      <alignment vertical="center"/>
    </xf>
    <xf numFmtId="0" fontId="17" fillId="10" borderId="0" applyNumberFormat="0" applyBorder="0" applyAlignment="0" applyProtection="0">
      <alignment vertical="center"/>
    </xf>
    <xf numFmtId="0" fontId="17" fillId="16" borderId="0" applyNumberFormat="0" applyBorder="0" applyAlignment="0" applyProtection="0">
      <alignment vertical="center"/>
    </xf>
    <xf numFmtId="0" fontId="17" fillId="11" borderId="0" applyNumberFormat="0" applyBorder="0" applyAlignment="0" applyProtection="0">
      <alignment vertical="center"/>
    </xf>
    <xf numFmtId="0" fontId="17" fillId="17" borderId="0" applyNumberFormat="0" applyBorder="0" applyAlignment="0" applyProtection="0">
      <alignment vertical="center"/>
    </xf>
    <xf numFmtId="0" fontId="17" fillId="12"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17" fillId="19" borderId="0" applyNumberFormat="0" applyBorder="0" applyAlignment="0" applyProtection="0">
      <alignment vertical="center"/>
    </xf>
    <xf numFmtId="0" fontId="16" fillId="0" borderId="0">
      <alignment vertical="center"/>
    </xf>
    <xf numFmtId="0" fontId="16" fillId="29" borderId="24" applyNumberFormat="0" applyFont="0" applyAlignment="0" applyProtection="0">
      <alignment vertical="center"/>
    </xf>
    <xf numFmtId="0" fontId="16" fillId="8" borderId="0" applyNumberFormat="0" applyBorder="0" applyAlignment="0" applyProtection="0">
      <alignment vertical="center"/>
    </xf>
    <xf numFmtId="0" fontId="16" fillId="14" borderId="0" applyNumberFormat="0" applyBorder="0" applyAlignment="0" applyProtection="0">
      <alignment vertical="center"/>
    </xf>
    <xf numFmtId="0" fontId="16" fillId="9" borderId="0" applyNumberFormat="0" applyBorder="0" applyAlignment="0" applyProtection="0">
      <alignment vertical="center"/>
    </xf>
    <xf numFmtId="0" fontId="16" fillId="15" borderId="0" applyNumberFormat="0" applyBorder="0" applyAlignment="0" applyProtection="0">
      <alignment vertical="center"/>
    </xf>
    <xf numFmtId="0" fontId="16" fillId="10" borderId="0" applyNumberFormat="0" applyBorder="0" applyAlignment="0" applyProtection="0">
      <alignment vertical="center"/>
    </xf>
    <xf numFmtId="0" fontId="16" fillId="16" borderId="0" applyNumberFormat="0" applyBorder="0" applyAlignment="0" applyProtection="0">
      <alignment vertical="center"/>
    </xf>
    <xf numFmtId="0" fontId="16" fillId="11" borderId="0" applyNumberFormat="0" applyBorder="0" applyAlignment="0" applyProtection="0">
      <alignment vertical="center"/>
    </xf>
    <xf numFmtId="0" fontId="16" fillId="17" borderId="0" applyNumberFormat="0" applyBorder="0" applyAlignment="0" applyProtection="0">
      <alignment vertical="center"/>
    </xf>
    <xf numFmtId="0" fontId="16" fillId="12" borderId="0" applyNumberFormat="0" applyBorder="0" applyAlignment="0" applyProtection="0">
      <alignment vertical="center"/>
    </xf>
    <xf numFmtId="0" fontId="16" fillId="18" borderId="0" applyNumberFormat="0" applyBorder="0" applyAlignment="0" applyProtection="0">
      <alignment vertical="center"/>
    </xf>
    <xf numFmtId="0" fontId="16" fillId="13" borderId="0" applyNumberFormat="0" applyBorder="0" applyAlignment="0" applyProtection="0">
      <alignment vertical="center"/>
    </xf>
    <xf numFmtId="0" fontId="16" fillId="19" borderId="0" applyNumberFormat="0" applyBorder="0" applyAlignment="0" applyProtection="0">
      <alignment vertical="center"/>
    </xf>
    <xf numFmtId="0" fontId="15" fillId="0" borderId="0">
      <alignment vertical="center"/>
    </xf>
    <xf numFmtId="0" fontId="15" fillId="29" borderId="24" applyNumberFormat="0" applyFont="0" applyAlignment="0" applyProtection="0">
      <alignment vertical="center"/>
    </xf>
    <xf numFmtId="0" fontId="15" fillId="8" borderId="0" applyNumberFormat="0" applyBorder="0" applyAlignment="0" applyProtection="0">
      <alignment vertical="center"/>
    </xf>
    <xf numFmtId="0" fontId="15" fillId="14" borderId="0" applyNumberFormat="0" applyBorder="0" applyAlignment="0" applyProtection="0">
      <alignment vertical="center"/>
    </xf>
    <xf numFmtId="0" fontId="15" fillId="9" borderId="0" applyNumberFormat="0" applyBorder="0" applyAlignment="0" applyProtection="0">
      <alignment vertical="center"/>
    </xf>
    <xf numFmtId="0" fontId="15" fillId="15" borderId="0" applyNumberFormat="0" applyBorder="0" applyAlignment="0" applyProtection="0">
      <alignment vertical="center"/>
    </xf>
    <xf numFmtId="0" fontId="15" fillId="10" borderId="0" applyNumberFormat="0" applyBorder="0" applyAlignment="0" applyProtection="0">
      <alignment vertical="center"/>
    </xf>
    <xf numFmtId="0" fontId="15" fillId="16" borderId="0" applyNumberFormat="0" applyBorder="0" applyAlignment="0" applyProtection="0">
      <alignment vertical="center"/>
    </xf>
    <xf numFmtId="0" fontId="15" fillId="11" borderId="0" applyNumberFormat="0" applyBorder="0" applyAlignment="0" applyProtection="0">
      <alignment vertical="center"/>
    </xf>
    <xf numFmtId="0" fontId="15" fillId="17" borderId="0" applyNumberFormat="0" applyBorder="0" applyAlignment="0" applyProtection="0">
      <alignment vertical="center"/>
    </xf>
    <xf numFmtId="0" fontId="15" fillId="12" borderId="0" applyNumberFormat="0" applyBorder="0" applyAlignment="0" applyProtection="0">
      <alignment vertical="center"/>
    </xf>
    <xf numFmtId="0" fontId="15" fillId="18" borderId="0" applyNumberFormat="0" applyBorder="0" applyAlignment="0" applyProtection="0">
      <alignment vertical="center"/>
    </xf>
    <xf numFmtId="0" fontId="15" fillId="13" borderId="0" applyNumberFormat="0" applyBorder="0" applyAlignment="0" applyProtection="0">
      <alignment vertical="center"/>
    </xf>
    <xf numFmtId="0" fontId="15" fillId="19" borderId="0" applyNumberFormat="0" applyBorder="0" applyAlignment="0" applyProtection="0">
      <alignment vertical="center"/>
    </xf>
    <xf numFmtId="0" fontId="14" fillId="0" borderId="0">
      <alignment vertical="center"/>
    </xf>
    <xf numFmtId="0" fontId="14" fillId="29" borderId="24" applyNumberFormat="0" applyFont="0" applyAlignment="0" applyProtection="0">
      <alignment vertical="center"/>
    </xf>
    <xf numFmtId="0" fontId="14" fillId="8" borderId="0" applyNumberFormat="0" applyBorder="0" applyAlignment="0" applyProtection="0">
      <alignment vertical="center"/>
    </xf>
    <xf numFmtId="0" fontId="14" fillId="14" borderId="0" applyNumberFormat="0" applyBorder="0" applyAlignment="0" applyProtection="0">
      <alignment vertical="center"/>
    </xf>
    <xf numFmtId="0" fontId="14" fillId="9" borderId="0" applyNumberFormat="0" applyBorder="0" applyAlignment="0" applyProtection="0">
      <alignment vertical="center"/>
    </xf>
    <xf numFmtId="0" fontId="14" fillId="15" borderId="0" applyNumberFormat="0" applyBorder="0" applyAlignment="0" applyProtection="0">
      <alignment vertical="center"/>
    </xf>
    <xf numFmtId="0" fontId="14" fillId="10" borderId="0" applyNumberFormat="0" applyBorder="0" applyAlignment="0" applyProtection="0">
      <alignment vertical="center"/>
    </xf>
    <xf numFmtId="0" fontId="14" fillId="16" borderId="0" applyNumberFormat="0" applyBorder="0" applyAlignment="0" applyProtection="0">
      <alignment vertical="center"/>
    </xf>
    <xf numFmtId="0" fontId="14" fillId="11"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3" fillId="0" borderId="0">
      <alignment vertical="center"/>
    </xf>
    <xf numFmtId="0" fontId="13" fillId="29" borderId="24" applyNumberFormat="0" applyFont="0" applyAlignment="0" applyProtection="0">
      <alignment vertical="center"/>
    </xf>
    <xf numFmtId="0" fontId="12" fillId="0" borderId="0">
      <alignment vertical="center"/>
    </xf>
    <xf numFmtId="0" fontId="12" fillId="29" borderId="24" applyNumberFormat="0" applyFont="0" applyAlignment="0" applyProtection="0">
      <alignment vertical="center"/>
    </xf>
    <xf numFmtId="0" fontId="12" fillId="8" borderId="0" applyNumberFormat="0" applyBorder="0" applyAlignment="0" applyProtection="0">
      <alignment vertical="center"/>
    </xf>
    <xf numFmtId="0" fontId="12" fillId="14" borderId="0" applyNumberFormat="0" applyBorder="0" applyAlignment="0" applyProtection="0">
      <alignment vertical="center"/>
    </xf>
    <xf numFmtId="0" fontId="12" fillId="9" borderId="0" applyNumberFormat="0" applyBorder="0" applyAlignment="0" applyProtection="0">
      <alignment vertical="center"/>
    </xf>
    <xf numFmtId="0" fontId="12" fillId="15" borderId="0" applyNumberFormat="0" applyBorder="0" applyAlignment="0" applyProtection="0">
      <alignment vertical="center"/>
    </xf>
    <xf numFmtId="0" fontId="12" fillId="10" borderId="0" applyNumberFormat="0" applyBorder="0" applyAlignment="0" applyProtection="0">
      <alignment vertical="center"/>
    </xf>
    <xf numFmtId="0" fontId="12" fillId="16" borderId="0" applyNumberFormat="0" applyBorder="0" applyAlignment="0" applyProtection="0">
      <alignment vertical="center"/>
    </xf>
    <xf numFmtId="0" fontId="12" fillId="11" borderId="0" applyNumberFormat="0" applyBorder="0" applyAlignment="0" applyProtection="0">
      <alignment vertical="center"/>
    </xf>
    <xf numFmtId="0" fontId="12" fillId="17" borderId="0" applyNumberFormat="0" applyBorder="0" applyAlignment="0" applyProtection="0">
      <alignment vertical="center"/>
    </xf>
    <xf numFmtId="0" fontId="12" fillId="12"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9" borderId="0" applyNumberFormat="0" applyBorder="0" applyAlignment="0" applyProtection="0">
      <alignment vertical="center"/>
    </xf>
    <xf numFmtId="0" fontId="11" fillId="0" borderId="0">
      <alignment vertical="center"/>
    </xf>
    <xf numFmtId="0" fontId="11" fillId="29" borderId="24" applyNumberFormat="0" applyFont="0" applyAlignment="0" applyProtection="0">
      <alignment vertical="center"/>
    </xf>
    <xf numFmtId="0" fontId="11" fillId="8" borderId="0" applyNumberFormat="0" applyBorder="0" applyAlignment="0" applyProtection="0">
      <alignment vertical="center"/>
    </xf>
    <xf numFmtId="0" fontId="11" fillId="14" borderId="0" applyNumberFormat="0" applyBorder="0" applyAlignment="0" applyProtection="0">
      <alignment vertical="center"/>
    </xf>
    <xf numFmtId="0" fontId="11" fillId="9" borderId="0" applyNumberFormat="0" applyBorder="0" applyAlignment="0" applyProtection="0">
      <alignment vertical="center"/>
    </xf>
    <xf numFmtId="0" fontId="11" fillId="15" borderId="0" applyNumberFormat="0" applyBorder="0" applyAlignment="0" applyProtection="0">
      <alignment vertical="center"/>
    </xf>
    <xf numFmtId="0" fontId="11" fillId="10" borderId="0" applyNumberFormat="0" applyBorder="0" applyAlignment="0" applyProtection="0">
      <alignment vertical="center"/>
    </xf>
    <xf numFmtId="0" fontId="11" fillId="16" borderId="0" applyNumberFormat="0" applyBorder="0" applyAlignment="0" applyProtection="0">
      <alignment vertical="center"/>
    </xf>
    <xf numFmtId="0" fontId="11" fillId="11" borderId="0" applyNumberFormat="0" applyBorder="0" applyAlignment="0" applyProtection="0">
      <alignment vertical="center"/>
    </xf>
    <xf numFmtId="0" fontId="11" fillId="17" borderId="0" applyNumberFormat="0" applyBorder="0" applyAlignment="0" applyProtection="0">
      <alignment vertical="center"/>
    </xf>
    <xf numFmtId="0" fontId="11" fillId="1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0" fillId="0" borderId="0">
      <alignment vertical="center"/>
    </xf>
    <xf numFmtId="0" fontId="10" fillId="29" borderId="24" applyNumberFormat="0" applyFont="0" applyAlignment="0" applyProtection="0">
      <alignment vertical="center"/>
    </xf>
    <xf numFmtId="0" fontId="10" fillId="8"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0" borderId="0" applyNumberFormat="0" applyBorder="0" applyAlignment="0" applyProtection="0">
      <alignment vertical="center"/>
    </xf>
    <xf numFmtId="0" fontId="10" fillId="16" borderId="0" applyNumberFormat="0" applyBorder="0" applyAlignment="0" applyProtection="0">
      <alignment vertical="center"/>
    </xf>
    <xf numFmtId="0" fontId="10" fillId="11" borderId="0" applyNumberFormat="0" applyBorder="0" applyAlignment="0" applyProtection="0">
      <alignment vertical="center"/>
    </xf>
    <xf numFmtId="0" fontId="10" fillId="17" borderId="0" applyNumberFormat="0" applyBorder="0" applyAlignment="0" applyProtection="0">
      <alignment vertical="center"/>
    </xf>
    <xf numFmtId="0" fontId="10" fillId="12" borderId="0" applyNumberFormat="0" applyBorder="0" applyAlignment="0" applyProtection="0">
      <alignment vertical="center"/>
    </xf>
    <xf numFmtId="0" fontId="10" fillId="18" borderId="0" applyNumberFormat="0" applyBorder="0" applyAlignment="0" applyProtection="0">
      <alignment vertical="center"/>
    </xf>
    <xf numFmtId="0" fontId="10" fillId="13" borderId="0" applyNumberFormat="0" applyBorder="0" applyAlignment="0" applyProtection="0">
      <alignment vertical="center"/>
    </xf>
    <xf numFmtId="0" fontId="10" fillId="19" borderId="0" applyNumberFormat="0" applyBorder="0" applyAlignment="0" applyProtection="0">
      <alignment vertical="center"/>
    </xf>
    <xf numFmtId="0" fontId="9" fillId="0" borderId="0">
      <alignment vertical="center"/>
    </xf>
    <xf numFmtId="0" fontId="9" fillId="29" borderId="24" applyNumberFormat="0" applyFont="0" applyAlignment="0" applyProtection="0">
      <alignment vertical="center"/>
    </xf>
    <xf numFmtId="0" fontId="9" fillId="8" borderId="0" applyNumberFormat="0" applyBorder="0" applyAlignment="0" applyProtection="0">
      <alignment vertical="center"/>
    </xf>
    <xf numFmtId="0" fontId="9" fillId="14" borderId="0" applyNumberFormat="0" applyBorder="0" applyAlignment="0" applyProtection="0">
      <alignment vertical="center"/>
    </xf>
    <xf numFmtId="0" fontId="9" fillId="9" borderId="0" applyNumberFormat="0" applyBorder="0" applyAlignment="0" applyProtection="0">
      <alignment vertical="center"/>
    </xf>
    <xf numFmtId="0" fontId="9" fillId="15" borderId="0" applyNumberFormat="0" applyBorder="0" applyAlignment="0" applyProtection="0">
      <alignment vertical="center"/>
    </xf>
    <xf numFmtId="0" fontId="9" fillId="10" borderId="0" applyNumberFormat="0" applyBorder="0" applyAlignment="0" applyProtection="0">
      <alignment vertical="center"/>
    </xf>
    <xf numFmtId="0" fontId="9" fillId="16" borderId="0" applyNumberFormat="0" applyBorder="0" applyAlignment="0" applyProtection="0">
      <alignment vertical="center"/>
    </xf>
    <xf numFmtId="0" fontId="9" fillId="11" borderId="0" applyNumberFormat="0" applyBorder="0" applyAlignment="0" applyProtection="0">
      <alignment vertical="center"/>
    </xf>
    <xf numFmtId="0" fontId="9" fillId="17" borderId="0" applyNumberFormat="0" applyBorder="0" applyAlignment="0" applyProtection="0">
      <alignment vertical="center"/>
    </xf>
    <xf numFmtId="0" fontId="9" fillId="12" borderId="0" applyNumberFormat="0" applyBorder="0" applyAlignment="0" applyProtection="0">
      <alignment vertical="center"/>
    </xf>
    <xf numFmtId="0" fontId="9" fillId="18" borderId="0" applyNumberFormat="0" applyBorder="0" applyAlignment="0" applyProtection="0">
      <alignment vertical="center"/>
    </xf>
    <xf numFmtId="0" fontId="9" fillId="13" borderId="0" applyNumberFormat="0" applyBorder="0" applyAlignment="0" applyProtection="0">
      <alignment vertical="center"/>
    </xf>
    <xf numFmtId="0" fontId="9" fillId="19" borderId="0" applyNumberFormat="0" applyBorder="0" applyAlignment="0" applyProtection="0">
      <alignment vertical="center"/>
    </xf>
    <xf numFmtId="0" fontId="8" fillId="0" borderId="0">
      <alignment vertical="center"/>
    </xf>
    <xf numFmtId="0" fontId="8" fillId="29" borderId="24" applyNumberFormat="0" applyFont="0" applyAlignment="0" applyProtection="0">
      <alignment vertical="center"/>
    </xf>
    <xf numFmtId="0" fontId="8" fillId="8" borderId="0" applyNumberFormat="0" applyBorder="0" applyAlignment="0" applyProtection="0">
      <alignment vertical="center"/>
    </xf>
    <xf numFmtId="0" fontId="8" fillId="14" borderId="0" applyNumberFormat="0" applyBorder="0" applyAlignment="0" applyProtection="0">
      <alignment vertical="center"/>
    </xf>
    <xf numFmtId="0" fontId="8" fillId="9" borderId="0" applyNumberFormat="0" applyBorder="0" applyAlignment="0" applyProtection="0">
      <alignment vertical="center"/>
    </xf>
    <xf numFmtId="0" fontId="8" fillId="15" borderId="0" applyNumberFormat="0" applyBorder="0" applyAlignment="0" applyProtection="0">
      <alignment vertical="center"/>
    </xf>
    <xf numFmtId="0" fontId="8" fillId="10" borderId="0" applyNumberFormat="0" applyBorder="0" applyAlignment="0" applyProtection="0">
      <alignment vertical="center"/>
    </xf>
    <xf numFmtId="0" fontId="8" fillId="16" borderId="0" applyNumberFormat="0" applyBorder="0" applyAlignment="0" applyProtection="0">
      <alignment vertical="center"/>
    </xf>
    <xf numFmtId="0" fontId="8" fillId="11" borderId="0" applyNumberFormat="0" applyBorder="0" applyAlignment="0" applyProtection="0">
      <alignment vertical="center"/>
    </xf>
    <xf numFmtId="0" fontId="8" fillId="17" borderId="0" applyNumberFormat="0" applyBorder="0" applyAlignment="0" applyProtection="0">
      <alignment vertical="center"/>
    </xf>
    <xf numFmtId="0" fontId="8" fillId="12" borderId="0" applyNumberFormat="0" applyBorder="0" applyAlignment="0" applyProtection="0">
      <alignment vertical="center"/>
    </xf>
    <xf numFmtId="0" fontId="8" fillId="18" borderId="0" applyNumberFormat="0" applyBorder="0" applyAlignment="0" applyProtection="0">
      <alignment vertical="center"/>
    </xf>
    <xf numFmtId="0" fontId="8" fillId="13" borderId="0" applyNumberFormat="0" applyBorder="0" applyAlignment="0" applyProtection="0">
      <alignment vertical="center"/>
    </xf>
    <xf numFmtId="0" fontId="8" fillId="19" borderId="0" applyNumberFormat="0" applyBorder="0" applyAlignment="0" applyProtection="0">
      <alignment vertical="center"/>
    </xf>
    <xf numFmtId="0" fontId="7" fillId="0" borderId="0">
      <alignment vertical="center"/>
    </xf>
    <xf numFmtId="0" fontId="7" fillId="29" borderId="24" applyNumberFormat="0" applyFont="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16"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12"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69" fillId="0" borderId="0" applyNumberFormat="0" applyFill="0" applyBorder="0" applyAlignment="0" applyProtection="0">
      <alignment vertical="center"/>
    </xf>
    <xf numFmtId="0" fontId="70" fillId="0" borderId="25" applyNumberFormat="0" applyFill="0" applyAlignment="0" applyProtection="0">
      <alignment vertical="center"/>
    </xf>
    <xf numFmtId="0" fontId="71" fillId="0" borderId="26" applyNumberFormat="0" applyFill="0" applyAlignment="0" applyProtection="0">
      <alignment vertical="center"/>
    </xf>
    <xf numFmtId="0" fontId="72" fillId="0" borderId="27" applyNumberFormat="0" applyFill="0" applyAlignment="0" applyProtection="0">
      <alignment vertical="center"/>
    </xf>
    <xf numFmtId="0" fontId="72" fillId="0" borderId="0" applyNumberFormat="0" applyFill="0" applyBorder="0" applyAlignment="0" applyProtection="0">
      <alignment vertical="center"/>
    </xf>
    <xf numFmtId="0" fontId="73" fillId="27" borderId="0" applyNumberFormat="0" applyBorder="0" applyAlignment="0" applyProtection="0">
      <alignment vertical="center"/>
    </xf>
    <xf numFmtId="0" fontId="74" fillId="38" borderId="0" applyNumberFormat="0" applyBorder="0" applyAlignment="0" applyProtection="0">
      <alignment vertical="center"/>
    </xf>
    <xf numFmtId="0" fontId="85" fillId="26" borderId="0" applyNumberFormat="0" applyBorder="0" applyAlignment="0" applyProtection="0">
      <alignment vertical="center"/>
    </xf>
    <xf numFmtId="0" fontId="75" fillId="36" borderId="22" applyNumberFormat="0" applyAlignment="0" applyProtection="0">
      <alignment vertical="center"/>
    </xf>
    <xf numFmtId="0" fontId="76" fillId="28" borderId="28" applyNumberFormat="0" applyAlignment="0" applyProtection="0">
      <alignment vertical="center"/>
    </xf>
    <xf numFmtId="0" fontId="77" fillId="28" borderId="22" applyNumberFormat="0" applyAlignment="0" applyProtection="0">
      <alignment vertical="center"/>
    </xf>
    <xf numFmtId="0" fontId="78" fillId="0" borderId="23" applyNumberFormat="0" applyFill="0" applyAlignment="0" applyProtection="0">
      <alignment vertical="center"/>
    </xf>
    <xf numFmtId="0" fontId="79" fillId="37" borderId="29"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21" applyNumberFormat="0" applyFill="0" applyAlignment="0" applyProtection="0">
      <alignment vertical="center"/>
    </xf>
    <xf numFmtId="0" fontId="83" fillId="30" borderId="0" applyNumberFormat="0" applyBorder="0" applyAlignment="0" applyProtection="0">
      <alignment vertical="center"/>
    </xf>
    <xf numFmtId="0" fontId="6" fillId="8" borderId="0" applyNumberFormat="0" applyBorder="0" applyAlignment="0" applyProtection="0">
      <alignment vertical="center"/>
    </xf>
    <xf numFmtId="0" fontId="6" fillId="14" borderId="0" applyNumberFormat="0" applyBorder="0" applyAlignment="0" applyProtection="0">
      <alignment vertical="center"/>
    </xf>
    <xf numFmtId="0" fontId="6" fillId="20" borderId="0" applyNumberFormat="0" applyBorder="0" applyAlignment="0" applyProtection="0">
      <alignment vertical="center"/>
    </xf>
    <xf numFmtId="0" fontId="83" fillId="31" borderId="0" applyNumberFormat="0" applyBorder="0" applyAlignment="0" applyProtection="0">
      <alignment vertical="center"/>
    </xf>
    <xf numFmtId="0" fontId="6" fillId="9" borderId="0" applyNumberFormat="0" applyBorder="0" applyAlignment="0" applyProtection="0">
      <alignment vertical="center"/>
    </xf>
    <xf numFmtId="0" fontId="6" fillId="15" borderId="0" applyNumberFormat="0" applyBorder="0" applyAlignment="0" applyProtection="0">
      <alignment vertical="center"/>
    </xf>
    <xf numFmtId="0" fontId="6" fillId="21" borderId="0" applyNumberFormat="0" applyBorder="0" applyAlignment="0" applyProtection="0">
      <alignment vertical="center"/>
    </xf>
    <xf numFmtId="0" fontId="83" fillId="32" borderId="0" applyNumberFormat="0" applyBorder="0" applyAlignment="0" applyProtection="0">
      <alignment vertical="center"/>
    </xf>
    <xf numFmtId="0" fontId="6" fillId="10" borderId="0" applyNumberFormat="0" applyBorder="0" applyAlignment="0" applyProtection="0">
      <alignment vertical="center"/>
    </xf>
    <xf numFmtId="0" fontId="6" fillId="16" borderId="0" applyNumberFormat="0" applyBorder="0" applyAlignment="0" applyProtection="0">
      <alignment vertical="center"/>
    </xf>
    <xf numFmtId="0" fontId="6" fillId="22" borderId="0" applyNumberFormat="0" applyBorder="0" applyAlignment="0" applyProtection="0">
      <alignment vertical="center"/>
    </xf>
    <xf numFmtId="0" fontId="83" fillId="33" borderId="0" applyNumberFormat="0" applyBorder="0" applyAlignment="0" applyProtection="0">
      <alignment vertical="center"/>
    </xf>
    <xf numFmtId="0" fontId="6" fillId="11" borderId="0" applyNumberFormat="0" applyBorder="0" applyAlignment="0" applyProtection="0">
      <alignment vertical="center"/>
    </xf>
    <xf numFmtId="0" fontId="6" fillId="17" borderId="0" applyNumberFormat="0" applyBorder="0" applyAlignment="0" applyProtection="0">
      <alignment vertical="center"/>
    </xf>
    <xf numFmtId="0" fontId="6" fillId="23" borderId="0" applyNumberFormat="0" applyBorder="0" applyAlignment="0" applyProtection="0">
      <alignment vertical="center"/>
    </xf>
    <xf numFmtId="0" fontId="83" fillId="34" borderId="0" applyNumberFormat="0" applyBorder="0" applyAlignment="0" applyProtection="0">
      <alignment vertical="center"/>
    </xf>
    <xf numFmtId="0" fontId="6" fillId="12" borderId="0" applyNumberFormat="0" applyBorder="0" applyAlignment="0" applyProtection="0">
      <alignment vertical="center"/>
    </xf>
    <xf numFmtId="0" fontId="6" fillId="18" borderId="0" applyNumberFormat="0" applyBorder="0" applyAlignment="0" applyProtection="0">
      <alignment vertical="center"/>
    </xf>
    <xf numFmtId="0" fontId="6" fillId="24" borderId="0" applyNumberFormat="0" applyBorder="0" applyAlignment="0" applyProtection="0">
      <alignment vertical="center"/>
    </xf>
    <xf numFmtId="0" fontId="83" fillId="35" borderId="0" applyNumberFormat="0" applyBorder="0" applyAlignment="0" applyProtection="0">
      <alignment vertical="center"/>
    </xf>
    <xf numFmtId="0" fontId="6" fillId="13" borderId="0" applyNumberFormat="0" applyBorder="0" applyAlignment="0" applyProtection="0">
      <alignment vertical="center"/>
    </xf>
    <xf numFmtId="0" fontId="6" fillId="19" borderId="0" applyNumberFormat="0" applyBorder="0" applyAlignment="0" applyProtection="0">
      <alignment vertical="center"/>
    </xf>
    <xf numFmtId="0" fontId="6" fillId="25" borderId="0" applyNumberFormat="0" applyBorder="0" applyAlignment="0" applyProtection="0">
      <alignment vertical="center"/>
    </xf>
    <xf numFmtId="0" fontId="6" fillId="0" borderId="0">
      <alignment vertical="center"/>
    </xf>
    <xf numFmtId="0" fontId="6" fillId="29" borderId="24" applyNumberFormat="0" applyFont="0" applyAlignment="0" applyProtection="0">
      <alignment vertical="center"/>
    </xf>
    <xf numFmtId="0" fontId="69" fillId="0" borderId="0" applyNumberFormat="0" applyFill="0" applyBorder="0" applyAlignment="0" applyProtection="0">
      <alignment vertical="center"/>
    </xf>
    <xf numFmtId="0" fontId="70" fillId="0" borderId="25" applyNumberFormat="0" applyFill="0" applyAlignment="0" applyProtection="0">
      <alignment vertical="center"/>
    </xf>
    <xf numFmtId="0" fontId="71" fillId="0" borderId="26" applyNumberFormat="0" applyFill="0" applyAlignment="0" applyProtection="0">
      <alignment vertical="center"/>
    </xf>
    <xf numFmtId="0" fontId="72" fillId="0" borderId="27" applyNumberFormat="0" applyFill="0" applyAlignment="0" applyProtection="0">
      <alignment vertical="center"/>
    </xf>
    <xf numFmtId="0" fontId="72" fillId="0" borderId="0" applyNumberFormat="0" applyFill="0" applyBorder="0" applyAlignment="0" applyProtection="0">
      <alignment vertical="center"/>
    </xf>
    <xf numFmtId="0" fontId="73" fillId="27" borderId="0" applyNumberFormat="0" applyBorder="0" applyAlignment="0" applyProtection="0">
      <alignment vertical="center"/>
    </xf>
    <xf numFmtId="0" fontId="74" fillId="38" borderId="0" applyNumberFormat="0" applyBorder="0" applyAlignment="0" applyProtection="0">
      <alignment vertical="center"/>
    </xf>
    <xf numFmtId="0" fontId="85" fillId="26" borderId="0" applyNumberFormat="0" applyBorder="0" applyAlignment="0" applyProtection="0">
      <alignment vertical="center"/>
    </xf>
    <xf numFmtId="0" fontId="75" fillId="36" borderId="22" applyNumberFormat="0" applyAlignment="0" applyProtection="0">
      <alignment vertical="center"/>
    </xf>
    <xf numFmtId="0" fontId="76" fillId="28" borderId="28" applyNumberFormat="0" applyAlignment="0" applyProtection="0">
      <alignment vertical="center"/>
    </xf>
    <xf numFmtId="0" fontId="77" fillId="28" borderId="22" applyNumberFormat="0" applyAlignment="0" applyProtection="0">
      <alignment vertical="center"/>
    </xf>
    <xf numFmtId="0" fontId="78" fillId="0" borderId="23" applyNumberFormat="0" applyFill="0" applyAlignment="0" applyProtection="0">
      <alignment vertical="center"/>
    </xf>
    <xf numFmtId="0" fontId="79" fillId="37" borderId="29"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21" applyNumberFormat="0" applyFill="0" applyAlignment="0" applyProtection="0">
      <alignment vertical="center"/>
    </xf>
    <xf numFmtId="0" fontId="83" fillId="30" borderId="0" applyNumberFormat="0" applyBorder="0" applyAlignment="0" applyProtection="0">
      <alignment vertical="center"/>
    </xf>
    <xf numFmtId="0" fontId="5" fillId="8" borderId="0" applyNumberFormat="0" applyBorder="0" applyAlignment="0" applyProtection="0">
      <alignment vertical="center"/>
    </xf>
    <xf numFmtId="0" fontId="5" fillId="14" borderId="0" applyNumberFormat="0" applyBorder="0" applyAlignment="0" applyProtection="0">
      <alignment vertical="center"/>
    </xf>
    <xf numFmtId="0" fontId="5" fillId="20" borderId="0" applyNumberFormat="0" applyBorder="0" applyAlignment="0" applyProtection="0">
      <alignment vertical="center"/>
    </xf>
    <xf numFmtId="0" fontId="83" fillId="31" borderId="0" applyNumberFormat="0" applyBorder="0" applyAlignment="0" applyProtection="0">
      <alignment vertical="center"/>
    </xf>
    <xf numFmtId="0" fontId="5" fillId="9" borderId="0" applyNumberFormat="0" applyBorder="0" applyAlignment="0" applyProtection="0">
      <alignment vertical="center"/>
    </xf>
    <xf numFmtId="0" fontId="5" fillId="15" borderId="0" applyNumberFormat="0" applyBorder="0" applyAlignment="0" applyProtection="0">
      <alignment vertical="center"/>
    </xf>
    <xf numFmtId="0" fontId="5" fillId="21" borderId="0" applyNumberFormat="0" applyBorder="0" applyAlignment="0" applyProtection="0">
      <alignment vertical="center"/>
    </xf>
    <xf numFmtId="0" fontId="83" fillId="32" borderId="0" applyNumberFormat="0" applyBorder="0" applyAlignment="0" applyProtection="0">
      <alignment vertical="center"/>
    </xf>
    <xf numFmtId="0" fontId="5" fillId="10" borderId="0" applyNumberFormat="0" applyBorder="0" applyAlignment="0" applyProtection="0">
      <alignment vertical="center"/>
    </xf>
    <xf numFmtId="0" fontId="5" fillId="16" borderId="0" applyNumberFormat="0" applyBorder="0" applyAlignment="0" applyProtection="0">
      <alignment vertical="center"/>
    </xf>
    <xf numFmtId="0" fontId="5" fillId="22" borderId="0" applyNumberFormat="0" applyBorder="0" applyAlignment="0" applyProtection="0">
      <alignment vertical="center"/>
    </xf>
    <xf numFmtId="0" fontId="83" fillId="33" borderId="0" applyNumberFormat="0" applyBorder="0" applyAlignment="0" applyProtection="0">
      <alignment vertical="center"/>
    </xf>
    <xf numFmtId="0" fontId="5" fillId="11" borderId="0" applyNumberFormat="0" applyBorder="0" applyAlignment="0" applyProtection="0">
      <alignment vertical="center"/>
    </xf>
    <xf numFmtId="0" fontId="5" fillId="17" borderId="0" applyNumberFormat="0" applyBorder="0" applyAlignment="0" applyProtection="0">
      <alignment vertical="center"/>
    </xf>
    <xf numFmtId="0" fontId="5" fillId="23" borderId="0" applyNumberFormat="0" applyBorder="0" applyAlignment="0" applyProtection="0">
      <alignment vertical="center"/>
    </xf>
    <xf numFmtId="0" fontId="83" fillId="34" borderId="0" applyNumberFormat="0" applyBorder="0" applyAlignment="0" applyProtection="0">
      <alignment vertical="center"/>
    </xf>
    <xf numFmtId="0" fontId="5" fillId="12" borderId="0" applyNumberFormat="0" applyBorder="0" applyAlignment="0" applyProtection="0">
      <alignment vertical="center"/>
    </xf>
    <xf numFmtId="0" fontId="5" fillId="18" borderId="0" applyNumberFormat="0" applyBorder="0" applyAlignment="0" applyProtection="0">
      <alignment vertical="center"/>
    </xf>
    <xf numFmtId="0" fontId="5" fillId="24" borderId="0" applyNumberFormat="0" applyBorder="0" applyAlignment="0" applyProtection="0">
      <alignment vertical="center"/>
    </xf>
    <xf numFmtId="0" fontId="83" fillId="35" borderId="0" applyNumberFormat="0" applyBorder="0" applyAlignment="0" applyProtection="0">
      <alignment vertical="center"/>
    </xf>
    <xf numFmtId="0" fontId="5" fillId="13" borderId="0" applyNumberFormat="0" applyBorder="0" applyAlignment="0" applyProtection="0">
      <alignment vertical="center"/>
    </xf>
    <xf numFmtId="0" fontId="5" fillId="19" borderId="0" applyNumberFormat="0" applyBorder="0" applyAlignment="0" applyProtection="0">
      <alignment vertical="center"/>
    </xf>
    <xf numFmtId="0" fontId="5" fillId="25" borderId="0" applyNumberFormat="0" applyBorder="0" applyAlignment="0" applyProtection="0">
      <alignment vertical="center"/>
    </xf>
    <xf numFmtId="0" fontId="5" fillId="0" borderId="0">
      <alignment vertical="center"/>
    </xf>
    <xf numFmtId="0" fontId="5" fillId="29" borderId="24" applyNumberFormat="0" applyFont="0" applyAlignment="0" applyProtection="0">
      <alignment vertical="center"/>
    </xf>
    <xf numFmtId="0" fontId="4" fillId="0" borderId="0">
      <alignment vertical="center"/>
    </xf>
    <xf numFmtId="0" fontId="4" fillId="29" borderId="24" applyNumberFormat="0" applyFont="0" applyAlignment="0" applyProtection="0">
      <alignment vertical="center"/>
    </xf>
    <xf numFmtId="0" fontId="4" fillId="8" borderId="0" applyNumberFormat="0" applyBorder="0" applyAlignment="0" applyProtection="0">
      <alignment vertical="center"/>
    </xf>
    <xf numFmtId="0" fontId="4" fillId="14" borderId="0" applyNumberFormat="0" applyBorder="0" applyAlignment="0" applyProtection="0">
      <alignment vertical="center"/>
    </xf>
    <xf numFmtId="0" fontId="4" fillId="20" borderId="0" applyNumberFormat="0" applyBorder="0" applyAlignment="0" applyProtection="0">
      <alignment vertical="center"/>
    </xf>
    <xf numFmtId="0" fontId="4" fillId="9" borderId="0" applyNumberFormat="0" applyBorder="0" applyAlignment="0" applyProtection="0">
      <alignment vertical="center"/>
    </xf>
    <xf numFmtId="0" fontId="4" fillId="15" borderId="0" applyNumberFormat="0" applyBorder="0" applyAlignment="0" applyProtection="0">
      <alignment vertical="center"/>
    </xf>
    <xf numFmtId="0" fontId="4" fillId="21" borderId="0" applyNumberFormat="0" applyBorder="0" applyAlignment="0" applyProtection="0">
      <alignment vertical="center"/>
    </xf>
    <xf numFmtId="0" fontId="4" fillId="10" borderId="0" applyNumberFormat="0" applyBorder="0" applyAlignment="0" applyProtection="0">
      <alignment vertical="center"/>
    </xf>
    <xf numFmtId="0" fontId="4" fillId="16" borderId="0" applyNumberFormat="0" applyBorder="0" applyAlignment="0" applyProtection="0">
      <alignment vertical="center"/>
    </xf>
    <xf numFmtId="0" fontId="4" fillId="22" borderId="0" applyNumberFormat="0" applyBorder="0" applyAlignment="0" applyProtection="0">
      <alignment vertical="center"/>
    </xf>
    <xf numFmtId="0" fontId="4" fillId="11" borderId="0" applyNumberFormat="0" applyBorder="0" applyAlignment="0" applyProtection="0">
      <alignment vertical="center"/>
    </xf>
    <xf numFmtId="0" fontId="4" fillId="17" borderId="0" applyNumberFormat="0" applyBorder="0" applyAlignment="0" applyProtection="0">
      <alignment vertical="center"/>
    </xf>
    <xf numFmtId="0" fontId="4" fillId="23" borderId="0" applyNumberFormat="0" applyBorder="0" applyAlignment="0" applyProtection="0">
      <alignment vertical="center"/>
    </xf>
    <xf numFmtId="0" fontId="4" fillId="12" borderId="0" applyNumberFormat="0" applyBorder="0" applyAlignment="0" applyProtection="0">
      <alignment vertical="center"/>
    </xf>
    <xf numFmtId="0" fontId="4" fillId="18" borderId="0" applyNumberFormat="0" applyBorder="0" applyAlignment="0" applyProtection="0">
      <alignment vertical="center"/>
    </xf>
    <xf numFmtId="0" fontId="4" fillId="24" borderId="0" applyNumberFormat="0" applyBorder="0" applyAlignment="0" applyProtection="0">
      <alignment vertical="center"/>
    </xf>
    <xf numFmtId="0" fontId="4" fillId="13" borderId="0" applyNumberFormat="0" applyBorder="0" applyAlignment="0" applyProtection="0">
      <alignment vertical="center"/>
    </xf>
    <xf numFmtId="0" fontId="4" fillId="19" borderId="0" applyNumberFormat="0" applyBorder="0" applyAlignment="0" applyProtection="0">
      <alignment vertical="center"/>
    </xf>
    <xf numFmtId="0" fontId="4" fillId="25" borderId="0" applyNumberFormat="0" applyBorder="0" applyAlignment="0" applyProtection="0">
      <alignment vertical="center"/>
    </xf>
    <xf numFmtId="43" fontId="20" fillId="0" borderId="0" applyFont="0" applyFill="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20"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21"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22"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23"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24"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25"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20"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21"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22"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23"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24"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25" borderId="0" applyNumberFormat="0" applyBorder="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0" borderId="0">
      <alignment vertical="center"/>
    </xf>
    <xf numFmtId="0" fontId="3" fillId="29" borderId="24" applyNumberFormat="0" applyFont="0" applyAlignment="0" applyProtection="0">
      <alignment vertical="center"/>
    </xf>
    <xf numFmtId="0" fontId="3" fillId="8" borderId="0" applyNumberFormat="0" applyBorder="0" applyAlignment="0" applyProtection="0">
      <alignment vertical="center"/>
    </xf>
    <xf numFmtId="0" fontId="3" fillId="14" borderId="0" applyNumberFormat="0" applyBorder="0" applyAlignment="0" applyProtection="0">
      <alignment vertical="center"/>
    </xf>
    <xf numFmtId="0" fontId="3" fillId="20" borderId="0" applyNumberFormat="0" applyBorder="0" applyAlignment="0" applyProtection="0">
      <alignment vertical="center"/>
    </xf>
    <xf numFmtId="0" fontId="3" fillId="9" borderId="0" applyNumberFormat="0" applyBorder="0" applyAlignment="0" applyProtection="0">
      <alignment vertical="center"/>
    </xf>
    <xf numFmtId="0" fontId="3" fillId="15" borderId="0" applyNumberFormat="0" applyBorder="0" applyAlignment="0" applyProtection="0">
      <alignment vertical="center"/>
    </xf>
    <xf numFmtId="0" fontId="3" fillId="21"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3" fillId="22" borderId="0" applyNumberFormat="0" applyBorder="0" applyAlignment="0" applyProtection="0">
      <alignment vertical="center"/>
    </xf>
    <xf numFmtId="0" fontId="3" fillId="11" borderId="0" applyNumberFormat="0" applyBorder="0" applyAlignment="0" applyProtection="0">
      <alignment vertical="center"/>
    </xf>
    <xf numFmtId="0" fontId="3" fillId="17" borderId="0" applyNumberFormat="0" applyBorder="0" applyAlignment="0" applyProtection="0">
      <alignment vertical="center"/>
    </xf>
    <xf numFmtId="0" fontId="3" fillId="23" borderId="0" applyNumberFormat="0" applyBorder="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24"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25" borderId="0" applyNumberFormat="0" applyBorder="0" applyAlignment="0" applyProtection="0">
      <alignment vertical="center"/>
    </xf>
    <xf numFmtId="43"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103" fillId="48" borderId="0"/>
    <xf numFmtId="0" fontId="106" fillId="0" borderId="0"/>
    <xf numFmtId="0" fontId="107" fillId="48" borderId="95" applyNumberFormat="0" applyProtection="0">
      <alignment horizontal="center" vertical="center"/>
    </xf>
    <xf numFmtId="3" fontId="45" fillId="0" borderId="0"/>
    <xf numFmtId="193" fontId="45" fillId="0" borderId="0"/>
    <xf numFmtId="194" fontId="45" fillId="0" borderId="0"/>
    <xf numFmtId="0" fontId="1"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675">
    <xf numFmtId="0" fontId="0" fillId="0" borderId="0" xfId="0">
      <alignment vertical="center"/>
    </xf>
    <xf numFmtId="0" fontId="26" fillId="0" borderId="0" xfId="0" applyFont="1">
      <alignment vertical="center"/>
    </xf>
    <xf numFmtId="0" fontId="26" fillId="0" borderId="0" xfId="0" applyFont="1" applyAlignment="1">
      <alignment horizontal="center" vertical="center"/>
    </xf>
    <xf numFmtId="9" fontId="0" fillId="0" borderId="0" xfId="0" applyNumberFormat="1">
      <alignment vertical="center"/>
    </xf>
    <xf numFmtId="0" fontId="29" fillId="0" borderId="0" xfId="0" applyFont="1">
      <alignment vertical="center"/>
    </xf>
    <xf numFmtId="0" fontId="0" fillId="0" borderId="0" xfId="0" applyAlignment="1">
      <alignment vertical="center" wrapText="1"/>
    </xf>
    <xf numFmtId="0" fontId="20" fillId="0" borderId="0" xfId="0" applyFont="1">
      <alignment vertical="center"/>
    </xf>
    <xf numFmtId="0" fontId="30" fillId="0" borderId="0" xfId="0" applyFont="1">
      <alignment vertical="center"/>
    </xf>
    <xf numFmtId="0" fontId="32" fillId="0" borderId="0" xfId="0" applyFont="1">
      <alignment vertical="center"/>
    </xf>
    <xf numFmtId="0" fontId="32" fillId="0" borderId="0" xfId="0" applyFont="1" applyAlignment="1">
      <alignment vertical="center" wrapText="1"/>
    </xf>
    <xf numFmtId="0" fontId="0" fillId="0" borderId="0" xfId="0" applyAlignment="1">
      <alignment horizontal="left" vertical="top" wrapText="1"/>
    </xf>
    <xf numFmtId="0" fontId="34" fillId="0" borderId="0" xfId="0" applyFont="1" applyAlignment="1">
      <alignment vertical="center" wrapText="1"/>
    </xf>
    <xf numFmtId="0" fontId="36" fillId="0" borderId="0" xfId="0" applyFont="1">
      <alignment vertical="center"/>
    </xf>
    <xf numFmtId="0" fontId="27" fillId="0" borderId="0" xfId="0" applyFont="1">
      <alignment vertical="center"/>
    </xf>
    <xf numFmtId="177" fontId="27" fillId="0" borderId="0" xfId="0" applyNumberFormat="1" applyFont="1" applyAlignment="1">
      <alignment horizontal="center" vertical="center"/>
    </xf>
    <xf numFmtId="176" fontId="27" fillId="0" borderId="0" xfId="0" applyNumberFormat="1" applyFont="1" applyAlignment="1">
      <alignment horizontal="center" vertical="center"/>
    </xf>
    <xf numFmtId="0" fontId="27" fillId="0" borderId="0" xfId="0" applyFont="1" applyAlignment="1">
      <alignment horizontal="right" vertical="center"/>
    </xf>
    <xf numFmtId="0" fontId="41" fillId="0" borderId="3" xfId="0" applyFont="1" applyBorder="1">
      <alignment vertical="center"/>
    </xf>
    <xf numFmtId="0" fontId="26" fillId="0" borderId="3" xfId="0" applyFont="1" applyBorder="1">
      <alignment vertical="center"/>
    </xf>
    <xf numFmtId="0" fontId="20" fillId="0" borderId="0" xfId="0" applyFont="1" applyAlignment="1">
      <alignment vertical="center" wrapText="1"/>
    </xf>
    <xf numFmtId="0" fontId="28" fillId="0" borderId="0" xfId="0" applyFont="1">
      <alignment vertical="center"/>
    </xf>
    <xf numFmtId="0" fontId="0" fillId="0" borderId="0" xfId="0" applyAlignment="1">
      <alignment horizontal="center" vertical="center"/>
    </xf>
    <xf numFmtId="0" fontId="22" fillId="0" borderId="0" xfId="25">
      <alignment vertical="center"/>
    </xf>
    <xf numFmtId="0" fontId="27" fillId="0" borderId="0" xfId="25" applyFont="1">
      <alignment vertical="center"/>
    </xf>
    <xf numFmtId="0" fontId="22" fillId="0" borderId="0" xfId="0" applyFont="1">
      <alignment vertical="center"/>
    </xf>
    <xf numFmtId="0" fontId="46" fillId="0" borderId="0" xfId="0" applyFont="1">
      <alignment vertical="center"/>
    </xf>
    <xf numFmtId="0" fontId="36" fillId="0" borderId="0" xfId="0" applyFont="1" applyAlignment="1">
      <alignment horizontal="center" vertical="center"/>
    </xf>
    <xf numFmtId="0" fontId="39" fillId="0" borderId="0" xfId="0" applyFont="1">
      <alignment vertical="center"/>
    </xf>
    <xf numFmtId="0" fontId="26" fillId="0" borderId="0" xfId="0" applyFont="1" applyAlignment="1">
      <alignment horizontal="left" vertical="center" wrapText="1"/>
    </xf>
    <xf numFmtId="0" fontId="36" fillId="0" borderId="0" xfId="0" applyFont="1" applyAlignment="1">
      <alignment horizontal="left" vertical="center"/>
    </xf>
    <xf numFmtId="0" fontId="35" fillId="5" borderId="0" xfId="0" applyFont="1" applyFill="1" applyAlignment="1">
      <alignment horizontal="center" vertical="center" textRotation="90" wrapText="1"/>
    </xf>
    <xf numFmtId="0" fontId="26" fillId="0" borderId="0" xfId="0" applyFont="1" applyAlignment="1">
      <alignment horizontal="center" vertical="center" wrapText="1"/>
    </xf>
    <xf numFmtId="0" fontId="27" fillId="0" borderId="0" xfId="26" applyAlignment="1">
      <alignment horizontal="center" vertical="center"/>
    </xf>
    <xf numFmtId="0" fontId="27" fillId="0" borderId="0" xfId="26">
      <alignment vertical="center"/>
    </xf>
    <xf numFmtId="14" fontId="27" fillId="0" borderId="0" xfId="26" applyNumberFormat="1" applyAlignment="1">
      <alignment horizontal="center" vertical="center"/>
    </xf>
    <xf numFmtId="0" fontId="27" fillId="0" borderId="0" xfId="26" applyAlignment="1">
      <alignment horizontal="left" vertical="center"/>
    </xf>
    <xf numFmtId="177" fontId="27" fillId="0" borderId="0" xfId="26" applyNumberFormat="1" applyAlignment="1">
      <alignment horizontal="center" vertical="center"/>
    </xf>
    <xf numFmtId="180" fontId="43" fillId="0" borderId="0" xfId="0" applyNumberFormat="1" applyFont="1" applyAlignment="1">
      <alignment horizontal="center" vertical="center"/>
    </xf>
    <xf numFmtId="176" fontId="43" fillId="0" borderId="0" xfId="0" applyNumberFormat="1" applyFont="1" applyAlignment="1">
      <alignment horizontal="center" vertical="center"/>
    </xf>
    <xf numFmtId="0" fontId="42" fillId="0" borderId="0" xfId="0" applyFont="1" applyAlignment="1">
      <alignment horizontal="center" vertical="center"/>
    </xf>
    <xf numFmtId="181" fontId="43" fillId="0" borderId="0" xfId="0" applyNumberFormat="1" applyFont="1" applyAlignment="1">
      <alignment horizontal="center" vertical="center"/>
    </xf>
    <xf numFmtId="0" fontId="26" fillId="0" borderId="0" xfId="0" applyFont="1" applyAlignment="1"/>
    <xf numFmtId="0" fontId="26" fillId="0" borderId="0" xfId="0" applyFont="1" applyAlignment="1">
      <alignment horizontal="center"/>
    </xf>
    <xf numFmtId="14" fontId="26" fillId="0" borderId="0" xfId="0" applyNumberFormat="1" applyFont="1" applyAlignment="1"/>
    <xf numFmtId="14" fontId="26" fillId="0" borderId="0" xfId="0" applyNumberFormat="1" applyFont="1" applyAlignment="1">
      <alignment horizontal="center"/>
    </xf>
    <xf numFmtId="0" fontId="36" fillId="0" borderId="0" xfId="0" applyFont="1" applyAlignment="1">
      <alignment horizontal="left" vertical="top" wrapText="1"/>
    </xf>
    <xf numFmtId="176" fontId="36" fillId="0" borderId="0" xfId="0" applyNumberFormat="1" applyFont="1" applyAlignment="1">
      <alignment horizontal="center" vertical="center"/>
    </xf>
    <xf numFmtId="0" fontId="50" fillId="0" borderId="0" xfId="26" applyFont="1" applyAlignment="1">
      <alignment horizontal="center" vertical="center"/>
    </xf>
    <xf numFmtId="14" fontId="26" fillId="0" borderId="0" xfId="0" applyNumberFormat="1" applyFont="1">
      <alignment vertical="center"/>
    </xf>
    <xf numFmtId="0" fontId="36" fillId="0" borderId="0" xfId="0" applyFont="1" applyAlignment="1">
      <alignment vertical="top"/>
    </xf>
    <xf numFmtId="0" fontId="48" fillId="5" borderId="0" xfId="0" applyFont="1" applyFill="1" applyAlignment="1">
      <alignment horizontal="center" vertical="center"/>
    </xf>
    <xf numFmtId="0" fontId="26" fillId="0" borderId="0" xfId="0" applyFont="1" applyAlignment="1">
      <alignment horizontal="left" vertical="center"/>
    </xf>
    <xf numFmtId="2" fontId="26" fillId="0" borderId="0" xfId="0" applyNumberFormat="1" applyFont="1">
      <alignment vertical="center"/>
    </xf>
    <xf numFmtId="0" fontId="26" fillId="40" borderId="0" xfId="0" applyFont="1" applyFill="1">
      <alignment vertical="center"/>
    </xf>
    <xf numFmtId="9" fontId="26" fillId="0" borderId="0" xfId="54" applyFont="1">
      <alignment vertical="center"/>
    </xf>
    <xf numFmtId="0" fontId="27" fillId="39" borderId="0" xfId="26" applyFill="1" applyAlignment="1">
      <alignment horizontal="center" vertical="center"/>
    </xf>
    <xf numFmtId="176" fontId="27" fillId="39" borderId="0" xfId="26" applyNumberFormat="1" applyFill="1" applyAlignment="1">
      <alignment horizontal="center" vertical="center"/>
    </xf>
    <xf numFmtId="182" fontId="27" fillId="39" borderId="0" xfId="26" applyNumberFormat="1" applyFill="1" applyAlignment="1">
      <alignment horizontal="center" vertical="center"/>
    </xf>
    <xf numFmtId="179" fontId="27" fillId="0" borderId="0" xfId="26" applyNumberFormat="1" applyAlignment="1">
      <alignment horizontal="center" vertical="center"/>
    </xf>
    <xf numFmtId="2" fontId="26" fillId="0" borderId="0" xfId="0" applyNumberFormat="1" applyFont="1" applyAlignment="1">
      <alignment horizontal="center"/>
    </xf>
    <xf numFmtId="2" fontId="26" fillId="0" borderId="0" xfId="0" applyNumberFormat="1" applyFont="1" applyAlignment="1"/>
    <xf numFmtId="0" fontId="49" fillId="5" borderId="0" xfId="0" applyFont="1" applyFill="1">
      <alignment vertical="center"/>
    </xf>
    <xf numFmtId="0" fontId="40" fillId="6" borderId="0" xfId="23" applyFont="1" applyFill="1" applyAlignment="1">
      <alignment horizontal="center" vertical="center"/>
    </xf>
    <xf numFmtId="0" fontId="40" fillId="6" borderId="0" xfId="0" applyFont="1" applyFill="1">
      <alignment vertical="center"/>
    </xf>
    <xf numFmtId="0" fontId="46" fillId="0" borderId="0" xfId="0" applyFont="1" applyAlignment="1">
      <alignment vertical="center" wrapText="1"/>
    </xf>
    <xf numFmtId="14" fontId="87" fillId="0" borderId="0" xfId="519" applyNumberFormat="1" applyFont="1" applyAlignment="1">
      <alignment horizontal="left" vertical="center"/>
    </xf>
    <xf numFmtId="0" fontId="87" fillId="0" borderId="0" xfId="520" applyFont="1">
      <alignment vertical="center"/>
    </xf>
    <xf numFmtId="43" fontId="87" fillId="0" borderId="0" xfId="519" applyFont="1" applyFill="1">
      <alignment vertical="center"/>
    </xf>
    <xf numFmtId="184" fontId="87" fillId="0" borderId="0" xfId="519" applyNumberFormat="1" applyFont="1" applyFill="1" applyAlignment="1">
      <alignment horizontal="center" vertical="center"/>
    </xf>
    <xf numFmtId="0" fontId="87" fillId="0" borderId="0" xfId="519" applyNumberFormat="1" applyFont="1" applyFill="1" applyAlignment="1">
      <alignment horizontal="center" vertical="center"/>
    </xf>
    <xf numFmtId="0" fontId="87" fillId="0" borderId="0" xfId="520" applyFont="1" applyAlignment="1">
      <alignment horizontal="center" vertical="center"/>
    </xf>
    <xf numFmtId="185" fontId="87" fillId="0" borderId="0" xfId="519" applyNumberFormat="1" applyFont="1" applyAlignment="1">
      <alignment horizontal="left" vertical="center"/>
    </xf>
    <xf numFmtId="43" fontId="87" fillId="0" borderId="0" xfId="519" applyFont="1" applyFill="1" applyAlignment="1">
      <alignment vertical="center"/>
    </xf>
    <xf numFmtId="14" fontId="87" fillId="0" borderId="0" xfId="520" applyNumberFormat="1" applyFont="1">
      <alignment vertical="center"/>
    </xf>
    <xf numFmtId="10" fontId="87" fillId="39" borderId="0" xfId="520" applyNumberFormat="1" applyFont="1" applyFill="1" applyAlignment="1">
      <alignment horizontal="center" vertical="center"/>
    </xf>
    <xf numFmtId="0" fontId="87" fillId="0" borderId="0" xfId="520" applyFont="1" applyAlignment="1">
      <alignment horizontal="left" vertical="center"/>
    </xf>
    <xf numFmtId="185" fontId="87" fillId="0" borderId="0" xfId="520" applyNumberFormat="1" applyFont="1" applyAlignment="1">
      <alignment horizontal="center" vertical="center"/>
    </xf>
    <xf numFmtId="0" fontId="90" fillId="41" borderId="31" xfId="520" applyFont="1" applyFill="1" applyBorder="1" applyAlignment="1">
      <alignment horizontal="center" vertical="center"/>
    </xf>
    <xf numFmtId="0" fontId="90" fillId="41" borderId="32" xfId="520" applyFont="1" applyFill="1" applyBorder="1" applyAlignment="1">
      <alignment horizontal="center" vertical="center"/>
    </xf>
    <xf numFmtId="0" fontId="90" fillId="0" borderId="0" xfId="520" applyFont="1" applyAlignment="1">
      <alignment horizontal="center" vertical="center"/>
    </xf>
    <xf numFmtId="0" fontId="92" fillId="0" borderId="0" xfId="520" applyFont="1">
      <alignment vertical="center"/>
    </xf>
    <xf numFmtId="0" fontId="93" fillId="0" borderId="0" xfId="520" applyFont="1">
      <alignment vertical="center"/>
    </xf>
    <xf numFmtId="185" fontId="87" fillId="0" borderId="36" xfId="520" applyNumberFormat="1" applyFont="1" applyBorder="1" applyAlignment="1">
      <alignment horizontal="center" vertical="center"/>
    </xf>
    <xf numFmtId="0" fontId="87" fillId="0" borderId="37" xfId="520" applyFont="1" applyBorder="1">
      <alignment vertical="center"/>
    </xf>
    <xf numFmtId="0" fontId="87" fillId="0" borderId="38" xfId="520" applyFont="1" applyBorder="1">
      <alignment vertical="center"/>
    </xf>
    <xf numFmtId="0" fontId="87" fillId="0" borderId="39" xfId="519" applyNumberFormat="1" applyFont="1" applyFill="1" applyBorder="1" applyAlignment="1">
      <alignment horizontal="center" vertical="center"/>
    </xf>
    <xf numFmtId="184" fontId="87" fillId="0" borderId="40" xfId="519" applyNumberFormat="1" applyFont="1" applyFill="1" applyBorder="1" applyAlignment="1">
      <alignment horizontal="center" vertical="center"/>
    </xf>
    <xf numFmtId="184" fontId="87" fillId="0" borderId="41" xfId="519" applyNumberFormat="1" applyFont="1" applyFill="1" applyBorder="1" applyAlignment="1">
      <alignment horizontal="center" vertical="center"/>
    </xf>
    <xf numFmtId="0" fontId="87" fillId="44" borderId="42" xfId="520" applyFont="1" applyFill="1" applyBorder="1" applyAlignment="1">
      <alignment horizontal="center" vertical="center"/>
    </xf>
    <xf numFmtId="183" fontId="87" fillId="0" borderId="40" xfId="521" applyNumberFormat="1" applyFont="1" applyBorder="1" applyAlignment="1">
      <alignment horizontal="center" vertical="center"/>
    </xf>
    <xf numFmtId="0" fontId="87" fillId="0" borderId="40" xfId="520" applyFont="1" applyBorder="1" applyAlignment="1">
      <alignment horizontal="center" vertical="center"/>
    </xf>
    <xf numFmtId="0" fontId="87" fillId="0" borderId="41" xfId="520" applyFont="1" applyBorder="1" applyAlignment="1">
      <alignment horizontal="center" vertical="center"/>
    </xf>
    <xf numFmtId="183" fontId="87" fillId="0" borderId="40" xfId="521" applyNumberFormat="1" applyFont="1" applyFill="1" applyBorder="1" applyAlignment="1">
      <alignment horizontal="center" vertical="center"/>
    </xf>
    <xf numFmtId="0" fontId="87" fillId="45" borderId="0" xfId="520" applyFont="1" applyFill="1" applyAlignment="1">
      <alignment horizontal="center" vertical="center"/>
    </xf>
    <xf numFmtId="183" fontId="87" fillId="46" borderId="0" xfId="520" applyNumberFormat="1" applyFont="1" applyFill="1" applyAlignment="1">
      <alignment horizontal="center" vertical="center"/>
    </xf>
    <xf numFmtId="0" fontId="87" fillId="46" borderId="0" xfId="520" applyFont="1" applyFill="1" applyAlignment="1">
      <alignment horizontal="center" vertical="center"/>
    </xf>
    <xf numFmtId="0" fontId="87" fillId="44" borderId="0" xfId="520" applyFont="1" applyFill="1" applyAlignment="1">
      <alignment horizontal="left" vertical="center"/>
    </xf>
    <xf numFmtId="185" fontId="87" fillId="0" borderId="0" xfId="520" applyNumberFormat="1" applyFont="1">
      <alignment vertical="center"/>
    </xf>
    <xf numFmtId="0" fontId="87" fillId="0" borderId="44" xfId="520" applyFont="1" applyBorder="1">
      <alignment vertical="center"/>
    </xf>
    <xf numFmtId="0" fontId="87" fillId="0" borderId="45" xfId="520" applyFont="1" applyBorder="1">
      <alignment vertical="center"/>
    </xf>
    <xf numFmtId="186" fontId="87" fillId="0" borderId="46" xfId="519" applyNumberFormat="1" applyFont="1" applyFill="1" applyBorder="1">
      <alignment vertical="center"/>
    </xf>
    <xf numFmtId="184" fontId="87" fillId="0" borderId="48" xfId="519" applyNumberFormat="1" applyFont="1" applyFill="1" applyBorder="1" applyAlignment="1">
      <alignment horizontal="center" vertical="center"/>
    </xf>
    <xf numFmtId="1" fontId="87" fillId="0" borderId="47" xfId="519" applyNumberFormat="1" applyFont="1" applyFill="1" applyBorder="1" applyAlignment="1">
      <alignment horizontal="center" vertical="center"/>
    </xf>
    <xf numFmtId="1" fontId="87" fillId="0" borderId="49" xfId="519" applyNumberFormat="1" applyFont="1" applyFill="1" applyBorder="1" applyAlignment="1">
      <alignment horizontal="center" vertical="center"/>
    </xf>
    <xf numFmtId="43" fontId="87" fillId="44" borderId="46" xfId="519" applyFont="1" applyFill="1" applyBorder="1" applyAlignment="1">
      <alignment horizontal="center" vertical="center"/>
    </xf>
    <xf numFmtId="43" fontId="87" fillId="0" borderId="47" xfId="519" applyFont="1" applyBorder="1" applyAlignment="1">
      <alignment horizontal="center" vertical="center"/>
    </xf>
    <xf numFmtId="43" fontId="87" fillId="0" borderId="48" xfId="519" applyFont="1" applyBorder="1" applyAlignment="1">
      <alignment horizontal="center" vertical="center"/>
    </xf>
    <xf numFmtId="43" fontId="87" fillId="0" borderId="0" xfId="519" applyFont="1" applyBorder="1" applyAlignment="1">
      <alignment horizontal="center" vertical="center"/>
    </xf>
    <xf numFmtId="185" fontId="87" fillId="0" borderId="0" xfId="519" applyNumberFormat="1" applyFont="1">
      <alignment vertical="center"/>
    </xf>
    <xf numFmtId="43" fontId="87" fillId="0" borderId="0" xfId="519" applyFont="1">
      <alignment vertical="center"/>
    </xf>
    <xf numFmtId="43" fontId="87" fillId="0" borderId="0" xfId="519" applyFont="1" applyAlignment="1">
      <alignment horizontal="center" vertical="center"/>
    </xf>
    <xf numFmtId="185" fontId="87" fillId="44" borderId="0" xfId="520" applyNumberFormat="1" applyFont="1" applyFill="1" applyAlignment="1">
      <alignment horizontal="left" vertical="center"/>
    </xf>
    <xf numFmtId="0" fontId="87" fillId="0" borderId="50" xfId="520" applyFont="1" applyBorder="1">
      <alignment vertical="center"/>
    </xf>
    <xf numFmtId="184" fontId="87" fillId="0" borderId="53" xfId="519" applyNumberFormat="1" applyFont="1" applyFill="1" applyBorder="1" applyAlignment="1">
      <alignment horizontal="center" vertical="center"/>
    </xf>
    <xf numFmtId="1" fontId="87" fillId="0" borderId="54" xfId="519" applyNumberFormat="1" applyFont="1" applyFill="1" applyBorder="1" applyAlignment="1">
      <alignment horizontal="center" vertical="center"/>
    </xf>
    <xf numFmtId="1" fontId="87" fillId="0" borderId="55" xfId="519" applyNumberFormat="1" applyFont="1" applyFill="1" applyBorder="1" applyAlignment="1">
      <alignment horizontal="center" vertical="center"/>
    </xf>
    <xf numFmtId="1" fontId="87" fillId="0" borderId="56" xfId="519" applyNumberFormat="1" applyFont="1" applyFill="1" applyBorder="1" applyAlignment="1">
      <alignment horizontal="center" vertical="center"/>
    </xf>
    <xf numFmtId="43" fontId="87" fillId="0" borderId="52" xfId="519" applyFont="1" applyBorder="1" applyAlignment="1">
      <alignment horizontal="center" vertical="center"/>
    </xf>
    <xf numFmtId="0" fontId="87" fillId="0" borderId="60" xfId="520" applyFont="1" applyBorder="1">
      <alignment vertical="center"/>
    </xf>
    <xf numFmtId="43" fontId="87" fillId="0" borderId="62" xfId="519" applyFont="1" applyBorder="1" applyAlignment="1">
      <alignment horizontal="center" vertical="center"/>
    </xf>
    <xf numFmtId="0" fontId="97" fillId="44" borderId="0" xfId="520" applyFont="1" applyFill="1" applyAlignment="1">
      <alignment horizontal="left" vertical="center"/>
    </xf>
    <xf numFmtId="0" fontId="97" fillId="0" borderId="0" xfId="520" applyFont="1">
      <alignment vertical="center"/>
    </xf>
    <xf numFmtId="185" fontId="97" fillId="0" borderId="0" xfId="520" applyNumberFormat="1" applyFont="1">
      <alignment vertical="center"/>
    </xf>
    <xf numFmtId="43" fontId="97" fillId="0" borderId="0" xfId="519" applyFont="1" applyBorder="1" applyAlignment="1">
      <alignment horizontal="center" vertical="center"/>
    </xf>
    <xf numFmtId="0" fontId="97" fillId="45" borderId="0" xfId="520" applyFont="1" applyFill="1" applyAlignment="1">
      <alignment horizontal="center" vertical="center"/>
    </xf>
    <xf numFmtId="43" fontId="87" fillId="0" borderId="55" xfId="519" applyFont="1" applyBorder="1" applyAlignment="1">
      <alignment horizontal="center" vertical="center"/>
    </xf>
    <xf numFmtId="0" fontId="87" fillId="0" borderId="72" xfId="520" applyFont="1" applyBorder="1">
      <alignment vertical="center"/>
    </xf>
    <xf numFmtId="0" fontId="87" fillId="0" borderId="73" xfId="520" applyFont="1" applyBorder="1">
      <alignment vertical="center"/>
    </xf>
    <xf numFmtId="184" fontId="87" fillId="0" borderId="55" xfId="519" applyNumberFormat="1" applyFont="1" applyFill="1" applyBorder="1" applyAlignment="1">
      <alignment horizontal="center" vertical="center"/>
    </xf>
    <xf numFmtId="43" fontId="87" fillId="44" borderId="51" xfId="519" applyFont="1" applyFill="1" applyBorder="1" applyAlignment="1">
      <alignment horizontal="center" vertical="center"/>
    </xf>
    <xf numFmtId="43" fontId="87" fillId="0" borderId="53" xfId="519" applyFont="1" applyBorder="1" applyAlignment="1">
      <alignment horizontal="center" vertical="center"/>
    </xf>
    <xf numFmtId="185" fontId="96" fillId="0" borderId="74" xfId="520" applyNumberFormat="1" applyFont="1" applyBorder="1" applyAlignment="1">
      <alignment horizontal="center" vertical="center"/>
    </xf>
    <xf numFmtId="43" fontId="87" fillId="0" borderId="64" xfId="519" applyFont="1" applyBorder="1" applyAlignment="1">
      <alignment horizontal="center" vertical="center"/>
    </xf>
    <xf numFmtId="186" fontId="87" fillId="0" borderId="51" xfId="519" applyNumberFormat="1" applyFont="1" applyFill="1" applyBorder="1">
      <alignment vertical="center"/>
    </xf>
    <xf numFmtId="0" fontId="87" fillId="0" borderId="43" xfId="520" applyFont="1" applyBorder="1">
      <alignment vertical="center"/>
    </xf>
    <xf numFmtId="0" fontId="87" fillId="0" borderId="32" xfId="520" applyFont="1" applyBorder="1">
      <alignment vertical="center"/>
    </xf>
    <xf numFmtId="186" fontId="87" fillId="0" borderId="79" xfId="519" applyNumberFormat="1" applyFont="1" applyFill="1" applyBorder="1">
      <alignment vertical="center"/>
    </xf>
    <xf numFmtId="184" fontId="87" fillId="0" borderId="64" xfId="519" applyNumberFormat="1" applyFont="1" applyFill="1" applyBorder="1" applyAlignment="1">
      <alignment horizontal="center" vertical="center"/>
    </xf>
    <xf numFmtId="184" fontId="87" fillId="0" borderId="80" xfId="519" applyNumberFormat="1" applyFont="1" applyFill="1" applyBorder="1" applyAlignment="1">
      <alignment horizontal="center" vertical="center"/>
    </xf>
    <xf numFmtId="1" fontId="87" fillId="0" borderId="81" xfId="519" applyNumberFormat="1" applyFont="1" applyFill="1" applyBorder="1" applyAlignment="1">
      <alignment horizontal="center" vertical="center"/>
    </xf>
    <xf numFmtId="1" fontId="87" fillId="0" borderId="64" xfId="519" applyNumberFormat="1" applyFont="1" applyFill="1" applyBorder="1" applyAlignment="1">
      <alignment horizontal="center" vertical="center"/>
    </xf>
    <xf numFmtId="1" fontId="87" fillId="0" borderId="82" xfId="519" applyNumberFormat="1" applyFont="1" applyFill="1" applyBorder="1" applyAlignment="1">
      <alignment horizontal="center" vertical="center"/>
    </xf>
    <xf numFmtId="43" fontId="87" fillId="44" borderId="79" xfId="519" applyFont="1" applyFill="1" applyBorder="1" applyAlignment="1">
      <alignment horizontal="center" vertical="center"/>
    </xf>
    <xf numFmtId="43" fontId="87" fillId="0" borderId="80" xfId="519" applyFont="1" applyBorder="1" applyAlignment="1">
      <alignment horizontal="center" vertical="center"/>
    </xf>
    <xf numFmtId="185" fontId="96" fillId="0" borderId="50" xfId="520" applyNumberFormat="1" applyFont="1" applyBorder="1" applyAlignment="1">
      <alignment horizontal="center" vertical="center"/>
    </xf>
    <xf numFmtId="185" fontId="96" fillId="0" borderId="83" xfId="520" applyNumberFormat="1" applyFont="1" applyBorder="1" applyAlignment="1">
      <alignment horizontal="center" vertical="center"/>
    </xf>
    <xf numFmtId="0" fontId="87" fillId="0" borderId="83" xfId="520" applyFont="1" applyBorder="1">
      <alignment vertical="center"/>
    </xf>
    <xf numFmtId="0" fontId="87" fillId="0" borderId="84" xfId="520" applyFont="1" applyBorder="1">
      <alignment vertical="center"/>
    </xf>
    <xf numFmtId="186" fontId="87" fillId="0" borderId="85" xfId="519" applyNumberFormat="1" applyFont="1" applyFill="1" applyBorder="1">
      <alignment vertical="center"/>
    </xf>
    <xf numFmtId="184" fontId="87" fillId="0" borderId="86" xfId="519" applyNumberFormat="1" applyFont="1" applyFill="1" applyBorder="1" applyAlignment="1">
      <alignment horizontal="center" vertical="center"/>
    </xf>
    <xf numFmtId="184" fontId="87" fillId="0" borderId="87" xfId="519" applyNumberFormat="1" applyFont="1" applyFill="1" applyBorder="1" applyAlignment="1">
      <alignment horizontal="center" vertical="center"/>
    </xf>
    <xf numFmtId="1" fontId="87" fillId="0" borderId="88" xfId="519" applyNumberFormat="1" applyFont="1" applyFill="1" applyBorder="1" applyAlignment="1">
      <alignment horizontal="center" vertical="center"/>
    </xf>
    <xf numFmtId="1" fontId="87" fillId="0" borderId="86" xfId="519" applyNumberFormat="1" applyFont="1" applyFill="1" applyBorder="1" applyAlignment="1">
      <alignment horizontal="center" vertical="center"/>
    </xf>
    <xf numFmtId="1" fontId="87" fillId="0" borderId="89" xfId="519" applyNumberFormat="1" applyFont="1" applyFill="1" applyBorder="1" applyAlignment="1">
      <alignment horizontal="center" vertical="center"/>
    </xf>
    <xf numFmtId="43" fontId="87" fillId="44" borderId="85" xfId="519" applyFont="1" applyFill="1" applyBorder="1" applyAlignment="1">
      <alignment horizontal="center" vertical="center"/>
    </xf>
    <xf numFmtId="43" fontId="87" fillId="0" borderId="86" xfId="519" applyFont="1" applyBorder="1" applyAlignment="1">
      <alignment horizontal="center" vertical="center"/>
    </xf>
    <xf numFmtId="43" fontId="87" fillId="0" borderId="87" xfId="519" applyFont="1" applyBorder="1" applyAlignment="1">
      <alignment horizontal="center" vertical="center"/>
    </xf>
    <xf numFmtId="0" fontId="98" fillId="44" borderId="0" xfId="520" applyFont="1" applyFill="1">
      <alignment vertical="center"/>
    </xf>
    <xf numFmtId="185" fontId="97" fillId="0" borderId="0" xfId="520" applyNumberFormat="1" applyFont="1" applyAlignment="1">
      <alignment horizontal="center" vertical="center"/>
    </xf>
    <xf numFmtId="0" fontId="87" fillId="44" borderId="0" xfId="520" applyFont="1" applyFill="1">
      <alignment vertical="center"/>
    </xf>
    <xf numFmtId="185" fontId="87" fillId="44" borderId="0" xfId="520" applyNumberFormat="1" applyFont="1" applyFill="1" applyAlignment="1">
      <alignment horizontal="center" vertical="center"/>
    </xf>
    <xf numFmtId="0" fontId="92" fillId="44" borderId="0" xfId="520" applyFont="1" applyFill="1" applyAlignment="1">
      <alignment horizontal="left" vertical="center"/>
    </xf>
    <xf numFmtId="0" fontId="98" fillId="0" borderId="0" xfId="520" applyFont="1">
      <alignment vertical="center"/>
    </xf>
    <xf numFmtId="186" fontId="87" fillId="0" borderId="0" xfId="519" applyNumberFormat="1" applyFont="1" applyFill="1" applyBorder="1">
      <alignment vertical="center"/>
    </xf>
    <xf numFmtId="184" fontId="87" fillId="0" borderId="0" xfId="519" applyNumberFormat="1" applyFont="1" applyFill="1" applyBorder="1" applyAlignment="1">
      <alignment horizontal="center" vertical="center"/>
    </xf>
    <xf numFmtId="1" fontId="87" fillId="0" borderId="0" xfId="519" applyNumberFormat="1" applyFont="1" applyFill="1" applyBorder="1" applyAlignment="1">
      <alignment horizontal="center" vertical="center"/>
    </xf>
    <xf numFmtId="43" fontId="87" fillId="0" borderId="0" xfId="519" applyFont="1" applyFill="1" applyBorder="1" applyAlignment="1">
      <alignment horizontal="center" vertical="center"/>
    </xf>
    <xf numFmtId="185" fontId="87" fillId="0" borderId="0" xfId="519" applyNumberFormat="1" applyFont="1" applyFill="1">
      <alignment vertical="center"/>
    </xf>
    <xf numFmtId="184" fontId="92" fillId="0" borderId="0" xfId="519" applyNumberFormat="1" applyFont="1" applyFill="1" applyAlignment="1">
      <alignment horizontal="center" vertical="center"/>
    </xf>
    <xf numFmtId="43" fontId="87" fillId="0" borderId="79" xfId="519" applyFont="1" applyFill="1" applyBorder="1">
      <alignment vertical="center"/>
    </xf>
    <xf numFmtId="180" fontId="87" fillId="0" borderId="64" xfId="519" applyNumberFormat="1" applyFont="1" applyFill="1" applyBorder="1" applyAlignment="1">
      <alignment horizontal="center" vertical="center"/>
    </xf>
    <xf numFmtId="180" fontId="87" fillId="0" borderId="80" xfId="519" applyNumberFormat="1" applyFont="1" applyFill="1" applyBorder="1" applyAlignment="1">
      <alignment horizontal="center" vertical="center"/>
    </xf>
    <xf numFmtId="43" fontId="87" fillId="0" borderId="51" xfId="519" applyFont="1" applyFill="1" applyBorder="1">
      <alignment vertical="center"/>
    </xf>
    <xf numFmtId="180" fontId="87" fillId="0" borderId="55" xfId="519" applyNumberFormat="1" applyFont="1" applyFill="1" applyBorder="1" applyAlignment="1">
      <alignment horizontal="center" vertical="center"/>
    </xf>
    <xf numFmtId="180" fontId="87" fillId="0" borderId="53" xfId="519" applyNumberFormat="1" applyFont="1" applyFill="1" applyBorder="1" applyAlignment="1">
      <alignment horizontal="center" vertical="center"/>
    </xf>
    <xf numFmtId="43" fontId="87" fillId="0" borderId="85" xfId="519" applyFont="1" applyFill="1" applyBorder="1">
      <alignment vertical="center"/>
    </xf>
    <xf numFmtId="180" fontId="87" fillId="0" borderId="86" xfId="519" applyNumberFormat="1" applyFont="1" applyFill="1" applyBorder="1" applyAlignment="1">
      <alignment horizontal="center" vertical="center"/>
    </xf>
    <xf numFmtId="180" fontId="87" fillId="0" borderId="87" xfId="519" applyNumberFormat="1" applyFont="1" applyFill="1" applyBorder="1" applyAlignment="1">
      <alignment horizontal="center" vertical="center"/>
    </xf>
    <xf numFmtId="0" fontId="35" fillId="0" borderId="0" xfId="0" applyFont="1" applyAlignment="1">
      <alignment horizontal="center" vertical="center" textRotation="90" wrapText="1"/>
    </xf>
    <xf numFmtId="0" fontId="37" fillId="0" borderId="0" xfId="0" applyFont="1" applyAlignment="1">
      <alignment horizontal="left" textRotation="90" wrapText="1"/>
    </xf>
    <xf numFmtId="183" fontId="87" fillId="0" borderId="47" xfId="54" applyNumberFormat="1" applyFont="1" applyFill="1" applyBorder="1" applyAlignment="1">
      <alignment horizontal="center" vertical="center"/>
    </xf>
    <xf numFmtId="0" fontId="97" fillId="39" borderId="0" xfId="520" applyFont="1" applyFill="1">
      <alignment vertical="center"/>
    </xf>
    <xf numFmtId="185" fontId="87" fillId="47" borderId="46" xfId="519" applyNumberFormat="1" applyFont="1" applyFill="1" applyBorder="1">
      <alignment vertical="center"/>
    </xf>
    <xf numFmtId="0" fontId="27" fillId="0" borderId="0" xfId="0" applyFont="1" applyAlignment="1">
      <alignment horizontal="left" vertical="center"/>
    </xf>
    <xf numFmtId="0" fontId="102" fillId="0" borderId="0" xfId="0" applyFont="1" applyAlignment="1">
      <alignment horizontal="left" vertical="center"/>
    </xf>
    <xf numFmtId="176" fontId="102" fillId="0" borderId="0" xfId="0" applyNumberFormat="1" applyFont="1" applyAlignment="1">
      <alignment horizontal="left" vertical="top"/>
    </xf>
    <xf numFmtId="176" fontId="102" fillId="0" borderId="0" xfId="0" applyNumberFormat="1" applyFont="1" applyAlignment="1">
      <alignment horizontal="left" vertical="top" wrapText="1"/>
    </xf>
    <xf numFmtId="180" fontId="102" fillId="0" borderId="0" xfId="0" applyNumberFormat="1" applyFont="1" applyAlignment="1">
      <alignment horizontal="left" vertical="center"/>
    </xf>
    <xf numFmtId="0" fontId="87" fillId="39" borderId="0" xfId="520" applyFont="1" applyFill="1">
      <alignment vertical="center"/>
    </xf>
    <xf numFmtId="0" fontId="103" fillId="48" borderId="0" xfId="522"/>
    <xf numFmtId="0" fontId="0" fillId="39" borderId="0" xfId="0" applyFill="1">
      <alignment vertical="center"/>
    </xf>
    <xf numFmtId="0" fontId="100" fillId="0" borderId="0" xfId="0" applyFont="1">
      <alignment vertical="center"/>
    </xf>
    <xf numFmtId="0" fontId="99" fillId="0" borderId="0" xfId="0" applyFont="1" applyAlignment="1">
      <alignment horizontal="center" vertical="center"/>
    </xf>
    <xf numFmtId="0" fontId="0" fillId="0" borderId="0" xfId="0" applyAlignment="1"/>
    <xf numFmtId="188" fontId="99" fillId="0" borderId="0" xfId="0" applyNumberFormat="1" applyFont="1" applyAlignment="1">
      <alignment horizontal="center" vertical="center"/>
    </xf>
    <xf numFmtId="188" fontId="38" fillId="0" borderId="0" xfId="0" applyNumberFormat="1" applyFont="1" applyAlignment="1">
      <alignment horizontal="center" vertical="center"/>
    </xf>
    <xf numFmtId="0" fontId="104" fillId="0" borderId="94" xfId="0" applyFont="1" applyBorder="1" applyAlignment="1">
      <alignment horizontal="center" vertical="top"/>
    </xf>
    <xf numFmtId="0" fontId="45" fillId="0" borderId="0" xfId="0" applyFont="1" applyAlignment="1"/>
    <xf numFmtId="16" fontId="45" fillId="0" borderId="0" xfId="0" applyNumberFormat="1" applyFont="1" applyAlignment="1"/>
    <xf numFmtId="10" fontId="45" fillId="0" borderId="0" xfId="0" applyNumberFormat="1" applyFont="1" applyAlignment="1"/>
    <xf numFmtId="0" fontId="105" fillId="0" borderId="0" xfId="26" applyFont="1" applyAlignment="1">
      <alignment horizontal="center" vertical="center"/>
    </xf>
    <xf numFmtId="188" fontId="45" fillId="0" borderId="0" xfId="0" applyNumberFormat="1" applyFont="1" applyAlignment="1"/>
    <xf numFmtId="0" fontId="38" fillId="0" borderId="0" xfId="0" applyFont="1" applyAlignment="1"/>
    <xf numFmtId="0" fontId="101" fillId="0" borderId="0" xfId="26" applyFont="1" applyAlignment="1">
      <alignment horizontal="center" vertical="center"/>
    </xf>
    <xf numFmtId="2" fontId="0" fillId="0" borderId="0" xfId="0" applyNumberFormat="1">
      <alignment vertical="center"/>
    </xf>
    <xf numFmtId="176" fontId="26" fillId="0" borderId="0" xfId="54" applyNumberFormat="1" applyFont="1">
      <alignment vertical="center"/>
    </xf>
    <xf numFmtId="192" fontId="26" fillId="0" borderId="0" xfId="0" applyNumberFormat="1" applyFont="1">
      <alignment vertical="center"/>
    </xf>
    <xf numFmtId="192" fontId="26" fillId="0" borderId="0" xfId="54" applyNumberFormat="1" applyFont="1">
      <alignment vertical="center"/>
    </xf>
    <xf numFmtId="0" fontId="0" fillId="0" borderId="0" xfId="0" applyAlignment="1">
      <alignment horizontal="left" vertical="center"/>
    </xf>
    <xf numFmtId="0" fontId="38" fillId="0" borderId="0" xfId="0" applyFont="1" applyAlignment="1">
      <alignment horizontal="left" vertical="top"/>
    </xf>
    <xf numFmtId="0" fontId="106" fillId="0" borderId="0" xfId="523"/>
    <xf numFmtId="0" fontId="107" fillId="48" borderId="95" xfId="524">
      <alignment horizontal="center" vertical="center"/>
    </xf>
    <xf numFmtId="3" fontId="45" fillId="0" borderId="0" xfId="525"/>
    <xf numFmtId="193" fontId="45" fillId="0" borderId="0" xfId="526"/>
    <xf numFmtId="194" fontId="45" fillId="0" borderId="0" xfId="527"/>
    <xf numFmtId="0" fontId="109" fillId="0" borderId="91" xfId="528" applyFont="1" applyBorder="1">
      <alignment vertical="center"/>
    </xf>
    <xf numFmtId="0" fontId="87" fillId="0" borderId="91" xfId="528" applyFont="1" applyBorder="1">
      <alignment vertical="center"/>
    </xf>
    <xf numFmtId="43" fontId="87" fillId="0" borderId="91" xfId="529" applyFont="1" applyFill="1" applyBorder="1">
      <alignment vertical="center"/>
    </xf>
    <xf numFmtId="184" fontId="87" fillId="0" borderId="91" xfId="529" applyNumberFormat="1" applyFont="1" applyFill="1" applyBorder="1" applyAlignment="1">
      <alignment horizontal="center" vertical="center"/>
    </xf>
    <xf numFmtId="0" fontId="87" fillId="0" borderId="91" xfId="529" applyNumberFormat="1" applyFont="1" applyFill="1" applyBorder="1" applyAlignment="1">
      <alignment horizontal="center" vertical="center"/>
    </xf>
    <xf numFmtId="0" fontId="110" fillId="0" borderId="91" xfId="528" applyFont="1" applyBorder="1" applyAlignment="1">
      <alignment horizontal="center" vertical="center"/>
    </xf>
    <xf numFmtId="10" fontId="110" fillId="0" borderId="0" xfId="528" applyNumberFormat="1" applyFont="1" applyAlignment="1">
      <alignment horizontal="center" vertical="center"/>
    </xf>
    <xf numFmtId="0" fontId="111" fillId="0" borderId="0" xfId="528" applyFont="1" applyAlignment="1">
      <alignment horizontal="center" vertical="center"/>
    </xf>
    <xf numFmtId="10" fontId="112" fillId="0" borderId="0" xfId="528" applyNumberFormat="1" applyFont="1" applyAlignment="1">
      <alignment horizontal="center" vertical="center"/>
    </xf>
    <xf numFmtId="0" fontId="87" fillId="0" borderId="0" xfId="528" applyFont="1" applyAlignment="1">
      <alignment horizontal="center" vertical="center"/>
    </xf>
    <xf numFmtId="0" fontId="87" fillId="0" borderId="0" xfId="528" applyFont="1">
      <alignment vertical="center"/>
    </xf>
    <xf numFmtId="0" fontId="86" fillId="41" borderId="96" xfId="522" applyFont="1" applyFill="1" applyBorder="1" applyAlignment="1">
      <alignment horizontal="center"/>
    </xf>
    <xf numFmtId="0" fontId="86" fillId="41" borderId="97" xfId="522" applyFont="1" applyFill="1" applyBorder="1" applyAlignment="1">
      <alignment horizontal="center"/>
    </xf>
    <xf numFmtId="0" fontId="86" fillId="41" borderId="37" xfId="522" applyFont="1" applyFill="1" applyBorder="1" applyAlignment="1">
      <alignment horizontal="center"/>
    </xf>
    <xf numFmtId="185" fontId="87" fillId="0" borderId="106" xfId="528" applyNumberFormat="1" applyFont="1" applyBorder="1" applyAlignment="1">
      <alignment horizontal="center" vertical="center"/>
    </xf>
    <xf numFmtId="0" fontId="87" fillId="0" borderId="106" xfId="528" applyFont="1" applyBorder="1">
      <alignment vertical="center"/>
    </xf>
    <xf numFmtId="0" fontId="87" fillId="0" borderId="60" xfId="528" applyFont="1" applyBorder="1">
      <alignment vertical="center"/>
    </xf>
    <xf numFmtId="0" fontId="111" fillId="0" borderId="61" xfId="529" applyNumberFormat="1" applyFont="1" applyFill="1" applyBorder="1" applyAlignment="1">
      <alignment horizontal="center" vertical="center"/>
    </xf>
    <xf numFmtId="0" fontId="92" fillId="0" borderId="107" xfId="529" applyNumberFormat="1" applyFont="1" applyFill="1" applyBorder="1" applyAlignment="1">
      <alignment horizontal="center" vertical="center"/>
    </xf>
    <xf numFmtId="184" fontId="87" fillId="0" borderId="62" xfId="529" applyNumberFormat="1" applyFont="1" applyFill="1" applyBorder="1" applyAlignment="1">
      <alignment horizontal="center" vertical="center"/>
    </xf>
    <xf numFmtId="184" fontId="87" fillId="0" borderId="30" xfId="529" applyNumberFormat="1" applyFont="1" applyFill="1" applyBorder="1" applyAlignment="1">
      <alignment horizontal="center" vertical="center"/>
    </xf>
    <xf numFmtId="0" fontId="87" fillId="0" borderId="61" xfId="529" applyNumberFormat="1" applyFont="1" applyFill="1" applyBorder="1" applyAlignment="1">
      <alignment horizontal="center" vertical="center"/>
    </xf>
    <xf numFmtId="0" fontId="87" fillId="0" borderId="107" xfId="528" applyFont="1" applyBorder="1" applyAlignment="1">
      <alignment horizontal="center" vertical="center"/>
    </xf>
    <xf numFmtId="183" fontId="87" fillId="0" borderId="62" xfId="530" applyNumberFormat="1" applyFont="1" applyBorder="1" applyAlignment="1">
      <alignment horizontal="center" vertical="center"/>
    </xf>
    <xf numFmtId="0" fontId="87" fillId="0" borderId="62" xfId="528" applyFont="1" applyBorder="1" applyAlignment="1">
      <alignment horizontal="center" vertical="center"/>
    </xf>
    <xf numFmtId="0" fontId="87" fillId="0" borderId="30" xfId="528" applyFont="1" applyBorder="1" applyAlignment="1">
      <alignment horizontal="center" vertical="center"/>
    </xf>
    <xf numFmtId="183" fontId="87" fillId="0" borderId="107" xfId="530" applyNumberFormat="1" applyFont="1" applyFill="1" applyBorder="1" applyAlignment="1">
      <alignment horizontal="center" vertical="center"/>
    </xf>
    <xf numFmtId="183" fontId="87" fillId="46" borderId="0" xfId="528" applyNumberFormat="1" applyFont="1" applyFill="1" applyAlignment="1">
      <alignment horizontal="center" vertical="center"/>
    </xf>
    <xf numFmtId="0" fontId="87" fillId="46" borderId="0" xfId="528" applyFont="1" applyFill="1" applyAlignment="1">
      <alignment horizontal="center" vertical="center"/>
    </xf>
    <xf numFmtId="185" fontId="96" fillId="0" borderId="50" xfId="528" applyNumberFormat="1" applyFont="1" applyBorder="1" applyAlignment="1">
      <alignment horizontal="center" vertical="center"/>
    </xf>
    <xf numFmtId="0" fontId="87" fillId="0" borderId="65" xfId="528" applyFont="1" applyBorder="1">
      <alignment vertical="center"/>
    </xf>
    <xf numFmtId="0" fontId="87" fillId="0" borderId="66" xfId="528" applyFont="1" applyBorder="1">
      <alignment vertical="center"/>
    </xf>
    <xf numFmtId="43" fontId="87" fillId="0" borderId="68" xfId="529" applyFont="1" applyFill="1" applyBorder="1">
      <alignment vertical="center"/>
    </xf>
    <xf numFmtId="43" fontId="87" fillId="0" borderId="108" xfId="529" applyFont="1" applyFill="1" applyBorder="1">
      <alignment vertical="center"/>
    </xf>
    <xf numFmtId="195" fontId="87" fillId="0" borderId="108" xfId="529" applyNumberFormat="1" applyFont="1" applyFill="1" applyBorder="1">
      <alignment vertical="center"/>
    </xf>
    <xf numFmtId="184" fontId="87" fillId="0" borderId="59" xfId="529" applyNumberFormat="1" applyFont="1" applyFill="1" applyBorder="1" applyAlignment="1">
      <alignment horizontal="center" vertical="center"/>
    </xf>
    <xf numFmtId="184" fontId="87" fillId="0" borderId="69" xfId="529" applyNumberFormat="1" applyFont="1" applyFill="1" applyBorder="1" applyAlignment="1">
      <alignment horizontal="center" vertical="center"/>
    </xf>
    <xf numFmtId="1" fontId="87" fillId="0" borderId="68" xfId="529" applyNumberFormat="1" applyFont="1" applyFill="1" applyBorder="1" applyAlignment="1">
      <alignment horizontal="center" vertical="center"/>
    </xf>
    <xf numFmtId="1" fontId="87" fillId="0" borderId="59" xfId="529" applyNumberFormat="1" applyFont="1" applyFill="1" applyBorder="1" applyAlignment="1">
      <alignment horizontal="center" vertical="center"/>
    </xf>
    <xf numFmtId="1" fontId="87" fillId="0" borderId="69" xfId="529" applyNumberFormat="1" applyFont="1" applyFill="1" applyBorder="1" applyAlignment="1">
      <alignment horizontal="center" vertical="center"/>
    </xf>
    <xf numFmtId="43" fontId="87" fillId="0" borderId="108" xfId="529" applyFont="1" applyFill="1" applyBorder="1" applyAlignment="1">
      <alignment horizontal="center" vertical="center"/>
    </xf>
    <xf numFmtId="43" fontId="87" fillId="0" borderId="59" xfId="529" applyFont="1" applyBorder="1" applyAlignment="1">
      <alignment horizontal="center" vertical="center"/>
    </xf>
    <xf numFmtId="43" fontId="87" fillId="0" borderId="69" xfId="529" applyFont="1" applyBorder="1" applyAlignment="1">
      <alignment horizontal="center" vertical="center"/>
    </xf>
    <xf numFmtId="43" fontId="87" fillId="0" borderId="109" xfId="529" applyFont="1" applyBorder="1" applyAlignment="1">
      <alignment horizontal="center" vertical="center"/>
    </xf>
    <xf numFmtId="43" fontId="87" fillId="0" borderId="47" xfId="529" applyFont="1" applyBorder="1" applyAlignment="1">
      <alignment horizontal="center" vertical="center"/>
    </xf>
    <xf numFmtId="43" fontId="87" fillId="0" borderId="48" xfId="529" applyFont="1" applyBorder="1" applyAlignment="1">
      <alignment horizontal="center" vertical="center"/>
    </xf>
    <xf numFmtId="186" fontId="87" fillId="0" borderId="108" xfId="529" applyNumberFormat="1" applyFont="1" applyFill="1" applyBorder="1">
      <alignment vertical="center"/>
    </xf>
    <xf numFmtId="43" fontId="87" fillId="0" borderId="108" xfId="529" applyFont="1" applyBorder="1" applyAlignment="1">
      <alignment horizontal="center" vertical="center"/>
    </xf>
    <xf numFmtId="43" fontId="87" fillId="0" borderId="54" xfId="529" applyFont="1" applyBorder="1" applyAlignment="1">
      <alignment horizontal="center" vertical="center"/>
    </xf>
    <xf numFmtId="43" fontId="87" fillId="0" borderId="55" xfId="529" applyFont="1" applyBorder="1" applyAlignment="1">
      <alignment horizontal="center" vertical="center"/>
    </xf>
    <xf numFmtId="43" fontId="87" fillId="0" borderId="53" xfId="529" applyFont="1" applyBorder="1" applyAlignment="1">
      <alignment horizontal="center" vertical="center"/>
    </xf>
    <xf numFmtId="186" fontId="87" fillId="0" borderId="68" xfId="529" applyNumberFormat="1" applyFont="1" applyFill="1" applyBorder="1">
      <alignment vertical="center"/>
    </xf>
    <xf numFmtId="2" fontId="87" fillId="0" borderId="59" xfId="529" applyNumberFormat="1" applyFont="1" applyFill="1" applyBorder="1" applyAlignment="1">
      <alignment horizontal="center" vertical="center"/>
    </xf>
    <xf numFmtId="186" fontId="87" fillId="0" borderId="68" xfId="529" applyNumberFormat="1" applyFont="1" applyFill="1" applyBorder="1" applyAlignment="1">
      <alignment horizontal="center" vertical="center"/>
    </xf>
    <xf numFmtId="0" fontId="111" fillId="0" borderId="66" xfId="528" applyFont="1" applyBorder="1">
      <alignment vertical="center"/>
    </xf>
    <xf numFmtId="0" fontId="87" fillId="0" borderId="70" xfId="528" applyFont="1" applyBorder="1">
      <alignment vertical="center"/>
    </xf>
    <xf numFmtId="0" fontId="87" fillId="0" borderId="72" xfId="528" applyFont="1" applyBorder="1">
      <alignment vertical="center"/>
    </xf>
    <xf numFmtId="186" fontId="87" fillId="0" borderId="51" xfId="529" applyNumberFormat="1" applyFont="1" applyFill="1" applyBorder="1">
      <alignment vertical="center"/>
    </xf>
    <xf numFmtId="186" fontId="87" fillId="0" borderId="54" xfId="529" applyNumberFormat="1" applyFont="1" applyFill="1" applyBorder="1">
      <alignment vertical="center"/>
    </xf>
    <xf numFmtId="195" fontId="87" fillId="0" borderId="54" xfId="529" applyNumberFormat="1" applyFont="1" applyFill="1" applyBorder="1">
      <alignment vertical="center"/>
    </xf>
    <xf numFmtId="0" fontId="87" fillId="0" borderId="63" xfId="528" applyFont="1" applyBorder="1">
      <alignment vertical="center"/>
    </xf>
    <xf numFmtId="0" fontId="87" fillId="0" borderId="44" xfId="528" applyFont="1" applyBorder="1">
      <alignment vertical="center"/>
    </xf>
    <xf numFmtId="186" fontId="87" fillId="0" borderId="46" xfId="529" applyNumberFormat="1" applyFont="1" applyFill="1" applyBorder="1">
      <alignment vertical="center"/>
    </xf>
    <xf numFmtId="186" fontId="87" fillId="0" borderId="109" xfId="529" applyNumberFormat="1" applyFont="1" applyFill="1" applyBorder="1">
      <alignment vertical="center"/>
    </xf>
    <xf numFmtId="195" fontId="87" fillId="0" borderId="109" xfId="529" applyNumberFormat="1" applyFont="1" applyFill="1" applyBorder="1">
      <alignment vertical="center"/>
    </xf>
    <xf numFmtId="184" fontId="87" fillId="0" borderId="47" xfId="529" applyNumberFormat="1" applyFont="1" applyFill="1" applyBorder="1" applyAlignment="1">
      <alignment horizontal="center" vertical="center"/>
    </xf>
    <xf numFmtId="184" fontId="87" fillId="0" borderId="48" xfId="529" applyNumberFormat="1" applyFont="1" applyFill="1" applyBorder="1" applyAlignment="1">
      <alignment horizontal="center" vertical="center"/>
    </xf>
    <xf numFmtId="1" fontId="87" fillId="0" borderId="46" xfId="529" applyNumberFormat="1" applyFont="1" applyFill="1" applyBorder="1" applyAlignment="1">
      <alignment horizontal="center" vertical="center"/>
    </xf>
    <xf numFmtId="1" fontId="87" fillId="0" borderId="47" xfId="529" applyNumberFormat="1" applyFont="1" applyFill="1" applyBorder="1" applyAlignment="1">
      <alignment horizontal="center" vertical="center"/>
    </xf>
    <xf numFmtId="1" fontId="87" fillId="0" borderId="48" xfId="529" applyNumberFormat="1" applyFont="1" applyFill="1" applyBorder="1" applyAlignment="1">
      <alignment horizontal="center" vertical="center"/>
    </xf>
    <xf numFmtId="43" fontId="87" fillId="0" borderId="109" xfId="529" applyFont="1" applyFill="1" applyBorder="1" applyAlignment="1">
      <alignment horizontal="center" vertical="center"/>
    </xf>
    <xf numFmtId="0" fontId="87" fillId="0" borderId="71" xfId="528" applyFont="1" applyBorder="1">
      <alignment vertical="center"/>
    </xf>
    <xf numFmtId="0" fontId="87" fillId="0" borderId="83" xfId="528" applyFont="1" applyBorder="1">
      <alignment vertical="center"/>
    </xf>
    <xf numFmtId="186" fontId="87" fillId="0" borderId="85" xfId="529" applyNumberFormat="1" applyFont="1" applyFill="1" applyBorder="1">
      <alignment vertical="center"/>
    </xf>
    <xf numFmtId="186" fontId="87" fillId="0" borderId="88" xfId="529" applyNumberFormat="1" applyFont="1" applyFill="1" applyBorder="1">
      <alignment vertical="center"/>
    </xf>
    <xf numFmtId="195" fontId="87" fillId="0" borderId="88" xfId="529" applyNumberFormat="1" applyFont="1" applyFill="1" applyBorder="1">
      <alignment vertical="center"/>
    </xf>
    <xf numFmtId="184" fontId="87" fillId="0" borderId="86" xfId="529" applyNumberFormat="1" applyFont="1" applyFill="1" applyBorder="1" applyAlignment="1">
      <alignment horizontal="center" vertical="center"/>
    </xf>
    <xf numFmtId="184" fontId="87" fillId="0" borderId="87" xfId="529" applyNumberFormat="1" applyFont="1" applyFill="1" applyBorder="1" applyAlignment="1">
      <alignment horizontal="center" vertical="center"/>
    </xf>
    <xf numFmtId="1" fontId="87" fillId="0" borderId="85" xfId="529" applyNumberFormat="1" applyFont="1" applyFill="1" applyBorder="1" applyAlignment="1">
      <alignment horizontal="center" vertical="center"/>
    </xf>
    <xf numFmtId="1" fontId="87" fillId="0" borderId="86" xfId="529" applyNumberFormat="1" applyFont="1" applyFill="1" applyBorder="1" applyAlignment="1">
      <alignment horizontal="center" vertical="center"/>
    </xf>
    <xf numFmtId="1" fontId="87" fillId="0" borderId="87" xfId="529" applyNumberFormat="1" applyFont="1" applyFill="1" applyBorder="1" applyAlignment="1">
      <alignment horizontal="center" vertical="center"/>
    </xf>
    <xf numFmtId="43" fontId="87" fillId="0" borderId="88" xfId="529" applyFont="1" applyFill="1" applyBorder="1" applyAlignment="1">
      <alignment horizontal="center" vertical="center"/>
    </xf>
    <xf numFmtId="43" fontId="87" fillId="0" borderId="86" xfId="529" applyFont="1" applyBorder="1" applyAlignment="1">
      <alignment horizontal="center" vertical="center"/>
    </xf>
    <xf numFmtId="43" fontId="87" fillId="0" borderId="87" xfId="529" applyFont="1" applyBorder="1" applyAlignment="1">
      <alignment horizontal="center" vertical="center"/>
    </xf>
    <xf numFmtId="0" fontId="87" fillId="0" borderId="74" xfId="528" applyFont="1" applyBorder="1">
      <alignment vertical="center"/>
    </xf>
    <xf numFmtId="0" fontId="87" fillId="0" borderId="50" xfId="528" applyFont="1" applyBorder="1">
      <alignment vertical="center"/>
    </xf>
    <xf numFmtId="186" fontId="87" fillId="0" borderId="57" xfId="529" applyNumberFormat="1" applyFont="1" applyFill="1" applyBorder="1">
      <alignment vertical="center"/>
    </xf>
    <xf numFmtId="186" fontId="87" fillId="0" borderId="110" xfId="529" applyNumberFormat="1" applyFont="1" applyFill="1" applyBorder="1">
      <alignment vertical="center"/>
    </xf>
    <xf numFmtId="195" fontId="87" fillId="0" borderId="110" xfId="529" applyNumberFormat="1" applyFont="1" applyFill="1" applyBorder="1">
      <alignment vertical="center"/>
    </xf>
    <xf numFmtId="184" fontId="87" fillId="0" borderId="52" xfId="529" applyNumberFormat="1" applyFont="1" applyFill="1" applyBorder="1" applyAlignment="1">
      <alignment horizontal="center" vertical="center"/>
    </xf>
    <xf numFmtId="184" fontId="87" fillId="0" borderId="58" xfId="529" applyNumberFormat="1" applyFont="1" applyFill="1" applyBorder="1" applyAlignment="1">
      <alignment horizontal="center" vertical="center"/>
    </xf>
    <xf numFmtId="1" fontId="87" fillId="0" borderId="57" xfId="529" applyNumberFormat="1" applyFont="1" applyFill="1" applyBorder="1" applyAlignment="1">
      <alignment horizontal="center" vertical="center"/>
    </xf>
    <xf numFmtId="1" fontId="87" fillId="0" borderId="52" xfId="529" applyNumberFormat="1" applyFont="1" applyFill="1" applyBorder="1" applyAlignment="1">
      <alignment horizontal="center" vertical="center"/>
    </xf>
    <xf numFmtId="1" fontId="87" fillId="0" borderId="58" xfId="529" applyNumberFormat="1" applyFont="1" applyFill="1" applyBorder="1" applyAlignment="1">
      <alignment horizontal="center" vertical="center"/>
    </xf>
    <xf numFmtId="43" fontId="87" fillId="0" borderId="110" xfId="529" applyFont="1" applyFill="1" applyBorder="1" applyAlignment="1">
      <alignment horizontal="center" vertical="center"/>
    </xf>
    <xf numFmtId="43" fontId="87" fillId="0" borderId="52" xfId="529" applyFont="1" applyBorder="1" applyAlignment="1">
      <alignment horizontal="center" vertical="center"/>
    </xf>
    <xf numFmtId="43" fontId="87" fillId="0" borderId="58" xfId="529" applyFont="1" applyBorder="1" applyAlignment="1">
      <alignment horizontal="center" vertical="center"/>
    </xf>
    <xf numFmtId="186" fontId="87" fillId="0" borderId="79" xfId="529" applyNumberFormat="1" applyFont="1" applyFill="1" applyBorder="1">
      <alignment vertical="center"/>
    </xf>
    <xf numFmtId="186" fontId="87" fillId="0" borderId="81" xfId="529" applyNumberFormat="1" applyFont="1" applyFill="1" applyBorder="1">
      <alignment vertical="center"/>
    </xf>
    <xf numFmtId="195" fontId="87" fillId="0" borderId="81" xfId="529" applyNumberFormat="1" applyFont="1" applyFill="1" applyBorder="1">
      <alignment vertical="center"/>
    </xf>
    <xf numFmtId="184" fontId="87" fillId="0" borderId="64" xfId="529" applyNumberFormat="1" applyFont="1" applyFill="1" applyBorder="1" applyAlignment="1">
      <alignment horizontal="center" vertical="center"/>
    </xf>
    <xf numFmtId="184" fontId="87" fillId="0" borderId="80" xfId="529" applyNumberFormat="1" applyFont="1" applyFill="1" applyBorder="1" applyAlignment="1">
      <alignment horizontal="center" vertical="center"/>
    </xf>
    <xf numFmtId="1" fontId="87" fillId="0" borderId="79" xfId="529" applyNumberFormat="1" applyFont="1" applyFill="1" applyBorder="1" applyAlignment="1">
      <alignment horizontal="center" vertical="center"/>
    </xf>
    <xf numFmtId="1" fontId="87" fillId="0" borderId="64" xfId="529" applyNumberFormat="1" applyFont="1" applyFill="1" applyBorder="1" applyAlignment="1">
      <alignment horizontal="center" vertical="center"/>
    </xf>
    <xf numFmtId="1" fontId="87" fillId="0" borderId="80" xfId="529" applyNumberFormat="1" applyFont="1" applyFill="1" applyBorder="1" applyAlignment="1">
      <alignment horizontal="center" vertical="center"/>
    </xf>
    <xf numFmtId="43" fontId="87" fillId="0" borderId="81" xfId="529" applyFont="1" applyFill="1" applyBorder="1" applyAlignment="1">
      <alignment horizontal="center" vertical="center"/>
    </xf>
    <xf numFmtId="43" fontId="87" fillId="0" borderId="64" xfId="529" applyFont="1" applyBorder="1" applyAlignment="1">
      <alignment horizontal="center" vertical="center"/>
    </xf>
    <xf numFmtId="43" fontId="87" fillId="0" borderId="80" xfId="529" applyFont="1" applyBorder="1" applyAlignment="1">
      <alignment horizontal="center" vertical="center"/>
    </xf>
    <xf numFmtId="186" fontId="87" fillId="0" borderId="61" xfId="529" applyNumberFormat="1" applyFont="1" applyFill="1" applyBorder="1">
      <alignment vertical="center"/>
    </xf>
    <xf numFmtId="186" fontId="87" fillId="0" borderId="107" xfId="529" applyNumberFormat="1" applyFont="1" applyFill="1" applyBorder="1">
      <alignment vertical="center"/>
    </xf>
    <xf numFmtId="195" fontId="87" fillId="0" borderId="107" xfId="529" applyNumberFormat="1" applyFont="1" applyFill="1" applyBorder="1">
      <alignment vertical="center"/>
    </xf>
    <xf numFmtId="1" fontId="87" fillId="0" borderId="61" xfId="529" applyNumberFormat="1" applyFont="1" applyFill="1" applyBorder="1" applyAlignment="1">
      <alignment horizontal="center" vertical="center"/>
    </xf>
    <xf numFmtId="1" fontId="87" fillId="0" borderId="62" xfId="529" applyNumberFormat="1" applyFont="1" applyFill="1" applyBorder="1" applyAlignment="1">
      <alignment horizontal="center" vertical="center"/>
    </xf>
    <xf numFmtId="1" fontId="87" fillId="0" borderId="30" xfId="529" applyNumberFormat="1" applyFont="1" applyFill="1" applyBorder="1" applyAlignment="1">
      <alignment horizontal="center" vertical="center"/>
    </xf>
    <xf numFmtId="43" fontId="87" fillId="0" borderId="107" xfId="529" applyFont="1" applyFill="1" applyBorder="1" applyAlignment="1">
      <alignment horizontal="center" vertical="center"/>
    </xf>
    <xf numFmtId="43" fontId="87" fillId="0" borderId="62" xfId="529" applyFont="1" applyBorder="1" applyAlignment="1">
      <alignment horizontal="center" vertical="center"/>
    </xf>
    <xf numFmtId="43" fontId="87" fillId="0" borderId="30" xfId="529" applyFont="1" applyBorder="1" applyAlignment="1">
      <alignment horizontal="center" vertical="center"/>
    </xf>
    <xf numFmtId="0" fontId="68" fillId="0" borderId="60" xfId="528" applyFont="1" applyBorder="1">
      <alignment vertical="center"/>
    </xf>
    <xf numFmtId="186" fontId="87" fillId="0" borderId="76" xfId="529" applyNumberFormat="1" applyFont="1" applyFill="1" applyBorder="1" applyAlignment="1">
      <alignment horizontal="center" vertical="center"/>
    </xf>
    <xf numFmtId="186" fontId="87" fillId="0" borderId="111" xfId="529" applyNumberFormat="1" applyFont="1" applyFill="1" applyBorder="1" applyAlignment="1">
      <alignment horizontal="center" vertical="center"/>
    </xf>
    <xf numFmtId="195" fontId="87" fillId="0" borderId="111" xfId="529" applyNumberFormat="1" applyFont="1" applyFill="1" applyBorder="1" applyAlignment="1">
      <alignment horizontal="center" vertical="center"/>
    </xf>
    <xf numFmtId="184" fontId="87" fillId="0" borderId="77" xfId="529" applyNumberFormat="1" applyFont="1" applyFill="1" applyBorder="1" applyAlignment="1">
      <alignment horizontal="center" vertical="center"/>
    </xf>
    <xf numFmtId="184" fontId="87" fillId="0" borderId="78" xfId="529" applyNumberFormat="1" applyFont="1" applyFill="1" applyBorder="1" applyAlignment="1">
      <alignment horizontal="center" vertical="center"/>
    </xf>
    <xf numFmtId="1" fontId="87" fillId="0" borderId="76" xfId="529" applyNumberFormat="1" applyFont="1" applyFill="1" applyBorder="1" applyAlignment="1">
      <alignment horizontal="center" vertical="center"/>
    </xf>
    <xf numFmtId="1" fontId="87" fillId="0" borderId="77" xfId="529" applyNumberFormat="1" applyFont="1" applyFill="1" applyBorder="1" applyAlignment="1">
      <alignment horizontal="center" vertical="center"/>
    </xf>
    <xf numFmtId="1" fontId="87" fillId="0" borderId="78" xfId="529" applyNumberFormat="1" applyFont="1" applyFill="1" applyBorder="1" applyAlignment="1">
      <alignment horizontal="center" vertical="center"/>
    </xf>
    <xf numFmtId="43" fontId="87" fillId="0" borderId="111" xfId="529" applyFont="1" applyFill="1" applyBorder="1" applyAlignment="1">
      <alignment horizontal="center" vertical="center"/>
    </xf>
    <xf numFmtId="43" fontId="87" fillId="0" borderId="77" xfId="529" applyFont="1" applyBorder="1" applyAlignment="1">
      <alignment horizontal="center" vertical="center"/>
    </xf>
    <xf numFmtId="43" fontId="87" fillId="0" borderId="78" xfId="529" applyFont="1" applyBorder="1" applyAlignment="1">
      <alignment horizontal="center" vertical="center"/>
    </xf>
    <xf numFmtId="186" fontId="87" fillId="0" borderId="108" xfId="529" applyNumberFormat="1" applyFont="1" applyFill="1" applyBorder="1" applyAlignment="1">
      <alignment horizontal="center" vertical="center"/>
    </xf>
    <xf numFmtId="195" fontId="87" fillId="0" borderId="108" xfId="529" applyNumberFormat="1" applyFont="1" applyFill="1" applyBorder="1" applyAlignment="1">
      <alignment horizontal="center" vertical="center"/>
    </xf>
    <xf numFmtId="186" fontId="87" fillId="0" borderId="76" xfId="529" applyNumberFormat="1" applyFont="1" applyFill="1" applyBorder="1">
      <alignment vertical="center"/>
    </xf>
    <xf numFmtId="186" fontId="87" fillId="0" borderId="111" xfId="529" applyNumberFormat="1" applyFont="1" applyFill="1" applyBorder="1">
      <alignment vertical="center"/>
    </xf>
    <xf numFmtId="195" fontId="87" fillId="0" borderId="111" xfId="529" applyNumberFormat="1" applyFont="1" applyFill="1" applyBorder="1">
      <alignment vertical="center"/>
    </xf>
    <xf numFmtId="43" fontId="87" fillId="0" borderId="0" xfId="529" applyFont="1" applyBorder="1" applyAlignment="1">
      <alignment horizontal="center" vertical="center"/>
    </xf>
    <xf numFmtId="2" fontId="87" fillId="0" borderId="77" xfId="529" applyNumberFormat="1" applyFont="1" applyFill="1" applyBorder="1" applyAlignment="1">
      <alignment horizontal="center" vertical="center"/>
    </xf>
    <xf numFmtId="0" fontId="87" fillId="0" borderId="90" xfId="528" applyFont="1" applyBorder="1">
      <alignment vertical="center"/>
    </xf>
    <xf numFmtId="0" fontId="87" fillId="0" borderId="75" xfId="528" applyFont="1" applyBorder="1">
      <alignment vertical="center"/>
    </xf>
    <xf numFmtId="186" fontId="87" fillId="0" borderId="85" xfId="529" applyNumberFormat="1" applyFont="1" applyFill="1" applyBorder="1" applyAlignment="1">
      <alignment horizontal="center" vertical="center"/>
    </xf>
    <xf numFmtId="186" fontId="87" fillId="0" borderId="88" xfId="529" applyNumberFormat="1" applyFont="1" applyFill="1" applyBorder="1" applyAlignment="1">
      <alignment horizontal="center" vertical="center"/>
    </xf>
    <xf numFmtId="195" fontId="87" fillId="0" borderId="88" xfId="529" applyNumberFormat="1" applyFont="1" applyFill="1" applyBorder="1" applyAlignment="1">
      <alignment horizontal="center" vertical="center"/>
    </xf>
    <xf numFmtId="0" fontId="87" fillId="0" borderId="45" xfId="528" applyFont="1" applyBorder="1">
      <alignment vertical="center"/>
    </xf>
    <xf numFmtId="186" fontId="87" fillId="0" borderId="74" xfId="529" applyNumberFormat="1" applyFont="1" applyFill="1" applyBorder="1">
      <alignment vertical="center"/>
    </xf>
    <xf numFmtId="0" fontId="87" fillId="0" borderId="67" xfId="528" applyFont="1" applyBorder="1">
      <alignment vertical="center"/>
    </xf>
    <xf numFmtId="2" fontId="87" fillId="0" borderId="47" xfId="529" applyNumberFormat="1" applyFont="1" applyFill="1" applyBorder="1" applyAlignment="1">
      <alignment horizontal="center" vertical="center"/>
    </xf>
    <xf numFmtId="43" fontId="87" fillId="0" borderId="40" xfId="529" applyFont="1" applyBorder="1" applyAlignment="1">
      <alignment horizontal="center" vertical="center"/>
    </xf>
    <xf numFmtId="43" fontId="87" fillId="0" borderId="41" xfId="529" applyFont="1" applyBorder="1" applyAlignment="1">
      <alignment horizontal="center" vertical="center"/>
    </xf>
    <xf numFmtId="0" fontId="110" fillId="0" borderId="0" xfId="528" applyFont="1" applyAlignment="1">
      <alignment horizontal="left" vertical="top"/>
    </xf>
    <xf numFmtId="184" fontId="87" fillId="0" borderId="0" xfId="529" applyNumberFormat="1" applyFont="1" applyFill="1" applyAlignment="1">
      <alignment horizontal="center" vertical="center"/>
    </xf>
    <xf numFmtId="0" fontId="115" fillId="0" borderId="0" xfId="528" applyFont="1" applyAlignment="1">
      <alignment horizontal="center" vertical="center"/>
    </xf>
    <xf numFmtId="185" fontId="87" fillId="0" borderId="0" xfId="528" applyNumberFormat="1" applyFont="1" applyAlignment="1">
      <alignment horizontal="center" vertical="center"/>
    </xf>
    <xf numFmtId="43" fontId="87" fillId="0" borderId="0" xfId="529" applyFont="1" applyFill="1">
      <alignment vertical="center"/>
    </xf>
    <xf numFmtId="0" fontId="87" fillId="0" borderId="0" xfId="529" applyNumberFormat="1" applyFont="1" applyFill="1" applyAlignment="1">
      <alignment horizontal="center" vertical="center"/>
    </xf>
    <xf numFmtId="0" fontId="68" fillId="0" borderId="0" xfId="528" applyFont="1">
      <alignment vertical="center"/>
    </xf>
    <xf numFmtId="0" fontId="94" fillId="0" borderId="0" xfId="0" applyFont="1" applyAlignment="1">
      <alignment horizontal="center" vertical="center"/>
    </xf>
    <xf numFmtId="0" fontId="94" fillId="0" borderId="0" xfId="0" applyFont="1">
      <alignment vertical="center"/>
    </xf>
    <xf numFmtId="0" fontId="37" fillId="7" borderId="0" xfId="0" applyFont="1" applyFill="1" applyAlignment="1">
      <alignment textRotation="90" wrapText="1"/>
    </xf>
    <xf numFmtId="14" fontId="36" fillId="0" borderId="0" xfId="0" applyNumberFormat="1" applyFont="1">
      <alignment vertical="center"/>
    </xf>
    <xf numFmtId="0" fontId="116" fillId="0" borderId="11" xfId="0" applyFont="1" applyBorder="1" applyAlignment="1">
      <alignment horizontal="center" vertical="center"/>
    </xf>
    <xf numFmtId="0" fontId="116" fillId="0" borderId="0" xfId="0" applyFont="1" applyAlignment="1">
      <alignment horizontal="center" vertical="center"/>
    </xf>
    <xf numFmtId="0" fontId="116" fillId="0" borderId="0" xfId="0" applyFont="1">
      <alignment vertical="center"/>
    </xf>
    <xf numFmtId="1" fontId="106" fillId="0" borderId="0" xfId="523" applyNumberFormat="1"/>
    <xf numFmtId="186" fontId="87" fillId="39" borderId="46" xfId="519" applyNumberFormat="1" applyFont="1" applyFill="1" applyBorder="1">
      <alignment vertical="center"/>
    </xf>
    <xf numFmtId="183" fontId="87" fillId="39" borderId="47" xfId="54" applyNumberFormat="1" applyFont="1" applyFill="1" applyBorder="1" applyAlignment="1">
      <alignment horizontal="center" vertical="center"/>
    </xf>
    <xf numFmtId="184" fontId="87" fillId="39" borderId="48" xfId="519" applyNumberFormat="1" applyFont="1" applyFill="1" applyBorder="1" applyAlignment="1">
      <alignment horizontal="center" vertical="center"/>
    </xf>
    <xf numFmtId="0" fontId="118" fillId="0" borderId="0" xfId="0" applyFont="1">
      <alignment vertical="center"/>
    </xf>
    <xf numFmtId="0" fontId="121" fillId="0" borderId="0" xfId="0" applyFont="1">
      <alignment vertical="center"/>
    </xf>
    <xf numFmtId="0" fontId="120" fillId="0" borderId="112" xfId="0" applyFont="1" applyBorder="1">
      <alignment vertical="center"/>
    </xf>
    <xf numFmtId="0" fontId="118" fillId="0" borderId="0" xfId="0" applyFont="1" applyAlignment="1">
      <alignment horizontal="center" vertical="center"/>
    </xf>
    <xf numFmtId="0" fontId="122" fillId="0" borderId="0" xfId="0" applyFont="1">
      <alignment vertical="center"/>
    </xf>
    <xf numFmtId="0" fontId="123" fillId="0" borderId="0" xfId="0" applyFont="1">
      <alignment vertical="center"/>
    </xf>
    <xf numFmtId="0" fontId="121" fillId="0" borderId="0" xfId="0" applyFont="1" applyAlignment="1">
      <alignment horizontal="left" vertical="center"/>
    </xf>
    <xf numFmtId="186" fontId="128" fillId="0" borderId="0" xfId="519" applyNumberFormat="1" applyFont="1" applyFill="1" applyBorder="1">
      <alignment vertical="center"/>
    </xf>
    <xf numFmtId="183" fontId="121" fillId="0" borderId="0" xfId="54" applyNumberFormat="1" applyFont="1" applyBorder="1" applyAlignment="1">
      <alignment horizontal="right" vertical="center"/>
    </xf>
    <xf numFmtId="1" fontId="121" fillId="0" borderId="0" xfId="54" applyNumberFormat="1" applyFont="1" applyBorder="1" applyAlignment="1">
      <alignment horizontal="center" vertical="center"/>
    </xf>
    <xf numFmtId="187" fontId="121" fillId="0" borderId="0" xfId="54" applyNumberFormat="1" applyFont="1" applyBorder="1" applyAlignment="1">
      <alignment horizontal="center" vertical="center"/>
    </xf>
    <xf numFmtId="0" fontId="121" fillId="0" borderId="2" xfId="0" applyFont="1" applyBorder="1" applyAlignment="1">
      <alignment horizontal="left" vertical="center"/>
    </xf>
    <xf numFmtId="186" fontId="128" fillId="0" borderId="2" xfId="519" applyNumberFormat="1" applyFont="1" applyFill="1" applyBorder="1">
      <alignment vertical="center"/>
    </xf>
    <xf numFmtId="183" fontId="121" fillId="0" borderId="2" xfId="54" applyNumberFormat="1" applyFont="1" applyBorder="1" applyAlignment="1">
      <alignment horizontal="right" vertical="center"/>
    </xf>
    <xf numFmtId="1" fontId="121" fillId="0" borderId="2" xfId="54" applyNumberFormat="1" applyFont="1" applyBorder="1" applyAlignment="1">
      <alignment horizontal="center" vertical="center"/>
    </xf>
    <xf numFmtId="187" fontId="121" fillId="0" borderId="2" xfId="54" applyNumberFormat="1" applyFont="1" applyBorder="1" applyAlignment="1">
      <alignment horizontal="center" vertical="center"/>
    </xf>
    <xf numFmtId="190" fontId="121" fillId="0" borderId="0" xfId="0" applyNumberFormat="1" applyFont="1">
      <alignment vertical="center"/>
    </xf>
    <xf numFmtId="1" fontId="121" fillId="0" borderId="0" xfId="0" applyNumberFormat="1" applyFont="1">
      <alignment vertical="center"/>
    </xf>
    <xf numFmtId="185" fontId="121" fillId="0" borderId="0" xfId="27" applyNumberFormat="1" applyFont="1">
      <alignment vertical="center"/>
    </xf>
    <xf numFmtId="0" fontId="131" fillId="0" borderId="0" xfId="0" applyFont="1">
      <alignment vertical="center"/>
    </xf>
    <xf numFmtId="0" fontId="131" fillId="0" borderId="6" xfId="0" applyFont="1" applyBorder="1">
      <alignment vertical="center"/>
    </xf>
    <xf numFmtId="0" fontId="132" fillId="0" borderId="0" xfId="0" applyFont="1">
      <alignment vertical="center"/>
    </xf>
    <xf numFmtId="0" fontId="134" fillId="0" borderId="4" xfId="0" applyFont="1" applyBorder="1" applyAlignment="1">
      <alignment horizontal="center" vertical="center"/>
    </xf>
    <xf numFmtId="189" fontId="134" fillId="0" borderId="4" xfId="0" applyNumberFormat="1" applyFont="1" applyBorder="1" applyAlignment="1">
      <alignment horizontal="center" vertical="center"/>
    </xf>
    <xf numFmtId="0" fontId="121" fillId="0" borderId="0" xfId="0" applyFont="1" applyAlignment="1">
      <alignment horizontal="center" vertical="center"/>
    </xf>
    <xf numFmtId="0" fontId="135" fillId="0" borderId="0" xfId="0" applyFont="1" applyAlignment="1">
      <alignment horizontal="left" vertical="center"/>
    </xf>
    <xf numFmtId="185" fontId="121" fillId="0" borderId="0" xfId="27" applyNumberFormat="1" applyFont="1" applyBorder="1" applyAlignment="1">
      <alignment horizontal="center" vertical="center"/>
    </xf>
    <xf numFmtId="43" fontId="121" fillId="0" borderId="0" xfId="27" applyFont="1" applyBorder="1" applyAlignment="1">
      <alignment horizontal="center" vertical="center"/>
    </xf>
    <xf numFmtId="192" fontId="121" fillId="0" borderId="0" xfId="27" applyNumberFormat="1" applyFont="1" applyBorder="1" applyAlignment="1">
      <alignment horizontal="right" vertical="center"/>
    </xf>
    <xf numFmtId="186" fontId="121" fillId="0" borderId="0" xfId="27" applyNumberFormat="1" applyFont="1" applyBorder="1" applyAlignment="1">
      <alignment horizontal="center" vertical="center"/>
    </xf>
    <xf numFmtId="181" fontId="136" fillId="0" borderId="0" xfId="0" applyNumberFormat="1" applyFont="1" applyAlignment="1">
      <alignment horizontal="center" vertical="center"/>
    </xf>
    <xf numFmtId="188" fontId="140" fillId="0" borderId="0" xfId="0" applyNumberFormat="1" applyFont="1" applyAlignment="1">
      <alignment horizontal="center" vertical="center"/>
    </xf>
    <xf numFmtId="0" fontId="127" fillId="0" borderId="4" xfId="0" applyFont="1" applyBorder="1" applyAlignment="1">
      <alignment horizontal="center" vertical="center"/>
    </xf>
    <xf numFmtId="176" fontId="121" fillId="0" borderId="0" xfId="0" applyNumberFormat="1" applyFont="1" applyAlignment="1">
      <alignment horizontal="right" vertical="center"/>
    </xf>
    <xf numFmtId="192" fontId="141" fillId="0" borderId="0" xfId="0" applyNumberFormat="1" applyFont="1" applyAlignment="1">
      <alignment horizontal="right" vertical="center"/>
    </xf>
    <xf numFmtId="192" fontId="121" fillId="0" borderId="0" xfId="0" applyNumberFormat="1" applyFont="1" applyAlignment="1">
      <alignment horizontal="right" vertical="center"/>
    </xf>
    <xf numFmtId="176" fontId="127" fillId="0" borderId="4" xfId="0" applyNumberFormat="1" applyFont="1" applyBorder="1" applyAlignment="1">
      <alignment horizontal="center" vertical="center"/>
    </xf>
    <xf numFmtId="0" fontId="142" fillId="0" borderId="0" xfId="0" applyFont="1" applyAlignment="1">
      <alignment horizontal="right" vertical="center"/>
    </xf>
    <xf numFmtId="176" fontId="117" fillId="0" borderId="4" xfId="0" applyNumberFormat="1" applyFont="1" applyBorder="1" applyAlignment="1">
      <alignment horizontal="center" vertical="center"/>
    </xf>
    <xf numFmtId="2" fontId="121" fillId="0" borderId="5" xfId="0" applyNumberFormat="1" applyFont="1" applyBorder="1" applyAlignment="1">
      <alignment horizontal="right" vertical="center"/>
    </xf>
    <xf numFmtId="191" fontId="121" fillId="0" borderId="5" xfId="54" applyNumberFormat="1" applyFont="1" applyBorder="1" applyAlignment="1">
      <alignment horizontal="right" vertical="center"/>
    </xf>
    <xf numFmtId="192" fontId="121" fillId="0" borderId="5" xfId="0" applyNumberFormat="1" applyFont="1" applyBorder="1" applyAlignment="1">
      <alignment horizontal="right" vertical="center"/>
    </xf>
    <xf numFmtId="2" fontId="121" fillId="0" borderId="0" xfId="0" applyNumberFormat="1" applyFont="1" applyAlignment="1">
      <alignment horizontal="right" vertical="center"/>
    </xf>
    <xf numFmtId="191" fontId="121" fillId="0" borderId="0" xfId="54" applyNumberFormat="1" applyFont="1" applyBorder="1" applyAlignment="1">
      <alignment horizontal="right" vertical="center"/>
    </xf>
    <xf numFmtId="14" fontId="122" fillId="0" borderId="0" xfId="0" applyNumberFormat="1" applyFont="1">
      <alignment vertical="center"/>
    </xf>
    <xf numFmtId="0" fontId="142" fillId="0" borderId="0" xfId="0" applyFont="1">
      <alignment vertical="center"/>
    </xf>
    <xf numFmtId="177" fontId="142" fillId="0" borderId="0" xfId="0" applyNumberFormat="1" applyFont="1" applyAlignment="1">
      <alignment horizontal="center" vertical="center"/>
    </xf>
    <xf numFmtId="176" fontId="142" fillId="0" borderId="0" xfId="0" applyNumberFormat="1" applyFont="1" applyAlignment="1">
      <alignment horizontal="center" vertical="center"/>
    </xf>
    <xf numFmtId="0" fontId="121" fillId="0" borderId="13" xfId="0" applyFont="1" applyBorder="1" applyAlignment="1">
      <alignment horizontal="left" vertical="center"/>
    </xf>
    <xf numFmtId="183" fontId="121" fillId="0" borderId="13" xfId="54" applyNumberFormat="1" applyFont="1" applyBorder="1" applyAlignment="1">
      <alignment horizontal="right" vertical="center"/>
    </xf>
    <xf numFmtId="1" fontId="121" fillId="0" borderId="13" xfId="54" applyNumberFormat="1" applyFont="1" applyBorder="1" applyAlignment="1">
      <alignment horizontal="center" vertical="center"/>
    </xf>
    <xf numFmtId="187" fontId="121" fillId="0" borderId="13" xfId="54" applyNumberFormat="1" applyFont="1" applyBorder="1" applyAlignment="1">
      <alignment horizontal="center" vertical="center"/>
    </xf>
    <xf numFmtId="0" fontId="121" fillId="0" borderId="113" xfId="0" applyFont="1" applyBorder="1" applyAlignment="1">
      <alignment horizontal="left" vertical="center"/>
    </xf>
    <xf numFmtId="183" fontId="121" fillId="0" borderId="113" xfId="54" applyNumberFormat="1" applyFont="1" applyBorder="1" applyAlignment="1">
      <alignment horizontal="right" vertical="center"/>
    </xf>
    <xf numFmtId="1" fontId="121" fillId="0" borderId="113" xfId="54" applyNumberFormat="1" applyFont="1" applyBorder="1" applyAlignment="1">
      <alignment horizontal="center" vertical="center"/>
    </xf>
    <xf numFmtId="187" fontId="121" fillId="0" borderId="113" xfId="54" applyNumberFormat="1" applyFont="1" applyBorder="1" applyAlignment="1">
      <alignment horizontal="center" vertical="center"/>
    </xf>
    <xf numFmtId="0" fontId="137" fillId="6" borderId="92" xfId="0" applyFont="1" applyFill="1" applyBorder="1" applyAlignment="1">
      <alignment horizontal="center" vertical="center"/>
    </xf>
    <xf numFmtId="0" fontId="129" fillId="6" borderId="92" xfId="0" applyFont="1" applyFill="1" applyBorder="1" applyAlignment="1">
      <alignment horizontal="center" vertical="center"/>
    </xf>
    <xf numFmtId="0" fontId="138" fillId="6" borderId="92" xfId="0" applyFont="1" applyFill="1" applyBorder="1" applyAlignment="1">
      <alignment horizontal="center" vertical="center"/>
    </xf>
    <xf numFmtId="0" fontId="131" fillId="0" borderId="0" xfId="0" applyFont="1" applyAlignment="1">
      <alignment horizontal="center" vertical="center"/>
    </xf>
    <xf numFmtId="0" fontId="138" fillId="6" borderId="114" xfId="0" applyFont="1" applyFill="1" applyBorder="1" applyAlignment="1">
      <alignment horizontal="center" vertical="center"/>
    </xf>
    <xf numFmtId="0" fontId="138" fillId="47" borderId="114" xfId="0" applyFont="1" applyFill="1" applyBorder="1" applyAlignment="1">
      <alignment horizontal="center" vertical="center"/>
    </xf>
    <xf numFmtId="0" fontId="138" fillId="6" borderId="115" xfId="0" applyFont="1" applyFill="1" applyBorder="1" applyAlignment="1">
      <alignment horizontal="center" vertical="center"/>
    </xf>
    <xf numFmtId="0" fontId="130" fillId="0" borderId="0" xfId="0" applyFont="1" applyAlignment="1">
      <alignment vertical="center" wrapText="1"/>
    </xf>
    <xf numFmtId="0" fontId="138" fillId="6" borderId="0" xfId="0" applyFont="1" applyFill="1" applyAlignment="1">
      <alignment horizontal="center" vertical="center"/>
    </xf>
    <xf numFmtId="189" fontId="131" fillId="0" borderId="0" xfId="0" applyNumberFormat="1" applyFont="1">
      <alignment vertical="center"/>
    </xf>
    <xf numFmtId="0" fontId="130" fillId="0" borderId="0" xfId="0" applyFont="1" applyAlignment="1">
      <alignment horizontal="left" vertical="top" wrapText="1"/>
    </xf>
    <xf numFmtId="0" fontId="130" fillId="0" borderId="11" xfId="0" applyFont="1" applyBorder="1" applyAlignment="1">
      <alignment horizontal="left" vertical="top" wrapText="1"/>
    </xf>
    <xf numFmtId="0" fontId="130" fillId="0" borderId="0" xfId="0" applyFont="1" applyAlignment="1">
      <alignment vertical="top" wrapText="1"/>
    </xf>
    <xf numFmtId="0" fontId="132" fillId="0" borderId="0" xfId="0" applyFont="1" applyAlignment="1">
      <alignment vertical="center" wrapText="1"/>
    </xf>
    <xf numFmtId="0" fontId="0" fillId="0" borderId="0" xfId="0" applyAlignment="1">
      <alignment horizontal="left" vertical="center" wrapText="1"/>
    </xf>
    <xf numFmtId="0" fontId="130" fillId="0" borderId="0" xfId="0" applyFont="1" applyAlignment="1">
      <alignment vertical="top"/>
    </xf>
    <xf numFmtId="0" fontId="146" fillId="0" borderId="0" xfId="0" applyFont="1" applyAlignment="1">
      <alignment horizontal="left" vertical="center" wrapText="1"/>
    </xf>
    <xf numFmtId="0" fontId="132" fillId="47" borderId="0" xfId="0" applyFont="1" applyFill="1">
      <alignment vertical="center"/>
    </xf>
    <xf numFmtId="0" fontId="131" fillId="47" borderId="0" xfId="0" applyFont="1" applyFill="1">
      <alignment vertical="center"/>
    </xf>
    <xf numFmtId="0" fontId="36" fillId="47" borderId="0" xfId="0" applyFont="1" applyFill="1">
      <alignment vertical="center"/>
    </xf>
    <xf numFmtId="0" fontId="0" fillId="0" borderId="11" xfId="0" applyBorder="1">
      <alignment vertical="center"/>
    </xf>
    <xf numFmtId="0" fontId="0" fillId="0" borderId="6" xfId="0" applyBorder="1">
      <alignment vertical="center"/>
    </xf>
    <xf numFmtId="0" fontId="155" fillId="0" borderId="11" xfId="0" applyFont="1" applyBorder="1">
      <alignment vertical="center"/>
    </xf>
    <xf numFmtId="0" fontId="155" fillId="0" borderId="0" xfId="0" applyFont="1">
      <alignment vertical="center"/>
    </xf>
    <xf numFmtId="0" fontId="155" fillId="0" borderId="0" xfId="0" applyFont="1" applyAlignment="1">
      <alignment horizontal="center" vertical="center"/>
    </xf>
    <xf numFmtId="0" fontId="156" fillId="0" borderId="0" xfId="0" applyFont="1">
      <alignment vertical="center"/>
    </xf>
    <xf numFmtId="0" fontId="156" fillId="47" borderId="0" xfId="0" applyFont="1" applyFill="1">
      <alignment vertical="center"/>
    </xf>
    <xf numFmtId="0" fontId="155" fillId="47" borderId="0" xfId="0" applyFont="1" applyFill="1">
      <alignment vertical="center"/>
    </xf>
    <xf numFmtId="14" fontId="0" fillId="0" borderId="0" xfId="0" quotePrefix="1" applyNumberFormat="1" applyAlignment="1"/>
    <xf numFmtId="0" fontId="0" fillId="39" borderId="0" xfId="0" applyFill="1" applyAlignment="1"/>
    <xf numFmtId="0" fontId="100" fillId="39" borderId="0" xfId="0" applyFont="1" applyFill="1" applyAlignment="1"/>
    <xf numFmtId="0" fontId="0" fillId="39" borderId="0" xfId="0" quotePrefix="1" applyFill="1" applyAlignment="1"/>
    <xf numFmtId="0" fontId="107" fillId="48" borderId="95" xfId="524">
      <alignment horizontal="center" vertical="center"/>
    </xf>
    <xf numFmtId="0" fontId="0" fillId="0" borderId="0" xfId="0" applyAlignment="1"/>
    <xf numFmtId="0" fontId="48" fillId="5" borderId="114" xfId="0" applyFont="1" applyFill="1" applyBorder="1" applyAlignment="1">
      <alignment horizontal="center" vertical="center"/>
    </xf>
    <xf numFmtId="0" fontId="0" fillId="0" borderId="112"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37" fillId="7" borderId="0" xfId="0" applyFont="1" applyFill="1" applyAlignment="1">
      <alignment horizontal="center" vertical="center" textRotation="90" wrapText="1"/>
    </xf>
    <xf numFmtId="0" fontId="129" fillId="6" borderId="114" xfId="0" applyFont="1" applyFill="1" applyBorder="1" applyAlignment="1">
      <alignment horizontal="center" vertical="center"/>
    </xf>
    <xf numFmtId="0" fontId="131" fillId="0" borderId="112" xfId="0" applyFont="1" applyBorder="1">
      <alignment vertical="center"/>
    </xf>
    <xf numFmtId="0" fontId="131" fillId="0" borderId="11" xfId="0" applyFont="1" applyBorder="1">
      <alignment vertical="center"/>
    </xf>
    <xf numFmtId="0" fontId="131" fillId="0" borderId="0" xfId="0" applyFont="1">
      <alignment vertical="center"/>
    </xf>
    <xf numFmtId="0" fontId="146" fillId="0" borderId="0" xfId="0" applyFont="1" applyAlignment="1">
      <alignment horizontal="left" vertical="center" wrapText="1"/>
    </xf>
    <xf numFmtId="0" fontId="0" fillId="0" borderId="0" xfId="0" applyAlignment="1">
      <alignment horizontal="left" vertical="center" wrapText="1"/>
    </xf>
    <xf numFmtId="0" fontId="140" fillId="0" borderId="0" xfId="0" applyFont="1" applyAlignment="1">
      <alignment horizontal="left" vertical="center" wrapText="1"/>
    </xf>
    <xf numFmtId="0" fontId="36" fillId="0" borderId="0" xfId="0" applyFont="1" applyAlignment="1">
      <alignment horizontal="left" vertical="center" wrapText="1"/>
    </xf>
    <xf numFmtId="0" fontId="0" fillId="0" borderId="0" xfId="0">
      <alignment vertical="center"/>
    </xf>
    <xf numFmtId="0" fontId="143" fillId="51" borderId="0" xfId="0" applyFont="1" applyFill="1" applyAlignment="1">
      <alignment horizontal="center" vertical="center" wrapText="1"/>
    </xf>
    <xf numFmtId="0" fontId="0" fillId="51" borderId="0" xfId="0" applyFill="1" applyAlignment="1">
      <alignment horizontal="center" vertical="center" wrapText="1"/>
    </xf>
    <xf numFmtId="0" fontId="140" fillId="50" borderId="0" xfId="0" applyFont="1" applyFill="1" applyAlignment="1">
      <alignment horizontal="center" vertical="center" wrapText="1"/>
    </xf>
    <xf numFmtId="0" fontId="0" fillId="50" borderId="0" xfId="0" applyFill="1" applyAlignment="1">
      <alignment horizontal="center" vertical="center" wrapText="1"/>
    </xf>
    <xf numFmtId="0" fontId="140" fillId="51" borderId="0" xfId="0" applyFont="1" applyFill="1" applyAlignment="1">
      <alignment horizontal="center" vertical="center" wrapText="1"/>
    </xf>
    <xf numFmtId="0" fontId="140" fillId="0" borderId="0" xfId="0" applyFont="1" applyAlignment="1">
      <alignment horizontal="left" vertical="top" wrapText="1"/>
    </xf>
    <xf numFmtId="0" fontId="129" fillId="6" borderId="8" xfId="0" applyFont="1" applyFill="1" applyBorder="1" applyAlignment="1">
      <alignment horizontal="center" vertical="center"/>
    </xf>
    <xf numFmtId="0" fontId="131" fillId="0" borderId="9" xfId="0" applyFont="1" applyBorder="1">
      <alignment vertical="center"/>
    </xf>
    <xf numFmtId="0" fontId="131" fillId="0" borderId="11" xfId="0" applyFont="1" applyBorder="1" applyAlignment="1">
      <alignment horizontal="center" vertical="center"/>
    </xf>
    <xf numFmtId="0" fontId="36" fillId="0" borderId="0" xfId="0" applyFont="1" applyAlignment="1">
      <alignment vertical="center" wrapText="1"/>
    </xf>
    <xf numFmtId="0" fontId="48" fillId="5" borderId="112" xfId="0" applyFont="1" applyFill="1" applyBorder="1" applyAlignment="1">
      <alignment horizontal="center" vertical="center"/>
    </xf>
    <xf numFmtId="0" fontId="119" fillId="6" borderId="0" xfId="0" applyFont="1" applyFill="1" applyAlignment="1">
      <alignment horizontal="center" vertical="center"/>
    </xf>
    <xf numFmtId="0" fontId="120" fillId="0" borderId="0" xfId="0" applyFont="1">
      <alignment vertical="center"/>
    </xf>
    <xf numFmtId="0" fontId="137" fillId="6" borderId="92" xfId="0" applyFont="1" applyFill="1" applyBorder="1" applyAlignment="1">
      <alignment horizontal="center" vertical="center"/>
    </xf>
    <xf numFmtId="0" fontId="131" fillId="0" borderId="93" xfId="0" applyFont="1" applyBorder="1" applyAlignment="1">
      <alignment horizontal="center" vertical="center"/>
    </xf>
    <xf numFmtId="0" fontId="138" fillId="6" borderId="92" xfId="0" applyFont="1" applyFill="1" applyBorder="1" applyAlignment="1">
      <alignment horizontal="center" vertical="center"/>
    </xf>
    <xf numFmtId="0" fontId="121" fillId="0" borderId="5" xfId="0" applyFont="1" applyBorder="1">
      <alignment vertical="center"/>
    </xf>
    <xf numFmtId="0" fontId="118" fillId="0" borderId="5" xfId="0" applyFont="1" applyBorder="1">
      <alignment vertical="center"/>
    </xf>
    <xf numFmtId="0" fontId="129" fillId="0" borderId="0" xfId="0" applyFont="1" applyAlignment="1">
      <alignment vertical="top" wrapText="1"/>
    </xf>
    <xf numFmtId="0" fontId="144" fillId="0" borderId="0" xfId="0" applyFont="1" applyAlignment="1">
      <alignment vertical="center" wrapText="1"/>
    </xf>
    <xf numFmtId="0" fontId="22" fillId="0" borderId="0" xfId="0" applyFont="1">
      <alignment vertical="center"/>
    </xf>
    <xf numFmtId="0" fontId="137" fillId="6" borderId="8" xfId="0" applyFont="1" applyFill="1" applyBorder="1" applyAlignment="1">
      <alignment horizontal="center" vertical="center"/>
    </xf>
    <xf numFmtId="0" fontId="131" fillId="0" borderId="9" xfId="0" applyFont="1" applyBorder="1" applyAlignment="1">
      <alignment horizontal="center" vertical="center"/>
    </xf>
    <xf numFmtId="0" fontId="131" fillId="0" borderId="10" xfId="0" applyFont="1" applyBorder="1" applyAlignment="1">
      <alignment horizontal="center" vertical="center"/>
    </xf>
    <xf numFmtId="0" fontId="131" fillId="0" borderId="0" xfId="0" applyFont="1" applyAlignment="1">
      <alignment horizontal="center" vertical="center"/>
    </xf>
    <xf numFmtId="0" fontId="131" fillId="0" borderId="12" xfId="0" applyFont="1" applyBorder="1" applyAlignment="1">
      <alignment horizontal="center" vertical="center"/>
    </xf>
    <xf numFmtId="0" fontId="121" fillId="0" borderId="5" xfId="0" applyFont="1" applyBorder="1" applyAlignment="1">
      <alignment horizontal="center" vertical="center"/>
    </xf>
    <xf numFmtId="0" fontId="121" fillId="0" borderId="0" xfId="0" applyFont="1" applyAlignment="1">
      <alignment horizontal="center" vertical="center"/>
    </xf>
    <xf numFmtId="0" fontId="118" fillId="0" borderId="0" xfId="0" applyFont="1">
      <alignment vertical="center"/>
    </xf>
    <xf numFmtId="0" fontId="134" fillId="0" borderId="4" xfId="0" applyFont="1" applyBorder="1" applyAlignment="1">
      <alignment horizontal="center" vertical="center"/>
    </xf>
    <xf numFmtId="0" fontId="118" fillId="0" borderId="4" xfId="0" applyFont="1" applyBorder="1">
      <alignment vertical="center"/>
    </xf>
    <xf numFmtId="0" fontId="121" fillId="0" borderId="0" xfId="0" applyFont="1">
      <alignment vertical="center"/>
    </xf>
    <xf numFmtId="0" fontId="151" fillId="6" borderId="114" xfId="0" applyFont="1" applyFill="1" applyBorder="1" applyAlignment="1">
      <alignment horizontal="center" vertical="center"/>
    </xf>
    <xf numFmtId="0" fontId="155" fillId="0" borderId="112" xfId="0" applyFont="1" applyBorder="1">
      <alignment vertical="center"/>
    </xf>
    <xf numFmtId="0" fontId="155" fillId="0" borderId="11" xfId="0" applyFont="1" applyBorder="1">
      <alignment vertical="center"/>
    </xf>
    <xf numFmtId="0" fontId="155" fillId="0" borderId="0" xfId="0" applyFont="1">
      <alignment vertical="center"/>
    </xf>
    <xf numFmtId="0" fontId="151" fillId="47" borderId="114" xfId="0" applyFont="1" applyFill="1" applyBorder="1" applyAlignment="1">
      <alignment horizontal="center" vertical="center"/>
    </xf>
    <xf numFmtId="0" fontId="155" fillId="47" borderId="112" xfId="0" applyFont="1" applyFill="1" applyBorder="1">
      <alignment vertical="center"/>
    </xf>
    <xf numFmtId="0" fontId="155" fillId="47" borderId="11" xfId="0" applyFont="1" applyFill="1" applyBorder="1">
      <alignment vertical="center"/>
    </xf>
    <xf numFmtId="0" fontId="155" fillId="47" borderId="0" xfId="0" applyFont="1" applyFill="1">
      <alignment vertical="center"/>
    </xf>
    <xf numFmtId="0" fontId="153" fillId="0" borderId="0" xfId="0" applyFont="1" applyAlignment="1">
      <alignment horizontal="left" vertical="top" wrapText="1"/>
    </xf>
    <xf numFmtId="0" fontId="154" fillId="0" borderId="0" xfId="0" applyFont="1" applyAlignment="1">
      <alignment horizontal="left" vertical="top" wrapText="1"/>
    </xf>
    <xf numFmtId="0" fontId="154" fillId="0" borderId="0" xfId="0" applyFont="1" applyAlignment="1">
      <alignment vertical="top"/>
    </xf>
    <xf numFmtId="0" fontId="155" fillId="0" borderId="6" xfId="0" applyFont="1" applyBorder="1">
      <alignment vertical="center"/>
    </xf>
    <xf numFmtId="0" fontId="153" fillId="0" borderId="11" xfId="0" applyFont="1" applyBorder="1" applyAlignment="1">
      <alignment horizontal="left" vertical="top" wrapText="1"/>
    </xf>
    <xf numFmtId="0" fontId="154" fillId="0" borderId="11" xfId="0" applyFont="1" applyBorder="1" applyAlignment="1">
      <alignment horizontal="left" vertical="top" wrapText="1"/>
    </xf>
    <xf numFmtId="0" fontId="0" fillId="0" borderId="11" xfId="0" applyBorder="1">
      <alignment vertical="center"/>
    </xf>
    <xf numFmtId="0" fontId="154" fillId="0" borderId="0" xfId="0" applyFont="1" applyAlignment="1">
      <alignment vertical="top" wrapText="1"/>
    </xf>
    <xf numFmtId="0" fontId="155" fillId="0" borderId="0" xfId="0" applyFont="1" applyAlignment="1">
      <alignment vertical="center" wrapText="1"/>
    </xf>
    <xf numFmtId="0" fontId="155" fillId="0" borderId="6" xfId="0" applyFont="1" applyBorder="1" applyAlignment="1">
      <alignment vertical="center" wrapText="1"/>
    </xf>
    <xf numFmtId="0" fontId="153" fillId="47" borderId="0" xfId="0" applyFont="1" applyFill="1" applyAlignment="1">
      <alignment horizontal="left" vertical="top" wrapText="1"/>
    </xf>
    <xf numFmtId="0" fontId="154" fillId="47" borderId="0" xfId="0" applyFont="1" applyFill="1" applyAlignment="1">
      <alignment horizontal="left" vertical="top" wrapText="1"/>
    </xf>
    <xf numFmtId="0" fontId="154" fillId="47" borderId="0" xfId="0" applyFont="1" applyFill="1" applyAlignment="1">
      <alignment vertical="top"/>
    </xf>
    <xf numFmtId="0" fontId="118" fillId="0" borderId="4" xfId="0" applyFont="1" applyBorder="1" applyAlignment="1">
      <alignment horizontal="center" vertical="center"/>
    </xf>
    <xf numFmtId="189" fontId="134" fillId="0" borderId="4" xfId="0" applyNumberFormat="1" applyFont="1" applyBorder="1" applyAlignment="1">
      <alignment horizontal="center" vertical="center"/>
    </xf>
    <xf numFmtId="0" fontId="129" fillId="6" borderId="92" xfId="0" applyFont="1" applyFill="1" applyBorder="1" applyAlignment="1">
      <alignment horizontal="center" vertical="center"/>
    </xf>
    <xf numFmtId="0" fontId="129" fillId="6" borderId="8" xfId="23" applyFont="1" applyFill="1" applyBorder="1" applyAlignment="1">
      <alignment horizontal="center" vertical="center"/>
    </xf>
    <xf numFmtId="0" fontId="118" fillId="0" borderId="0" xfId="0" applyFont="1" applyAlignment="1">
      <alignment horizontal="center" vertical="center"/>
    </xf>
    <xf numFmtId="0" fontId="117" fillId="0" borderId="4" xfId="0" applyFont="1" applyBorder="1" applyAlignment="1">
      <alignment horizontal="center" vertical="center"/>
    </xf>
    <xf numFmtId="0" fontId="127" fillId="0" borderId="113" xfId="0" applyFont="1" applyBorder="1" applyAlignment="1">
      <alignment horizontal="center" vertical="center"/>
    </xf>
    <xf numFmtId="0" fontId="118" fillId="0" borderId="2" xfId="0" applyFont="1" applyBorder="1" applyAlignment="1">
      <alignment horizontal="center" vertical="center"/>
    </xf>
    <xf numFmtId="0" fontId="127" fillId="0" borderId="0" xfId="0" applyFont="1" applyAlignment="1">
      <alignment horizontal="center" vertical="center"/>
    </xf>
    <xf numFmtId="0" fontId="127" fillId="0" borderId="13" xfId="0" applyFont="1" applyBorder="1" applyAlignment="1">
      <alignment horizontal="center" vertical="center"/>
    </xf>
    <xf numFmtId="0" fontId="124" fillId="0" borderId="0" xfId="0" applyFont="1" applyAlignment="1">
      <alignment horizontal="center" vertical="center"/>
    </xf>
    <xf numFmtId="0" fontId="124" fillId="0" borderId="2" xfId="0" applyFont="1" applyBorder="1" applyAlignment="1">
      <alignment horizontal="center" vertical="center"/>
    </xf>
    <xf numFmtId="0" fontId="37" fillId="7" borderId="0" xfId="0" applyFont="1" applyFill="1" applyAlignment="1">
      <alignment horizontal="left" textRotation="90" wrapText="1"/>
    </xf>
    <xf numFmtId="0" fontId="119" fillId="6" borderId="0" xfId="23" applyFont="1" applyFill="1" applyAlignment="1">
      <alignment horizontal="center" vertical="center"/>
    </xf>
    <xf numFmtId="0" fontId="127" fillId="0" borderId="4" xfId="0" applyFont="1" applyBorder="1" applyAlignment="1">
      <alignment horizontal="center" vertical="center"/>
    </xf>
    <xf numFmtId="0" fontId="122" fillId="0" borderId="5" xfId="0" applyFont="1" applyBorder="1" applyAlignment="1">
      <alignment horizontal="center" vertical="center"/>
    </xf>
    <xf numFmtId="0" fontId="118" fillId="0" borderId="5" xfId="0" applyFont="1" applyBorder="1" applyAlignment="1">
      <alignment horizontal="center" vertical="center"/>
    </xf>
    <xf numFmtId="0" fontId="122" fillId="0" borderId="0" xfId="0" applyFont="1" applyAlignment="1">
      <alignment horizontal="center" vertical="center"/>
    </xf>
    <xf numFmtId="0" fontId="35" fillId="5" borderId="0" xfId="0" applyFont="1" applyFill="1" applyAlignment="1">
      <alignment horizontal="center" vertical="center" textRotation="90" wrapText="1"/>
    </xf>
    <xf numFmtId="0" fontId="0" fillId="0" borderId="0" xfId="0" applyAlignment="1">
      <alignment horizontal="center" vertical="center" textRotation="90" wrapText="1"/>
    </xf>
    <xf numFmtId="0" fontId="49" fillId="5" borderId="112" xfId="0" applyFont="1" applyFill="1" applyBorder="1">
      <alignment vertical="center"/>
    </xf>
    <xf numFmtId="0" fontId="48" fillId="5" borderId="0" xfId="0" applyFont="1" applyFill="1" applyAlignment="1">
      <alignment horizontal="center" vertical="center"/>
    </xf>
    <xf numFmtId="0" fontId="49" fillId="5" borderId="0" xfId="0" applyFont="1" applyFill="1">
      <alignment vertical="center"/>
    </xf>
    <xf numFmtId="0" fontId="0" fillId="0" borderId="6" xfId="0" applyBorder="1">
      <alignment vertical="center"/>
    </xf>
    <xf numFmtId="0" fontId="151" fillId="0" borderId="112" xfId="0" applyFont="1" applyBorder="1" applyAlignment="1">
      <alignment horizontal="left" vertical="top" wrapText="1"/>
    </xf>
    <xf numFmtId="0" fontId="130" fillId="0" borderId="112" xfId="0" applyFont="1" applyBorder="1">
      <alignment vertical="center"/>
    </xf>
    <xf numFmtId="0" fontId="130" fillId="0" borderId="0" xfId="0" applyFont="1">
      <alignment vertical="center"/>
    </xf>
    <xf numFmtId="0" fontId="125" fillId="6" borderId="92" xfId="0" applyFont="1" applyFill="1" applyBorder="1" applyAlignment="1">
      <alignment horizontal="center" vertical="center"/>
    </xf>
    <xf numFmtId="0" fontId="126" fillId="0" borderId="93" xfId="0" applyFont="1" applyBorder="1" applyAlignment="1">
      <alignment horizontal="center" vertical="center"/>
    </xf>
    <xf numFmtId="0" fontId="129" fillId="6" borderId="9" xfId="23" applyFont="1" applyFill="1" applyBorder="1" applyAlignment="1">
      <alignment horizontal="center" vertical="center"/>
    </xf>
    <xf numFmtId="0" fontId="131" fillId="0" borderId="6" xfId="0" applyFont="1" applyBorder="1">
      <alignment vertical="center"/>
    </xf>
    <xf numFmtId="0" fontId="119" fillId="6" borderId="11" xfId="0" applyFont="1" applyFill="1" applyBorder="1" applyAlignment="1">
      <alignment horizontal="center" vertical="center"/>
    </xf>
    <xf numFmtId="0" fontId="120" fillId="0" borderId="11" xfId="0" applyFont="1" applyBorder="1" applyAlignment="1">
      <alignment horizontal="center" vertical="center"/>
    </xf>
    <xf numFmtId="0" fontId="119" fillId="6" borderId="92" xfId="0" applyFont="1" applyFill="1" applyBorder="1" applyAlignment="1">
      <alignment horizontal="center" vertical="center"/>
    </xf>
    <xf numFmtId="0" fontId="120" fillId="0" borderId="93" xfId="0" applyFont="1" applyBorder="1" applyAlignment="1">
      <alignment horizontal="center" vertical="center"/>
    </xf>
    <xf numFmtId="0" fontId="119" fillId="6" borderId="93" xfId="0" applyFont="1" applyFill="1" applyBorder="1" applyAlignment="1">
      <alignment horizontal="center" vertical="center"/>
    </xf>
    <xf numFmtId="0" fontId="137" fillId="6" borderId="9" xfId="0" applyFont="1" applyFill="1" applyBorder="1" applyAlignment="1">
      <alignment horizontal="center" vertical="center"/>
    </xf>
    <xf numFmtId="0" fontId="138" fillId="6" borderId="8" xfId="23" applyFont="1" applyFill="1" applyBorder="1" applyAlignment="1">
      <alignment horizontal="center" vertical="center"/>
    </xf>
    <xf numFmtId="0" fontId="139" fillId="0" borderId="9" xfId="0" applyFont="1" applyBorder="1">
      <alignment vertical="center"/>
    </xf>
    <xf numFmtId="0" fontId="139" fillId="0" borderId="11" xfId="0" applyFont="1" applyBorder="1">
      <alignment vertical="center"/>
    </xf>
    <xf numFmtId="0" fontId="139" fillId="0" borderId="0" xfId="0" applyFont="1">
      <alignment vertical="center"/>
    </xf>
    <xf numFmtId="0" fontId="0" fillId="0" borderId="0" xfId="0" applyAlignment="1">
      <alignment horizontal="left" vertical="center"/>
    </xf>
    <xf numFmtId="0" fontId="137" fillId="6" borderId="116" xfId="0" applyFont="1" applyFill="1" applyBorder="1" applyAlignment="1">
      <alignment horizontal="center" vertical="center"/>
    </xf>
    <xf numFmtId="0" fontId="137" fillId="6" borderId="93" xfId="0" applyFont="1" applyFill="1" applyBorder="1" applyAlignment="1">
      <alignment horizontal="center" vertical="center"/>
    </xf>
    <xf numFmtId="0" fontId="129" fillId="6" borderId="116" xfId="0" applyFont="1" applyFill="1" applyBorder="1" applyAlignment="1">
      <alignment horizontal="center" vertical="center"/>
    </xf>
    <xf numFmtId="0" fontId="129" fillId="6" borderId="93" xfId="0" applyFont="1" applyFill="1" applyBorder="1" applyAlignment="1">
      <alignment horizontal="center" vertical="center"/>
    </xf>
    <xf numFmtId="0" fontId="138" fillId="6" borderId="116" xfId="0" applyFont="1" applyFill="1" applyBorder="1" applyAlignment="1">
      <alignment horizontal="center" vertical="center"/>
    </xf>
    <xf numFmtId="0" fontId="138" fillId="6" borderId="93" xfId="0" applyFont="1" applyFill="1" applyBorder="1" applyAlignment="1">
      <alignment horizontal="center" vertical="center"/>
    </xf>
    <xf numFmtId="0" fontId="145" fillId="51" borderId="0" xfId="0" applyFont="1" applyFill="1" applyAlignment="1">
      <alignment horizontal="center" vertical="center" wrapText="1"/>
    </xf>
    <xf numFmtId="0" fontId="0" fillId="0" borderId="0" xfId="0" applyAlignment="1">
      <alignment horizontal="center" vertical="center" wrapText="1"/>
    </xf>
    <xf numFmtId="0" fontId="146" fillId="50" borderId="0" xfId="0" applyFont="1" applyFill="1" applyAlignment="1">
      <alignment horizontal="center" vertical="center" wrapText="1"/>
    </xf>
    <xf numFmtId="0" fontId="146" fillId="51" borderId="0" xfId="0" applyFont="1" applyFill="1" applyAlignment="1">
      <alignment horizontal="center" vertical="center" wrapText="1"/>
    </xf>
    <xf numFmtId="0" fontId="143" fillId="0" borderId="0" xfId="0" applyFont="1" applyAlignment="1">
      <alignment horizontal="left" vertical="top" wrapText="1"/>
    </xf>
    <xf numFmtId="0" fontId="130" fillId="0" borderId="0" xfId="0" applyFont="1" applyAlignment="1">
      <alignment horizontal="left" vertical="top" wrapText="1"/>
    </xf>
    <xf numFmtId="0" fontId="130" fillId="0" borderId="0" xfId="0" applyFont="1" applyAlignment="1">
      <alignment vertical="top" wrapText="1"/>
    </xf>
    <xf numFmtId="0" fontId="0" fillId="0" borderId="0" xfId="0" applyAlignment="1">
      <alignment vertical="top" wrapText="1"/>
    </xf>
    <xf numFmtId="0" fontId="145" fillId="50" borderId="0" xfId="0" applyFont="1" applyFill="1" applyAlignment="1">
      <alignment horizontal="center" vertical="center" wrapText="1"/>
    </xf>
    <xf numFmtId="0" fontId="131" fillId="0" borderId="0" xfId="0" applyFont="1" applyAlignment="1">
      <alignment horizontal="center" vertical="center" wrapText="1"/>
    </xf>
    <xf numFmtId="0" fontId="132" fillId="50" borderId="0" xfId="0" applyFont="1" applyFill="1" applyAlignment="1">
      <alignment horizontal="center" vertical="center" wrapText="1"/>
    </xf>
    <xf numFmtId="0" fontId="0" fillId="0" borderId="112" xfId="0" applyBorder="1">
      <alignment vertical="center"/>
    </xf>
    <xf numFmtId="0" fontId="140" fillId="50" borderId="0" xfId="0" applyFont="1" applyFill="1" applyAlignment="1">
      <alignment horizontal="center" vertical="center"/>
    </xf>
    <xf numFmtId="0" fontId="130" fillId="50" borderId="0" xfId="0" applyFont="1" applyFill="1" applyAlignment="1">
      <alignment horizontal="center" vertical="center"/>
    </xf>
    <xf numFmtId="0" fontId="100" fillId="0" borderId="0" xfId="0" applyFont="1" applyAlignment="1">
      <alignment horizontal="left" vertical="center" wrapText="1"/>
    </xf>
    <xf numFmtId="31" fontId="146" fillId="0" borderId="0" xfId="0" applyNumberFormat="1" applyFont="1" applyAlignment="1">
      <alignment horizontal="left" vertical="center" wrapText="1"/>
    </xf>
    <xf numFmtId="0" fontId="145" fillId="0" borderId="0" xfId="0" applyFont="1" applyAlignment="1">
      <alignment horizontal="left" vertical="center" wrapText="1"/>
    </xf>
    <xf numFmtId="0" fontId="123" fillId="0" borderId="0" xfId="0" applyFont="1" applyAlignment="1">
      <alignment horizontal="left" vertical="center" wrapText="1"/>
    </xf>
    <xf numFmtId="0" fontId="127" fillId="0" borderId="11" xfId="0" applyFont="1" applyBorder="1" applyAlignment="1">
      <alignment horizontal="left" vertical="center" wrapText="1"/>
    </xf>
    <xf numFmtId="0" fontId="122" fillId="0" borderId="0" xfId="0" applyFont="1" applyAlignment="1">
      <alignment horizontal="left" vertical="center" wrapText="1"/>
    </xf>
    <xf numFmtId="0" fontId="146" fillId="51" borderId="0" xfId="0" applyFont="1" applyFill="1" applyAlignment="1">
      <alignment horizontal="left" vertical="center" wrapText="1"/>
    </xf>
    <xf numFmtId="0" fontId="0" fillId="51" borderId="0" xfId="0" applyFill="1" applyAlignment="1">
      <alignment horizontal="left" vertical="center" wrapText="1"/>
    </xf>
    <xf numFmtId="0" fontId="145" fillId="0" borderId="0" xfId="0" applyFont="1" applyAlignment="1">
      <alignment vertical="center" wrapText="1"/>
    </xf>
    <xf numFmtId="0" fontId="0" fillId="0" borderId="0" xfId="0" applyAlignment="1">
      <alignment vertical="center" wrapText="1"/>
    </xf>
    <xf numFmtId="0" fontId="146" fillId="0" borderId="0" xfId="0" quotePrefix="1" applyFont="1" applyAlignment="1">
      <alignment vertical="center" wrapText="1"/>
    </xf>
    <xf numFmtId="0" fontId="147" fillId="0" borderId="0" xfId="0" applyFont="1">
      <alignment vertical="center"/>
    </xf>
    <xf numFmtId="0" fontId="146" fillId="0" borderId="0" xfId="0" applyFont="1" applyAlignment="1">
      <alignment vertical="center" wrapText="1"/>
    </xf>
    <xf numFmtId="0" fontId="145" fillId="0" borderId="0" xfId="0" applyFont="1">
      <alignment vertical="center"/>
    </xf>
    <xf numFmtId="0" fontId="143" fillId="0" borderId="11" xfId="0" applyFont="1" applyBorder="1" applyAlignment="1">
      <alignment horizontal="left" vertical="top" wrapText="1"/>
    </xf>
    <xf numFmtId="0" fontId="130" fillId="0" borderId="0" xfId="0" applyFont="1" applyAlignment="1">
      <alignment vertical="top"/>
    </xf>
    <xf numFmtId="0" fontId="130" fillId="0" borderId="11" xfId="0" applyFont="1" applyBorder="1" applyAlignment="1">
      <alignment horizontal="left" vertical="top" wrapText="1"/>
    </xf>
    <xf numFmtId="0" fontId="0" fillId="0" borderId="7" xfId="0" applyBorder="1">
      <alignment vertical="center"/>
    </xf>
    <xf numFmtId="0" fontId="149" fillId="47" borderId="114" xfId="0" applyFont="1" applyFill="1" applyBorder="1" applyAlignment="1">
      <alignment horizontal="center" vertical="center"/>
    </xf>
    <xf numFmtId="0" fontId="150" fillId="47" borderId="112" xfId="0" applyFont="1" applyFill="1" applyBorder="1">
      <alignment vertical="center"/>
    </xf>
    <xf numFmtId="0" fontId="150" fillId="47" borderId="11" xfId="0" applyFont="1" applyFill="1" applyBorder="1">
      <alignment vertical="center"/>
    </xf>
    <xf numFmtId="0" fontId="150" fillId="47" borderId="0" xfId="0" applyFont="1" applyFill="1">
      <alignment vertical="center"/>
    </xf>
    <xf numFmtId="0" fontId="129" fillId="47" borderId="114" xfId="0" applyFont="1" applyFill="1" applyBorder="1" applyAlignment="1">
      <alignment horizontal="center" vertical="center"/>
    </xf>
    <xf numFmtId="0" fontId="131" fillId="47" borderId="112" xfId="0" applyFont="1" applyFill="1" applyBorder="1">
      <alignment vertical="center"/>
    </xf>
    <xf numFmtId="0" fontId="131" fillId="47" borderId="11" xfId="0" applyFont="1" applyFill="1" applyBorder="1">
      <alignment vertical="center"/>
    </xf>
    <xf numFmtId="0" fontId="131" fillId="47" borderId="0" xfId="0" applyFont="1" applyFill="1">
      <alignment vertical="center"/>
    </xf>
    <xf numFmtId="0" fontId="143" fillId="47" borderId="0" xfId="0" applyFont="1" applyFill="1" applyAlignment="1">
      <alignment horizontal="left" vertical="top" wrapText="1"/>
    </xf>
    <xf numFmtId="0" fontId="130" fillId="47" borderId="0" xfId="0" applyFont="1" applyFill="1" applyAlignment="1">
      <alignment horizontal="left" vertical="top" wrapText="1"/>
    </xf>
    <xf numFmtId="0" fontId="130" fillId="47" borderId="0" xfId="0" applyFont="1" applyFill="1" applyAlignment="1">
      <alignment vertical="top"/>
    </xf>
    <xf numFmtId="0" fontId="0" fillId="47" borderId="0" xfId="0" applyFill="1">
      <alignment vertical="center"/>
    </xf>
    <xf numFmtId="0" fontId="0" fillId="47" borderId="6" xfId="0" applyFill="1" applyBorder="1">
      <alignment vertical="center"/>
    </xf>
    <xf numFmtId="185" fontId="96" fillId="0" borderId="43" xfId="520" applyNumberFormat="1" applyFont="1" applyBorder="1" applyAlignment="1">
      <alignment horizontal="center" vertical="center"/>
    </xf>
    <xf numFmtId="185" fontId="96" fillId="0" borderId="50" xfId="520" applyNumberFormat="1" applyFont="1" applyBorder="1" applyAlignment="1">
      <alignment horizontal="center" vertical="center"/>
    </xf>
    <xf numFmtId="0" fontId="89" fillId="0" borderId="0" xfId="520" applyFont="1" applyAlignment="1">
      <alignment horizontal="center" vertical="center"/>
    </xf>
    <xf numFmtId="0" fontId="90" fillId="41" borderId="33" xfId="520" applyFont="1" applyFill="1" applyBorder="1" applyAlignment="1">
      <alignment horizontal="center" vertical="center"/>
    </xf>
    <xf numFmtId="0" fontId="90" fillId="41" borderId="34" xfId="520" applyFont="1" applyFill="1" applyBorder="1" applyAlignment="1">
      <alignment horizontal="center" vertical="center"/>
    </xf>
    <xf numFmtId="0" fontId="90" fillId="41" borderId="35" xfId="520" applyFont="1" applyFill="1" applyBorder="1" applyAlignment="1">
      <alignment horizontal="center" vertical="center"/>
    </xf>
    <xf numFmtId="0" fontId="91" fillId="42" borderId="0" xfId="520" applyFont="1" applyFill="1" applyAlignment="1">
      <alignment horizontal="center" vertical="center"/>
    </xf>
    <xf numFmtId="0" fontId="87" fillId="43" borderId="0" xfId="520" applyFont="1" applyFill="1" applyAlignment="1">
      <alignment horizontal="center" vertical="center"/>
    </xf>
    <xf numFmtId="0" fontId="96" fillId="0" borderId="43" xfId="520" applyFont="1" applyBorder="1" applyAlignment="1">
      <alignment horizontal="center" vertical="center"/>
    </xf>
    <xf numFmtId="0" fontId="96" fillId="0" borderId="50" xfId="520" applyFont="1" applyBorder="1" applyAlignment="1">
      <alignment horizontal="center" vertical="center"/>
    </xf>
    <xf numFmtId="0" fontId="96" fillId="0" borderId="60" xfId="520" applyFont="1" applyBorder="1" applyAlignment="1">
      <alignment horizontal="center" vertical="center"/>
    </xf>
    <xf numFmtId="185" fontId="96" fillId="0" borderId="63" xfId="520" applyNumberFormat="1" applyFont="1" applyBorder="1" applyAlignment="1">
      <alignment horizontal="center" vertical="center"/>
    </xf>
    <xf numFmtId="185" fontId="96" fillId="0" borderId="65" xfId="520" applyNumberFormat="1" applyFont="1" applyBorder="1" applyAlignment="1">
      <alignment horizontal="center" vertical="center"/>
    </xf>
    <xf numFmtId="185" fontId="96" fillId="0" borderId="70" xfId="520" applyNumberFormat="1" applyFont="1" applyBorder="1" applyAlignment="1">
      <alignment horizontal="center" vertical="center"/>
    </xf>
    <xf numFmtId="185" fontId="96" fillId="0" borderId="71" xfId="520" applyNumberFormat="1" applyFont="1" applyBorder="1" applyAlignment="1">
      <alignment horizontal="center" vertical="center"/>
    </xf>
    <xf numFmtId="185" fontId="96" fillId="0" borderId="60" xfId="520" applyNumberFormat="1" applyFont="1" applyBorder="1" applyAlignment="1">
      <alignment horizontal="center" vertical="center"/>
    </xf>
    <xf numFmtId="185" fontId="96" fillId="0" borderId="90" xfId="520" applyNumberFormat="1" applyFont="1" applyBorder="1" applyAlignment="1">
      <alignment horizontal="center" vertical="center"/>
    </xf>
    <xf numFmtId="185" fontId="96" fillId="0" borderId="74" xfId="520" applyNumberFormat="1" applyFont="1" applyBorder="1" applyAlignment="1">
      <alignment horizontal="center" vertical="center"/>
    </xf>
    <xf numFmtId="0" fontId="87" fillId="43" borderId="0" xfId="528" applyFont="1" applyFill="1" applyAlignment="1">
      <alignment horizontal="center" vertical="center"/>
    </xf>
    <xf numFmtId="185" fontId="96" fillId="0" borderId="43" xfId="528" applyNumberFormat="1" applyFont="1" applyBorder="1" applyAlignment="1">
      <alignment horizontal="center" vertical="center"/>
    </xf>
    <xf numFmtId="185" fontId="96" fillId="0" borderId="50" xfId="528" applyNumberFormat="1" applyFont="1" applyBorder="1" applyAlignment="1">
      <alignment horizontal="center" vertical="center"/>
    </xf>
    <xf numFmtId="185" fontId="96" fillId="0" borderId="60" xfId="528" applyNumberFormat="1" applyFont="1" applyBorder="1" applyAlignment="1">
      <alignment horizontal="center" vertical="center"/>
    </xf>
    <xf numFmtId="0" fontId="86" fillId="41" borderId="98" xfId="522" applyFont="1" applyFill="1" applyBorder="1" applyAlignment="1">
      <alignment horizontal="center"/>
    </xf>
    <xf numFmtId="0" fontId="86" fillId="41" borderId="99" xfId="522" applyFont="1" applyFill="1" applyBorder="1" applyAlignment="1">
      <alignment horizontal="center"/>
    </xf>
    <xf numFmtId="0" fontId="86" fillId="41" borderId="100" xfId="522" applyFont="1" applyFill="1" applyBorder="1" applyAlignment="1">
      <alignment horizontal="center"/>
    </xf>
    <xf numFmtId="0" fontId="86" fillId="41" borderId="101" xfId="522" applyFont="1" applyFill="1" applyBorder="1" applyAlignment="1">
      <alignment horizontal="center"/>
    </xf>
    <xf numFmtId="0" fontId="86" fillId="41" borderId="102" xfId="522" applyFont="1" applyFill="1" applyBorder="1" applyAlignment="1">
      <alignment horizontal="center"/>
    </xf>
    <xf numFmtId="0" fontId="86" fillId="41" borderId="103" xfId="522" applyFont="1" applyFill="1" applyBorder="1" applyAlignment="1">
      <alignment horizontal="center"/>
    </xf>
    <xf numFmtId="0" fontId="86" fillId="49" borderId="104" xfId="522" applyFont="1" applyFill="1" applyBorder="1" applyAlignment="1">
      <alignment horizontal="center"/>
    </xf>
    <xf numFmtId="0" fontId="86" fillId="49" borderId="105" xfId="522" applyFont="1" applyFill="1" applyBorder="1" applyAlignment="1">
      <alignment horizontal="center"/>
    </xf>
    <xf numFmtId="0" fontId="96" fillId="0" borderId="43" xfId="528" applyFont="1" applyBorder="1" applyAlignment="1">
      <alignment horizontal="center" vertical="center"/>
    </xf>
    <xf numFmtId="0" fontId="96" fillId="0" borderId="50" xfId="528" applyFont="1" applyBorder="1" applyAlignment="1">
      <alignment horizontal="center" vertical="center"/>
    </xf>
    <xf numFmtId="0" fontId="96" fillId="0" borderId="60" xfId="528" applyFont="1" applyBorder="1" applyAlignment="1">
      <alignment horizontal="center" vertical="center"/>
    </xf>
    <xf numFmtId="0" fontId="26" fillId="0" borderId="14" xfId="0" applyFont="1" applyBorder="1" applyAlignment="1">
      <alignment horizontal="left" vertical="center" wrapText="1"/>
    </xf>
    <xf numFmtId="0" fontId="26" fillId="0" borderId="15" xfId="0" applyFont="1" applyBorder="1" applyAlignment="1">
      <alignment horizontal="left" vertical="center" wrapText="1"/>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26" fillId="0" borderId="0" xfId="0" applyFont="1" applyAlignment="1">
      <alignment horizontal="left" vertical="center" wrapText="1"/>
    </xf>
    <xf numFmtId="0" fontId="26" fillId="0" borderId="18" xfId="0" applyFont="1" applyBorder="1" applyAlignment="1">
      <alignment horizontal="left" vertical="center" wrapText="1"/>
    </xf>
    <xf numFmtId="0" fontId="26" fillId="0" borderId="19" xfId="0" applyFont="1" applyBorder="1" applyAlignment="1">
      <alignment horizontal="left" vertical="center" wrapText="1"/>
    </xf>
    <xf numFmtId="0" fontId="26" fillId="0" borderId="3" xfId="0" applyFont="1" applyBorder="1" applyAlignment="1">
      <alignment horizontal="left" vertical="center" wrapText="1"/>
    </xf>
    <xf numFmtId="0" fontId="26" fillId="0" borderId="20" xfId="0" applyFont="1" applyBorder="1" applyAlignment="1">
      <alignment horizontal="left" vertical="center" wrapText="1"/>
    </xf>
    <xf numFmtId="0" fontId="26" fillId="0" borderId="0" xfId="0" applyFont="1" applyAlignment="1">
      <alignment horizontal="center" vertical="center" wrapText="1"/>
    </xf>
  </cellXfs>
  <cellStyles count="531">
    <cellStyle name="20% - Accent1" xfId="225" xr:uid="{00000000-0005-0000-0000-000000000000}"/>
    <cellStyle name="20% - Accent1 2" xfId="459" xr:uid="{00000000-0005-0000-0000-000001000000}"/>
    <cellStyle name="20% - Accent2" xfId="229" xr:uid="{00000000-0005-0000-0000-000002000000}"/>
    <cellStyle name="20% - Accent2 2" xfId="462" xr:uid="{00000000-0005-0000-0000-000003000000}"/>
    <cellStyle name="20% - Accent3" xfId="233" xr:uid="{00000000-0005-0000-0000-000004000000}"/>
    <cellStyle name="20% - Accent3 2" xfId="465" xr:uid="{00000000-0005-0000-0000-000005000000}"/>
    <cellStyle name="20% - Accent4" xfId="237" xr:uid="{00000000-0005-0000-0000-000006000000}"/>
    <cellStyle name="20% - Accent4 2" xfId="468" xr:uid="{00000000-0005-0000-0000-000007000000}"/>
    <cellStyle name="20% - Accent5" xfId="241" xr:uid="{00000000-0005-0000-0000-000008000000}"/>
    <cellStyle name="20% - Accent5 2" xfId="471" xr:uid="{00000000-0005-0000-0000-000009000000}"/>
    <cellStyle name="20% - Accent6" xfId="245" xr:uid="{00000000-0005-0000-0000-00000A000000}"/>
    <cellStyle name="20% - Accent6 2" xfId="474" xr:uid="{00000000-0005-0000-0000-00000B000000}"/>
    <cellStyle name="20% - 輔色1" xfId="267" builtinId="30" customBuiltin="1"/>
    <cellStyle name="20% - 輔色1 10" xfId="168" xr:uid="{00000000-0005-0000-0000-00000D000000}"/>
    <cellStyle name="20% - 輔色1 10 2" xfId="419" xr:uid="{00000000-0005-0000-0000-00000E000000}"/>
    <cellStyle name="20% - 輔色1 11" xfId="182" xr:uid="{00000000-0005-0000-0000-00000F000000}"/>
    <cellStyle name="20% - 輔色1 11 2" xfId="433" xr:uid="{00000000-0005-0000-0000-000010000000}"/>
    <cellStyle name="20% - 輔色1 12" xfId="196" xr:uid="{00000000-0005-0000-0000-000011000000}"/>
    <cellStyle name="20% - 輔色1 12 2" xfId="447" xr:uid="{00000000-0005-0000-0000-000012000000}"/>
    <cellStyle name="20% - 輔色1 13" xfId="294" xr:uid="{00000000-0005-0000-0000-000013000000}"/>
    <cellStyle name="20% - 輔色1 13 2" xfId="501" xr:uid="{00000000-0005-0000-0000-000014000000}"/>
    <cellStyle name="20% - 輔色1 14" xfId="479" xr:uid="{00000000-0005-0000-0000-000015000000}"/>
    <cellStyle name="20% - 輔色1 2" xfId="1" xr:uid="{00000000-0005-0000-0000-000016000000}"/>
    <cellStyle name="20% - 輔色1 3" xfId="68" xr:uid="{00000000-0005-0000-0000-000017000000}"/>
    <cellStyle name="20% - 輔色1 3 2" xfId="319" xr:uid="{00000000-0005-0000-0000-000018000000}"/>
    <cellStyle name="20% - 輔色1 4" xfId="82" xr:uid="{00000000-0005-0000-0000-000019000000}"/>
    <cellStyle name="20% - 輔色1 4 2" xfId="333" xr:uid="{00000000-0005-0000-0000-00001A000000}"/>
    <cellStyle name="20% - 輔色1 5" xfId="96" xr:uid="{00000000-0005-0000-0000-00001B000000}"/>
    <cellStyle name="20% - 輔色1 5 2" xfId="347" xr:uid="{00000000-0005-0000-0000-00001C000000}"/>
    <cellStyle name="20% - 輔色1 6" xfId="110" xr:uid="{00000000-0005-0000-0000-00001D000000}"/>
    <cellStyle name="20% - 輔色1 6 2" xfId="361" xr:uid="{00000000-0005-0000-0000-00001E000000}"/>
    <cellStyle name="20% - 輔色1 7" xfId="126" xr:uid="{00000000-0005-0000-0000-00001F000000}"/>
    <cellStyle name="20% - 輔色1 7 2" xfId="377" xr:uid="{00000000-0005-0000-0000-000020000000}"/>
    <cellStyle name="20% - 輔色1 8" xfId="140" xr:uid="{00000000-0005-0000-0000-000021000000}"/>
    <cellStyle name="20% - 輔色1 8 2" xfId="391" xr:uid="{00000000-0005-0000-0000-000022000000}"/>
    <cellStyle name="20% - 輔色1 9" xfId="154" xr:uid="{00000000-0005-0000-0000-000023000000}"/>
    <cellStyle name="20% - 輔色1 9 2" xfId="405" xr:uid="{00000000-0005-0000-0000-000024000000}"/>
    <cellStyle name="20% - 輔色2" xfId="271" builtinId="34" customBuiltin="1"/>
    <cellStyle name="20% - 輔色2 10" xfId="170" xr:uid="{00000000-0005-0000-0000-000026000000}"/>
    <cellStyle name="20% - 輔色2 10 2" xfId="421" xr:uid="{00000000-0005-0000-0000-000027000000}"/>
    <cellStyle name="20% - 輔色2 11" xfId="184" xr:uid="{00000000-0005-0000-0000-000028000000}"/>
    <cellStyle name="20% - 輔色2 11 2" xfId="435" xr:uid="{00000000-0005-0000-0000-000029000000}"/>
    <cellStyle name="20% - 輔色2 12" xfId="198" xr:uid="{00000000-0005-0000-0000-00002A000000}"/>
    <cellStyle name="20% - 輔色2 12 2" xfId="449" xr:uid="{00000000-0005-0000-0000-00002B000000}"/>
    <cellStyle name="20% - 輔色2 13" xfId="297" xr:uid="{00000000-0005-0000-0000-00002C000000}"/>
    <cellStyle name="20% - 輔色2 13 2" xfId="504" xr:uid="{00000000-0005-0000-0000-00002D000000}"/>
    <cellStyle name="20% - 輔色2 14" xfId="482" xr:uid="{00000000-0005-0000-0000-00002E000000}"/>
    <cellStyle name="20% - 輔色2 2" xfId="2" xr:uid="{00000000-0005-0000-0000-00002F000000}"/>
    <cellStyle name="20% - 輔色2 3" xfId="70" xr:uid="{00000000-0005-0000-0000-000030000000}"/>
    <cellStyle name="20% - 輔色2 3 2" xfId="321" xr:uid="{00000000-0005-0000-0000-000031000000}"/>
    <cellStyle name="20% - 輔色2 4" xfId="84" xr:uid="{00000000-0005-0000-0000-000032000000}"/>
    <cellStyle name="20% - 輔色2 4 2" xfId="335" xr:uid="{00000000-0005-0000-0000-000033000000}"/>
    <cellStyle name="20% - 輔色2 5" xfId="98" xr:uid="{00000000-0005-0000-0000-000034000000}"/>
    <cellStyle name="20% - 輔色2 5 2" xfId="349" xr:uid="{00000000-0005-0000-0000-000035000000}"/>
    <cellStyle name="20% - 輔色2 6" xfId="112" xr:uid="{00000000-0005-0000-0000-000036000000}"/>
    <cellStyle name="20% - 輔色2 6 2" xfId="363" xr:uid="{00000000-0005-0000-0000-000037000000}"/>
    <cellStyle name="20% - 輔色2 7" xfId="128" xr:uid="{00000000-0005-0000-0000-000038000000}"/>
    <cellStyle name="20% - 輔色2 7 2" xfId="379" xr:uid="{00000000-0005-0000-0000-000039000000}"/>
    <cellStyle name="20% - 輔色2 8" xfId="142" xr:uid="{00000000-0005-0000-0000-00003A000000}"/>
    <cellStyle name="20% - 輔色2 8 2" xfId="393" xr:uid="{00000000-0005-0000-0000-00003B000000}"/>
    <cellStyle name="20% - 輔色2 9" xfId="156" xr:uid="{00000000-0005-0000-0000-00003C000000}"/>
    <cellStyle name="20% - 輔色2 9 2" xfId="407" xr:uid="{00000000-0005-0000-0000-00003D000000}"/>
    <cellStyle name="20% - 輔色3" xfId="275" builtinId="38" customBuiltin="1"/>
    <cellStyle name="20% - 輔色3 10" xfId="172" xr:uid="{00000000-0005-0000-0000-00003F000000}"/>
    <cellStyle name="20% - 輔色3 10 2" xfId="423" xr:uid="{00000000-0005-0000-0000-000040000000}"/>
    <cellStyle name="20% - 輔色3 11" xfId="186" xr:uid="{00000000-0005-0000-0000-000041000000}"/>
    <cellStyle name="20% - 輔色3 11 2" xfId="437" xr:uid="{00000000-0005-0000-0000-000042000000}"/>
    <cellStyle name="20% - 輔色3 12" xfId="200" xr:uid="{00000000-0005-0000-0000-000043000000}"/>
    <cellStyle name="20% - 輔色3 12 2" xfId="451" xr:uid="{00000000-0005-0000-0000-000044000000}"/>
    <cellStyle name="20% - 輔色3 13" xfId="300" xr:uid="{00000000-0005-0000-0000-000045000000}"/>
    <cellStyle name="20% - 輔色3 13 2" xfId="507" xr:uid="{00000000-0005-0000-0000-000046000000}"/>
    <cellStyle name="20% - 輔色3 14" xfId="485" xr:uid="{00000000-0005-0000-0000-000047000000}"/>
    <cellStyle name="20% - 輔色3 2" xfId="3" xr:uid="{00000000-0005-0000-0000-000048000000}"/>
    <cellStyle name="20% - 輔色3 3" xfId="72" xr:uid="{00000000-0005-0000-0000-000049000000}"/>
    <cellStyle name="20% - 輔色3 3 2" xfId="323" xr:uid="{00000000-0005-0000-0000-00004A000000}"/>
    <cellStyle name="20% - 輔色3 4" xfId="86" xr:uid="{00000000-0005-0000-0000-00004B000000}"/>
    <cellStyle name="20% - 輔色3 4 2" xfId="337" xr:uid="{00000000-0005-0000-0000-00004C000000}"/>
    <cellStyle name="20% - 輔色3 5" xfId="100" xr:uid="{00000000-0005-0000-0000-00004D000000}"/>
    <cellStyle name="20% - 輔色3 5 2" xfId="351" xr:uid="{00000000-0005-0000-0000-00004E000000}"/>
    <cellStyle name="20% - 輔色3 6" xfId="114" xr:uid="{00000000-0005-0000-0000-00004F000000}"/>
    <cellStyle name="20% - 輔色3 6 2" xfId="365" xr:uid="{00000000-0005-0000-0000-000050000000}"/>
    <cellStyle name="20% - 輔色3 7" xfId="130" xr:uid="{00000000-0005-0000-0000-000051000000}"/>
    <cellStyle name="20% - 輔色3 7 2" xfId="381" xr:uid="{00000000-0005-0000-0000-000052000000}"/>
    <cellStyle name="20% - 輔色3 8" xfId="144" xr:uid="{00000000-0005-0000-0000-000053000000}"/>
    <cellStyle name="20% - 輔色3 8 2" xfId="395" xr:uid="{00000000-0005-0000-0000-000054000000}"/>
    <cellStyle name="20% - 輔色3 9" xfId="158" xr:uid="{00000000-0005-0000-0000-000055000000}"/>
    <cellStyle name="20% - 輔色3 9 2" xfId="409" xr:uid="{00000000-0005-0000-0000-000056000000}"/>
    <cellStyle name="20% - 輔色4" xfId="279" builtinId="42" customBuiltin="1"/>
    <cellStyle name="20% - 輔色4 10" xfId="174" xr:uid="{00000000-0005-0000-0000-000058000000}"/>
    <cellStyle name="20% - 輔色4 10 2" xfId="425" xr:uid="{00000000-0005-0000-0000-000059000000}"/>
    <cellStyle name="20% - 輔色4 11" xfId="188" xr:uid="{00000000-0005-0000-0000-00005A000000}"/>
    <cellStyle name="20% - 輔色4 11 2" xfId="439" xr:uid="{00000000-0005-0000-0000-00005B000000}"/>
    <cellStyle name="20% - 輔色4 12" xfId="202" xr:uid="{00000000-0005-0000-0000-00005C000000}"/>
    <cellStyle name="20% - 輔色4 12 2" xfId="453" xr:uid="{00000000-0005-0000-0000-00005D000000}"/>
    <cellStyle name="20% - 輔色4 13" xfId="303" xr:uid="{00000000-0005-0000-0000-00005E000000}"/>
    <cellStyle name="20% - 輔色4 13 2" xfId="510" xr:uid="{00000000-0005-0000-0000-00005F000000}"/>
    <cellStyle name="20% - 輔色4 14" xfId="488" xr:uid="{00000000-0005-0000-0000-000060000000}"/>
    <cellStyle name="20% - 輔色4 2" xfId="4" xr:uid="{00000000-0005-0000-0000-000061000000}"/>
    <cellStyle name="20% - 輔色4 3" xfId="74" xr:uid="{00000000-0005-0000-0000-000062000000}"/>
    <cellStyle name="20% - 輔色4 3 2" xfId="325" xr:uid="{00000000-0005-0000-0000-000063000000}"/>
    <cellStyle name="20% - 輔色4 4" xfId="88" xr:uid="{00000000-0005-0000-0000-000064000000}"/>
    <cellStyle name="20% - 輔色4 4 2" xfId="339" xr:uid="{00000000-0005-0000-0000-000065000000}"/>
    <cellStyle name="20% - 輔色4 5" xfId="102" xr:uid="{00000000-0005-0000-0000-000066000000}"/>
    <cellStyle name="20% - 輔色4 5 2" xfId="353" xr:uid="{00000000-0005-0000-0000-000067000000}"/>
    <cellStyle name="20% - 輔色4 6" xfId="116" xr:uid="{00000000-0005-0000-0000-000068000000}"/>
    <cellStyle name="20% - 輔色4 6 2" xfId="367" xr:uid="{00000000-0005-0000-0000-000069000000}"/>
    <cellStyle name="20% - 輔色4 7" xfId="132" xr:uid="{00000000-0005-0000-0000-00006A000000}"/>
    <cellStyle name="20% - 輔色4 7 2" xfId="383" xr:uid="{00000000-0005-0000-0000-00006B000000}"/>
    <cellStyle name="20% - 輔色4 8" xfId="146" xr:uid="{00000000-0005-0000-0000-00006C000000}"/>
    <cellStyle name="20% - 輔色4 8 2" xfId="397" xr:uid="{00000000-0005-0000-0000-00006D000000}"/>
    <cellStyle name="20% - 輔色4 9" xfId="160" xr:uid="{00000000-0005-0000-0000-00006E000000}"/>
    <cellStyle name="20% - 輔色4 9 2" xfId="411" xr:uid="{00000000-0005-0000-0000-00006F000000}"/>
    <cellStyle name="20% - 輔色5" xfId="283" builtinId="46" customBuiltin="1"/>
    <cellStyle name="20% - 輔色5 10" xfId="176" xr:uid="{00000000-0005-0000-0000-000071000000}"/>
    <cellStyle name="20% - 輔色5 10 2" xfId="427" xr:uid="{00000000-0005-0000-0000-000072000000}"/>
    <cellStyle name="20% - 輔色5 11" xfId="190" xr:uid="{00000000-0005-0000-0000-000073000000}"/>
    <cellStyle name="20% - 輔色5 11 2" xfId="441" xr:uid="{00000000-0005-0000-0000-000074000000}"/>
    <cellStyle name="20% - 輔色5 12" xfId="204" xr:uid="{00000000-0005-0000-0000-000075000000}"/>
    <cellStyle name="20% - 輔色5 12 2" xfId="455" xr:uid="{00000000-0005-0000-0000-000076000000}"/>
    <cellStyle name="20% - 輔色5 13" xfId="306" xr:uid="{00000000-0005-0000-0000-000077000000}"/>
    <cellStyle name="20% - 輔色5 13 2" xfId="513" xr:uid="{00000000-0005-0000-0000-000078000000}"/>
    <cellStyle name="20% - 輔色5 14" xfId="491" xr:uid="{00000000-0005-0000-0000-000079000000}"/>
    <cellStyle name="20% - 輔色5 2" xfId="5" xr:uid="{00000000-0005-0000-0000-00007A000000}"/>
    <cellStyle name="20% - 輔色5 3" xfId="76" xr:uid="{00000000-0005-0000-0000-00007B000000}"/>
    <cellStyle name="20% - 輔色5 3 2" xfId="327" xr:uid="{00000000-0005-0000-0000-00007C000000}"/>
    <cellStyle name="20% - 輔色5 4" xfId="90" xr:uid="{00000000-0005-0000-0000-00007D000000}"/>
    <cellStyle name="20% - 輔色5 4 2" xfId="341" xr:uid="{00000000-0005-0000-0000-00007E000000}"/>
    <cellStyle name="20% - 輔色5 5" xfId="104" xr:uid="{00000000-0005-0000-0000-00007F000000}"/>
    <cellStyle name="20% - 輔色5 5 2" xfId="355" xr:uid="{00000000-0005-0000-0000-000080000000}"/>
    <cellStyle name="20% - 輔色5 6" xfId="118" xr:uid="{00000000-0005-0000-0000-000081000000}"/>
    <cellStyle name="20% - 輔色5 6 2" xfId="369" xr:uid="{00000000-0005-0000-0000-000082000000}"/>
    <cellStyle name="20% - 輔色5 7" xfId="134" xr:uid="{00000000-0005-0000-0000-000083000000}"/>
    <cellStyle name="20% - 輔色5 7 2" xfId="385" xr:uid="{00000000-0005-0000-0000-000084000000}"/>
    <cellStyle name="20% - 輔色5 8" xfId="148" xr:uid="{00000000-0005-0000-0000-000085000000}"/>
    <cellStyle name="20% - 輔色5 8 2" xfId="399" xr:uid="{00000000-0005-0000-0000-000086000000}"/>
    <cellStyle name="20% - 輔色5 9" xfId="162" xr:uid="{00000000-0005-0000-0000-000087000000}"/>
    <cellStyle name="20% - 輔色5 9 2" xfId="413" xr:uid="{00000000-0005-0000-0000-000088000000}"/>
    <cellStyle name="20% - 輔色6" xfId="287" builtinId="50" customBuiltin="1"/>
    <cellStyle name="20% - 輔色6 10" xfId="178" xr:uid="{00000000-0005-0000-0000-00008A000000}"/>
    <cellStyle name="20% - 輔色6 10 2" xfId="429" xr:uid="{00000000-0005-0000-0000-00008B000000}"/>
    <cellStyle name="20% - 輔色6 11" xfId="192" xr:uid="{00000000-0005-0000-0000-00008C000000}"/>
    <cellStyle name="20% - 輔色6 11 2" xfId="443" xr:uid="{00000000-0005-0000-0000-00008D000000}"/>
    <cellStyle name="20% - 輔色6 12" xfId="206" xr:uid="{00000000-0005-0000-0000-00008E000000}"/>
    <cellStyle name="20% - 輔色6 12 2" xfId="457" xr:uid="{00000000-0005-0000-0000-00008F000000}"/>
    <cellStyle name="20% - 輔色6 13" xfId="309" xr:uid="{00000000-0005-0000-0000-000090000000}"/>
    <cellStyle name="20% - 輔色6 13 2" xfId="516" xr:uid="{00000000-0005-0000-0000-000091000000}"/>
    <cellStyle name="20% - 輔色6 14" xfId="494" xr:uid="{00000000-0005-0000-0000-000092000000}"/>
    <cellStyle name="20% - 輔色6 2" xfId="6" xr:uid="{00000000-0005-0000-0000-000093000000}"/>
    <cellStyle name="20% - 輔色6 3" xfId="78" xr:uid="{00000000-0005-0000-0000-000094000000}"/>
    <cellStyle name="20% - 輔色6 3 2" xfId="329" xr:uid="{00000000-0005-0000-0000-000095000000}"/>
    <cellStyle name="20% - 輔色6 4" xfId="92" xr:uid="{00000000-0005-0000-0000-000096000000}"/>
    <cellStyle name="20% - 輔色6 4 2" xfId="343" xr:uid="{00000000-0005-0000-0000-000097000000}"/>
    <cellStyle name="20% - 輔色6 5" xfId="106" xr:uid="{00000000-0005-0000-0000-000098000000}"/>
    <cellStyle name="20% - 輔色6 5 2" xfId="357" xr:uid="{00000000-0005-0000-0000-000099000000}"/>
    <cellStyle name="20% - 輔色6 6" xfId="120" xr:uid="{00000000-0005-0000-0000-00009A000000}"/>
    <cellStyle name="20% - 輔色6 6 2" xfId="371" xr:uid="{00000000-0005-0000-0000-00009B000000}"/>
    <cellStyle name="20% - 輔色6 7" xfId="136" xr:uid="{00000000-0005-0000-0000-00009C000000}"/>
    <cellStyle name="20% - 輔色6 7 2" xfId="387" xr:uid="{00000000-0005-0000-0000-00009D000000}"/>
    <cellStyle name="20% - 輔色6 8" xfId="150" xr:uid="{00000000-0005-0000-0000-00009E000000}"/>
    <cellStyle name="20% - 輔色6 8 2" xfId="401" xr:uid="{00000000-0005-0000-0000-00009F000000}"/>
    <cellStyle name="20% - 輔色6 9" xfId="164" xr:uid="{00000000-0005-0000-0000-0000A0000000}"/>
    <cellStyle name="20% - 輔色6 9 2" xfId="415" xr:uid="{00000000-0005-0000-0000-0000A1000000}"/>
    <cellStyle name="40% - Accent1" xfId="226" xr:uid="{00000000-0005-0000-0000-0000A2000000}"/>
    <cellStyle name="40% - Accent1 2" xfId="460" xr:uid="{00000000-0005-0000-0000-0000A3000000}"/>
    <cellStyle name="40% - Accent2" xfId="230" xr:uid="{00000000-0005-0000-0000-0000A4000000}"/>
    <cellStyle name="40% - Accent2 2" xfId="463" xr:uid="{00000000-0005-0000-0000-0000A5000000}"/>
    <cellStyle name="40% - Accent3" xfId="234" xr:uid="{00000000-0005-0000-0000-0000A6000000}"/>
    <cellStyle name="40% - Accent3 2" xfId="466" xr:uid="{00000000-0005-0000-0000-0000A7000000}"/>
    <cellStyle name="40% - Accent4" xfId="238" xr:uid="{00000000-0005-0000-0000-0000A8000000}"/>
    <cellStyle name="40% - Accent4 2" xfId="469" xr:uid="{00000000-0005-0000-0000-0000A9000000}"/>
    <cellStyle name="40% - Accent5" xfId="242" xr:uid="{00000000-0005-0000-0000-0000AA000000}"/>
    <cellStyle name="40% - Accent5 2" xfId="472" xr:uid="{00000000-0005-0000-0000-0000AB000000}"/>
    <cellStyle name="40% - Accent6" xfId="246" xr:uid="{00000000-0005-0000-0000-0000AC000000}"/>
    <cellStyle name="40% - Accent6 2" xfId="475" xr:uid="{00000000-0005-0000-0000-0000AD000000}"/>
    <cellStyle name="40% - 輔色1" xfId="268" builtinId="31" customBuiltin="1"/>
    <cellStyle name="40% - 輔色1 10" xfId="169" xr:uid="{00000000-0005-0000-0000-0000AF000000}"/>
    <cellStyle name="40% - 輔色1 10 2" xfId="420" xr:uid="{00000000-0005-0000-0000-0000B0000000}"/>
    <cellStyle name="40% - 輔色1 11" xfId="183" xr:uid="{00000000-0005-0000-0000-0000B1000000}"/>
    <cellStyle name="40% - 輔色1 11 2" xfId="434" xr:uid="{00000000-0005-0000-0000-0000B2000000}"/>
    <cellStyle name="40% - 輔色1 12" xfId="197" xr:uid="{00000000-0005-0000-0000-0000B3000000}"/>
    <cellStyle name="40% - 輔色1 12 2" xfId="448" xr:uid="{00000000-0005-0000-0000-0000B4000000}"/>
    <cellStyle name="40% - 輔色1 13" xfId="295" xr:uid="{00000000-0005-0000-0000-0000B5000000}"/>
    <cellStyle name="40% - 輔色1 13 2" xfId="502" xr:uid="{00000000-0005-0000-0000-0000B6000000}"/>
    <cellStyle name="40% - 輔色1 14" xfId="480" xr:uid="{00000000-0005-0000-0000-0000B7000000}"/>
    <cellStyle name="40% - 輔色1 2" xfId="7" xr:uid="{00000000-0005-0000-0000-0000B8000000}"/>
    <cellStyle name="40% - 輔色1 3" xfId="69" xr:uid="{00000000-0005-0000-0000-0000B9000000}"/>
    <cellStyle name="40% - 輔色1 3 2" xfId="320" xr:uid="{00000000-0005-0000-0000-0000BA000000}"/>
    <cellStyle name="40% - 輔色1 4" xfId="83" xr:uid="{00000000-0005-0000-0000-0000BB000000}"/>
    <cellStyle name="40% - 輔色1 4 2" xfId="334" xr:uid="{00000000-0005-0000-0000-0000BC000000}"/>
    <cellStyle name="40% - 輔色1 5" xfId="97" xr:uid="{00000000-0005-0000-0000-0000BD000000}"/>
    <cellStyle name="40% - 輔色1 5 2" xfId="348" xr:uid="{00000000-0005-0000-0000-0000BE000000}"/>
    <cellStyle name="40% - 輔色1 6" xfId="111" xr:uid="{00000000-0005-0000-0000-0000BF000000}"/>
    <cellStyle name="40% - 輔色1 6 2" xfId="362" xr:uid="{00000000-0005-0000-0000-0000C0000000}"/>
    <cellStyle name="40% - 輔色1 7" xfId="127" xr:uid="{00000000-0005-0000-0000-0000C1000000}"/>
    <cellStyle name="40% - 輔色1 7 2" xfId="378" xr:uid="{00000000-0005-0000-0000-0000C2000000}"/>
    <cellStyle name="40% - 輔色1 8" xfId="141" xr:uid="{00000000-0005-0000-0000-0000C3000000}"/>
    <cellStyle name="40% - 輔色1 8 2" xfId="392" xr:uid="{00000000-0005-0000-0000-0000C4000000}"/>
    <cellStyle name="40% - 輔色1 9" xfId="155" xr:uid="{00000000-0005-0000-0000-0000C5000000}"/>
    <cellStyle name="40% - 輔色1 9 2" xfId="406" xr:uid="{00000000-0005-0000-0000-0000C6000000}"/>
    <cellStyle name="40% - 輔色2" xfId="272" builtinId="35" customBuiltin="1"/>
    <cellStyle name="40% - 輔色2 10" xfId="171" xr:uid="{00000000-0005-0000-0000-0000C8000000}"/>
    <cellStyle name="40% - 輔色2 10 2" xfId="422" xr:uid="{00000000-0005-0000-0000-0000C9000000}"/>
    <cellStyle name="40% - 輔色2 11" xfId="185" xr:uid="{00000000-0005-0000-0000-0000CA000000}"/>
    <cellStyle name="40% - 輔色2 11 2" xfId="436" xr:uid="{00000000-0005-0000-0000-0000CB000000}"/>
    <cellStyle name="40% - 輔色2 12" xfId="199" xr:uid="{00000000-0005-0000-0000-0000CC000000}"/>
    <cellStyle name="40% - 輔色2 12 2" xfId="450" xr:uid="{00000000-0005-0000-0000-0000CD000000}"/>
    <cellStyle name="40% - 輔色2 13" xfId="298" xr:uid="{00000000-0005-0000-0000-0000CE000000}"/>
    <cellStyle name="40% - 輔色2 13 2" xfId="505" xr:uid="{00000000-0005-0000-0000-0000CF000000}"/>
    <cellStyle name="40% - 輔色2 14" xfId="483" xr:uid="{00000000-0005-0000-0000-0000D0000000}"/>
    <cellStyle name="40% - 輔色2 2" xfId="8" xr:uid="{00000000-0005-0000-0000-0000D1000000}"/>
    <cellStyle name="40% - 輔色2 3" xfId="71" xr:uid="{00000000-0005-0000-0000-0000D2000000}"/>
    <cellStyle name="40% - 輔色2 3 2" xfId="322" xr:uid="{00000000-0005-0000-0000-0000D3000000}"/>
    <cellStyle name="40% - 輔色2 4" xfId="85" xr:uid="{00000000-0005-0000-0000-0000D4000000}"/>
    <cellStyle name="40% - 輔色2 4 2" xfId="336" xr:uid="{00000000-0005-0000-0000-0000D5000000}"/>
    <cellStyle name="40% - 輔色2 5" xfId="99" xr:uid="{00000000-0005-0000-0000-0000D6000000}"/>
    <cellStyle name="40% - 輔色2 5 2" xfId="350" xr:uid="{00000000-0005-0000-0000-0000D7000000}"/>
    <cellStyle name="40% - 輔色2 6" xfId="113" xr:uid="{00000000-0005-0000-0000-0000D8000000}"/>
    <cellStyle name="40% - 輔色2 6 2" xfId="364" xr:uid="{00000000-0005-0000-0000-0000D9000000}"/>
    <cellStyle name="40% - 輔色2 7" xfId="129" xr:uid="{00000000-0005-0000-0000-0000DA000000}"/>
    <cellStyle name="40% - 輔色2 7 2" xfId="380" xr:uid="{00000000-0005-0000-0000-0000DB000000}"/>
    <cellStyle name="40% - 輔色2 8" xfId="143" xr:uid="{00000000-0005-0000-0000-0000DC000000}"/>
    <cellStyle name="40% - 輔色2 8 2" xfId="394" xr:uid="{00000000-0005-0000-0000-0000DD000000}"/>
    <cellStyle name="40% - 輔色2 9" xfId="157" xr:uid="{00000000-0005-0000-0000-0000DE000000}"/>
    <cellStyle name="40% - 輔色2 9 2" xfId="408" xr:uid="{00000000-0005-0000-0000-0000DF000000}"/>
    <cellStyle name="40% - 輔色3" xfId="276" builtinId="39" customBuiltin="1"/>
    <cellStyle name="40% - 輔色3 10" xfId="173" xr:uid="{00000000-0005-0000-0000-0000E1000000}"/>
    <cellStyle name="40% - 輔色3 10 2" xfId="424" xr:uid="{00000000-0005-0000-0000-0000E2000000}"/>
    <cellStyle name="40% - 輔色3 11" xfId="187" xr:uid="{00000000-0005-0000-0000-0000E3000000}"/>
    <cellStyle name="40% - 輔色3 11 2" xfId="438" xr:uid="{00000000-0005-0000-0000-0000E4000000}"/>
    <cellStyle name="40% - 輔色3 12" xfId="201" xr:uid="{00000000-0005-0000-0000-0000E5000000}"/>
    <cellStyle name="40% - 輔色3 12 2" xfId="452" xr:uid="{00000000-0005-0000-0000-0000E6000000}"/>
    <cellStyle name="40% - 輔色3 13" xfId="301" xr:uid="{00000000-0005-0000-0000-0000E7000000}"/>
    <cellStyle name="40% - 輔色3 13 2" xfId="508" xr:uid="{00000000-0005-0000-0000-0000E8000000}"/>
    <cellStyle name="40% - 輔色3 14" xfId="486" xr:uid="{00000000-0005-0000-0000-0000E9000000}"/>
    <cellStyle name="40% - 輔色3 2" xfId="9" xr:uid="{00000000-0005-0000-0000-0000EA000000}"/>
    <cellStyle name="40% - 輔色3 3" xfId="73" xr:uid="{00000000-0005-0000-0000-0000EB000000}"/>
    <cellStyle name="40% - 輔色3 3 2" xfId="324" xr:uid="{00000000-0005-0000-0000-0000EC000000}"/>
    <cellStyle name="40% - 輔色3 4" xfId="87" xr:uid="{00000000-0005-0000-0000-0000ED000000}"/>
    <cellStyle name="40% - 輔色3 4 2" xfId="338" xr:uid="{00000000-0005-0000-0000-0000EE000000}"/>
    <cellStyle name="40% - 輔色3 5" xfId="101" xr:uid="{00000000-0005-0000-0000-0000EF000000}"/>
    <cellStyle name="40% - 輔色3 5 2" xfId="352" xr:uid="{00000000-0005-0000-0000-0000F0000000}"/>
    <cellStyle name="40% - 輔色3 6" xfId="115" xr:uid="{00000000-0005-0000-0000-0000F1000000}"/>
    <cellStyle name="40% - 輔色3 6 2" xfId="366" xr:uid="{00000000-0005-0000-0000-0000F2000000}"/>
    <cellStyle name="40% - 輔色3 7" xfId="131" xr:uid="{00000000-0005-0000-0000-0000F3000000}"/>
    <cellStyle name="40% - 輔色3 7 2" xfId="382" xr:uid="{00000000-0005-0000-0000-0000F4000000}"/>
    <cellStyle name="40% - 輔色3 8" xfId="145" xr:uid="{00000000-0005-0000-0000-0000F5000000}"/>
    <cellStyle name="40% - 輔色3 8 2" xfId="396" xr:uid="{00000000-0005-0000-0000-0000F6000000}"/>
    <cellStyle name="40% - 輔色3 9" xfId="159" xr:uid="{00000000-0005-0000-0000-0000F7000000}"/>
    <cellStyle name="40% - 輔色3 9 2" xfId="410" xr:uid="{00000000-0005-0000-0000-0000F8000000}"/>
    <cellStyle name="40% - 輔色4" xfId="280" builtinId="43" customBuiltin="1"/>
    <cellStyle name="40% - 輔色4 10" xfId="175" xr:uid="{00000000-0005-0000-0000-0000FA000000}"/>
    <cellStyle name="40% - 輔色4 10 2" xfId="426" xr:uid="{00000000-0005-0000-0000-0000FB000000}"/>
    <cellStyle name="40% - 輔色4 11" xfId="189" xr:uid="{00000000-0005-0000-0000-0000FC000000}"/>
    <cellStyle name="40% - 輔色4 11 2" xfId="440" xr:uid="{00000000-0005-0000-0000-0000FD000000}"/>
    <cellStyle name="40% - 輔色4 12" xfId="203" xr:uid="{00000000-0005-0000-0000-0000FE000000}"/>
    <cellStyle name="40% - 輔色4 12 2" xfId="454" xr:uid="{00000000-0005-0000-0000-0000FF000000}"/>
    <cellStyle name="40% - 輔色4 13" xfId="304" xr:uid="{00000000-0005-0000-0000-000000010000}"/>
    <cellStyle name="40% - 輔色4 13 2" xfId="511" xr:uid="{00000000-0005-0000-0000-000001010000}"/>
    <cellStyle name="40% - 輔色4 14" xfId="489" xr:uid="{00000000-0005-0000-0000-000002010000}"/>
    <cellStyle name="40% - 輔色4 2" xfId="10" xr:uid="{00000000-0005-0000-0000-000003010000}"/>
    <cellStyle name="40% - 輔色4 3" xfId="75" xr:uid="{00000000-0005-0000-0000-000004010000}"/>
    <cellStyle name="40% - 輔色4 3 2" xfId="326" xr:uid="{00000000-0005-0000-0000-000005010000}"/>
    <cellStyle name="40% - 輔色4 4" xfId="89" xr:uid="{00000000-0005-0000-0000-000006010000}"/>
    <cellStyle name="40% - 輔色4 4 2" xfId="340" xr:uid="{00000000-0005-0000-0000-000007010000}"/>
    <cellStyle name="40% - 輔色4 5" xfId="103" xr:uid="{00000000-0005-0000-0000-000008010000}"/>
    <cellStyle name="40% - 輔色4 5 2" xfId="354" xr:uid="{00000000-0005-0000-0000-000009010000}"/>
    <cellStyle name="40% - 輔色4 6" xfId="117" xr:uid="{00000000-0005-0000-0000-00000A010000}"/>
    <cellStyle name="40% - 輔色4 6 2" xfId="368" xr:uid="{00000000-0005-0000-0000-00000B010000}"/>
    <cellStyle name="40% - 輔色4 7" xfId="133" xr:uid="{00000000-0005-0000-0000-00000C010000}"/>
    <cellStyle name="40% - 輔色4 7 2" xfId="384" xr:uid="{00000000-0005-0000-0000-00000D010000}"/>
    <cellStyle name="40% - 輔色4 8" xfId="147" xr:uid="{00000000-0005-0000-0000-00000E010000}"/>
    <cellStyle name="40% - 輔色4 8 2" xfId="398" xr:uid="{00000000-0005-0000-0000-00000F010000}"/>
    <cellStyle name="40% - 輔色4 9" xfId="161" xr:uid="{00000000-0005-0000-0000-000010010000}"/>
    <cellStyle name="40% - 輔色4 9 2" xfId="412" xr:uid="{00000000-0005-0000-0000-000011010000}"/>
    <cellStyle name="40% - 輔色5" xfId="284" builtinId="47" customBuiltin="1"/>
    <cellStyle name="40% - 輔色5 10" xfId="177" xr:uid="{00000000-0005-0000-0000-000013010000}"/>
    <cellStyle name="40% - 輔色5 10 2" xfId="428" xr:uid="{00000000-0005-0000-0000-000014010000}"/>
    <cellStyle name="40% - 輔色5 11" xfId="191" xr:uid="{00000000-0005-0000-0000-000015010000}"/>
    <cellStyle name="40% - 輔色5 11 2" xfId="442" xr:uid="{00000000-0005-0000-0000-000016010000}"/>
    <cellStyle name="40% - 輔色5 12" xfId="205" xr:uid="{00000000-0005-0000-0000-000017010000}"/>
    <cellStyle name="40% - 輔色5 12 2" xfId="456" xr:uid="{00000000-0005-0000-0000-000018010000}"/>
    <cellStyle name="40% - 輔色5 13" xfId="307" xr:uid="{00000000-0005-0000-0000-000019010000}"/>
    <cellStyle name="40% - 輔色5 13 2" xfId="514" xr:uid="{00000000-0005-0000-0000-00001A010000}"/>
    <cellStyle name="40% - 輔色5 14" xfId="492" xr:uid="{00000000-0005-0000-0000-00001B010000}"/>
    <cellStyle name="40% - 輔色5 2" xfId="11" xr:uid="{00000000-0005-0000-0000-00001C010000}"/>
    <cellStyle name="40% - 輔色5 3" xfId="77" xr:uid="{00000000-0005-0000-0000-00001D010000}"/>
    <cellStyle name="40% - 輔色5 3 2" xfId="328" xr:uid="{00000000-0005-0000-0000-00001E010000}"/>
    <cellStyle name="40% - 輔色5 4" xfId="91" xr:uid="{00000000-0005-0000-0000-00001F010000}"/>
    <cellStyle name="40% - 輔色5 4 2" xfId="342" xr:uid="{00000000-0005-0000-0000-000020010000}"/>
    <cellStyle name="40% - 輔色5 5" xfId="105" xr:uid="{00000000-0005-0000-0000-000021010000}"/>
    <cellStyle name="40% - 輔色5 5 2" xfId="356" xr:uid="{00000000-0005-0000-0000-000022010000}"/>
    <cellStyle name="40% - 輔色5 6" xfId="119" xr:uid="{00000000-0005-0000-0000-000023010000}"/>
    <cellStyle name="40% - 輔色5 6 2" xfId="370" xr:uid="{00000000-0005-0000-0000-000024010000}"/>
    <cellStyle name="40% - 輔色5 7" xfId="135" xr:uid="{00000000-0005-0000-0000-000025010000}"/>
    <cellStyle name="40% - 輔色5 7 2" xfId="386" xr:uid="{00000000-0005-0000-0000-000026010000}"/>
    <cellStyle name="40% - 輔色5 8" xfId="149" xr:uid="{00000000-0005-0000-0000-000027010000}"/>
    <cellStyle name="40% - 輔色5 8 2" xfId="400" xr:uid="{00000000-0005-0000-0000-000028010000}"/>
    <cellStyle name="40% - 輔色5 9" xfId="163" xr:uid="{00000000-0005-0000-0000-000029010000}"/>
    <cellStyle name="40% - 輔色5 9 2" xfId="414" xr:uid="{00000000-0005-0000-0000-00002A010000}"/>
    <cellStyle name="40% - 輔色6" xfId="288" builtinId="51" customBuiltin="1"/>
    <cellStyle name="40% - 輔色6 10" xfId="179" xr:uid="{00000000-0005-0000-0000-00002C010000}"/>
    <cellStyle name="40% - 輔色6 10 2" xfId="430" xr:uid="{00000000-0005-0000-0000-00002D010000}"/>
    <cellStyle name="40% - 輔色6 11" xfId="193" xr:uid="{00000000-0005-0000-0000-00002E010000}"/>
    <cellStyle name="40% - 輔色6 11 2" xfId="444" xr:uid="{00000000-0005-0000-0000-00002F010000}"/>
    <cellStyle name="40% - 輔色6 12" xfId="207" xr:uid="{00000000-0005-0000-0000-000030010000}"/>
    <cellStyle name="40% - 輔色6 12 2" xfId="458" xr:uid="{00000000-0005-0000-0000-000031010000}"/>
    <cellStyle name="40% - 輔色6 13" xfId="310" xr:uid="{00000000-0005-0000-0000-000032010000}"/>
    <cellStyle name="40% - 輔色6 13 2" xfId="517" xr:uid="{00000000-0005-0000-0000-000033010000}"/>
    <cellStyle name="40% - 輔色6 14" xfId="495" xr:uid="{00000000-0005-0000-0000-000034010000}"/>
    <cellStyle name="40% - 輔色6 2" xfId="12" xr:uid="{00000000-0005-0000-0000-000035010000}"/>
    <cellStyle name="40% - 輔色6 3" xfId="79" xr:uid="{00000000-0005-0000-0000-000036010000}"/>
    <cellStyle name="40% - 輔色6 3 2" xfId="330" xr:uid="{00000000-0005-0000-0000-000037010000}"/>
    <cellStyle name="40% - 輔色6 4" xfId="93" xr:uid="{00000000-0005-0000-0000-000038010000}"/>
    <cellStyle name="40% - 輔色6 4 2" xfId="344" xr:uid="{00000000-0005-0000-0000-000039010000}"/>
    <cellStyle name="40% - 輔色6 5" xfId="107" xr:uid="{00000000-0005-0000-0000-00003A010000}"/>
    <cellStyle name="40% - 輔色6 5 2" xfId="358" xr:uid="{00000000-0005-0000-0000-00003B010000}"/>
    <cellStyle name="40% - 輔色6 6" xfId="121" xr:uid="{00000000-0005-0000-0000-00003C010000}"/>
    <cellStyle name="40% - 輔色6 6 2" xfId="372" xr:uid="{00000000-0005-0000-0000-00003D010000}"/>
    <cellStyle name="40% - 輔色6 7" xfId="137" xr:uid="{00000000-0005-0000-0000-00003E010000}"/>
    <cellStyle name="40% - 輔色6 7 2" xfId="388" xr:uid="{00000000-0005-0000-0000-00003F010000}"/>
    <cellStyle name="40% - 輔色6 8" xfId="151" xr:uid="{00000000-0005-0000-0000-000040010000}"/>
    <cellStyle name="40% - 輔色6 8 2" xfId="402" xr:uid="{00000000-0005-0000-0000-000041010000}"/>
    <cellStyle name="40% - 輔色6 9" xfId="165" xr:uid="{00000000-0005-0000-0000-000042010000}"/>
    <cellStyle name="40% - 輔色6 9 2" xfId="416" xr:uid="{00000000-0005-0000-0000-000043010000}"/>
    <cellStyle name="60% - Accent1" xfId="227" xr:uid="{00000000-0005-0000-0000-000044010000}"/>
    <cellStyle name="60% - Accent1 2" xfId="461" xr:uid="{00000000-0005-0000-0000-000045010000}"/>
    <cellStyle name="60% - Accent2" xfId="231" xr:uid="{00000000-0005-0000-0000-000046010000}"/>
    <cellStyle name="60% - Accent2 2" xfId="464" xr:uid="{00000000-0005-0000-0000-000047010000}"/>
    <cellStyle name="60% - Accent3" xfId="235" xr:uid="{00000000-0005-0000-0000-000048010000}"/>
    <cellStyle name="60% - Accent3 2" xfId="467" xr:uid="{00000000-0005-0000-0000-000049010000}"/>
    <cellStyle name="60% - Accent4" xfId="239" xr:uid="{00000000-0005-0000-0000-00004A010000}"/>
    <cellStyle name="60% - Accent4 2" xfId="470" xr:uid="{00000000-0005-0000-0000-00004B010000}"/>
    <cellStyle name="60% - Accent5" xfId="243" xr:uid="{00000000-0005-0000-0000-00004C010000}"/>
    <cellStyle name="60% - Accent5 2" xfId="473" xr:uid="{00000000-0005-0000-0000-00004D010000}"/>
    <cellStyle name="60% - Accent6" xfId="247" xr:uid="{00000000-0005-0000-0000-00004E010000}"/>
    <cellStyle name="60% - Accent6 2" xfId="476" xr:uid="{00000000-0005-0000-0000-00004F010000}"/>
    <cellStyle name="60% - 輔色1" xfId="269" builtinId="32" customBuiltin="1"/>
    <cellStyle name="60% - 輔色1 2" xfId="13" xr:uid="{00000000-0005-0000-0000-000051010000}"/>
    <cellStyle name="60% - 輔色1 3" xfId="58" xr:uid="{00000000-0005-0000-0000-000052010000}"/>
    <cellStyle name="60% - 輔色1 4" xfId="296" xr:uid="{00000000-0005-0000-0000-000053010000}"/>
    <cellStyle name="60% - 輔色1 4 2" xfId="503" xr:uid="{00000000-0005-0000-0000-000054010000}"/>
    <cellStyle name="60% - 輔色1 5" xfId="481" xr:uid="{00000000-0005-0000-0000-000055010000}"/>
    <cellStyle name="60% - 輔色2" xfId="273" builtinId="36" customBuiltin="1"/>
    <cellStyle name="60% - 輔色2 2" xfId="14" xr:uid="{00000000-0005-0000-0000-000057010000}"/>
    <cellStyle name="60% - 輔色2 3" xfId="59" xr:uid="{00000000-0005-0000-0000-000058010000}"/>
    <cellStyle name="60% - 輔色2 4" xfId="299" xr:uid="{00000000-0005-0000-0000-000059010000}"/>
    <cellStyle name="60% - 輔色2 4 2" xfId="506" xr:uid="{00000000-0005-0000-0000-00005A010000}"/>
    <cellStyle name="60% - 輔色2 5" xfId="484" xr:uid="{00000000-0005-0000-0000-00005B010000}"/>
    <cellStyle name="60% - 輔色3" xfId="277" builtinId="40" customBuiltin="1"/>
    <cellStyle name="60% - 輔色3 2" xfId="15" xr:uid="{00000000-0005-0000-0000-00005D010000}"/>
    <cellStyle name="60% - 輔色3 3" xfId="60" xr:uid="{00000000-0005-0000-0000-00005E010000}"/>
    <cellStyle name="60% - 輔色3 4" xfId="302" xr:uid="{00000000-0005-0000-0000-00005F010000}"/>
    <cellStyle name="60% - 輔色3 4 2" xfId="509" xr:uid="{00000000-0005-0000-0000-000060010000}"/>
    <cellStyle name="60% - 輔色3 5" xfId="487" xr:uid="{00000000-0005-0000-0000-000061010000}"/>
    <cellStyle name="60% - 輔色4" xfId="281" builtinId="44" customBuiltin="1"/>
    <cellStyle name="60% - 輔色4 2" xfId="16" xr:uid="{00000000-0005-0000-0000-000063010000}"/>
    <cellStyle name="60% - 輔色4 3" xfId="61" xr:uid="{00000000-0005-0000-0000-000064010000}"/>
    <cellStyle name="60% - 輔色4 4" xfId="305" xr:uid="{00000000-0005-0000-0000-000065010000}"/>
    <cellStyle name="60% - 輔色4 4 2" xfId="512" xr:uid="{00000000-0005-0000-0000-000066010000}"/>
    <cellStyle name="60% - 輔色4 5" xfId="490" xr:uid="{00000000-0005-0000-0000-000067010000}"/>
    <cellStyle name="60% - 輔色5" xfId="285" builtinId="48" customBuiltin="1"/>
    <cellStyle name="60% - 輔色5 2" xfId="17" xr:uid="{00000000-0005-0000-0000-000069010000}"/>
    <cellStyle name="60% - 輔色5 3" xfId="62" xr:uid="{00000000-0005-0000-0000-00006A010000}"/>
    <cellStyle name="60% - 輔色5 4" xfId="308" xr:uid="{00000000-0005-0000-0000-00006B010000}"/>
    <cellStyle name="60% - 輔色5 4 2" xfId="515" xr:uid="{00000000-0005-0000-0000-00006C010000}"/>
    <cellStyle name="60% - 輔色5 5" xfId="493" xr:uid="{00000000-0005-0000-0000-00006D010000}"/>
    <cellStyle name="60% - 輔色6" xfId="289" builtinId="52" customBuiltin="1"/>
    <cellStyle name="60% - 輔色6 2" xfId="18" xr:uid="{00000000-0005-0000-0000-00006F010000}"/>
    <cellStyle name="60% - 輔色6 3" xfId="63" xr:uid="{00000000-0005-0000-0000-000070010000}"/>
    <cellStyle name="60% - 輔色6 4" xfId="311" xr:uid="{00000000-0005-0000-0000-000071010000}"/>
    <cellStyle name="60% - 輔色6 4 2" xfId="518" xr:uid="{00000000-0005-0000-0000-000072010000}"/>
    <cellStyle name="60% - 輔色6 5" xfId="496" xr:uid="{00000000-0005-0000-0000-000073010000}"/>
    <cellStyle name="Accent1" xfId="224" xr:uid="{00000000-0005-0000-0000-000074010000}"/>
    <cellStyle name="Accent2" xfId="228" xr:uid="{00000000-0005-0000-0000-000075010000}"/>
    <cellStyle name="Accent3" xfId="232" xr:uid="{00000000-0005-0000-0000-000076010000}"/>
    <cellStyle name="Accent4" xfId="236" xr:uid="{00000000-0005-0000-0000-000077010000}"/>
    <cellStyle name="Accent5" xfId="240" xr:uid="{00000000-0005-0000-0000-000078010000}"/>
    <cellStyle name="Accent6" xfId="244" xr:uid="{00000000-0005-0000-0000-000079010000}"/>
    <cellStyle name="Bad" xfId="214" xr:uid="{00000000-0005-0000-0000-00007A010000}"/>
    <cellStyle name="blp_amount" xfId="527" xr:uid="{AE791265-0AC1-42EE-B544-785FCFAE0240}"/>
    <cellStyle name="blp_bloomberg_header_cell" xfId="524" xr:uid="{081AD523-2FAF-4736-BB2B-BAD73D156B3F}"/>
    <cellStyle name="blp_column_header" xfId="522" xr:uid="{00000000-0005-0000-0000-00007B010000}"/>
    <cellStyle name="blp_percent" xfId="526" xr:uid="{E5F1AA1B-74AD-467A-8355-08BFF44A4C2D}"/>
    <cellStyle name="blp_quantity" xfId="525" xr:uid="{02DC6C30-A88F-435D-B399-FB5B22D5F0C0}"/>
    <cellStyle name="Calculation" xfId="218" xr:uid="{00000000-0005-0000-0000-00007C010000}"/>
    <cellStyle name="Check Cell" xfId="220" xr:uid="{00000000-0005-0000-0000-00007D010000}"/>
    <cellStyle name="Euro" xfId="19" xr:uid="{00000000-0005-0000-0000-00007E010000}"/>
    <cellStyle name="Explanatory Text" xfId="222" xr:uid="{00000000-0005-0000-0000-00007F010000}"/>
    <cellStyle name="Good" xfId="213" xr:uid="{00000000-0005-0000-0000-000080010000}"/>
    <cellStyle name="Heading 1" xfId="209" xr:uid="{00000000-0005-0000-0000-000081010000}"/>
    <cellStyle name="Heading 2" xfId="210" xr:uid="{00000000-0005-0000-0000-000082010000}"/>
    <cellStyle name="Heading 3" xfId="211" xr:uid="{00000000-0005-0000-0000-000083010000}"/>
    <cellStyle name="Heading 4" xfId="212" xr:uid="{00000000-0005-0000-0000-000084010000}"/>
    <cellStyle name="Input" xfId="216" xr:uid="{00000000-0005-0000-0000-000085010000}"/>
    <cellStyle name="Linked Cell" xfId="219" xr:uid="{00000000-0005-0000-0000-000086010000}"/>
    <cellStyle name="Neutral" xfId="215" xr:uid="{00000000-0005-0000-0000-000087010000}"/>
    <cellStyle name="Normal 2" xfId="20" xr:uid="{00000000-0005-0000-0000-000088010000}"/>
    <cellStyle name="Note" xfId="21" xr:uid="{00000000-0005-0000-0000-000089010000}"/>
    <cellStyle name="Output" xfId="217" xr:uid="{00000000-0005-0000-0000-00008A010000}"/>
    <cellStyle name="Title" xfId="208" xr:uid="{00000000-0005-0000-0000-00008B010000}"/>
    <cellStyle name="Total" xfId="223" xr:uid="{00000000-0005-0000-0000-00008C010000}"/>
    <cellStyle name="Warning Text" xfId="221" xr:uid="{00000000-0005-0000-0000-00008D010000}"/>
    <cellStyle name="一般" xfId="0" builtinId="0"/>
    <cellStyle name="一般 10" xfId="108" xr:uid="{00000000-0005-0000-0000-00008F010000}"/>
    <cellStyle name="一般 10 2" xfId="359" xr:uid="{00000000-0005-0000-0000-000090010000}"/>
    <cellStyle name="一般 11" xfId="122" xr:uid="{00000000-0005-0000-0000-000091010000}"/>
    <cellStyle name="一般 11 2" xfId="373" xr:uid="{00000000-0005-0000-0000-000092010000}"/>
    <cellStyle name="一般 12" xfId="124" xr:uid="{00000000-0005-0000-0000-000093010000}"/>
    <cellStyle name="一般 12 2" xfId="375" xr:uid="{00000000-0005-0000-0000-000094010000}"/>
    <cellStyle name="一般 13" xfId="138" xr:uid="{00000000-0005-0000-0000-000095010000}"/>
    <cellStyle name="一般 13 2" xfId="389" xr:uid="{00000000-0005-0000-0000-000096010000}"/>
    <cellStyle name="一般 14" xfId="152" xr:uid="{00000000-0005-0000-0000-000097010000}"/>
    <cellStyle name="一般 14 2" xfId="403" xr:uid="{00000000-0005-0000-0000-000098010000}"/>
    <cellStyle name="一般 15" xfId="166" xr:uid="{00000000-0005-0000-0000-000099010000}"/>
    <cellStyle name="一般 15 2" xfId="417" xr:uid="{00000000-0005-0000-0000-00009A010000}"/>
    <cellStyle name="一般 16" xfId="180" xr:uid="{00000000-0005-0000-0000-00009B010000}"/>
    <cellStyle name="一般 16 2" xfId="431" xr:uid="{00000000-0005-0000-0000-00009C010000}"/>
    <cellStyle name="一般 17" xfId="194" xr:uid="{00000000-0005-0000-0000-00009D010000}"/>
    <cellStyle name="一般 17 2" xfId="445" xr:uid="{00000000-0005-0000-0000-00009E010000}"/>
    <cellStyle name="一般 18" xfId="248" xr:uid="{00000000-0005-0000-0000-00009F010000}"/>
    <cellStyle name="一般 18 2" xfId="477" xr:uid="{00000000-0005-0000-0000-0000A0010000}"/>
    <cellStyle name="一般 19" xfId="290" xr:uid="{00000000-0005-0000-0000-0000A1010000}"/>
    <cellStyle name="一般 19 2" xfId="497" xr:uid="{00000000-0005-0000-0000-0000A2010000}"/>
    <cellStyle name="一般 2" xfId="22" xr:uid="{00000000-0005-0000-0000-0000A3010000}"/>
    <cellStyle name="一般 20" xfId="292" xr:uid="{00000000-0005-0000-0000-0000A4010000}"/>
    <cellStyle name="一般 20 2" xfId="499" xr:uid="{00000000-0005-0000-0000-0000A5010000}"/>
    <cellStyle name="一般 21" xfId="520" xr:uid="{00000000-0005-0000-0000-0000A6010000}"/>
    <cellStyle name="一般 22" xfId="523" xr:uid="{9F0ACB41-931D-4881-B027-BA1426F01BA1}"/>
    <cellStyle name="一般 23" xfId="528" xr:uid="{625DF5C2-A3AE-4780-8BDD-76F3520081E6}"/>
    <cellStyle name="一般 3" xfId="23" xr:uid="{00000000-0005-0000-0000-0000A7010000}"/>
    <cellStyle name="一般 4" xfId="24" xr:uid="{00000000-0005-0000-0000-0000A8010000}"/>
    <cellStyle name="一般 5" xfId="55" xr:uid="{00000000-0005-0000-0000-0000A9010000}"/>
    <cellStyle name="一般 5 2" xfId="313" xr:uid="{00000000-0005-0000-0000-0000AA010000}"/>
    <cellStyle name="一般 6" xfId="64" xr:uid="{00000000-0005-0000-0000-0000AB010000}"/>
    <cellStyle name="一般 6 2" xfId="315" xr:uid="{00000000-0005-0000-0000-0000AC010000}"/>
    <cellStyle name="一般 7" xfId="66" xr:uid="{00000000-0005-0000-0000-0000AD010000}"/>
    <cellStyle name="一般 7 2" xfId="317" xr:uid="{00000000-0005-0000-0000-0000AE010000}"/>
    <cellStyle name="一般 8" xfId="80" xr:uid="{00000000-0005-0000-0000-0000AF010000}"/>
    <cellStyle name="一般 8 2" xfId="331" xr:uid="{00000000-0005-0000-0000-0000B0010000}"/>
    <cellStyle name="一般 9" xfId="94" xr:uid="{00000000-0005-0000-0000-0000B1010000}"/>
    <cellStyle name="一般 9 2" xfId="345" xr:uid="{00000000-0005-0000-0000-0000B2010000}"/>
    <cellStyle name="一般_CNH Indications" xfId="25" xr:uid="{00000000-0005-0000-0000-0000B3010000}"/>
    <cellStyle name="一般_DSB.RAW.DATA" xfId="26" xr:uid="{00000000-0005-0000-0000-0000B4010000}"/>
    <cellStyle name="千分位" xfId="27" builtinId="3"/>
    <cellStyle name="千分位 2" xfId="312" xr:uid="{00000000-0005-0000-0000-0000B6010000}"/>
    <cellStyle name="千分位 3" xfId="519" xr:uid="{00000000-0005-0000-0000-0000B7010000}"/>
    <cellStyle name="千分位 4" xfId="529" xr:uid="{3787C2F7-19F2-4D01-B052-1863202DDF86}"/>
    <cellStyle name="中等" xfId="257" builtinId="28" customBuiltin="1"/>
    <cellStyle name="中等 2" xfId="28" xr:uid="{00000000-0005-0000-0000-0000B9010000}"/>
    <cellStyle name="中等 3" xfId="56" xr:uid="{00000000-0005-0000-0000-0000BA010000}"/>
    <cellStyle name="合計" xfId="265" builtinId="25" customBuiltin="1"/>
    <cellStyle name="合計 2" xfId="29" xr:uid="{00000000-0005-0000-0000-0000BC010000}"/>
    <cellStyle name="好" xfId="255" builtinId="26" customBuiltin="1"/>
    <cellStyle name="好 2" xfId="30" xr:uid="{00000000-0005-0000-0000-0000BE010000}"/>
    <cellStyle name="好_Sinopac_Bond_Review" xfId="31" xr:uid="{00000000-0005-0000-0000-0000BF010000}"/>
    <cellStyle name="百分比" xfId="54" builtinId="5"/>
    <cellStyle name="百分比 2" xfId="32" xr:uid="{00000000-0005-0000-0000-0000C1010000}"/>
    <cellStyle name="百分比 3" xfId="521" xr:uid="{00000000-0005-0000-0000-0000C2010000}"/>
    <cellStyle name="百分比 4" xfId="530" xr:uid="{0CEA7FB4-4384-4F66-9F45-0379C87F3854}"/>
    <cellStyle name="計算方式" xfId="260" builtinId="22" customBuiltin="1"/>
    <cellStyle name="計算方式 2" xfId="33" xr:uid="{00000000-0005-0000-0000-0000C4010000}"/>
    <cellStyle name="連結的儲存格" xfId="261" builtinId="24" customBuiltin="1"/>
    <cellStyle name="連結的儲存格 2" xfId="34" xr:uid="{00000000-0005-0000-0000-0000C6010000}"/>
    <cellStyle name="備註 10" xfId="125" xr:uid="{00000000-0005-0000-0000-0000C7010000}"/>
    <cellStyle name="備註 10 2" xfId="376" xr:uid="{00000000-0005-0000-0000-0000C8010000}"/>
    <cellStyle name="備註 11" xfId="139" xr:uid="{00000000-0005-0000-0000-0000C9010000}"/>
    <cellStyle name="備註 11 2" xfId="390" xr:uid="{00000000-0005-0000-0000-0000CA010000}"/>
    <cellStyle name="備註 12" xfId="153" xr:uid="{00000000-0005-0000-0000-0000CB010000}"/>
    <cellStyle name="備註 12 2" xfId="404" xr:uid="{00000000-0005-0000-0000-0000CC010000}"/>
    <cellStyle name="備註 13" xfId="167" xr:uid="{00000000-0005-0000-0000-0000CD010000}"/>
    <cellStyle name="備註 13 2" xfId="418" xr:uid="{00000000-0005-0000-0000-0000CE010000}"/>
    <cellStyle name="備註 14" xfId="181" xr:uid="{00000000-0005-0000-0000-0000CF010000}"/>
    <cellStyle name="備註 14 2" xfId="432" xr:uid="{00000000-0005-0000-0000-0000D0010000}"/>
    <cellStyle name="備註 15" xfId="195" xr:uid="{00000000-0005-0000-0000-0000D1010000}"/>
    <cellStyle name="備註 15 2" xfId="446" xr:uid="{00000000-0005-0000-0000-0000D2010000}"/>
    <cellStyle name="備註 16" xfId="249" xr:uid="{00000000-0005-0000-0000-0000D3010000}"/>
    <cellStyle name="備註 16 2" xfId="478" xr:uid="{00000000-0005-0000-0000-0000D4010000}"/>
    <cellStyle name="備註 17" xfId="291" xr:uid="{00000000-0005-0000-0000-0000D5010000}"/>
    <cellStyle name="備註 17 2" xfId="498" xr:uid="{00000000-0005-0000-0000-0000D6010000}"/>
    <cellStyle name="備註 18" xfId="293" xr:uid="{00000000-0005-0000-0000-0000D7010000}"/>
    <cellStyle name="備註 18 2" xfId="500" xr:uid="{00000000-0005-0000-0000-0000D8010000}"/>
    <cellStyle name="備註 2" xfId="35" xr:uid="{00000000-0005-0000-0000-0000D9010000}"/>
    <cellStyle name="備註 3" xfId="57" xr:uid="{00000000-0005-0000-0000-0000DA010000}"/>
    <cellStyle name="備註 3 2" xfId="314" xr:uid="{00000000-0005-0000-0000-0000DB010000}"/>
    <cellStyle name="備註 4" xfId="65" xr:uid="{00000000-0005-0000-0000-0000DC010000}"/>
    <cellStyle name="備註 4 2" xfId="316" xr:uid="{00000000-0005-0000-0000-0000DD010000}"/>
    <cellStyle name="備註 5" xfId="67" xr:uid="{00000000-0005-0000-0000-0000DE010000}"/>
    <cellStyle name="備註 5 2" xfId="318" xr:uid="{00000000-0005-0000-0000-0000DF010000}"/>
    <cellStyle name="備註 6" xfId="81" xr:uid="{00000000-0005-0000-0000-0000E0010000}"/>
    <cellStyle name="備註 6 2" xfId="332" xr:uid="{00000000-0005-0000-0000-0000E1010000}"/>
    <cellStyle name="備註 7" xfId="95" xr:uid="{00000000-0005-0000-0000-0000E2010000}"/>
    <cellStyle name="備註 7 2" xfId="346" xr:uid="{00000000-0005-0000-0000-0000E3010000}"/>
    <cellStyle name="備註 8" xfId="109" xr:uid="{00000000-0005-0000-0000-0000E4010000}"/>
    <cellStyle name="備註 8 2" xfId="360" xr:uid="{00000000-0005-0000-0000-0000E5010000}"/>
    <cellStyle name="備註 9" xfId="123" xr:uid="{00000000-0005-0000-0000-0000E6010000}"/>
    <cellStyle name="備註 9 2" xfId="374" xr:uid="{00000000-0005-0000-0000-0000E7010000}"/>
    <cellStyle name="說明文字" xfId="264" builtinId="53" customBuiltin="1"/>
    <cellStyle name="說明文字 2" xfId="36" xr:uid="{00000000-0005-0000-0000-0000EA010000}"/>
    <cellStyle name="輔色1" xfId="266" builtinId="29" customBuiltin="1"/>
    <cellStyle name="輔色1 2" xfId="37" xr:uid="{00000000-0005-0000-0000-0000EC010000}"/>
    <cellStyle name="輔色2" xfId="270" builtinId="33" customBuiltin="1"/>
    <cellStyle name="輔色2 2" xfId="38" xr:uid="{00000000-0005-0000-0000-0000EE010000}"/>
    <cellStyle name="輔色3" xfId="274" builtinId="37" customBuiltin="1"/>
    <cellStyle name="輔色3 2" xfId="39" xr:uid="{00000000-0005-0000-0000-0000F0010000}"/>
    <cellStyle name="輔色4" xfId="278" builtinId="41" customBuiltin="1"/>
    <cellStyle name="輔色4 2" xfId="40" xr:uid="{00000000-0005-0000-0000-0000F2010000}"/>
    <cellStyle name="輔色5" xfId="282" builtinId="45" customBuiltin="1"/>
    <cellStyle name="輔色5 2" xfId="41" xr:uid="{00000000-0005-0000-0000-0000F4010000}"/>
    <cellStyle name="輔色6" xfId="286" builtinId="49" customBuiltin="1"/>
    <cellStyle name="輔色6 2" xfId="42" xr:uid="{00000000-0005-0000-0000-0000F6010000}"/>
    <cellStyle name="標題" xfId="250" builtinId="15" customBuiltin="1"/>
    <cellStyle name="標題 1" xfId="251" builtinId="16" customBuiltin="1"/>
    <cellStyle name="標題 1 2" xfId="43" xr:uid="{00000000-0005-0000-0000-0000F9010000}"/>
    <cellStyle name="標題 2" xfId="252" builtinId="17" customBuiltin="1"/>
    <cellStyle name="標題 2 2" xfId="44" xr:uid="{00000000-0005-0000-0000-0000FB010000}"/>
    <cellStyle name="標題 3" xfId="253" builtinId="18" customBuiltin="1"/>
    <cellStyle name="標題 3 2" xfId="45" xr:uid="{00000000-0005-0000-0000-0000FD010000}"/>
    <cellStyle name="標題 4" xfId="254" builtinId="19" customBuiltin="1"/>
    <cellStyle name="標題 4 2" xfId="46" xr:uid="{00000000-0005-0000-0000-0000FF010000}"/>
    <cellStyle name="標題 5" xfId="47" xr:uid="{00000000-0005-0000-0000-000000020000}"/>
    <cellStyle name="輸入" xfId="258" builtinId="20" customBuiltin="1"/>
    <cellStyle name="輸入 2" xfId="48" xr:uid="{00000000-0005-0000-0000-000002020000}"/>
    <cellStyle name="輸出" xfId="259" builtinId="21" customBuiltin="1"/>
    <cellStyle name="輸出 2" xfId="49" xr:uid="{00000000-0005-0000-0000-000004020000}"/>
    <cellStyle name="檢查儲存格" xfId="262" builtinId="23" customBuiltin="1"/>
    <cellStyle name="檢查儲存格 2" xfId="50" xr:uid="{00000000-0005-0000-0000-000006020000}"/>
    <cellStyle name="壞" xfId="256" builtinId="27" customBuiltin="1"/>
    <cellStyle name="壞 2" xfId="51" xr:uid="{00000000-0005-0000-0000-000008020000}"/>
    <cellStyle name="壞_Sinopac_Bond_Review" xfId="52" xr:uid="{00000000-0005-0000-0000-000009020000}"/>
    <cellStyle name="警告文字" xfId="263" builtinId="11" customBuiltin="1"/>
    <cellStyle name="警告文字 2" xfId="53" xr:uid="{00000000-0005-0000-0000-00000B020000}"/>
  </cellStyles>
  <dxfs count="39">
    <dxf>
      <font>
        <color theme="0"/>
      </font>
    </dxf>
    <dxf>
      <font>
        <color theme="0"/>
      </font>
    </dxf>
    <dxf>
      <font>
        <color theme="0"/>
      </font>
      <fill>
        <patternFill>
          <bgColor rgb="FFFF0000"/>
        </patternFill>
      </fill>
    </dxf>
    <dxf>
      <font>
        <color theme="0"/>
      </font>
    </dxf>
    <dxf>
      <font>
        <color theme="0"/>
      </font>
    </dxf>
    <dxf>
      <font>
        <b/>
        <i val="0"/>
        <color rgb="FFFF0000"/>
      </font>
      <fill>
        <patternFill>
          <bgColor rgb="FFF5A5A5"/>
        </patternFill>
      </fill>
    </dxf>
    <dxf>
      <font>
        <b val="0"/>
        <i val="0"/>
        <strike val="0"/>
      </font>
      <fill>
        <patternFill patternType="none">
          <bgColor auto="1"/>
        </patternFill>
      </fill>
    </dxf>
    <dxf>
      <font>
        <b val="0"/>
        <i val="0"/>
        <color auto="1"/>
      </font>
      <fill>
        <patternFill patternType="none">
          <bgColor auto="1"/>
        </patternFill>
      </fill>
    </dxf>
    <dxf>
      <font>
        <color theme="0"/>
      </font>
    </dxf>
    <dxf>
      <font>
        <color theme="0"/>
      </font>
    </dxf>
    <dxf>
      <fill>
        <patternFill>
          <bgColor rgb="FF00B050"/>
        </patternFill>
      </fill>
    </dxf>
    <dxf>
      <fill>
        <patternFill>
          <bgColor theme="5" tint="0.39994506668294322"/>
        </patternFill>
      </fill>
    </dxf>
    <dxf>
      <font>
        <b val="0"/>
        <i val="0"/>
        <color rgb="FFFF0000"/>
      </font>
      <fill>
        <patternFill>
          <bgColor rgb="FFF5A5A5"/>
        </patternFill>
      </fill>
    </dxf>
    <dxf>
      <font>
        <b val="0"/>
        <i val="0"/>
        <color rgb="FF006100"/>
      </font>
      <fill>
        <patternFill>
          <bgColor rgb="FFC6EFCE"/>
        </patternFill>
      </fill>
    </dxf>
    <dxf>
      <font>
        <b val="0"/>
        <i val="0"/>
        <color rgb="FFFF0000"/>
      </font>
      <fill>
        <patternFill>
          <bgColor rgb="FFF5A5A5"/>
        </patternFill>
      </fill>
    </dxf>
    <dxf>
      <font>
        <color rgb="FF006100"/>
      </font>
      <fill>
        <patternFill>
          <bgColor rgb="FFC6EFCE"/>
        </patternFill>
      </fill>
    </dxf>
    <dxf>
      <fill>
        <patternFill patternType="none">
          <bgColor auto="1"/>
        </patternFill>
      </fill>
    </dxf>
    <dxf>
      <fill>
        <patternFill>
          <bgColor rgb="FF00B050"/>
        </patternFill>
      </fill>
    </dxf>
    <dxf>
      <fill>
        <patternFill>
          <bgColor theme="5" tint="0.39994506668294322"/>
        </patternFill>
      </fill>
    </dxf>
    <dxf>
      <fill>
        <patternFill>
          <bgColor theme="5" tint="0.39994506668294322"/>
        </patternFill>
      </fill>
    </dxf>
    <dxf>
      <fill>
        <patternFill>
          <bgColor rgb="FF00B050"/>
        </patternFill>
      </fill>
    </dxf>
    <dxf>
      <font>
        <color theme="0"/>
      </font>
    </dxf>
    <dxf>
      <font>
        <color theme="0"/>
      </font>
    </dxf>
    <dxf>
      <font>
        <b val="0"/>
        <i val="0"/>
        <color rgb="FFFF0000"/>
      </font>
      <fill>
        <patternFill>
          <bgColor rgb="FFF5A5A5"/>
        </patternFill>
      </fill>
    </dxf>
    <dxf>
      <font>
        <b val="0"/>
        <i val="0"/>
        <color rgb="FF006100"/>
      </font>
      <fill>
        <patternFill>
          <bgColor rgb="FFC6EFCE"/>
        </patternFill>
      </fill>
    </dxf>
    <dxf>
      <font>
        <b/>
        <i val="0"/>
        <color rgb="FFFF0000"/>
      </font>
      <fill>
        <patternFill>
          <bgColor rgb="FFF5A5A5"/>
        </patternFill>
      </fill>
    </dxf>
    <dxf>
      <font>
        <b/>
        <i val="0"/>
        <color rgb="FFFF0000"/>
      </font>
      <fill>
        <patternFill>
          <bgColor rgb="FFF5A5A5"/>
        </patternFill>
      </fill>
    </dxf>
    <dxf>
      <font>
        <b val="0"/>
        <i val="0"/>
        <color rgb="FFFF0000"/>
      </font>
      <fill>
        <patternFill>
          <bgColor rgb="FFF5A5A5"/>
        </patternFill>
      </fill>
    </dxf>
    <dxf>
      <font>
        <color rgb="FF006100"/>
      </font>
      <fill>
        <patternFill>
          <bgColor rgb="FFC6EFCE"/>
        </patternFill>
      </fill>
    </dxf>
    <dxf>
      <font>
        <b val="0"/>
        <i val="0"/>
        <color rgb="FFFF0000"/>
      </font>
      <fill>
        <patternFill>
          <bgColor rgb="FFF5A5A5"/>
        </patternFill>
      </fill>
    </dxf>
    <dxf>
      <font>
        <color rgb="FF006100"/>
      </font>
      <fill>
        <patternFill>
          <bgColor rgb="FFC6EFCE"/>
        </patternFill>
      </fill>
    </dxf>
    <dxf>
      <font>
        <b val="0"/>
        <i val="0"/>
        <color rgb="FFFF0000"/>
      </font>
      <fill>
        <patternFill>
          <bgColor rgb="FFF5A5A5"/>
        </patternFill>
      </fill>
    </dxf>
    <dxf>
      <font>
        <b val="0"/>
        <i val="0"/>
        <color rgb="FF006100"/>
      </font>
      <fill>
        <patternFill>
          <bgColor rgb="FFC6EFCE"/>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654372150849562E-2"/>
          <c:y val="9.7222487409324376E-2"/>
          <c:w val="0.81349363973687017"/>
          <c:h val="0.79722438483177305"/>
        </c:manualLayout>
      </c:layout>
      <c:barChart>
        <c:barDir val="col"/>
        <c:grouping val="clustered"/>
        <c:varyColors val="0"/>
        <c:ser>
          <c:idx val="2"/>
          <c:order val="2"/>
          <c:tx>
            <c:strRef>
              <c:f>Yield!$E$12</c:f>
              <c:strCache>
                <c:ptCount val="1"/>
                <c:pt idx="0">
                  <c:v>Change (R, bps)</c:v>
                </c:pt>
              </c:strCache>
            </c:strRef>
          </c:tx>
          <c:spPr>
            <a:solidFill>
              <a:srgbClr val="C0C0C0"/>
            </a:solidFill>
            <a:ln w="25400">
              <a:noFill/>
            </a:ln>
          </c:spPr>
          <c:invertIfNegative val="0"/>
          <c:cat>
            <c:strRef>
              <c:f>Yield!$B$13:$B$23</c:f>
              <c:strCache>
                <c:ptCount val="11"/>
                <c:pt idx="0">
                  <c:v>1M</c:v>
                </c:pt>
                <c:pt idx="1">
                  <c:v>3M</c:v>
                </c:pt>
                <c:pt idx="2">
                  <c:v>6M</c:v>
                </c:pt>
                <c:pt idx="3">
                  <c:v>1Y</c:v>
                </c:pt>
                <c:pt idx="4">
                  <c:v>2Y</c:v>
                </c:pt>
                <c:pt idx="5">
                  <c:v>3Y</c:v>
                </c:pt>
                <c:pt idx="6">
                  <c:v>5Y</c:v>
                </c:pt>
                <c:pt idx="7">
                  <c:v>7Y</c:v>
                </c:pt>
                <c:pt idx="8">
                  <c:v>10Y</c:v>
                </c:pt>
                <c:pt idx="9">
                  <c:v>20Y</c:v>
                </c:pt>
                <c:pt idx="10">
                  <c:v>30Y</c:v>
                </c:pt>
              </c:strCache>
            </c:strRef>
          </c:cat>
          <c:val>
            <c:numRef>
              <c:f>Yield!$E$13:$E$23</c:f>
              <c:numCache>
                <c:formatCode>0.0_ </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7B7-4E93-A512-34EB2E33AC95}"/>
            </c:ext>
          </c:extLst>
        </c:ser>
        <c:dLbls>
          <c:showLegendKey val="0"/>
          <c:showVal val="0"/>
          <c:showCatName val="0"/>
          <c:showSerName val="0"/>
          <c:showPercent val="0"/>
          <c:showBubbleSize val="0"/>
        </c:dLbls>
        <c:gapWidth val="50"/>
        <c:axId val="851389368"/>
        <c:axId val="851388712"/>
      </c:barChart>
      <c:lineChart>
        <c:grouping val="standard"/>
        <c:varyColors val="0"/>
        <c:ser>
          <c:idx val="1"/>
          <c:order val="0"/>
          <c:tx>
            <c:strRef>
              <c:f>Yield!$C$12</c:f>
              <c:strCache>
                <c:ptCount val="1"/>
                <c:pt idx="0">
                  <c:v>Yield (L)</c:v>
                </c:pt>
              </c:strCache>
            </c:strRef>
          </c:tx>
          <c:spPr>
            <a:ln w="12700">
              <a:solidFill>
                <a:srgbClr val="000080"/>
              </a:solidFill>
              <a:prstDash val="solid"/>
            </a:ln>
          </c:spPr>
          <c:marker>
            <c:symbol val="circle"/>
            <c:size val="5"/>
            <c:spPr>
              <a:solidFill>
                <a:srgbClr val="000080"/>
              </a:solidFill>
              <a:ln>
                <a:solidFill>
                  <a:srgbClr val="000080"/>
                </a:solidFill>
                <a:prstDash val="solid"/>
              </a:ln>
            </c:spPr>
          </c:marker>
          <c:cat>
            <c:strRef>
              <c:f>Yield!$B$13:$B$23</c:f>
              <c:strCache>
                <c:ptCount val="11"/>
                <c:pt idx="0">
                  <c:v>1M</c:v>
                </c:pt>
                <c:pt idx="1">
                  <c:v>3M</c:v>
                </c:pt>
                <c:pt idx="2">
                  <c:v>6M</c:v>
                </c:pt>
                <c:pt idx="3">
                  <c:v>1Y</c:v>
                </c:pt>
                <c:pt idx="4">
                  <c:v>2Y</c:v>
                </c:pt>
                <c:pt idx="5">
                  <c:v>3Y</c:v>
                </c:pt>
                <c:pt idx="6">
                  <c:v>5Y</c:v>
                </c:pt>
                <c:pt idx="7">
                  <c:v>7Y</c:v>
                </c:pt>
                <c:pt idx="8">
                  <c:v>10Y</c:v>
                </c:pt>
                <c:pt idx="9">
                  <c:v>20Y</c:v>
                </c:pt>
                <c:pt idx="10">
                  <c:v>30Y</c:v>
                </c:pt>
              </c:strCache>
            </c:strRef>
          </c:cat>
          <c:val>
            <c:numRef>
              <c:f>Yield!$C$13:$C$23</c:f>
              <c:numCache>
                <c:formatCode>0.00_ </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7B7-4E93-A512-34EB2E33AC95}"/>
            </c:ext>
          </c:extLst>
        </c:ser>
        <c:ser>
          <c:idx val="0"/>
          <c:order val="1"/>
          <c:tx>
            <c:strRef>
              <c:f>Yield!$D$12</c:f>
              <c:strCache>
                <c:ptCount val="1"/>
                <c:pt idx="0">
                  <c:v>Previous 1W (L)</c:v>
                </c:pt>
              </c:strCache>
            </c:strRef>
          </c:tx>
          <c:spPr>
            <a:ln w="12700">
              <a:solidFill>
                <a:srgbClr val="A6CAF0"/>
              </a:solidFill>
              <a:prstDash val="lgDash"/>
            </a:ln>
          </c:spPr>
          <c:marker>
            <c:symbol val="circle"/>
            <c:size val="5"/>
            <c:spPr>
              <a:solidFill>
                <a:srgbClr val="A6CAF0"/>
              </a:solidFill>
              <a:ln>
                <a:solidFill>
                  <a:srgbClr val="A6CAF0"/>
                </a:solidFill>
                <a:prstDash val="solid"/>
              </a:ln>
            </c:spPr>
          </c:marker>
          <c:cat>
            <c:strRef>
              <c:f>Yield!$B$13:$B$23</c:f>
              <c:strCache>
                <c:ptCount val="11"/>
                <c:pt idx="0">
                  <c:v>1M</c:v>
                </c:pt>
                <c:pt idx="1">
                  <c:v>3M</c:v>
                </c:pt>
                <c:pt idx="2">
                  <c:v>6M</c:v>
                </c:pt>
                <c:pt idx="3">
                  <c:v>1Y</c:v>
                </c:pt>
                <c:pt idx="4">
                  <c:v>2Y</c:v>
                </c:pt>
                <c:pt idx="5">
                  <c:v>3Y</c:v>
                </c:pt>
                <c:pt idx="6">
                  <c:v>5Y</c:v>
                </c:pt>
                <c:pt idx="7">
                  <c:v>7Y</c:v>
                </c:pt>
                <c:pt idx="8">
                  <c:v>10Y</c:v>
                </c:pt>
                <c:pt idx="9">
                  <c:v>20Y</c:v>
                </c:pt>
                <c:pt idx="10">
                  <c:v>30Y</c:v>
                </c:pt>
              </c:strCache>
            </c:strRef>
          </c:cat>
          <c:val>
            <c:numRef>
              <c:f>Yield!$D$13:$D$23</c:f>
              <c:numCache>
                <c:formatCode>0.00_ </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B7B7-4E93-A512-34EB2E33AC95}"/>
            </c:ext>
          </c:extLst>
        </c:ser>
        <c:dLbls>
          <c:showLegendKey val="0"/>
          <c:showVal val="0"/>
          <c:showCatName val="0"/>
          <c:showSerName val="0"/>
          <c:showPercent val="0"/>
          <c:showBubbleSize val="0"/>
        </c:dLbls>
        <c:marker val="1"/>
        <c:smooth val="0"/>
        <c:axId val="1819575240"/>
        <c:axId val="1"/>
      </c:lineChart>
      <c:catAx>
        <c:axId val="181957524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微軟正黑體"/>
                <a:ea typeface="微軟正黑體"/>
                <a:cs typeface="微軟正黑體"/>
              </a:defRPr>
            </a:pPr>
            <a:endParaRPr lang="zh-TW"/>
          </a:p>
        </c:txPr>
        <c:crossAx val="1"/>
        <c:crossesAt val="-1"/>
        <c:auto val="0"/>
        <c:lblAlgn val="ctr"/>
        <c:lblOffset val="100"/>
        <c:tickLblSkip val="1"/>
        <c:tickMarkSkip val="1"/>
        <c:noMultiLvlLbl val="0"/>
      </c:catAx>
      <c:valAx>
        <c:axId val="1"/>
        <c:scaling>
          <c:orientation val="minMax"/>
          <c:max val="5.5"/>
          <c:min val="0"/>
        </c:scaling>
        <c:delete val="0"/>
        <c:axPos val="l"/>
        <c:numFmt formatCode="0.0_ " sourceLinked="0"/>
        <c:majorTickMark val="in"/>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微軟正黑體"/>
                <a:ea typeface="微軟正黑體"/>
                <a:cs typeface="微軟正黑體"/>
              </a:defRPr>
            </a:pPr>
            <a:endParaRPr lang="zh-TW"/>
          </a:p>
        </c:txPr>
        <c:crossAx val="1819575240"/>
        <c:crosses val="autoZero"/>
        <c:crossBetween val="between"/>
        <c:majorUnit val="0.5"/>
        <c:minorUnit val="0.25"/>
      </c:valAx>
      <c:valAx>
        <c:axId val="851388712"/>
        <c:scaling>
          <c:orientation val="minMax"/>
        </c:scaling>
        <c:delete val="0"/>
        <c:axPos val="r"/>
        <c:numFmt formatCode="0.0_ " sourceLinked="1"/>
        <c:majorTickMark val="out"/>
        <c:minorTickMark val="none"/>
        <c:tickLblPos val="nextTo"/>
        <c:txPr>
          <a:bodyPr/>
          <a:lstStyle/>
          <a:p>
            <a:pPr>
              <a:defRPr sz="1400" baseline="0"/>
            </a:pPr>
            <a:endParaRPr lang="zh-TW"/>
          </a:p>
        </c:txPr>
        <c:crossAx val="851389368"/>
        <c:crosses val="max"/>
        <c:crossBetween val="between"/>
      </c:valAx>
      <c:catAx>
        <c:axId val="851389368"/>
        <c:scaling>
          <c:orientation val="minMax"/>
        </c:scaling>
        <c:delete val="1"/>
        <c:axPos val="b"/>
        <c:numFmt formatCode="General" sourceLinked="1"/>
        <c:majorTickMark val="out"/>
        <c:minorTickMark val="none"/>
        <c:tickLblPos val="nextTo"/>
        <c:crossAx val="851388712"/>
        <c:crosses val="autoZero"/>
        <c:auto val="0"/>
        <c:lblAlgn val="ctr"/>
        <c:lblOffset val="100"/>
        <c:noMultiLvlLbl val="0"/>
      </c:catAx>
      <c:spPr>
        <a:noFill/>
        <a:ln w="25400">
          <a:noFill/>
        </a:ln>
      </c:spPr>
    </c:plotArea>
    <c:legend>
      <c:legendPos val="t"/>
      <c:overlay val="0"/>
      <c:spPr>
        <a:noFill/>
        <a:ln w="25400">
          <a:noFill/>
        </a:ln>
      </c:spPr>
      <c:txPr>
        <a:bodyPr/>
        <a:lstStyle/>
        <a:p>
          <a:pPr>
            <a:defRPr sz="1400" b="0" i="0" u="none" strike="noStrike" baseline="0">
              <a:solidFill>
                <a:srgbClr val="000000"/>
              </a:solidFill>
              <a:latin typeface="微軟正黑體"/>
              <a:ea typeface="微軟正黑體"/>
              <a:cs typeface="微軟正黑體"/>
            </a:defRPr>
          </a:pPr>
          <a:endParaRPr lang="zh-TW"/>
        </a:p>
      </c:txPr>
    </c:legend>
    <c:plotVisOnly val="1"/>
    <c:dispBlanksAs val="gap"/>
    <c:showDLblsOverMax val="0"/>
  </c:chart>
  <c:spPr>
    <a:noFill/>
    <a:ln w="9525">
      <a:noFill/>
    </a:ln>
  </c:spPr>
  <c:txPr>
    <a:bodyPr/>
    <a:lstStyle/>
    <a:p>
      <a:pPr>
        <a:defRPr sz="1000" b="0" i="0" u="none" strike="noStrike" baseline="0">
          <a:solidFill>
            <a:srgbClr val="000000"/>
          </a:solidFill>
          <a:latin typeface="微軟正黑體"/>
          <a:ea typeface="微軟正黑體"/>
          <a:cs typeface="微軟正黑體"/>
        </a:defRPr>
      </a:pPr>
      <a:endParaRPr lang="zh-TW"/>
    </a:p>
  </c:txPr>
  <c:printSettings>
    <c:headerFooter alignWithMargins="0"/>
    <c:pageMargins b="1" l="0.75" r="0.7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BBG!$B$2</c:f>
              <c:strCache>
                <c:ptCount val="1"/>
                <c:pt idx="0">
                  <c:v>US 3M10Y</c:v>
                </c:pt>
              </c:strCache>
            </c:strRef>
          </c:tx>
          <c:spPr>
            <a:ln w="28575" cap="rnd">
              <a:solidFill>
                <a:schemeClr val="accent1"/>
              </a:solidFill>
              <a:round/>
            </a:ln>
            <a:effectLst/>
          </c:spPr>
          <c:marker>
            <c:symbol val="none"/>
          </c:marker>
          <c:cat>
            <c:numRef>
              <c:f>BBG!$A$3:$A$256</c:f>
              <c:numCache>
                <c:formatCode>m/d/yyyy</c:formatCode>
                <c:ptCount val="254"/>
                <c:pt idx="0">
                  <c:v>0</c:v>
                </c:pt>
                <c:pt idx="1">
                  <c:v>45615</c:v>
                </c:pt>
                <c:pt idx="2">
                  <c:v>45616</c:v>
                </c:pt>
                <c:pt idx="3">
                  <c:v>45617</c:v>
                </c:pt>
                <c:pt idx="4">
                  <c:v>45618</c:v>
                </c:pt>
                <c:pt idx="5">
                  <c:v>45621</c:v>
                </c:pt>
                <c:pt idx="6">
                  <c:v>45622</c:v>
                </c:pt>
                <c:pt idx="7">
                  <c:v>45623</c:v>
                </c:pt>
                <c:pt idx="8">
                  <c:v>45624</c:v>
                </c:pt>
                <c:pt idx="9">
                  <c:v>45625</c:v>
                </c:pt>
                <c:pt idx="10">
                  <c:v>45628</c:v>
                </c:pt>
                <c:pt idx="11">
                  <c:v>45629</c:v>
                </c:pt>
                <c:pt idx="12">
                  <c:v>45630</c:v>
                </c:pt>
                <c:pt idx="13">
                  <c:v>45631</c:v>
                </c:pt>
                <c:pt idx="14">
                  <c:v>45632</c:v>
                </c:pt>
                <c:pt idx="15">
                  <c:v>45635</c:v>
                </c:pt>
                <c:pt idx="16">
                  <c:v>45636</c:v>
                </c:pt>
                <c:pt idx="17">
                  <c:v>45637</c:v>
                </c:pt>
                <c:pt idx="18">
                  <c:v>45638</c:v>
                </c:pt>
                <c:pt idx="19">
                  <c:v>45639</c:v>
                </c:pt>
                <c:pt idx="20">
                  <c:v>45642</c:v>
                </c:pt>
                <c:pt idx="21">
                  <c:v>45643</c:v>
                </c:pt>
                <c:pt idx="22">
                  <c:v>45644</c:v>
                </c:pt>
                <c:pt idx="23">
                  <c:v>45645</c:v>
                </c:pt>
                <c:pt idx="24">
                  <c:v>45646</c:v>
                </c:pt>
                <c:pt idx="25">
                  <c:v>45649</c:v>
                </c:pt>
                <c:pt idx="26">
                  <c:v>45650</c:v>
                </c:pt>
                <c:pt idx="27">
                  <c:v>45651</c:v>
                </c:pt>
                <c:pt idx="28">
                  <c:v>45652</c:v>
                </c:pt>
                <c:pt idx="29">
                  <c:v>45653</c:v>
                </c:pt>
                <c:pt idx="30">
                  <c:v>45656</c:v>
                </c:pt>
                <c:pt idx="31">
                  <c:v>45657</c:v>
                </c:pt>
                <c:pt idx="32">
                  <c:v>45658</c:v>
                </c:pt>
                <c:pt idx="33">
                  <c:v>45659</c:v>
                </c:pt>
                <c:pt idx="34">
                  <c:v>45660</c:v>
                </c:pt>
                <c:pt idx="35">
                  <c:v>45663</c:v>
                </c:pt>
                <c:pt idx="36">
                  <c:v>45664</c:v>
                </c:pt>
                <c:pt idx="37">
                  <c:v>45665</c:v>
                </c:pt>
                <c:pt idx="38">
                  <c:v>45666</c:v>
                </c:pt>
                <c:pt idx="39">
                  <c:v>45667</c:v>
                </c:pt>
                <c:pt idx="40">
                  <c:v>45670</c:v>
                </c:pt>
                <c:pt idx="41">
                  <c:v>45671</c:v>
                </c:pt>
                <c:pt idx="42">
                  <c:v>45672</c:v>
                </c:pt>
                <c:pt idx="43">
                  <c:v>45673</c:v>
                </c:pt>
                <c:pt idx="44">
                  <c:v>45674</c:v>
                </c:pt>
                <c:pt idx="45">
                  <c:v>45677</c:v>
                </c:pt>
                <c:pt idx="46">
                  <c:v>45678</c:v>
                </c:pt>
                <c:pt idx="47">
                  <c:v>45679</c:v>
                </c:pt>
                <c:pt idx="48">
                  <c:v>45680</c:v>
                </c:pt>
                <c:pt idx="49">
                  <c:v>45681</c:v>
                </c:pt>
                <c:pt idx="50">
                  <c:v>45684</c:v>
                </c:pt>
                <c:pt idx="51">
                  <c:v>45685</c:v>
                </c:pt>
                <c:pt idx="52">
                  <c:v>45686</c:v>
                </c:pt>
                <c:pt idx="53">
                  <c:v>45687</c:v>
                </c:pt>
                <c:pt idx="54">
                  <c:v>45688</c:v>
                </c:pt>
                <c:pt idx="55">
                  <c:v>45691</c:v>
                </c:pt>
                <c:pt idx="56">
                  <c:v>45692</c:v>
                </c:pt>
                <c:pt idx="57">
                  <c:v>45693</c:v>
                </c:pt>
                <c:pt idx="58">
                  <c:v>45694</c:v>
                </c:pt>
                <c:pt idx="59">
                  <c:v>45695</c:v>
                </c:pt>
                <c:pt idx="60">
                  <c:v>45698</c:v>
                </c:pt>
                <c:pt idx="61">
                  <c:v>45699</c:v>
                </c:pt>
                <c:pt idx="62">
                  <c:v>45700</c:v>
                </c:pt>
                <c:pt idx="63">
                  <c:v>45701</c:v>
                </c:pt>
                <c:pt idx="64">
                  <c:v>45702</c:v>
                </c:pt>
                <c:pt idx="65">
                  <c:v>45705</c:v>
                </c:pt>
                <c:pt idx="66">
                  <c:v>45706</c:v>
                </c:pt>
                <c:pt idx="67">
                  <c:v>45707</c:v>
                </c:pt>
                <c:pt idx="68">
                  <c:v>45708</c:v>
                </c:pt>
                <c:pt idx="69">
                  <c:v>45709</c:v>
                </c:pt>
                <c:pt idx="70">
                  <c:v>45712</c:v>
                </c:pt>
                <c:pt idx="71">
                  <c:v>45713</c:v>
                </c:pt>
                <c:pt idx="72">
                  <c:v>45714</c:v>
                </c:pt>
                <c:pt idx="73">
                  <c:v>45715</c:v>
                </c:pt>
                <c:pt idx="74">
                  <c:v>45716</c:v>
                </c:pt>
                <c:pt idx="75">
                  <c:v>45719</c:v>
                </c:pt>
                <c:pt idx="76">
                  <c:v>45720</c:v>
                </c:pt>
                <c:pt idx="77">
                  <c:v>45721</c:v>
                </c:pt>
                <c:pt idx="78">
                  <c:v>45722</c:v>
                </c:pt>
                <c:pt idx="79">
                  <c:v>45723</c:v>
                </c:pt>
                <c:pt idx="80">
                  <c:v>45726</c:v>
                </c:pt>
                <c:pt idx="81">
                  <c:v>45727</c:v>
                </c:pt>
                <c:pt idx="82">
                  <c:v>45728</c:v>
                </c:pt>
                <c:pt idx="83">
                  <c:v>45729</c:v>
                </c:pt>
                <c:pt idx="84">
                  <c:v>45730</c:v>
                </c:pt>
                <c:pt idx="85">
                  <c:v>45733</c:v>
                </c:pt>
                <c:pt idx="86">
                  <c:v>45734</c:v>
                </c:pt>
                <c:pt idx="87">
                  <c:v>45735</c:v>
                </c:pt>
                <c:pt idx="88">
                  <c:v>45736</c:v>
                </c:pt>
                <c:pt idx="89">
                  <c:v>45737</c:v>
                </c:pt>
                <c:pt idx="90">
                  <c:v>45740</c:v>
                </c:pt>
                <c:pt idx="91">
                  <c:v>45741</c:v>
                </c:pt>
                <c:pt idx="92">
                  <c:v>45742</c:v>
                </c:pt>
                <c:pt idx="93">
                  <c:v>45743</c:v>
                </c:pt>
                <c:pt idx="94">
                  <c:v>45744</c:v>
                </c:pt>
                <c:pt idx="95">
                  <c:v>45747</c:v>
                </c:pt>
                <c:pt idx="96">
                  <c:v>45748</c:v>
                </c:pt>
                <c:pt idx="97">
                  <c:v>45749</c:v>
                </c:pt>
                <c:pt idx="98">
                  <c:v>45750</c:v>
                </c:pt>
                <c:pt idx="99">
                  <c:v>45751</c:v>
                </c:pt>
                <c:pt idx="100">
                  <c:v>45754</c:v>
                </c:pt>
                <c:pt idx="101">
                  <c:v>45755</c:v>
                </c:pt>
                <c:pt idx="102">
                  <c:v>45756</c:v>
                </c:pt>
                <c:pt idx="103">
                  <c:v>45757</c:v>
                </c:pt>
                <c:pt idx="104">
                  <c:v>45758</c:v>
                </c:pt>
                <c:pt idx="105">
                  <c:v>45761</c:v>
                </c:pt>
                <c:pt idx="106">
                  <c:v>45762</c:v>
                </c:pt>
                <c:pt idx="107">
                  <c:v>45763</c:v>
                </c:pt>
                <c:pt idx="108">
                  <c:v>45764</c:v>
                </c:pt>
                <c:pt idx="109">
                  <c:v>45765</c:v>
                </c:pt>
                <c:pt idx="110">
                  <c:v>45768</c:v>
                </c:pt>
                <c:pt idx="111">
                  <c:v>45769</c:v>
                </c:pt>
                <c:pt idx="112">
                  <c:v>45770</c:v>
                </c:pt>
                <c:pt idx="113">
                  <c:v>45771</c:v>
                </c:pt>
                <c:pt idx="114">
                  <c:v>45772</c:v>
                </c:pt>
                <c:pt idx="115">
                  <c:v>45775</c:v>
                </c:pt>
                <c:pt idx="116">
                  <c:v>45776</c:v>
                </c:pt>
                <c:pt idx="117">
                  <c:v>45777</c:v>
                </c:pt>
                <c:pt idx="118">
                  <c:v>45778</c:v>
                </c:pt>
                <c:pt idx="119">
                  <c:v>45779</c:v>
                </c:pt>
                <c:pt idx="120">
                  <c:v>45782</c:v>
                </c:pt>
                <c:pt idx="121">
                  <c:v>45783</c:v>
                </c:pt>
                <c:pt idx="122">
                  <c:v>45784</c:v>
                </c:pt>
                <c:pt idx="123">
                  <c:v>45785</c:v>
                </c:pt>
                <c:pt idx="124">
                  <c:v>45786</c:v>
                </c:pt>
                <c:pt idx="125">
                  <c:v>45789</c:v>
                </c:pt>
                <c:pt idx="126">
                  <c:v>45790</c:v>
                </c:pt>
                <c:pt idx="127">
                  <c:v>45791</c:v>
                </c:pt>
                <c:pt idx="128">
                  <c:v>45792</c:v>
                </c:pt>
                <c:pt idx="129">
                  <c:v>45793</c:v>
                </c:pt>
                <c:pt idx="130">
                  <c:v>45796</c:v>
                </c:pt>
                <c:pt idx="131">
                  <c:v>45797</c:v>
                </c:pt>
                <c:pt idx="132">
                  <c:v>45798</c:v>
                </c:pt>
                <c:pt idx="133">
                  <c:v>45799</c:v>
                </c:pt>
                <c:pt idx="134">
                  <c:v>45800</c:v>
                </c:pt>
                <c:pt idx="135">
                  <c:v>45804</c:v>
                </c:pt>
                <c:pt idx="136">
                  <c:v>45805</c:v>
                </c:pt>
                <c:pt idx="137">
                  <c:v>45806</c:v>
                </c:pt>
                <c:pt idx="138">
                  <c:v>45807</c:v>
                </c:pt>
                <c:pt idx="139">
                  <c:v>45810</c:v>
                </c:pt>
                <c:pt idx="140">
                  <c:v>45811</c:v>
                </c:pt>
                <c:pt idx="141">
                  <c:v>45812</c:v>
                </c:pt>
                <c:pt idx="142">
                  <c:v>45813</c:v>
                </c:pt>
                <c:pt idx="143">
                  <c:v>45814</c:v>
                </c:pt>
                <c:pt idx="144">
                  <c:v>45817</c:v>
                </c:pt>
                <c:pt idx="145">
                  <c:v>45818</c:v>
                </c:pt>
                <c:pt idx="146">
                  <c:v>45819</c:v>
                </c:pt>
                <c:pt idx="147">
                  <c:v>45820</c:v>
                </c:pt>
                <c:pt idx="148">
                  <c:v>45821</c:v>
                </c:pt>
                <c:pt idx="149">
                  <c:v>45824</c:v>
                </c:pt>
                <c:pt idx="150">
                  <c:v>45825</c:v>
                </c:pt>
                <c:pt idx="151">
                  <c:v>45826</c:v>
                </c:pt>
                <c:pt idx="152">
                  <c:v>45827</c:v>
                </c:pt>
                <c:pt idx="153">
                  <c:v>45828</c:v>
                </c:pt>
                <c:pt idx="154">
                  <c:v>45831</c:v>
                </c:pt>
                <c:pt idx="155">
                  <c:v>45832</c:v>
                </c:pt>
                <c:pt idx="156">
                  <c:v>45833</c:v>
                </c:pt>
                <c:pt idx="157">
                  <c:v>45834</c:v>
                </c:pt>
                <c:pt idx="158">
                  <c:v>45835</c:v>
                </c:pt>
                <c:pt idx="159">
                  <c:v>45838</c:v>
                </c:pt>
                <c:pt idx="160">
                  <c:v>45839</c:v>
                </c:pt>
                <c:pt idx="161">
                  <c:v>45840</c:v>
                </c:pt>
                <c:pt idx="162">
                  <c:v>45841</c:v>
                </c:pt>
                <c:pt idx="163">
                  <c:v>45842</c:v>
                </c:pt>
                <c:pt idx="164">
                  <c:v>45845</c:v>
                </c:pt>
                <c:pt idx="165">
                  <c:v>45846</c:v>
                </c:pt>
                <c:pt idx="166">
                  <c:v>45847</c:v>
                </c:pt>
                <c:pt idx="167">
                  <c:v>45848</c:v>
                </c:pt>
                <c:pt idx="168">
                  <c:v>45849</c:v>
                </c:pt>
                <c:pt idx="169">
                  <c:v>45852</c:v>
                </c:pt>
                <c:pt idx="170">
                  <c:v>45853</c:v>
                </c:pt>
                <c:pt idx="171">
                  <c:v>45854</c:v>
                </c:pt>
                <c:pt idx="172">
                  <c:v>45855</c:v>
                </c:pt>
                <c:pt idx="173">
                  <c:v>45856</c:v>
                </c:pt>
                <c:pt idx="174">
                  <c:v>45859</c:v>
                </c:pt>
                <c:pt idx="175">
                  <c:v>45860</c:v>
                </c:pt>
                <c:pt idx="176">
                  <c:v>45861</c:v>
                </c:pt>
                <c:pt idx="177">
                  <c:v>45862</c:v>
                </c:pt>
                <c:pt idx="178">
                  <c:v>45863</c:v>
                </c:pt>
                <c:pt idx="179">
                  <c:v>45866</c:v>
                </c:pt>
                <c:pt idx="180">
                  <c:v>45867</c:v>
                </c:pt>
                <c:pt idx="181">
                  <c:v>45868</c:v>
                </c:pt>
                <c:pt idx="182">
                  <c:v>45869</c:v>
                </c:pt>
                <c:pt idx="183">
                  <c:v>45870</c:v>
                </c:pt>
                <c:pt idx="184">
                  <c:v>45873</c:v>
                </c:pt>
                <c:pt idx="185">
                  <c:v>45874</c:v>
                </c:pt>
                <c:pt idx="186">
                  <c:v>45875</c:v>
                </c:pt>
                <c:pt idx="187">
                  <c:v>45876</c:v>
                </c:pt>
                <c:pt idx="188">
                  <c:v>45877</c:v>
                </c:pt>
                <c:pt idx="189">
                  <c:v>45880</c:v>
                </c:pt>
                <c:pt idx="190">
                  <c:v>45881</c:v>
                </c:pt>
                <c:pt idx="191">
                  <c:v>45882</c:v>
                </c:pt>
                <c:pt idx="192">
                  <c:v>45883</c:v>
                </c:pt>
                <c:pt idx="193">
                  <c:v>45884</c:v>
                </c:pt>
                <c:pt idx="194">
                  <c:v>45887</c:v>
                </c:pt>
                <c:pt idx="195">
                  <c:v>45888</c:v>
                </c:pt>
                <c:pt idx="196">
                  <c:v>45889</c:v>
                </c:pt>
                <c:pt idx="197">
                  <c:v>45890</c:v>
                </c:pt>
                <c:pt idx="198">
                  <c:v>45891</c:v>
                </c:pt>
                <c:pt idx="199">
                  <c:v>45894</c:v>
                </c:pt>
                <c:pt idx="200">
                  <c:v>45895</c:v>
                </c:pt>
                <c:pt idx="201">
                  <c:v>45896</c:v>
                </c:pt>
                <c:pt idx="202">
                  <c:v>45897</c:v>
                </c:pt>
                <c:pt idx="203">
                  <c:v>45898</c:v>
                </c:pt>
                <c:pt idx="204">
                  <c:v>45901</c:v>
                </c:pt>
                <c:pt idx="205">
                  <c:v>45902</c:v>
                </c:pt>
                <c:pt idx="206">
                  <c:v>45903</c:v>
                </c:pt>
                <c:pt idx="207">
                  <c:v>45904</c:v>
                </c:pt>
                <c:pt idx="208">
                  <c:v>45905</c:v>
                </c:pt>
                <c:pt idx="209">
                  <c:v>45908</c:v>
                </c:pt>
                <c:pt idx="210">
                  <c:v>45909</c:v>
                </c:pt>
                <c:pt idx="211">
                  <c:v>45910</c:v>
                </c:pt>
                <c:pt idx="212">
                  <c:v>45911</c:v>
                </c:pt>
                <c:pt idx="213">
                  <c:v>45912</c:v>
                </c:pt>
                <c:pt idx="214">
                  <c:v>45915</c:v>
                </c:pt>
                <c:pt idx="215">
                  <c:v>45916</c:v>
                </c:pt>
                <c:pt idx="216">
                  <c:v>45917</c:v>
                </c:pt>
                <c:pt idx="217">
                  <c:v>45918</c:v>
                </c:pt>
                <c:pt idx="218">
                  <c:v>45919</c:v>
                </c:pt>
                <c:pt idx="219">
                  <c:v>45922</c:v>
                </c:pt>
                <c:pt idx="220">
                  <c:v>45923</c:v>
                </c:pt>
                <c:pt idx="221">
                  <c:v>45924</c:v>
                </c:pt>
                <c:pt idx="222">
                  <c:v>45925</c:v>
                </c:pt>
                <c:pt idx="223">
                  <c:v>45926</c:v>
                </c:pt>
                <c:pt idx="224">
                  <c:v>45929</c:v>
                </c:pt>
                <c:pt idx="225">
                  <c:v>45930</c:v>
                </c:pt>
                <c:pt idx="226">
                  <c:v>45931</c:v>
                </c:pt>
                <c:pt idx="227">
                  <c:v>45932</c:v>
                </c:pt>
                <c:pt idx="228">
                  <c:v>45933</c:v>
                </c:pt>
                <c:pt idx="229">
                  <c:v>45936</c:v>
                </c:pt>
                <c:pt idx="230">
                  <c:v>45937</c:v>
                </c:pt>
                <c:pt idx="231">
                  <c:v>45938</c:v>
                </c:pt>
                <c:pt idx="232">
                  <c:v>45939</c:v>
                </c:pt>
                <c:pt idx="233">
                  <c:v>45940</c:v>
                </c:pt>
                <c:pt idx="234">
                  <c:v>45943</c:v>
                </c:pt>
                <c:pt idx="235">
                  <c:v>45944</c:v>
                </c:pt>
                <c:pt idx="236">
                  <c:v>45945</c:v>
                </c:pt>
                <c:pt idx="237">
                  <c:v>45946</c:v>
                </c:pt>
                <c:pt idx="238">
                  <c:v>45947</c:v>
                </c:pt>
                <c:pt idx="239">
                  <c:v>45950</c:v>
                </c:pt>
                <c:pt idx="240">
                  <c:v>45951</c:v>
                </c:pt>
                <c:pt idx="241">
                  <c:v>45952</c:v>
                </c:pt>
                <c:pt idx="242">
                  <c:v>45953</c:v>
                </c:pt>
                <c:pt idx="243">
                  <c:v>45954</c:v>
                </c:pt>
                <c:pt idx="244">
                  <c:v>45957</c:v>
                </c:pt>
                <c:pt idx="245">
                  <c:v>45958</c:v>
                </c:pt>
                <c:pt idx="246">
                  <c:v>45959</c:v>
                </c:pt>
                <c:pt idx="247">
                  <c:v>45960</c:v>
                </c:pt>
                <c:pt idx="248">
                  <c:v>45961</c:v>
                </c:pt>
                <c:pt idx="249">
                  <c:v>45964</c:v>
                </c:pt>
                <c:pt idx="250">
                  <c:v>45965</c:v>
                </c:pt>
                <c:pt idx="251">
                  <c:v>45966</c:v>
                </c:pt>
                <c:pt idx="252">
                  <c:v>45967</c:v>
                </c:pt>
                <c:pt idx="253">
                  <c:v>45968</c:v>
                </c:pt>
              </c:numCache>
            </c:numRef>
          </c:cat>
          <c:val>
            <c:numRef>
              <c:f>BBG!$B$3:$B$256</c:f>
              <c:numCache>
                <c:formatCode>0.00</c:formatCode>
                <c:ptCount val="254"/>
                <c:pt idx="0">
                  <c:v>-10.76</c:v>
                </c:pt>
                <c:pt idx="1">
                  <c:v>-13.063000000000001</c:v>
                </c:pt>
                <c:pt idx="2">
                  <c:v>-13.189</c:v>
                </c:pt>
                <c:pt idx="3">
                  <c:v>-12.989000000000001</c:v>
                </c:pt>
                <c:pt idx="4">
                  <c:v>-15.238</c:v>
                </c:pt>
                <c:pt idx="5">
                  <c:v>-25.81</c:v>
                </c:pt>
                <c:pt idx="6">
                  <c:v>-19.265999999999998</c:v>
                </c:pt>
                <c:pt idx="7">
                  <c:v>-24.474</c:v>
                </c:pt>
                <c:pt idx="8">
                  <c:v>-24.474</c:v>
                </c:pt>
                <c:pt idx="9">
                  <c:v>-33.015999999999998</c:v>
                </c:pt>
                <c:pt idx="10">
                  <c:v>-28.253</c:v>
                </c:pt>
                <c:pt idx="11">
                  <c:v>-24.585000000000001</c:v>
                </c:pt>
                <c:pt idx="12">
                  <c:v>-28.395</c:v>
                </c:pt>
                <c:pt idx="13">
                  <c:v>-27.5</c:v>
                </c:pt>
                <c:pt idx="14">
                  <c:v>-25.518000000000001</c:v>
                </c:pt>
                <c:pt idx="15">
                  <c:v>-20.381</c:v>
                </c:pt>
                <c:pt idx="16">
                  <c:v>-16.887</c:v>
                </c:pt>
                <c:pt idx="17">
                  <c:v>-9.77</c:v>
                </c:pt>
                <c:pt idx="18">
                  <c:v>-0.94</c:v>
                </c:pt>
                <c:pt idx="19">
                  <c:v>6.6230000000000002</c:v>
                </c:pt>
                <c:pt idx="20">
                  <c:v>7.7119999999999997</c:v>
                </c:pt>
                <c:pt idx="21">
                  <c:v>6.5679999999999996</c:v>
                </c:pt>
                <c:pt idx="22">
                  <c:v>16.596</c:v>
                </c:pt>
                <c:pt idx="23">
                  <c:v>22.236999999999998</c:v>
                </c:pt>
                <c:pt idx="24">
                  <c:v>18.916</c:v>
                </c:pt>
                <c:pt idx="25">
                  <c:v>25.917000000000002</c:v>
                </c:pt>
                <c:pt idx="26">
                  <c:v>25.616</c:v>
                </c:pt>
                <c:pt idx="27">
                  <c:v>25.616</c:v>
                </c:pt>
                <c:pt idx="28">
                  <c:v>24.033000000000001</c:v>
                </c:pt>
                <c:pt idx="29">
                  <c:v>33.366</c:v>
                </c:pt>
                <c:pt idx="30">
                  <c:v>24.41</c:v>
                </c:pt>
                <c:pt idx="31">
                  <c:v>24.164000000000001</c:v>
                </c:pt>
                <c:pt idx="32">
                  <c:v>24.164000000000001</c:v>
                </c:pt>
                <c:pt idx="33">
                  <c:v>24.25</c:v>
                </c:pt>
                <c:pt idx="34">
                  <c:v>29.033000000000001</c:v>
                </c:pt>
                <c:pt idx="35">
                  <c:v>32.591000000000001</c:v>
                </c:pt>
                <c:pt idx="36">
                  <c:v>37.268999999999998</c:v>
                </c:pt>
                <c:pt idx="37">
                  <c:v>37.219000000000001</c:v>
                </c:pt>
                <c:pt idx="38">
                  <c:v>37.539000000000001</c:v>
                </c:pt>
                <c:pt idx="39">
                  <c:v>42.877000000000002</c:v>
                </c:pt>
                <c:pt idx="40">
                  <c:v>44.792000000000002</c:v>
                </c:pt>
                <c:pt idx="41">
                  <c:v>46.973999999999997</c:v>
                </c:pt>
                <c:pt idx="42">
                  <c:v>34.128999999999998</c:v>
                </c:pt>
                <c:pt idx="43">
                  <c:v>30.38</c:v>
                </c:pt>
                <c:pt idx="44">
                  <c:v>32.295999999999999</c:v>
                </c:pt>
                <c:pt idx="45">
                  <c:v>32.295999999999999</c:v>
                </c:pt>
                <c:pt idx="46">
                  <c:v>26.763000000000002</c:v>
                </c:pt>
                <c:pt idx="47">
                  <c:v>28.36</c:v>
                </c:pt>
                <c:pt idx="48">
                  <c:v>32.194000000000003</c:v>
                </c:pt>
                <c:pt idx="49">
                  <c:v>30.649000000000001</c:v>
                </c:pt>
                <c:pt idx="50">
                  <c:v>23.021999999999998</c:v>
                </c:pt>
                <c:pt idx="51">
                  <c:v>23.556999999999999</c:v>
                </c:pt>
                <c:pt idx="52">
                  <c:v>23.152999999999999</c:v>
                </c:pt>
                <c:pt idx="53">
                  <c:v>22.055</c:v>
                </c:pt>
                <c:pt idx="54">
                  <c:v>24.448</c:v>
                </c:pt>
                <c:pt idx="55">
                  <c:v>25.349</c:v>
                </c:pt>
                <c:pt idx="56">
                  <c:v>19.305</c:v>
                </c:pt>
                <c:pt idx="57">
                  <c:v>9.3369999999999997</c:v>
                </c:pt>
                <c:pt idx="58">
                  <c:v>10.736000000000001</c:v>
                </c:pt>
                <c:pt idx="59">
                  <c:v>15.646000000000001</c:v>
                </c:pt>
                <c:pt idx="60">
                  <c:v>15.904999999999999</c:v>
                </c:pt>
                <c:pt idx="61">
                  <c:v>20.222000000000001</c:v>
                </c:pt>
                <c:pt idx="62">
                  <c:v>28.31</c:v>
                </c:pt>
                <c:pt idx="63">
                  <c:v>19.942</c:v>
                </c:pt>
                <c:pt idx="64">
                  <c:v>15.147</c:v>
                </c:pt>
                <c:pt idx="65">
                  <c:v>15.147</c:v>
                </c:pt>
                <c:pt idx="66">
                  <c:v>22.408000000000001</c:v>
                </c:pt>
                <c:pt idx="67">
                  <c:v>20.015000000000001</c:v>
                </c:pt>
                <c:pt idx="68">
                  <c:v>18.623999999999999</c:v>
                </c:pt>
                <c:pt idx="69">
                  <c:v>12.154</c:v>
                </c:pt>
                <c:pt idx="70">
                  <c:v>9.8800000000000008</c:v>
                </c:pt>
                <c:pt idx="71">
                  <c:v>-0.48699999999999999</c:v>
                </c:pt>
                <c:pt idx="72">
                  <c:v>-5.3</c:v>
                </c:pt>
                <c:pt idx="73">
                  <c:v>-4.359</c:v>
                </c:pt>
                <c:pt idx="74">
                  <c:v>-9.6349999999999998</c:v>
                </c:pt>
                <c:pt idx="75">
                  <c:v>-14.9</c:v>
                </c:pt>
                <c:pt idx="76">
                  <c:v>-5.2569999999999997</c:v>
                </c:pt>
                <c:pt idx="77">
                  <c:v>-3.59</c:v>
                </c:pt>
                <c:pt idx="78">
                  <c:v>-3.0310000000000001</c:v>
                </c:pt>
                <c:pt idx="79">
                  <c:v>-0.60399999999999998</c:v>
                </c:pt>
                <c:pt idx="80">
                  <c:v>-7.5449999999999999</c:v>
                </c:pt>
                <c:pt idx="81">
                  <c:v>-1.431</c:v>
                </c:pt>
                <c:pt idx="82">
                  <c:v>0.57899999999999996</c:v>
                </c:pt>
                <c:pt idx="83">
                  <c:v>-3.274</c:v>
                </c:pt>
                <c:pt idx="84">
                  <c:v>1.526</c:v>
                </c:pt>
                <c:pt idx="85">
                  <c:v>0.222</c:v>
                </c:pt>
                <c:pt idx="86">
                  <c:v>-0.38200000000000001</c:v>
                </c:pt>
                <c:pt idx="87">
                  <c:v>-6.1779999999999999</c:v>
                </c:pt>
                <c:pt idx="88">
                  <c:v>-5.6749999999999998</c:v>
                </c:pt>
                <c:pt idx="89">
                  <c:v>-4.5949999999999998</c:v>
                </c:pt>
                <c:pt idx="90">
                  <c:v>4.2949999999999999</c:v>
                </c:pt>
                <c:pt idx="91">
                  <c:v>2.948</c:v>
                </c:pt>
                <c:pt idx="92">
                  <c:v>5.4950000000000001</c:v>
                </c:pt>
                <c:pt idx="93">
                  <c:v>6.12</c:v>
                </c:pt>
                <c:pt idx="94">
                  <c:v>-4.7430000000000003</c:v>
                </c:pt>
                <c:pt idx="95">
                  <c:v>-9.8829999999999991</c:v>
                </c:pt>
                <c:pt idx="96">
                  <c:v>-13.824</c:v>
                </c:pt>
                <c:pt idx="97">
                  <c:v>-18.486000000000001</c:v>
                </c:pt>
                <c:pt idx="98">
                  <c:v>-27.238</c:v>
                </c:pt>
                <c:pt idx="99">
                  <c:v>-26.888999999999999</c:v>
                </c:pt>
                <c:pt idx="100">
                  <c:v>-9.7970000000000006</c:v>
                </c:pt>
                <c:pt idx="101">
                  <c:v>-1.6830000000000001</c:v>
                </c:pt>
                <c:pt idx="102">
                  <c:v>-1.137</c:v>
                </c:pt>
                <c:pt idx="103">
                  <c:v>10.066000000000001</c:v>
                </c:pt>
                <c:pt idx="104">
                  <c:v>15.388999999999999</c:v>
                </c:pt>
                <c:pt idx="105">
                  <c:v>5.173</c:v>
                </c:pt>
                <c:pt idx="106">
                  <c:v>2.0710000000000002</c:v>
                </c:pt>
                <c:pt idx="107">
                  <c:v>-4.2779999999999996</c:v>
                </c:pt>
                <c:pt idx="108">
                  <c:v>-0.29799999999999999</c:v>
                </c:pt>
                <c:pt idx="109">
                  <c:v>-0.29799999999999999</c:v>
                </c:pt>
                <c:pt idx="110">
                  <c:v>8.0679999999999996</c:v>
                </c:pt>
                <c:pt idx="111">
                  <c:v>7.8120000000000003</c:v>
                </c:pt>
                <c:pt idx="112">
                  <c:v>5.9020000000000001</c:v>
                </c:pt>
                <c:pt idx="113">
                  <c:v>0.10199999999999999</c:v>
                </c:pt>
                <c:pt idx="114">
                  <c:v>-7.4459999999999997</c:v>
                </c:pt>
                <c:pt idx="115">
                  <c:v>-9.5839999999999996</c:v>
                </c:pt>
                <c:pt idx="116">
                  <c:v>-12.254</c:v>
                </c:pt>
                <c:pt idx="117">
                  <c:v>-12.914</c:v>
                </c:pt>
                <c:pt idx="118">
                  <c:v>-8.5939999999999994</c:v>
                </c:pt>
                <c:pt idx="119">
                  <c:v>-1.6950000000000001</c:v>
                </c:pt>
                <c:pt idx="120">
                  <c:v>2.1150000000000002</c:v>
                </c:pt>
                <c:pt idx="121">
                  <c:v>-2.5510000000000002</c:v>
                </c:pt>
                <c:pt idx="122">
                  <c:v>-5.7969999999999997</c:v>
                </c:pt>
                <c:pt idx="123">
                  <c:v>4.3860000000000001</c:v>
                </c:pt>
                <c:pt idx="124">
                  <c:v>5.0579999999999998</c:v>
                </c:pt>
                <c:pt idx="125">
                  <c:v>7.3689999999999998</c:v>
                </c:pt>
                <c:pt idx="126">
                  <c:v>7.7539999999999996</c:v>
                </c:pt>
                <c:pt idx="127">
                  <c:v>14.162000000000001</c:v>
                </c:pt>
                <c:pt idx="128">
                  <c:v>6.3230000000000004</c:v>
                </c:pt>
                <c:pt idx="129">
                  <c:v>12.58</c:v>
                </c:pt>
                <c:pt idx="130">
                  <c:v>9.4130000000000003</c:v>
                </c:pt>
                <c:pt idx="131">
                  <c:v>14.872</c:v>
                </c:pt>
                <c:pt idx="132">
                  <c:v>25.047999999999998</c:v>
                </c:pt>
                <c:pt idx="133">
                  <c:v>17.600000000000001</c:v>
                </c:pt>
                <c:pt idx="134">
                  <c:v>16.552</c:v>
                </c:pt>
                <c:pt idx="135">
                  <c:v>12.196</c:v>
                </c:pt>
                <c:pt idx="136">
                  <c:v>13.702999999999999</c:v>
                </c:pt>
                <c:pt idx="137">
                  <c:v>6.79</c:v>
                </c:pt>
                <c:pt idx="138">
                  <c:v>4.9189999999999996</c:v>
                </c:pt>
                <c:pt idx="139">
                  <c:v>9.6969999999999992</c:v>
                </c:pt>
                <c:pt idx="140">
                  <c:v>11.035</c:v>
                </c:pt>
                <c:pt idx="141">
                  <c:v>0.19400000000000001</c:v>
                </c:pt>
                <c:pt idx="142">
                  <c:v>4.5640000000000001</c:v>
                </c:pt>
                <c:pt idx="143">
                  <c:v>15.702</c:v>
                </c:pt>
                <c:pt idx="144">
                  <c:v>11.797000000000001</c:v>
                </c:pt>
                <c:pt idx="145">
                  <c:v>12.646000000000001</c:v>
                </c:pt>
                <c:pt idx="146">
                  <c:v>5.673</c:v>
                </c:pt>
                <c:pt idx="147">
                  <c:v>-1.9410000000000001</c:v>
                </c:pt>
                <c:pt idx="148">
                  <c:v>3.1989999999999998</c:v>
                </c:pt>
                <c:pt idx="149">
                  <c:v>8.5239999999999991</c:v>
                </c:pt>
                <c:pt idx="150">
                  <c:v>6.8769999999999998</c:v>
                </c:pt>
                <c:pt idx="151">
                  <c:v>5.1100000000000003</c:v>
                </c:pt>
                <c:pt idx="152">
                  <c:v>5.1100000000000003</c:v>
                </c:pt>
                <c:pt idx="153">
                  <c:v>6.0190000000000001</c:v>
                </c:pt>
                <c:pt idx="154">
                  <c:v>7.5110000000000001</c:v>
                </c:pt>
                <c:pt idx="155">
                  <c:v>1.0680000000000001</c:v>
                </c:pt>
                <c:pt idx="156">
                  <c:v>-1.345</c:v>
                </c:pt>
                <c:pt idx="157">
                  <c:v>-8.5129999999999999</c:v>
                </c:pt>
                <c:pt idx="158">
                  <c:v>-3.0310000000000001</c:v>
                </c:pt>
                <c:pt idx="159">
                  <c:v>-7.6079999999999997</c:v>
                </c:pt>
                <c:pt idx="160">
                  <c:v>-9.1379999999999999</c:v>
                </c:pt>
                <c:pt idx="161">
                  <c:v>-6.3419999999999996</c:v>
                </c:pt>
                <c:pt idx="162">
                  <c:v>-1.577</c:v>
                </c:pt>
                <c:pt idx="163">
                  <c:v>-1.577</c:v>
                </c:pt>
                <c:pt idx="164">
                  <c:v>2.6160000000000001</c:v>
                </c:pt>
                <c:pt idx="165">
                  <c:v>4.0309999999999997</c:v>
                </c:pt>
                <c:pt idx="166">
                  <c:v>-3.4220000000000002</c:v>
                </c:pt>
                <c:pt idx="167">
                  <c:v>-0.81399999999999995</c:v>
                </c:pt>
                <c:pt idx="168">
                  <c:v>5.5579999999999998</c:v>
                </c:pt>
                <c:pt idx="169">
                  <c:v>9.2970000000000006</c:v>
                </c:pt>
                <c:pt idx="170">
                  <c:v>13.33</c:v>
                </c:pt>
                <c:pt idx="171">
                  <c:v>11.243</c:v>
                </c:pt>
                <c:pt idx="172">
                  <c:v>10.64</c:v>
                </c:pt>
                <c:pt idx="173">
                  <c:v>6.9530000000000003</c:v>
                </c:pt>
                <c:pt idx="174">
                  <c:v>4.3209999999999997</c:v>
                </c:pt>
                <c:pt idx="175">
                  <c:v>1.8759999999999999</c:v>
                </c:pt>
                <c:pt idx="176">
                  <c:v>2.653</c:v>
                </c:pt>
                <c:pt idx="177">
                  <c:v>3.8420000000000001</c:v>
                </c:pt>
                <c:pt idx="178">
                  <c:v>3.15</c:v>
                </c:pt>
                <c:pt idx="179">
                  <c:v>6.6920000000000002</c:v>
                </c:pt>
                <c:pt idx="180">
                  <c:v>-2.8210000000000002</c:v>
                </c:pt>
                <c:pt idx="181">
                  <c:v>2.194</c:v>
                </c:pt>
                <c:pt idx="182">
                  <c:v>2.9049999999999998</c:v>
                </c:pt>
                <c:pt idx="183">
                  <c:v>-7.835</c:v>
                </c:pt>
                <c:pt idx="184">
                  <c:v>-6.5179999999999998</c:v>
                </c:pt>
                <c:pt idx="185">
                  <c:v>-3.4990000000000001</c:v>
                </c:pt>
                <c:pt idx="186">
                  <c:v>-1.88</c:v>
                </c:pt>
                <c:pt idx="187">
                  <c:v>0.40799999999999997</c:v>
                </c:pt>
                <c:pt idx="188">
                  <c:v>3.5259999999999998</c:v>
                </c:pt>
                <c:pt idx="189">
                  <c:v>2.7349999999999999</c:v>
                </c:pt>
                <c:pt idx="190">
                  <c:v>5.1550000000000002</c:v>
                </c:pt>
                <c:pt idx="191">
                  <c:v>1.919</c:v>
                </c:pt>
                <c:pt idx="192">
                  <c:v>6.1589999999999998</c:v>
                </c:pt>
                <c:pt idx="193">
                  <c:v>9.4149999999999991</c:v>
                </c:pt>
                <c:pt idx="194">
                  <c:v>9.9260000000000002</c:v>
                </c:pt>
                <c:pt idx="195">
                  <c:v>9.4920000000000009</c:v>
                </c:pt>
                <c:pt idx="196">
                  <c:v>6.6890000000000001</c:v>
                </c:pt>
                <c:pt idx="197">
                  <c:v>8.8870000000000005</c:v>
                </c:pt>
                <c:pt idx="198">
                  <c:v>5.5190000000000001</c:v>
                </c:pt>
                <c:pt idx="199">
                  <c:v>7.4429999999999996</c:v>
                </c:pt>
                <c:pt idx="200">
                  <c:v>7.556</c:v>
                </c:pt>
                <c:pt idx="201">
                  <c:v>5.4059999999999997</c:v>
                </c:pt>
                <c:pt idx="202">
                  <c:v>2.0979999999999999</c:v>
                </c:pt>
                <c:pt idx="203">
                  <c:v>7.641</c:v>
                </c:pt>
                <c:pt idx="204">
                  <c:v>7.641</c:v>
                </c:pt>
                <c:pt idx="205">
                  <c:v>12.537000000000001</c:v>
                </c:pt>
                <c:pt idx="206">
                  <c:v>9.1319999999999997</c:v>
                </c:pt>
                <c:pt idx="207">
                  <c:v>7.4539999999999997</c:v>
                </c:pt>
                <c:pt idx="208">
                  <c:v>5.9189999999999996</c:v>
                </c:pt>
                <c:pt idx="209">
                  <c:v>0.97199999999999998</c:v>
                </c:pt>
                <c:pt idx="210">
                  <c:v>5.4770000000000003</c:v>
                </c:pt>
                <c:pt idx="211">
                  <c:v>0.53500000000000003</c:v>
                </c:pt>
                <c:pt idx="212">
                  <c:v>-1.387</c:v>
                </c:pt>
                <c:pt idx="213">
                  <c:v>2.8610000000000002</c:v>
                </c:pt>
                <c:pt idx="214">
                  <c:v>3.8410000000000002</c:v>
                </c:pt>
                <c:pt idx="215">
                  <c:v>5.2050000000000001</c:v>
                </c:pt>
                <c:pt idx="216">
                  <c:v>10.914</c:v>
                </c:pt>
                <c:pt idx="217">
                  <c:v>12.423</c:v>
                </c:pt>
                <c:pt idx="218">
                  <c:v>14.593999999999999</c:v>
                </c:pt>
                <c:pt idx="219">
                  <c:v>19.920000000000002</c:v>
                </c:pt>
                <c:pt idx="220">
                  <c:v>14.275</c:v>
                </c:pt>
                <c:pt idx="221">
                  <c:v>18.364999999999998</c:v>
                </c:pt>
                <c:pt idx="222">
                  <c:v>18.658999999999999</c:v>
                </c:pt>
                <c:pt idx="223">
                  <c:v>21.43</c:v>
                </c:pt>
                <c:pt idx="224">
                  <c:v>17.274000000000001</c:v>
                </c:pt>
                <c:pt idx="225">
                  <c:v>20.501000000000001</c:v>
                </c:pt>
                <c:pt idx="226">
                  <c:v>15.843</c:v>
                </c:pt>
                <c:pt idx="227">
                  <c:v>12.79</c:v>
                </c:pt>
                <c:pt idx="228">
                  <c:v>15.795</c:v>
                </c:pt>
                <c:pt idx="229">
                  <c:v>20.094000000000001</c:v>
                </c:pt>
                <c:pt idx="230">
                  <c:v>19.105</c:v>
                </c:pt>
                <c:pt idx="231">
                  <c:v>17.53</c:v>
                </c:pt>
                <c:pt idx="232">
                  <c:v>17.888999999999999</c:v>
                </c:pt>
                <c:pt idx="233">
                  <c:v>8.2119999999999997</c:v>
                </c:pt>
                <c:pt idx="234">
                  <c:v>8.2119999999999997</c:v>
                </c:pt>
                <c:pt idx="235">
                  <c:v>8.3149999999999995</c:v>
                </c:pt>
                <c:pt idx="236">
                  <c:v>6.31</c:v>
                </c:pt>
                <c:pt idx="237">
                  <c:v>3.052</c:v>
                </c:pt>
                <c:pt idx="238">
                  <c:v>8.157</c:v>
                </c:pt>
                <c:pt idx="239">
                  <c:v>9.4499999999999993</c:v>
                </c:pt>
                <c:pt idx="240">
                  <c:v>7.7329999999999997</c:v>
                </c:pt>
                <c:pt idx="241">
                  <c:v>6.6890000000000001</c:v>
                </c:pt>
                <c:pt idx="242">
                  <c:v>11.372999999999999</c:v>
                </c:pt>
                <c:pt idx="243">
                  <c:v>14.061</c:v>
                </c:pt>
                <c:pt idx="244">
                  <c:v>15.791</c:v>
                </c:pt>
                <c:pt idx="245">
                  <c:v>16.260999999999999</c:v>
                </c:pt>
                <c:pt idx="246">
                  <c:v>19.332000000000001</c:v>
                </c:pt>
                <c:pt idx="247">
                  <c:v>24.6</c:v>
                </c:pt>
                <c:pt idx="248">
                  <c:v>24.579000000000001</c:v>
                </c:pt>
                <c:pt idx="249">
                  <c:v>23.526</c:v>
                </c:pt>
                <c:pt idx="250">
                  <c:v>19.977</c:v>
                </c:pt>
                <c:pt idx="251">
                  <c:v>26.893000000000001</c:v>
                </c:pt>
                <c:pt idx="252">
                  <c:v>22.699000000000002</c:v>
                </c:pt>
                <c:pt idx="253">
                  <c:v>23.911000000000001</c:v>
                </c:pt>
              </c:numCache>
            </c:numRef>
          </c:val>
          <c:smooth val="0"/>
          <c:extLst>
            <c:ext xmlns:c16="http://schemas.microsoft.com/office/drawing/2014/chart" uri="{C3380CC4-5D6E-409C-BE32-E72D297353CC}">
              <c16:uniqueId val="{00000000-5C41-473D-BC9D-8D9BC45F4C1F}"/>
            </c:ext>
          </c:extLst>
        </c:ser>
        <c:ser>
          <c:idx val="1"/>
          <c:order val="1"/>
          <c:tx>
            <c:strRef>
              <c:f>BBG!$C$2</c:f>
              <c:strCache>
                <c:ptCount val="1"/>
                <c:pt idx="0">
                  <c:v>US 2Y10Y</c:v>
                </c:pt>
              </c:strCache>
            </c:strRef>
          </c:tx>
          <c:spPr>
            <a:ln w="28575" cap="rnd">
              <a:solidFill>
                <a:schemeClr val="accent2"/>
              </a:solidFill>
              <a:round/>
            </a:ln>
            <a:effectLst/>
          </c:spPr>
          <c:marker>
            <c:symbol val="none"/>
          </c:marker>
          <c:cat>
            <c:numRef>
              <c:f>BBG!$A$3:$A$256</c:f>
              <c:numCache>
                <c:formatCode>m/d/yyyy</c:formatCode>
                <c:ptCount val="254"/>
                <c:pt idx="0">
                  <c:v>0</c:v>
                </c:pt>
                <c:pt idx="1">
                  <c:v>45615</c:v>
                </c:pt>
                <c:pt idx="2">
                  <c:v>45616</c:v>
                </c:pt>
                <c:pt idx="3">
                  <c:v>45617</c:v>
                </c:pt>
                <c:pt idx="4">
                  <c:v>45618</c:v>
                </c:pt>
                <c:pt idx="5">
                  <c:v>45621</c:v>
                </c:pt>
                <c:pt idx="6">
                  <c:v>45622</c:v>
                </c:pt>
                <c:pt idx="7">
                  <c:v>45623</c:v>
                </c:pt>
                <c:pt idx="8">
                  <c:v>45624</c:v>
                </c:pt>
                <c:pt idx="9">
                  <c:v>45625</c:v>
                </c:pt>
                <c:pt idx="10">
                  <c:v>45628</c:v>
                </c:pt>
                <c:pt idx="11">
                  <c:v>45629</c:v>
                </c:pt>
                <c:pt idx="12">
                  <c:v>45630</c:v>
                </c:pt>
                <c:pt idx="13">
                  <c:v>45631</c:v>
                </c:pt>
                <c:pt idx="14">
                  <c:v>45632</c:v>
                </c:pt>
                <c:pt idx="15">
                  <c:v>45635</c:v>
                </c:pt>
                <c:pt idx="16">
                  <c:v>45636</c:v>
                </c:pt>
                <c:pt idx="17">
                  <c:v>45637</c:v>
                </c:pt>
                <c:pt idx="18">
                  <c:v>45638</c:v>
                </c:pt>
                <c:pt idx="19">
                  <c:v>45639</c:v>
                </c:pt>
                <c:pt idx="20">
                  <c:v>45642</c:v>
                </c:pt>
                <c:pt idx="21">
                  <c:v>45643</c:v>
                </c:pt>
                <c:pt idx="22">
                  <c:v>45644</c:v>
                </c:pt>
                <c:pt idx="23">
                  <c:v>45645</c:v>
                </c:pt>
                <c:pt idx="24">
                  <c:v>45646</c:v>
                </c:pt>
                <c:pt idx="25">
                  <c:v>45649</c:v>
                </c:pt>
                <c:pt idx="26">
                  <c:v>45650</c:v>
                </c:pt>
                <c:pt idx="27">
                  <c:v>45651</c:v>
                </c:pt>
                <c:pt idx="28">
                  <c:v>45652</c:v>
                </c:pt>
                <c:pt idx="29">
                  <c:v>45653</c:v>
                </c:pt>
                <c:pt idx="30">
                  <c:v>45656</c:v>
                </c:pt>
                <c:pt idx="31">
                  <c:v>45657</c:v>
                </c:pt>
                <c:pt idx="32">
                  <c:v>45658</c:v>
                </c:pt>
                <c:pt idx="33">
                  <c:v>45659</c:v>
                </c:pt>
                <c:pt idx="34">
                  <c:v>45660</c:v>
                </c:pt>
                <c:pt idx="35">
                  <c:v>45663</c:v>
                </c:pt>
                <c:pt idx="36">
                  <c:v>45664</c:v>
                </c:pt>
                <c:pt idx="37">
                  <c:v>45665</c:v>
                </c:pt>
                <c:pt idx="38">
                  <c:v>45666</c:v>
                </c:pt>
                <c:pt idx="39">
                  <c:v>45667</c:v>
                </c:pt>
                <c:pt idx="40">
                  <c:v>45670</c:v>
                </c:pt>
                <c:pt idx="41">
                  <c:v>45671</c:v>
                </c:pt>
                <c:pt idx="42">
                  <c:v>45672</c:v>
                </c:pt>
                <c:pt idx="43">
                  <c:v>45673</c:v>
                </c:pt>
                <c:pt idx="44">
                  <c:v>45674</c:v>
                </c:pt>
                <c:pt idx="45">
                  <c:v>45677</c:v>
                </c:pt>
                <c:pt idx="46">
                  <c:v>45678</c:v>
                </c:pt>
                <c:pt idx="47">
                  <c:v>45679</c:v>
                </c:pt>
                <c:pt idx="48">
                  <c:v>45680</c:v>
                </c:pt>
                <c:pt idx="49">
                  <c:v>45681</c:v>
                </c:pt>
                <c:pt idx="50">
                  <c:v>45684</c:v>
                </c:pt>
                <c:pt idx="51">
                  <c:v>45685</c:v>
                </c:pt>
                <c:pt idx="52">
                  <c:v>45686</c:v>
                </c:pt>
                <c:pt idx="53">
                  <c:v>45687</c:v>
                </c:pt>
                <c:pt idx="54">
                  <c:v>45688</c:v>
                </c:pt>
                <c:pt idx="55">
                  <c:v>45691</c:v>
                </c:pt>
                <c:pt idx="56">
                  <c:v>45692</c:v>
                </c:pt>
                <c:pt idx="57">
                  <c:v>45693</c:v>
                </c:pt>
                <c:pt idx="58">
                  <c:v>45694</c:v>
                </c:pt>
                <c:pt idx="59">
                  <c:v>45695</c:v>
                </c:pt>
                <c:pt idx="60">
                  <c:v>45698</c:v>
                </c:pt>
                <c:pt idx="61">
                  <c:v>45699</c:v>
                </c:pt>
                <c:pt idx="62">
                  <c:v>45700</c:v>
                </c:pt>
                <c:pt idx="63">
                  <c:v>45701</c:v>
                </c:pt>
                <c:pt idx="64">
                  <c:v>45702</c:v>
                </c:pt>
                <c:pt idx="65">
                  <c:v>45705</c:v>
                </c:pt>
                <c:pt idx="66">
                  <c:v>45706</c:v>
                </c:pt>
                <c:pt idx="67">
                  <c:v>45707</c:v>
                </c:pt>
                <c:pt idx="68">
                  <c:v>45708</c:v>
                </c:pt>
                <c:pt idx="69">
                  <c:v>45709</c:v>
                </c:pt>
                <c:pt idx="70">
                  <c:v>45712</c:v>
                </c:pt>
                <c:pt idx="71">
                  <c:v>45713</c:v>
                </c:pt>
                <c:pt idx="72">
                  <c:v>45714</c:v>
                </c:pt>
                <c:pt idx="73">
                  <c:v>45715</c:v>
                </c:pt>
                <c:pt idx="74">
                  <c:v>45716</c:v>
                </c:pt>
                <c:pt idx="75">
                  <c:v>45719</c:v>
                </c:pt>
                <c:pt idx="76">
                  <c:v>45720</c:v>
                </c:pt>
                <c:pt idx="77">
                  <c:v>45721</c:v>
                </c:pt>
                <c:pt idx="78">
                  <c:v>45722</c:v>
                </c:pt>
                <c:pt idx="79">
                  <c:v>45723</c:v>
                </c:pt>
                <c:pt idx="80">
                  <c:v>45726</c:v>
                </c:pt>
                <c:pt idx="81">
                  <c:v>45727</c:v>
                </c:pt>
                <c:pt idx="82">
                  <c:v>45728</c:v>
                </c:pt>
                <c:pt idx="83">
                  <c:v>45729</c:v>
                </c:pt>
                <c:pt idx="84">
                  <c:v>45730</c:v>
                </c:pt>
                <c:pt idx="85">
                  <c:v>45733</c:v>
                </c:pt>
                <c:pt idx="86">
                  <c:v>45734</c:v>
                </c:pt>
                <c:pt idx="87">
                  <c:v>45735</c:v>
                </c:pt>
                <c:pt idx="88">
                  <c:v>45736</c:v>
                </c:pt>
                <c:pt idx="89">
                  <c:v>45737</c:v>
                </c:pt>
                <c:pt idx="90">
                  <c:v>45740</c:v>
                </c:pt>
                <c:pt idx="91">
                  <c:v>45741</c:v>
                </c:pt>
                <c:pt idx="92">
                  <c:v>45742</c:v>
                </c:pt>
                <c:pt idx="93">
                  <c:v>45743</c:v>
                </c:pt>
                <c:pt idx="94">
                  <c:v>45744</c:v>
                </c:pt>
                <c:pt idx="95">
                  <c:v>45747</c:v>
                </c:pt>
                <c:pt idx="96">
                  <c:v>45748</c:v>
                </c:pt>
                <c:pt idx="97">
                  <c:v>45749</c:v>
                </c:pt>
                <c:pt idx="98">
                  <c:v>45750</c:v>
                </c:pt>
                <c:pt idx="99">
                  <c:v>45751</c:v>
                </c:pt>
                <c:pt idx="100">
                  <c:v>45754</c:v>
                </c:pt>
                <c:pt idx="101">
                  <c:v>45755</c:v>
                </c:pt>
                <c:pt idx="102">
                  <c:v>45756</c:v>
                </c:pt>
                <c:pt idx="103">
                  <c:v>45757</c:v>
                </c:pt>
                <c:pt idx="104">
                  <c:v>45758</c:v>
                </c:pt>
                <c:pt idx="105">
                  <c:v>45761</c:v>
                </c:pt>
                <c:pt idx="106">
                  <c:v>45762</c:v>
                </c:pt>
                <c:pt idx="107">
                  <c:v>45763</c:v>
                </c:pt>
                <c:pt idx="108">
                  <c:v>45764</c:v>
                </c:pt>
                <c:pt idx="109">
                  <c:v>45765</c:v>
                </c:pt>
                <c:pt idx="110">
                  <c:v>45768</c:v>
                </c:pt>
                <c:pt idx="111">
                  <c:v>45769</c:v>
                </c:pt>
                <c:pt idx="112">
                  <c:v>45770</c:v>
                </c:pt>
                <c:pt idx="113">
                  <c:v>45771</c:v>
                </c:pt>
                <c:pt idx="114">
                  <c:v>45772</c:v>
                </c:pt>
                <c:pt idx="115">
                  <c:v>45775</c:v>
                </c:pt>
                <c:pt idx="116">
                  <c:v>45776</c:v>
                </c:pt>
                <c:pt idx="117">
                  <c:v>45777</c:v>
                </c:pt>
                <c:pt idx="118">
                  <c:v>45778</c:v>
                </c:pt>
                <c:pt idx="119">
                  <c:v>45779</c:v>
                </c:pt>
                <c:pt idx="120">
                  <c:v>45782</c:v>
                </c:pt>
                <c:pt idx="121">
                  <c:v>45783</c:v>
                </c:pt>
                <c:pt idx="122">
                  <c:v>45784</c:v>
                </c:pt>
                <c:pt idx="123">
                  <c:v>45785</c:v>
                </c:pt>
                <c:pt idx="124">
                  <c:v>45786</c:v>
                </c:pt>
                <c:pt idx="125">
                  <c:v>45789</c:v>
                </c:pt>
                <c:pt idx="126">
                  <c:v>45790</c:v>
                </c:pt>
                <c:pt idx="127">
                  <c:v>45791</c:v>
                </c:pt>
                <c:pt idx="128">
                  <c:v>45792</c:v>
                </c:pt>
                <c:pt idx="129">
                  <c:v>45793</c:v>
                </c:pt>
                <c:pt idx="130">
                  <c:v>45796</c:v>
                </c:pt>
                <c:pt idx="131">
                  <c:v>45797</c:v>
                </c:pt>
                <c:pt idx="132">
                  <c:v>45798</c:v>
                </c:pt>
                <c:pt idx="133">
                  <c:v>45799</c:v>
                </c:pt>
                <c:pt idx="134">
                  <c:v>45800</c:v>
                </c:pt>
                <c:pt idx="135">
                  <c:v>45804</c:v>
                </c:pt>
                <c:pt idx="136">
                  <c:v>45805</c:v>
                </c:pt>
                <c:pt idx="137">
                  <c:v>45806</c:v>
                </c:pt>
                <c:pt idx="138">
                  <c:v>45807</c:v>
                </c:pt>
                <c:pt idx="139">
                  <c:v>45810</c:v>
                </c:pt>
                <c:pt idx="140">
                  <c:v>45811</c:v>
                </c:pt>
                <c:pt idx="141">
                  <c:v>45812</c:v>
                </c:pt>
                <c:pt idx="142">
                  <c:v>45813</c:v>
                </c:pt>
                <c:pt idx="143">
                  <c:v>45814</c:v>
                </c:pt>
                <c:pt idx="144">
                  <c:v>45817</c:v>
                </c:pt>
                <c:pt idx="145">
                  <c:v>45818</c:v>
                </c:pt>
                <c:pt idx="146">
                  <c:v>45819</c:v>
                </c:pt>
                <c:pt idx="147">
                  <c:v>45820</c:v>
                </c:pt>
                <c:pt idx="148">
                  <c:v>45821</c:v>
                </c:pt>
                <c:pt idx="149">
                  <c:v>45824</c:v>
                </c:pt>
                <c:pt idx="150">
                  <c:v>45825</c:v>
                </c:pt>
                <c:pt idx="151">
                  <c:v>45826</c:v>
                </c:pt>
                <c:pt idx="152">
                  <c:v>45827</c:v>
                </c:pt>
                <c:pt idx="153">
                  <c:v>45828</c:v>
                </c:pt>
                <c:pt idx="154">
                  <c:v>45831</c:v>
                </c:pt>
                <c:pt idx="155">
                  <c:v>45832</c:v>
                </c:pt>
                <c:pt idx="156">
                  <c:v>45833</c:v>
                </c:pt>
                <c:pt idx="157">
                  <c:v>45834</c:v>
                </c:pt>
                <c:pt idx="158">
                  <c:v>45835</c:v>
                </c:pt>
                <c:pt idx="159">
                  <c:v>45838</c:v>
                </c:pt>
                <c:pt idx="160">
                  <c:v>45839</c:v>
                </c:pt>
                <c:pt idx="161">
                  <c:v>45840</c:v>
                </c:pt>
                <c:pt idx="162">
                  <c:v>45841</c:v>
                </c:pt>
                <c:pt idx="163">
                  <c:v>45842</c:v>
                </c:pt>
                <c:pt idx="164">
                  <c:v>45845</c:v>
                </c:pt>
                <c:pt idx="165">
                  <c:v>45846</c:v>
                </c:pt>
                <c:pt idx="166">
                  <c:v>45847</c:v>
                </c:pt>
                <c:pt idx="167">
                  <c:v>45848</c:v>
                </c:pt>
                <c:pt idx="168">
                  <c:v>45849</c:v>
                </c:pt>
                <c:pt idx="169">
                  <c:v>45852</c:v>
                </c:pt>
                <c:pt idx="170">
                  <c:v>45853</c:v>
                </c:pt>
                <c:pt idx="171">
                  <c:v>45854</c:v>
                </c:pt>
                <c:pt idx="172">
                  <c:v>45855</c:v>
                </c:pt>
                <c:pt idx="173">
                  <c:v>45856</c:v>
                </c:pt>
                <c:pt idx="174">
                  <c:v>45859</c:v>
                </c:pt>
                <c:pt idx="175">
                  <c:v>45860</c:v>
                </c:pt>
                <c:pt idx="176">
                  <c:v>45861</c:v>
                </c:pt>
                <c:pt idx="177">
                  <c:v>45862</c:v>
                </c:pt>
                <c:pt idx="178">
                  <c:v>45863</c:v>
                </c:pt>
                <c:pt idx="179">
                  <c:v>45866</c:v>
                </c:pt>
                <c:pt idx="180">
                  <c:v>45867</c:v>
                </c:pt>
                <c:pt idx="181">
                  <c:v>45868</c:v>
                </c:pt>
                <c:pt idx="182">
                  <c:v>45869</c:v>
                </c:pt>
                <c:pt idx="183">
                  <c:v>45870</c:v>
                </c:pt>
                <c:pt idx="184">
                  <c:v>45873</c:v>
                </c:pt>
                <c:pt idx="185">
                  <c:v>45874</c:v>
                </c:pt>
                <c:pt idx="186">
                  <c:v>45875</c:v>
                </c:pt>
                <c:pt idx="187">
                  <c:v>45876</c:v>
                </c:pt>
                <c:pt idx="188">
                  <c:v>45877</c:v>
                </c:pt>
                <c:pt idx="189">
                  <c:v>45880</c:v>
                </c:pt>
                <c:pt idx="190">
                  <c:v>45881</c:v>
                </c:pt>
                <c:pt idx="191">
                  <c:v>45882</c:v>
                </c:pt>
                <c:pt idx="192">
                  <c:v>45883</c:v>
                </c:pt>
                <c:pt idx="193">
                  <c:v>45884</c:v>
                </c:pt>
                <c:pt idx="194">
                  <c:v>45887</c:v>
                </c:pt>
                <c:pt idx="195">
                  <c:v>45888</c:v>
                </c:pt>
                <c:pt idx="196">
                  <c:v>45889</c:v>
                </c:pt>
                <c:pt idx="197">
                  <c:v>45890</c:v>
                </c:pt>
                <c:pt idx="198">
                  <c:v>45891</c:v>
                </c:pt>
                <c:pt idx="199">
                  <c:v>45894</c:v>
                </c:pt>
                <c:pt idx="200">
                  <c:v>45895</c:v>
                </c:pt>
                <c:pt idx="201">
                  <c:v>45896</c:v>
                </c:pt>
                <c:pt idx="202">
                  <c:v>45897</c:v>
                </c:pt>
                <c:pt idx="203">
                  <c:v>45898</c:v>
                </c:pt>
                <c:pt idx="204">
                  <c:v>45901</c:v>
                </c:pt>
                <c:pt idx="205">
                  <c:v>45902</c:v>
                </c:pt>
                <c:pt idx="206">
                  <c:v>45903</c:v>
                </c:pt>
                <c:pt idx="207">
                  <c:v>45904</c:v>
                </c:pt>
                <c:pt idx="208">
                  <c:v>45905</c:v>
                </c:pt>
                <c:pt idx="209">
                  <c:v>45908</c:v>
                </c:pt>
                <c:pt idx="210">
                  <c:v>45909</c:v>
                </c:pt>
                <c:pt idx="211">
                  <c:v>45910</c:v>
                </c:pt>
                <c:pt idx="212">
                  <c:v>45911</c:v>
                </c:pt>
                <c:pt idx="213">
                  <c:v>45912</c:v>
                </c:pt>
                <c:pt idx="214">
                  <c:v>45915</c:v>
                </c:pt>
                <c:pt idx="215">
                  <c:v>45916</c:v>
                </c:pt>
                <c:pt idx="216">
                  <c:v>45917</c:v>
                </c:pt>
                <c:pt idx="217">
                  <c:v>45918</c:v>
                </c:pt>
                <c:pt idx="218">
                  <c:v>45919</c:v>
                </c:pt>
                <c:pt idx="219">
                  <c:v>45922</c:v>
                </c:pt>
                <c:pt idx="220">
                  <c:v>45923</c:v>
                </c:pt>
                <c:pt idx="221">
                  <c:v>45924</c:v>
                </c:pt>
                <c:pt idx="222">
                  <c:v>45925</c:v>
                </c:pt>
                <c:pt idx="223">
                  <c:v>45926</c:v>
                </c:pt>
                <c:pt idx="224">
                  <c:v>45929</c:v>
                </c:pt>
                <c:pt idx="225">
                  <c:v>45930</c:v>
                </c:pt>
                <c:pt idx="226">
                  <c:v>45931</c:v>
                </c:pt>
                <c:pt idx="227">
                  <c:v>45932</c:v>
                </c:pt>
                <c:pt idx="228">
                  <c:v>45933</c:v>
                </c:pt>
                <c:pt idx="229">
                  <c:v>45936</c:v>
                </c:pt>
                <c:pt idx="230">
                  <c:v>45937</c:v>
                </c:pt>
                <c:pt idx="231">
                  <c:v>45938</c:v>
                </c:pt>
                <c:pt idx="232">
                  <c:v>45939</c:v>
                </c:pt>
                <c:pt idx="233">
                  <c:v>45940</c:v>
                </c:pt>
                <c:pt idx="234">
                  <c:v>45943</c:v>
                </c:pt>
                <c:pt idx="235">
                  <c:v>45944</c:v>
                </c:pt>
                <c:pt idx="236">
                  <c:v>45945</c:v>
                </c:pt>
                <c:pt idx="237">
                  <c:v>45946</c:v>
                </c:pt>
                <c:pt idx="238">
                  <c:v>45947</c:v>
                </c:pt>
                <c:pt idx="239">
                  <c:v>45950</c:v>
                </c:pt>
                <c:pt idx="240">
                  <c:v>45951</c:v>
                </c:pt>
                <c:pt idx="241">
                  <c:v>45952</c:v>
                </c:pt>
                <c:pt idx="242">
                  <c:v>45953</c:v>
                </c:pt>
                <c:pt idx="243">
                  <c:v>45954</c:v>
                </c:pt>
                <c:pt idx="244">
                  <c:v>45957</c:v>
                </c:pt>
                <c:pt idx="245">
                  <c:v>45958</c:v>
                </c:pt>
                <c:pt idx="246">
                  <c:v>45959</c:v>
                </c:pt>
                <c:pt idx="247">
                  <c:v>45960</c:v>
                </c:pt>
                <c:pt idx="248">
                  <c:v>45961</c:v>
                </c:pt>
                <c:pt idx="249">
                  <c:v>45964</c:v>
                </c:pt>
                <c:pt idx="250">
                  <c:v>45965</c:v>
                </c:pt>
                <c:pt idx="251">
                  <c:v>45966</c:v>
                </c:pt>
                <c:pt idx="252">
                  <c:v>45967</c:v>
                </c:pt>
                <c:pt idx="253">
                  <c:v>45968</c:v>
                </c:pt>
              </c:numCache>
            </c:numRef>
          </c:cat>
          <c:val>
            <c:numRef>
              <c:f>BBG!$C$3:$C$256</c:f>
              <c:numCache>
                <c:formatCode>0.00</c:formatCode>
                <c:ptCount val="254"/>
                <c:pt idx="0">
                  <c:v>13.154999999999999</c:v>
                </c:pt>
                <c:pt idx="1">
                  <c:v>11.16</c:v>
                </c:pt>
                <c:pt idx="2">
                  <c:v>9.1259999999999994</c:v>
                </c:pt>
                <c:pt idx="3">
                  <c:v>7.0979999999999999</c:v>
                </c:pt>
                <c:pt idx="4">
                  <c:v>2.0830000000000002</c:v>
                </c:pt>
                <c:pt idx="5">
                  <c:v>-0.17799999999999999</c:v>
                </c:pt>
                <c:pt idx="6">
                  <c:v>4.8099999999999996</c:v>
                </c:pt>
                <c:pt idx="7">
                  <c:v>3.2090000000000001</c:v>
                </c:pt>
                <c:pt idx="8">
                  <c:v>3.2090000000000001</c:v>
                </c:pt>
                <c:pt idx="9">
                  <c:v>1.347</c:v>
                </c:pt>
                <c:pt idx="10">
                  <c:v>0.59799999999999998</c:v>
                </c:pt>
                <c:pt idx="11">
                  <c:v>4.2990000000000004</c:v>
                </c:pt>
                <c:pt idx="12">
                  <c:v>4.8380000000000001</c:v>
                </c:pt>
                <c:pt idx="13">
                  <c:v>3.0089999999999999</c:v>
                </c:pt>
                <c:pt idx="14">
                  <c:v>4.6900000000000004</c:v>
                </c:pt>
                <c:pt idx="15">
                  <c:v>7.4619999999999997</c:v>
                </c:pt>
                <c:pt idx="16">
                  <c:v>7.92</c:v>
                </c:pt>
                <c:pt idx="17">
                  <c:v>11.577999999999999</c:v>
                </c:pt>
                <c:pt idx="18">
                  <c:v>13.295999999999999</c:v>
                </c:pt>
                <c:pt idx="19">
                  <c:v>14.765000000000001</c:v>
                </c:pt>
                <c:pt idx="20">
                  <c:v>14.352</c:v>
                </c:pt>
                <c:pt idx="21">
                  <c:v>14.978</c:v>
                </c:pt>
                <c:pt idx="22">
                  <c:v>15.314</c:v>
                </c:pt>
                <c:pt idx="23">
                  <c:v>24.140999999999998</c:v>
                </c:pt>
                <c:pt idx="24">
                  <c:v>20.771999999999998</c:v>
                </c:pt>
                <c:pt idx="25">
                  <c:v>24.22</c:v>
                </c:pt>
                <c:pt idx="26">
                  <c:v>25.007999999999999</c:v>
                </c:pt>
                <c:pt idx="27">
                  <c:v>25.007999999999999</c:v>
                </c:pt>
                <c:pt idx="28">
                  <c:v>25.029</c:v>
                </c:pt>
                <c:pt idx="29">
                  <c:v>29.292000000000002</c:v>
                </c:pt>
                <c:pt idx="30">
                  <c:v>28.882999999999999</c:v>
                </c:pt>
                <c:pt idx="31">
                  <c:v>32.529000000000003</c:v>
                </c:pt>
                <c:pt idx="32">
                  <c:v>32.529000000000003</c:v>
                </c:pt>
                <c:pt idx="33">
                  <c:v>31.742000000000001</c:v>
                </c:pt>
                <c:pt idx="34">
                  <c:v>31.468</c:v>
                </c:pt>
                <c:pt idx="35">
                  <c:v>35.134</c:v>
                </c:pt>
                <c:pt idx="36">
                  <c:v>38.972000000000001</c:v>
                </c:pt>
                <c:pt idx="37">
                  <c:v>40.222999999999999</c:v>
                </c:pt>
                <c:pt idx="38">
                  <c:v>42.32</c:v>
                </c:pt>
                <c:pt idx="39">
                  <c:v>37.582000000000001</c:v>
                </c:pt>
                <c:pt idx="40">
                  <c:v>39.643000000000001</c:v>
                </c:pt>
                <c:pt idx="41">
                  <c:v>42.139000000000003</c:v>
                </c:pt>
                <c:pt idx="42">
                  <c:v>38.512999999999998</c:v>
                </c:pt>
                <c:pt idx="43">
                  <c:v>38.036000000000001</c:v>
                </c:pt>
                <c:pt idx="44">
                  <c:v>34.024999999999999</c:v>
                </c:pt>
                <c:pt idx="45">
                  <c:v>34.017000000000003</c:v>
                </c:pt>
                <c:pt idx="46">
                  <c:v>30.010999999999999</c:v>
                </c:pt>
                <c:pt idx="47">
                  <c:v>30.919</c:v>
                </c:pt>
                <c:pt idx="48">
                  <c:v>35.033000000000001</c:v>
                </c:pt>
                <c:pt idx="49">
                  <c:v>34.959000000000003</c:v>
                </c:pt>
                <c:pt idx="50">
                  <c:v>33.073</c:v>
                </c:pt>
                <c:pt idx="51">
                  <c:v>33.33</c:v>
                </c:pt>
                <c:pt idx="52">
                  <c:v>31.079000000000001</c:v>
                </c:pt>
                <c:pt idx="53">
                  <c:v>30.696999999999999</c:v>
                </c:pt>
                <c:pt idx="54">
                  <c:v>33.749000000000002</c:v>
                </c:pt>
                <c:pt idx="55">
                  <c:v>30.402000000000001</c:v>
                </c:pt>
                <c:pt idx="56">
                  <c:v>29.68</c:v>
                </c:pt>
                <c:pt idx="57">
                  <c:v>22.713999999999999</c:v>
                </c:pt>
                <c:pt idx="58">
                  <c:v>21.824000000000002</c:v>
                </c:pt>
                <c:pt idx="59">
                  <c:v>20.335000000000001</c:v>
                </c:pt>
                <c:pt idx="60">
                  <c:v>21.782</c:v>
                </c:pt>
                <c:pt idx="61">
                  <c:v>24.568000000000001</c:v>
                </c:pt>
                <c:pt idx="62">
                  <c:v>26.385000000000002</c:v>
                </c:pt>
                <c:pt idx="63">
                  <c:v>21.791</c:v>
                </c:pt>
                <c:pt idx="64">
                  <c:v>21.312000000000001</c:v>
                </c:pt>
                <c:pt idx="65">
                  <c:v>21.312999999999999</c:v>
                </c:pt>
                <c:pt idx="66">
                  <c:v>24.065999999999999</c:v>
                </c:pt>
                <c:pt idx="67">
                  <c:v>26.08</c:v>
                </c:pt>
                <c:pt idx="68">
                  <c:v>23.327999999999999</c:v>
                </c:pt>
                <c:pt idx="69">
                  <c:v>22.904</c:v>
                </c:pt>
                <c:pt idx="70">
                  <c:v>22.35</c:v>
                </c:pt>
                <c:pt idx="71">
                  <c:v>19.619</c:v>
                </c:pt>
                <c:pt idx="72">
                  <c:v>18.254999999999999</c:v>
                </c:pt>
                <c:pt idx="73">
                  <c:v>20.472999999999999</c:v>
                </c:pt>
                <c:pt idx="74">
                  <c:v>21.523</c:v>
                </c:pt>
                <c:pt idx="75">
                  <c:v>20.138999999999999</c:v>
                </c:pt>
                <c:pt idx="76">
                  <c:v>24.957999999999998</c:v>
                </c:pt>
                <c:pt idx="77">
                  <c:v>26.963999999999999</c:v>
                </c:pt>
                <c:pt idx="78">
                  <c:v>31.521999999999998</c:v>
                </c:pt>
                <c:pt idx="79">
                  <c:v>29.934999999999999</c:v>
                </c:pt>
                <c:pt idx="80">
                  <c:v>32.569000000000003</c:v>
                </c:pt>
                <c:pt idx="81">
                  <c:v>33.258000000000003</c:v>
                </c:pt>
                <c:pt idx="82">
                  <c:v>31.96</c:v>
                </c:pt>
                <c:pt idx="83">
                  <c:v>30.689</c:v>
                </c:pt>
                <c:pt idx="84">
                  <c:v>29.295000000000002</c:v>
                </c:pt>
                <c:pt idx="85">
                  <c:v>25.021000000000001</c:v>
                </c:pt>
                <c:pt idx="86">
                  <c:v>23.911000000000001</c:v>
                </c:pt>
                <c:pt idx="87">
                  <c:v>26.224</c:v>
                </c:pt>
                <c:pt idx="88">
                  <c:v>26.908000000000001</c:v>
                </c:pt>
                <c:pt idx="89">
                  <c:v>29.391999999999999</c:v>
                </c:pt>
                <c:pt idx="90">
                  <c:v>29.58</c:v>
                </c:pt>
                <c:pt idx="91">
                  <c:v>29.163</c:v>
                </c:pt>
                <c:pt idx="92">
                  <c:v>33.103999999999999</c:v>
                </c:pt>
                <c:pt idx="93">
                  <c:v>36.555</c:v>
                </c:pt>
                <c:pt idx="94">
                  <c:v>33.545000000000002</c:v>
                </c:pt>
                <c:pt idx="95">
                  <c:v>31.798999999999999</c:v>
                </c:pt>
                <c:pt idx="96">
                  <c:v>28.372</c:v>
                </c:pt>
                <c:pt idx="97">
                  <c:v>26.238</c:v>
                </c:pt>
                <c:pt idx="98">
                  <c:v>34.279000000000003</c:v>
                </c:pt>
                <c:pt idx="99">
                  <c:v>33.619</c:v>
                </c:pt>
                <c:pt idx="100">
                  <c:v>41.436</c:v>
                </c:pt>
                <c:pt idx="101">
                  <c:v>56.113</c:v>
                </c:pt>
                <c:pt idx="102">
                  <c:v>41.548000000000002</c:v>
                </c:pt>
                <c:pt idx="103">
                  <c:v>55.253</c:v>
                </c:pt>
                <c:pt idx="104">
                  <c:v>52.331000000000003</c:v>
                </c:pt>
                <c:pt idx="105">
                  <c:v>52.472999999999999</c:v>
                </c:pt>
                <c:pt idx="106">
                  <c:v>48.39</c:v>
                </c:pt>
                <c:pt idx="107">
                  <c:v>50.305999999999997</c:v>
                </c:pt>
                <c:pt idx="108">
                  <c:v>52.246000000000002</c:v>
                </c:pt>
                <c:pt idx="109">
                  <c:v>52.246000000000002</c:v>
                </c:pt>
                <c:pt idx="110">
                  <c:v>64.200999999999993</c:v>
                </c:pt>
                <c:pt idx="111">
                  <c:v>57.965000000000003</c:v>
                </c:pt>
                <c:pt idx="112">
                  <c:v>50.621000000000002</c:v>
                </c:pt>
                <c:pt idx="113">
                  <c:v>51.167000000000002</c:v>
                </c:pt>
                <c:pt idx="114">
                  <c:v>48.325000000000003</c:v>
                </c:pt>
                <c:pt idx="115">
                  <c:v>50.933999999999997</c:v>
                </c:pt>
                <c:pt idx="116">
                  <c:v>51.765999999999998</c:v>
                </c:pt>
                <c:pt idx="117">
                  <c:v>55.511000000000003</c:v>
                </c:pt>
                <c:pt idx="118">
                  <c:v>51.481999999999999</c:v>
                </c:pt>
                <c:pt idx="119">
                  <c:v>48.231999999999999</c:v>
                </c:pt>
                <c:pt idx="120">
                  <c:v>50.695</c:v>
                </c:pt>
                <c:pt idx="121">
                  <c:v>50.773000000000003</c:v>
                </c:pt>
                <c:pt idx="122">
                  <c:v>48.679000000000002</c:v>
                </c:pt>
                <c:pt idx="123">
                  <c:v>49.84</c:v>
                </c:pt>
                <c:pt idx="124">
                  <c:v>48.54</c:v>
                </c:pt>
                <c:pt idx="125">
                  <c:v>45.433999999999997</c:v>
                </c:pt>
                <c:pt idx="126">
                  <c:v>46.067999999999998</c:v>
                </c:pt>
                <c:pt idx="127">
                  <c:v>48.131</c:v>
                </c:pt>
                <c:pt idx="128">
                  <c:v>46.651000000000003</c:v>
                </c:pt>
                <c:pt idx="129">
                  <c:v>47.329000000000001</c:v>
                </c:pt>
                <c:pt idx="130">
                  <c:v>46.872999999999998</c:v>
                </c:pt>
                <c:pt idx="131">
                  <c:v>51.226999999999997</c:v>
                </c:pt>
                <c:pt idx="132">
                  <c:v>57.701000000000001</c:v>
                </c:pt>
                <c:pt idx="133">
                  <c:v>53.444000000000003</c:v>
                </c:pt>
                <c:pt idx="134">
                  <c:v>51.555</c:v>
                </c:pt>
                <c:pt idx="135">
                  <c:v>45.856999999999999</c:v>
                </c:pt>
                <c:pt idx="136">
                  <c:v>48.518000000000001</c:v>
                </c:pt>
                <c:pt idx="137">
                  <c:v>47.734999999999999</c:v>
                </c:pt>
                <c:pt idx="138">
                  <c:v>49.668999999999997</c:v>
                </c:pt>
                <c:pt idx="139">
                  <c:v>50.12</c:v>
                </c:pt>
                <c:pt idx="140">
                  <c:v>49.854999999999997</c:v>
                </c:pt>
                <c:pt idx="141">
                  <c:v>48.661999999999999</c:v>
                </c:pt>
                <c:pt idx="142">
                  <c:v>46.631</c:v>
                </c:pt>
                <c:pt idx="143">
                  <c:v>46.488</c:v>
                </c:pt>
                <c:pt idx="144">
                  <c:v>46.832000000000001</c:v>
                </c:pt>
                <c:pt idx="145">
                  <c:v>44.758000000000003</c:v>
                </c:pt>
                <c:pt idx="146">
                  <c:v>46.469000000000001</c:v>
                </c:pt>
                <c:pt idx="147">
                  <c:v>44.732999999999997</c:v>
                </c:pt>
                <c:pt idx="148">
                  <c:v>44.908000000000001</c:v>
                </c:pt>
                <c:pt idx="149">
                  <c:v>47.558999999999997</c:v>
                </c:pt>
                <c:pt idx="150">
                  <c:v>43.283000000000001</c:v>
                </c:pt>
                <c:pt idx="151">
                  <c:v>44.526000000000003</c:v>
                </c:pt>
                <c:pt idx="152">
                  <c:v>44.526000000000003</c:v>
                </c:pt>
                <c:pt idx="153">
                  <c:v>46.530999999999999</c:v>
                </c:pt>
                <c:pt idx="154">
                  <c:v>48.017000000000003</c:v>
                </c:pt>
                <c:pt idx="155">
                  <c:v>46.725000000000001</c:v>
                </c:pt>
                <c:pt idx="156">
                  <c:v>50.579000000000001</c:v>
                </c:pt>
                <c:pt idx="157">
                  <c:v>51.828000000000003</c:v>
                </c:pt>
                <c:pt idx="158">
                  <c:v>52.686</c:v>
                </c:pt>
                <c:pt idx="159">
                  <c:v>50.466000000000001</c:v>
                </c:pt>
                <c:pt idx="160">
                  <c:v>46.713000000000001</c:v>
                </c:pt>
                <c:pt idx="161">
                  <c:v>49.003</c:v>
                </c:pt>
                <c:pt idx="162">
                  <c:v>45.960999999999999</c:v>
                </c:pt>
                <c:pt idx="163">
                  <c:v>45.960999999999999</c:v>
                </c:pt>
                <c:pt idx="164">
                  <c:v>48.274999999999999</c:v>
                </c:pt>
                <c:pt idx="165">
                  <c:v>50.454000000000001</c:v>
                </c:pt>
                <c:pt idx="166">
                  <c:v>48.283999999999999</c:v>
                </c:pt>
                <c:pt idx="167">
                  <c:v>47.558</c:v>
                </c:pt>
                <c:pt idx="168">
                  <c:v>52.015999999999998</c:v>
                </c:pt>
                <c:pt idx="169">
                  <c:v>53.139000000000003</c:v>
                </c:pt>
                <c:pt idx="170">
                  <c:v>53.74</c:v>
                </c:pt>
                <c:pt idx="171">
                  <c:v>55.941000000000003</c:v>
                </c:pt>
                <c:pt idx="172">
                  <c:v>54.268999999999998</c:v>
                </c:pt>
                <c:pt idx="173">
                  <c:v>54.220999999999997</c:v>
                </c:pt>
                <c:pt idx="174">
                  <c:v>51.286999999999999</c:v>
                </c:pt>
                <c:pt idx="175">
                  <c:v>50.850999999999999</c:v>
                </c:pt>
                <c:pt idx="176">
                  <c:v>49.761000000000003</c:v>
                </c:pt>
                <c:pt idx="177">
                  <c:v>47.534999999999997</c:v>
                </c:pt>
                <c:pt idx="178">
                  <c:v>46.036000000000001</c:v>
                </c:pt>
                <c:pt idx="179">
                  <c:v>47.784999999999997</c:v>
                </c:pt>
                <c:pt idx="180">
                  <c:v>44.945</c:v>
                </c:pt>
                <c:pt idx="181">
                  <c:v>42.527999999999999</c:v>
                </c:pt>
                <c:pt idx="182">
                  <c:v>41.485999999999997</c:v>
                </c:pt>
                <c:pt idx="183">
                  <c:v>53.012</c:v>
                </c:pt>
                <c:pt idx="184">
                  <c:v>51.508000000000003</c:v>
                </c:pt>
                <c:pt idx="185">
                  <c:v>48.368000000000002</c:v>
                </c:pt>
                <c:pt idx="186">
                  <c:v>50.993000000000002</c:v>
                </c:pt>
                <c:pt idx="187">
                  <c:v>51.606000000000002</c:v>
                </c:pt>
                <c:pt idx="188">
                  <c:v>51.848999999999997</c:v>
                </c:pt>
                <c:pt idx="189">
                  <c:v>51.44</c:v>
                </c:pt>
                <c:pt idx="190">
                  <c:v>55.585999999999999</c:v>
                </c:pt>
                <c:pt idx="191">
                  <c:v>55.411999999999999</c:v>
                </c:pt>
                <c:pt idx="192">
                  <c:v>55.036000000000001</c:v>
                </c:pt>
                <c:pt idx="193">
                  <c:v>56.332999999999998</c:v>
                </c:pt>
                <c:pt idx="194">
                  <c:v>56.851999999999997</c:v>
                </c:pt>
                <c:pt idx="195">
                  <c:v>55.61</c:v>
                </c:pt>
                <c:pt idx="196">
                  <c:v>54.073999999999998</c:v>
                </c:pt>
                <c:pt idx="197">
                  <c:v>52.972999999999999</c:v>
                </c:pt>
                <c:pt idx="198">
                  <c:v>55.527999999999999</c:v>
                </c:pt>
                <c:pt idx="199">
                  <c:v>54.945</c:v>
                </c:pt>
                <c:pt idx="200">
                  <c:v>58.048999999999999</c:v>
                </c:pt>
                <c:pt idx="201">
                  <c:v>62.168999999999997</c:v>
                </c:pt>
                <c:pt idx="202">
                  <c:v>57.024999999999999</c:v>
                </c:pt>
                <c:pt idx="203">
                  <c:v>60.965000000000003</c:v>
                </c:pt>
                <c:pt idx="204">
                  <c:v>60.965000000000003</c:v>
                </c:pt>
                <c:pt idx="205">
                  <c:v>62.012999999999998</c:v>
                </c:pt>
                <c:pt idx="206">
                  <c:v>59.81</c:v>
                </c:pt>
                <c:pt idx="207">
                  <c:v>57.088999999999999</c:v>
                </c:pt>
                <c:pt idx="208">
                  <c:v>56.296999999999997</c:v>
                </c:pt>
                <c:pt idx="209">
                  <c:v>55.142000000000003</c:v>
                </c:pt>
                <c:pt idx="210">
                  <c:v>52.709000000000003</c:v>
                </c:pt>
                <c:pt idx="211">
                  <c:v>50.151000000000003</c:v>
                </c:pt>
                <c:pt idx="212">
                  <c:v>47.283999999999999</c:v>
                </c:pt>
                <c:pt idx="213">
                  <c:v>50.451999999999998</c:v>
                </c:pt>
                <c:pt idx="214">
                  <c:v>49.658999999999999</c:v>
                </c:pt>
                <c:pt idx="215">
                  <c:v>52.258000000000003</c:v>
                </c:pt>
                <c:pt idx="216">
                  <c:v>53.192999999999998</c:v>
                </c:pt>
                <c:pt idx="217">
                  <c:v>53.884999999999998</c:v>
                </c:pt>
                <c:pt idx="218">
                  <c:v>55.378</c:v>
                </c:pt>
                <c:pt idx="219">
                  <c:v>54.158000000000001</c:v>
                </c:pt>
                <c:pt idx="220">
                  <c:v>51.798000000000002</c:v>
                </c:pt>
                <c:pt idx="221">
                  <c:v>54.040999999999997</c:v>
                </c:pt>
                <c:pt idx="222">
                  <c:v>51.244999999999997</c:v>
                </c:pt>
                <c:pt idx="223">
                  <c:v>53.048000000000002</c:v>
                </c:pt>
                <c:pt idx="224">
                  <c:v>51.616</c:v>
                </c:pt>
                <c:pt idx="225">
                  <c:v>53.991</c:v>
                </c:pt>
                <c:pt idx="226">
                  <c:v>55.932000000000002</c:v>
                </c:pt>
                <c:pt idx="227">
                  <c:v>54.182000000000002</c:v>
                </c:pt>
                <c:pt idx="228">
                  <c:v>54.125</c:v>
                </c:pt>
                <c:pt idx="229">
                  <c:v>56.362000000000002</c:v>
                </c:pt>
                <c:pt idx="230">
                  <c:v>55.73</c:v>
                </c:pt>
                <c:pt idx="231">
                  <c:v>53.488</c:v>
                </c:pt>
                <c:pt idx="232">
                  <c:v>54.363999999999997</c:v>
                </c:pt>
                <c:pt idx="233">
                  <c:v>52.856999999999999</c:v>
                </c:pt>
                <c:pt idx="234">
                  <c:v>52.856999999999999</c:v>
                </c:pt>
                <c:pt idx="235">
                  <c:v>54.935000000000002</c:v>
                </c:pt>
                <c:pt idx="236">
                  <c:v>52.884999999999998</c:v>
                </c:pt>
                <c:pt idx="237">
                  <c:v>54.814</c:v>
                </c:pt>
                <c:pt idx="238">
                  <c:v>54.936</c:v>
                </c:pt>
                <c:pt idx="239">
                  <c:v>52.274000000000001</c:v>
                </c:pt>
                <c:pt idx="240">
                  <c:v>50.555999999999997</c:v>
                </c:pt>
                <c:pt idx="241">
                  <c:v>50.271999999999998</c:v>
                </c:pt>
                <c:pt idx="242">
                  <c:v>50.603000000000002</c:v>
                </c:pt>
                <c:pt idx="243">
                  <c:v>51.442</c:v>
                </c:pt>
                <c:pt idx="244">
                  <c:v>48.887999999999998</c:v>
                </c:pt>
                <c:pt idx="245">
                  <c:v>48.38</c:v>
                </c:pt>
                <c:pt idx="246">
                  <c:v>47.567</c:v>
                </c:pt>
                <c:pt idx="247">
                  <c:v>48.466000000000001</c:v>
                </c:pt>
                <c:pt idx="248">
                  <c:v>50.179000000000002</c:v>
                </c:pt>
                <c:pt idx="249">
                  <c:v>50.386000000000003</c:v>
                </c:pt>
                <c:pt idx="250">
                  <c:v>50.728999999999999</c:v>
                </c:pt>
                <c:pt idx="251">
                  <c:v>52.55</c:v>
                </c:pt>
                <c:pt idx="252">
                  <c:v>52.576000000000001</c:v>
                </c:pt>
                <c:pt idx="253">
                  <c:v>53.292000000000002</c:v>
                </c:pt>
              </c:numCache>
            </c:numRef>
          </c:val>
          <c:smooth val="0"/>
          <c:extLst>
            <c:ext xmlns:c16="http://schemas.microsoft.com/office/drawing/2014/chart" uri="{C3380CC4-5D6E-409C-BE32-E72D297353CC}">
              <c16:uniqueId val="{00000001-5C41-473D-BC9D-8D9BC45F4C1F}"/>
            </c:ext>
          </c:extLst>
        </c:ser>
        <c:ser>
          <c:idx val="2"/>
          <c:order val="2"/>
          <c:tx>
            <c:strRef>
              <c:f>BBG!$D$2</c:f>
              <c:strCache>
                <c:ptCount val="1"/>
                <c:pt idx="0">
                  <c:v>US 5Y30Y</c:v>
                </c:pt>
              </c:strCache>
            </c:strRef>
          </c:tx>
          <c:spPr>
            <a:ln w="28575" cap="rnd">
              <a:solidFill>
                <a:schemeClr val="accent3"/>
              </a:solidFill>
              <a:round/>
            </a:ln>
            <a:effectLst/>
          </c:spPr>
          <c:marker>
            <c:symbol val="none"/>
          </c:marker>
          <c:cat>
            <c:numRef>
              <c:f>BBG!$A$3:$A$256</c:f>
              <c:numCache>
                <c:formatCode>m/d/yyyy</c:formatCode>
                <c:ptCount val="254"/>
                <c:pt idx="0">
                  <c:v>0</c:v>
                </c:pt>
                <c:pt idx="1">
                  <c:v>45615</c:v>
                </c:pt>
                <c:pt idx="2">
                  <c:v>45616</c:v>
                </c:pt>
                <c:pt idx="3">
                  <c:v>45617</c:v>
                </c:pt>
                <c:pt idx="4">
                  <c:v>45618</c:v>
                </c:pt>
                <c:pt idx="5">
                  <c:v>45621</c:v>
                </c:pt>
                <c:pt idx="6">
                  <c:v>45622</c:v>
                </c:pt>
                <c:pt idx="7">
                  <c:v>45623</c:v>
                </c:pt>
                <c:pt idx="8">
                  <c:v>45624</c:v>
                </c:pt>
                <c:pt idx="9">
                  <c:v>45625</c:v>
                </c:pt>
                <c:pt idx="10">
                  <c:v>45628</c:v>
                </c:pt>
                <c:pt idx="11">
                  <c:v>45629</c:v>
                </c:pt>
                <c:pt idx="12">
                  <c:v>45630</c:v>
                </c:pt>
                <c:pt idx="13">
                  <c:v>45631</c:v>
                </c:pt>
                <c:pt idx="14">
                  <c:v>45632</c:v>
                </c:pt>
                <c:pt idx="15">
                  <c:v>45635</c:v>
                </c:pt>
                <c:pt idx="16">
                  <c:v>45636</c:v>
                </c:pt>
                <c:pt idx="17">
                  <c:v>45637</c:v>
                </c:pt>
                <c:pt idx="18">
                  <c:v>45638</c:v>
                </c:pt>
                <c:pt idx="19">
                  <c:v>45639</c:v>
                </c:pt>
                <c:pt idx="20">
                  <c:v>45642</c:v>
                </c:pt>
                <c:pt idx="21">
                  <c:v>45643</c:v>
                </c:pt>
                <c:pt idx="22">
                  <c:v>45644</c:v>
                </c:pt>
                <c:pt idx="23">
                  <c:v>45645</c:v>
                </c:pt>
                <c:pt idx="24">
                  <c:v>45646</c:v>
                </c:pt>
                <c:pt idx="25">
                  <c:v>45649</c:v>
                </c:pt>
                <c:pt idx="26">
                  <c:v>45650</c:v>
                </c:pt>
                <c:pt idx="27">
                  <c:v>45651</c:v>
                </c:pt>
                <c:pt idx="28">
                  <c:v>45652</c:v>
                </c:pt>
                <c:pt idx="29">
                  <c:v>45653</c:v>
                </c:pt>
                <c:pt idx="30">
                  <c:v>45656</c:v>
                </c:pt>
                <c:pt idx="31">
                  <c:v>45657</c:v>
                </c:pt>
                <c:pt idx="32">
                  <c:v>45658</c:v>
                </c:pt>
                <c:pt idx="33">
                  <c:v>45659</c:v>
                </c:pt>
                <c:pt idx="34">
                  <c:v>45660</c:v>
                </c:pt>
                <c:pt idx="35">
                  <c:v>45663</c:v>
                </c:pt>
                <c:pt idx="36">
                  <c:v>45664</c:v>
                </c:pt>
                <c:pt idx="37">
                  <c:v>45665</c:v>
                </c:pt>
                <c:pt idx="38">
                  <c:v>45666</c:v>
                </c:pt>
                <c:pt idx="39">
                  <c:v>45667</c:v>
                </c:pt>
                <c:pt idx="40">
                  <c:v>45670</c:v>
                </c:pt>
                <c:pt idx="41">
                  <c:v>45671</c:v>
                </c:pt>
                <c:pt idx="42">
                  <c:v>45672</c:v>
                </c:pt>
                <c:pt idx="43">
                  <c:v>45673</c:v>
                </c:pt>
                <c:pt idx="44">
                  <c:v>45674</c:v>
                </c:pt>
                <c:pt idx="45">
                  <c:v>45677</c:v>
                </c:pt>
                <c:pt idx="46">
                  <c:v>45678</c:v>
                </c:pt>
                <c:pt idx="47">
                  <c:v>45679</c:v>
                </c:pt>
                <c:pt idx="48">
                  <c:v>45680</c:v>
                </c:pt>
                <c:pt idx="49">
                  <c:v>45681</c:v>
                </c:pt>
                <c:pt idx="50">
                  <c:v>45684</c:v>
                </c:pt>
                <c:pt idx="51">
                  <c:v>45685</c:v>
                </c:pt>
                <c:pt idx="52">
                  <c:v>45686</c:v>
                </c:pt>
                <c:pt idx="53">
                  <c:v>45687</c:v>
                </c:pt>
                <c:pt idx="54">
                  <c:v>45688</c:v>
                </c:pt>
                <c:pt idx="55">
                  <c:v>45691</c:v>
                </c:pt>
                <c:pt idx="56">
                  <c:v>45692</c:v>
                </c:pt>
                <c:pt idx="57">
                  <c:v>45693</c:v>
                </c:pt>
                <c:pt idx="58">
                  <c:v>45694</c:v>
                </c:pt>
                <c:pt idx="59">
                  <c:v>45695</c:v>
                </c:pt>
                <c:pt idx="60">
                  <c:v>45698</c:v>
                </c:pt>
                <c:pt idx="61">
                  <c:v>45699</c:v>
                </c:pt>
                <c:pt idx="62">
                  <c:v>45700</c:v>
                </c:pt>
                <c:pt idx="63">
                  <c:v>45701</c:v>
                </c:pt>
                <c:pt idx="64">
                  <c:v>45702</c:v>
                </c:pt>
                <c:pt idx="65">
                  <c:v>45705</c:v>
                </c:pt>
                <c:pt idx="66">
                  <c:v>45706</c:v>
                </c:pt>
                <c:pt idx="67">
                  <c:v>45707</c:v>
                </c:pt>
                <c:pt idx="68">
                  <c:v>45708</c:v>
                </c:pt>
                <c:pt idx="69">
                  <c:v>45709</c:v>
                </c:pt>
                <c:pt idx="70">
                  <c:v>45712</c:v>
                </c:pt>
                <c:pt idx="71">
                  <c:v>45713</c:v>
                </c:pt>
                <c:pt idx="72">
                  <c:v>45714</c:v>
                </c:pt>
                <c:pt idx="73">
                  <c:v>45715</c:v>
                </c:pt>
                <c:pt idx="74">
                  <c:v>45716</c:v>
                </c:pt>
                <c:pt idx="75">
                  <c:v>45719</c:v>
                </c:pt>
                <c:pt idx="76">
                  <c:v>45720</c:v>
                </c:pt>
                <c:pt idx="77">
                  <c:v>45721</c:v>
                </c:pt>
                <c:pt idx="78">
                  <c:v>45722</c:v>
                </c:pt>
                <c:pt idx="79">
                  <c:v>45723</c:v>
                </c:pt>
                <c:pt idx="80">
                  <c:v>45726</c:v>
                </c:pt>
                <c:pt idx="81">
                  <c:v>45727</c:v>
                </c:pt>
                <c:pt idx="82">
                  <c:v>45728</c:v>
                </c:pt>
                <c:pt idx="83">
                  <c:v>45729</c:v>
                </c:pt>
                <c:pt idx="84">
                  <c:v>45730</c:v>
                </c:pt>
                <c:pt idx="85">
                  <c:v>45733</c:v>
                </c:pt>
                <c:pt idx="86">
                  <c:v>45734</c:v>
                </c:pt>
                <c:pt idx="87">
                  <c:v>45735</c:v>
                </c:pt>
                <c:pt idx="88">
                  <c:v>45736</c:v>
                </c:pt>
                <c:pt idx="89">
                  <c:v>45737</c:v>
                </c:pt>
                <c:pt idx="90">
                  <c:v>45740</c:v>
                </c:pt>
                <c:pt idx="91">
                  <c:v>45741</c:v>
                </c:pt>
                <c:pt idx="92">
                  <c:v>45742</c:v>
                </c:pt>
                <c:pt idx="93">
                  <c:v>45743</c:v>
                </c:pt>
                <c:pt idx="94">
                  <c:v>45744</c:v>
                </c:pt>
                <c:pt idx="95">
                  <c:v>45747</c:v>
                </c:pt>
                <c:pt idx="96">
                  <c:v>45748</c:v>
                </c:pt>
                <c:pt idx="97">
                  <c:v>45749</c:v>
                </c:pt>
                <c:pt idx="98">
                  <c:v>45750</c:v>
                </c:pt>
                <c:pt idx="99">
                  <c:v>45751</c:v>
                </c:pt>
                <c:pt idx="100">
                  <c:v>45754</c:v>
                </c:pt>
                <c:pt idx="101">
                  <c:v>45755</c:v>
                </c:pt>
                <c:pt idx="102">
                  <c:v>45756</c:v>
                </c:pt>
                <c:pt idx="103">
                  <c:v>45757</c:v>
                </c:pt>
                <c:pt idx="104">
                  <c:v>45758</c:v>
                </c:pt>
                <c:pt idx="105">
                  <c:v>45761</c:v>
                </c:pt>
                <c:pt idx="106">
                  <c:v>45762</c:v>
                </c:pt>
                <c:pt idx="107">
                  <c:v>45763</c:v>
                </c:pt>
                <c:pt idx="108">
                  <c:v>45764</c:v>
                </c:pt>
                <c:pt idx="109">
                  <c:v>45765</c:v>
                </c:pt>
                <c:pt idx="110">
                  <c:v>45768</c:v>
                </c:pt>
                <c:pt idx="111">
                  <c:v>45769</c:v>
                </c:pt>
                <c:pt idx="112">
                  <c:v>45770</c:v>
                </c:pt>
                <c:pt idx="113">
                  <c:v>45771</c:v>
                </c:pt>
                <c:pt idx="114">
                  <c:v>45772</c:v>
                </c:pt>
                <c:pt idx="115">
                  <c:v>45775</c:v>
                </c:pt>
                <c:pt idx="116">
                  <c:v>45776</c:v>
                </c:pt>
                <c:pt idx="117">
                  <c:v>45777</c:v>
                </c:pt>
                <c:pt idx="118">
                  <c:v>45778</c:v>
                </c:pt>
                <c:pt idx="119">
                  <c:v>45779</c:v>
                </c:pt>
                <c:pt idx="120">
                  <c:v>45782</c:v>
                </c:pt>
                <c:pt idx="121">
                  <c:v>45783</c:v>
                </c:pt>
                <c:pt idx="122">
                  <c:v>45784</c:v>
                </c:pt>
                <c:pt idx="123">
                  <c:v>45785</c:v>
                </c:pt>
                <c:pt idx="124">
                  <c:v>45786</c:v>
                </c:pt>
                <c:pt idx="125">
                  <c:v>45789</c:v>
                </c:pt>
                <c:pt idx="126">
                  <c:v>45790</c:v>
                </c:pt>
                <c:pt idx="127">
                  <c:v>45791</c:v>
                </c:pt>
                <c:pt idx="128">
                  <c:v>45792</c:v>
                </c:pt>
                <c:pt idx="129">
                  <c:v>45793</c:v>
                </c:pt>
                <c:pt idx="130">
                  <c:v>45796</c:v>
                </c:pt>
                <c:pt idx="131">
                  <c:v>45797</c:v>
                </c:pt>
                <c:pt idx="132">
                  <c:v>45798</c:v>
                </c:pt>
                <c:pt idx="133">
                  <c:v>45799</c:v>
                </c:pt>
                <c:pt idx="134">
                  <c:v>45800</c:v>
                </c:pt>
                <c:pt idx="135">
                  <c:v>45804</c:v>
                </c:pt>
                <c:pt idx="136">
                  <c:v>45805</c:v>
                </c:pt>
                <c:pt idx="137">
                  <c:v>45806</c:v>
                </c:pt>
                <c:pt idx="138">
                  <c:v>45807</c:v>
                </c:pt>
                <c:pt idx="139">
                  <c:v>45810</c:v>
                </c:pt>
                <c:pt idx="140">
                  <c:v>45811</c:v>
                </c:pt>
                <c:pt idx="141">
                  <c:v>45812</c:v>
                </c:pt>
                <c:pt idx="142">
                  <c:v>45813</c:v>
                </c:pt>
                <c:pt idx="143">
                  <c:v>45814</c:v>
                </c:pt>
                <c:pt idx="144">
                  <c:v>45817</c:v>
                </c:pt>
                <c:pt idx="145">
                  <c:v>45818</c:v>
                </c:pt>
                <c:pt idx="146">
                  <c:v>45819</c:v>
                </c:pt>
                <c:pt idx="147">
                  <c:v>45820</c:v>
                </c:pt>
                <c:pt idx="148">
                  <c:v>45821</c:v>
                </c:pt>
                <c:pt idx="149">
                  <c:v>45824</c:v>
                </c:pt>
                <c:pt idx="150">
                  <c:v>45825</c:v>
                </c:pt>
                <c:pt idx="151">
                  <c:v>45826</c:v>
                </c:pt>
                <c:pt idx="152">
                  <c:v>45827</c:v>
                </c:pt>
                <c:pt idx="153">
                  <c:v>45828</c:v>
                </c:pt>
                <c:pt idx="154">
                  <c:v>45831</c:v>
                </c:pt>
                <c:pt idx="155">
                  <c:v>45832</c:v>
                </c:pt>
                <c:pt idx="156">
                  <c:v>45833</c:v>
                </c:pt>
                <c:pt idx="157">
                  <c:v>45834</c:v>
                </c:pt>
                <c:pt idx="158">
                  <c:v>45835</c:v>
                </c:pt>
                <c:pt idx="159">
                  <c:v>45838</c:v>
                </c:pt>
                <c:pt idx="160">
                  <c:v>45839</c:v>
                </c:pt>
                <c:pt idx="161">
                  <c:v>45840</c:v>
                </c:pt>
                <c:pt idx="162">
                  <c:v>45841</c:v>
                </c:pt>
                <c:pt idx="163">
                  <c:v>45842</c:v>
                </c:pt>
                <c:pt idx="164">
                  <c:v>45845</c:v>
                </c:pt>
                <c:pt idx="165">
                  <c:v>45846</c:v>
                </c:pt>
                <c:pt idx="166">
                  <c:v>45847</c:v>
                </c:pt>
                <c:pt idx="167">
                  <c:v>45848</c:v>
                </c:pt>
                <c:pt idx="168">
                  <c:v>45849</c:v>
                </c:pt>
                <c:pt idx="169">
                  <c:v>45852</c:v>
                </c:pt>
                <c:pt idx="170">
                  <c:v>45853</c:v>
                </c:pt>
                <c:pt idx="171">
                  <c:v>45854</c:v>
                </c:pt>
                <c:pt idx="172">
                  <c:v>45855</c:v>
                </c:pt>
                <c:pt idx="173">
                  <c:v>45856</c:v>
                </c:pt>
                <c:pt idx="174">
                  <c:v>45859</c:v>
                </c:pt>
                <c:pt idx="175">
                  <c:v>45860</c:v>
                </c:pt>
                <c:pt idx="176">
                  <c:v>45861</c:v>
                </c:pt>
                <c:pt idx="177">
                  <c:v>45862</c:v>
                </c:pt>
                <c:pt idx="178">
                  <c:v>45863</c:v>
                </c:pt>
                <c:pt idx="179">
                  <c:v>45866</c:v>
                </c:pt>
                <c:pt idx="180">
                  <c:v>45867</c:v>
                </c:pt>
                <c:pt idx="181">
                  <c:v>45868</c:v>
                </c:pt>
                <c:pt idx="182">
                  <c:v>45869</c:v>
                </c:pt>
                <c:pt idx="183">
                  <c:v>45870</c:v>
                </c:pt>
                <c:pt idx="184">
                  <c:v>45873</c:v>
                </c:pt>
                <c:pt idx="185">
                  <c:v>45874</c:v>
                </c:pt>
                <c:pt idx="186">
                  <c:v>45875</c:v>
                </c:pt>
                <c:pt idx="187">
                  <c:v>45876</c:v>
                </c:pt>
                <c:pt idx="188">
                  <c:v>45877</c:v>
                </c:pt>
                <c:pt idx="189">
                  <c:v>45880</c:v>
                </c:pt>
                <c:pt idx="190">
                  <c:v>45881</c:v>
                </c:pt>
                <c:pt idx="191">
                  <c:v>45882</c:v>
                </c:pt>
                <c:pt idx="192">
                  <c:v>45883</c:v>
                </c:pt>
                <c:pt idx="193">
                  <c:v>45884</c:v>
                </c:pt>
                <c:pt idx="194">
                  <c:v>45887</c:v>
                </c:pt>
                <c:pt idx="195">
                  <c:v>45888</c:v>
                </c:pt>
                <c:pt idx="196">
                  <c:v>45889</c:v>
                </c:pt>
                <c:pt idx="197">
                  <c:v>45890</c:v>
                </c:pt>
                <c:pt idx="198">
                  <c:v>45891</c:v>
                </c:pt>
                <c:pt idx="199">
                  <c:v>45894</c:v>
                </c:pt>
                <c:pt idx="200">
                  <c:v>45895</c:v>
                </c:pt>
                <c:pt idx="201">
                  <c:v>45896</c:v>
                </c:pt>
                <c:pt idx="202">
                  <c:v>45897</c:v>
                </c:pt>
                <c:pt idx="203">
                  <c:v>45898</c:v>
                </c:pt>
                <c:pt idx="204">
                  <c:v>45901</c:v>
                </c:pt>
                <c:pt idx="205">
                  <c:v>45902</c:v>
                </c:pt>
                <c:pt idx="206">
                  <c:v>45903</c:v>
                </c:pt>
                <c:pt idx="207">
                  <c:v>45904</c:v>
                </c:pt>
                <c:pt idx="208">
                  <c:v>45905</c:v>
                </c:pt>
                <c:pt idx="209">
                  <c:v>45908</c:v>
                </c:pt>
                <c:pt idx="210">
                  <c:v>45909</c:v>
                </c:pt>
                <c:pt idx="211">
                  <c:v>45910</c:v>
                </c:pt>
                <c:pt idx="212">
                  <c:v>45911</c:v>
                </c:pt>
                <c:pt idx="213">
                  <c:v>45912</c:v>
                </c:pt>
                <c:pt idx="214">
                  <c:v>45915</c:v>
                </c:pt>
                <c:pt idx="215">
                  <c:v>45916</c:v>
                </c:pt>
                <c:pt idx="216">
                  <c:v>45917</c:v>
                </c:pt>
                <c:pt idx="217">
                  <c:v>45918</c:v>
                </c:pt>
                <c:pt idx="218">
                  <c:v>45919</c:v>
                </c:pt>
                <c:pt idx="219">
                  <c:v>45922</c:v>
                </c:pt>
                <c:pt idx="220">
                  <c:v>45923</c:v>
                </c:pt>
                <c:pt idx="221">
                  <c:v>45924</c:v>
                </c:pt>
                <c:pt idx="222">
                  <c:v>45925</c:v>
                </c:pt>
                <c:pt idx="223">
                  <c:v>45926</c:v>
                </c:pt>
                <c:pt idx="224">
                  <c:v>45929</c:v>
                </c:pt>
                <c:pt idx="225">
                  <c:v>45930</c:v>
                </c:pt>
                <c:pt idx="226">
                  <c:v>45931</c:v>
                </c:pt>
                <c:pt idx="227">
                  <c:v>45932</c:v>
                </c:pt>
                <c:pt idx="228">
                  <c:v>45933</c:v>
                </c:pt>
                <c:pt idx="229">
                  <c:v>45936</c:v>
                </c:pt>
                <c:pt idx="230">
                  <c:v>45937</c:v>
                </c:pt>
                <c:pt idx="231">
                  <c:v>45938</c:v>
                </c:pt>
                <c:pt idx="232">
                  <c:v>45939</c:v>
                </c:pt>
                <c:pt idx="233">
                  <c:v>45940</c:v>
                </c:pt>
                <c:pt idx="234">
                  <c:v>45943</c:v>
                </c:pt>
                <c:pt idx="235">
                  <c:v>45944</c:v>
                </c:pt>
                <c:pt idx="236">
                  <c:v>45945</c:v>
                </c:pt>
                <c:pt idx="237">
                  <c:v>45946</c:v>
                </c:pt>
                <c:pt idx="238">
                  <c:v>45947</c:v>
                </c:pt>
                <c:pt idx="239">
                  <c:v>45950</c:v>
                </c:pt>
                <c:pt idx="240">
                  <c:v>45951</c:v>
                </c:pt>
                <c:pt idx="241">
                  <c:v>45952</c:v>
                </c:pt>
                <c:pt idx="242">
                  <c:v>45953</c:v>
                </c:pt>
                <c:pt idx="243">
                  <c:v>45954</c:v>
                </c:pt>
                <c:pt idx="244">
                  <c:v>45957</c:v>
                </c:pt>
                <c:pt idx="245">
                  <c:v>45958</c:v>
                </c:pt>
                <c:pt idx="246">
                  <c:v>45959</c:v>
                </c:pt>
                <c:pt idx="247">
                  <c:v>45960</c:v>
                </c:pt>
                <c:pt idx="248">
                  <c:v>45961</c:v>
                </c:pt>
                <c:pt idx="249">
                  <c:v>45964</c:v>
                </c:pt>
                <c:pt idx="250">
                  <c:v>45965</c:v>
                </c:pt>
                <c:pt idx="251">
                  <c:v>45966</c:v>
                </c:pt>
                <c:pt idx="252">
                  <c:v>45967</c:v>
                </c:pt>
                <c:pt idx="253">
                  <c:v>45968</c:v>
                </c:pt>
              </c:numCache>
            </c:numRef>
          </c:cat>
          <c:val>
            <c:numRef>
              <c:f>BBG!$D$3:$D$256</c:f>
              <c:numCache>
                <c:formatCode>0.00</c:formatCode>
                <c:ptCount val="254"/>
                <c:pt idx="0">
                  <c:v>33.174999999999997</c:v>
                </c:pt>
                <c:pt idx="1">
                  <c:v>31.759</c:v>
                </c:pt>
                <c:pt idx="2">
                  <c:v>31.713999999999999</c:v>
                </c:pt>
                <c:pt idx="3">
                  <c:v>29.606999999999999</c:v>
                </c:pt>
                <c:pt idx="4">
                  <c:v>28.931999999999999</c:v>
                </c:pt>
                <c:pt idx="5">
                  <c:v>28.815999999999999</c:v>
                </c:pt>
                <c:pt idx="6">
                  <c:v>29.103000000000002</c:v>
                </c:pt>
                <c:pt idx="7">
                  <c:v>29.934999999999999</c:v>
                </c:pt>
                <c:pt idx="8">
                  <c:v>29.934999999999999</c:v>
                </c:pt>
                <c:pt idx="9">
                  <c:v>30.994</c:v>
                </c:pt>
                <c:pt idx="10">
                  <c:v>27.35</c:v>
                </c:pt>
                <c:pt idx="11">
                  <c:v>28.727</c:v>
                </c:pt>
                <c:pt idx="12">
                  <c:v>27.523</c:v>
                </c:pt>
                <c:pt idx="13">
                  <c:v>25.641999999999999</c:v>
                </c:pt>
                <c:pt idx="14">
                  <c:v>29.853999999999999</c:v>
                </c:pt>
                <c:pt idx="15">
                  <c:v>31.007000000000001</c:v>
                </c:pt>
                <c:pt idx="16">
                  <c:v>31.92</c:v>
                </c:pt>
                <c:pt idx="17">
                  <c:v>34.74</c:v>
                </c:pt>
                <c:pt idx="18">
                  <c:v>35.948</c:v>
                </c:pt>
                <c:pt idx="19">
                  <c:v>34.962000000000003</c:v>
                </c:pt>
                <c:pt idx="20">
                  <c:v>33.956000000000003</c:v>
                </c:pt>
                <c:pt idx="21">
                  <c:v>32.442</c:v>
                </c:pt>
                <c:pt idx="22">
                  <c:v>27.042000000000002</c:v>
                </c:pt>
                <c:pt idx="23">
                  <c:v>31.257000000000001</c:v>
                </c:pt>
                <c:pt idx="24">
                  <c:v>34.363</c:v>
                </c:pt>
                <c:pt idx="25">
                  <c:v>33.805999999999997</c:v>
                </c:pt>
                <c:pt idx="26">
                  <c:v>32.380000000000003</c:v>
                </c:pt>
                <c:pt idx="27">
                  <c:v>31.116</c:v>
                </c:pt>
                <c:pt idx="28">
                  <c:v>33.517000000000003</c:v>
                </c:pt>
                <c:pt idx="29">
                  <c:v>35.406999999999996</c:v>
                </c:pt>
                <c:pt idx="30">
                  <c:v>38.875</c:v>
                </c:pt>
                <c:pt idx="31">
                  <c:v>39.927</c:v>
                </c:pt>
                <c:pt idx="32">
                  <c:v>39.750999999999998</c:v>
                </c:pt>
                <c:pt idx="33">
                  <c:v>40.578000000000003</c:v>
                </c:pt>
                <c:pt idx="34">
                  <c:v>39.737000000000002</c:v>
                </c:pt>
                <c:pt idx="35">
                  <c:v>41.792999999999999</c:v>
                </c:pt>
                <c:pt idx="36">
                  <c:v>44.628</c:v>
                </c:pt>
                <c:pt idx="37">
                  <c:v>46.776000000000003</c:v>
                </c:pt>
                <c:pt idx="38">
                  <c:v>47.095999999999997</c:v>
                </c:pt>
                <c:pt idx="39">
                  <c:v>37.143000000000001</c:v>
                </c:pt>
                <c:pt idx="40">
                  <c:v>36.301000000000002</c:v>
                </c:pt>
                <c:pt idx="41">
                  <c:v>37.573999999999998</c:v>
                </c:pt>
                <c:pt idx="42">
                  <c:v>43.045000000000002</c:v>
                </c:pt>
                <c:pt idx="43">
                  <c:v>45.694000000000003</c:v>
                </c:pt>
                <c:pt idx="44">
                  <c:v>42.429000000000002</c:v>
                </c:pt>
                <c:pt idx="45">
                  <c:v>42.177</c:v>
                </c:pt>
                <c:pt idx="46">
                  <c:v>41.158000000000001</c:v>
                </c:pt>
                <c:pt idx="47">
                  <c:v>38.787999999999997</c:v>
                </c:pt>
                <c:pt idx="48">
                  <c:v>41.436</c:v>
                </c:pt>
                <c:pt idx="49">
                  <c:v>41.752000000000002</c:v>
                </c:pt>
                <c:pt idx="50">
                  <c:v>43.155000000000001</c:v>
                </c:pt>
                <c:pt idx="51">
                  <c:v>44.363999999999997</c:v>
                </c:pt>
                <c:pt idx="52">
                  <c:v>43.326999999999998</c:v>
                </c:pt>
                <c:pt idx="53">
                  <c:v>43.994</c:v>
                </c:pt>
                <c:pt idx="54">
                  <c:v>45.591999999999999</c:v>
                </c:pt>
                <c:pt idx="55">
                  <c:v>42.828000000000003</c:v>
                </c:pt>
                <c:pt idx="56">
                  <c:v>42.573999999999998</c:v>
                </c:pt>
                <c:pt idx="57">
                  <c:v>38.597999999999999</c:v>
                </c:pt>
                <c:pt idx="58">
                  <c:v>36.063000000000002</c:v>
                </c:pt>
                <c:pt idx="59">
                  <c:v>34.404000000000003</c:v>
                </c:pt>
                <c:pt idx="60">
                  <c:v>36.692</c:v>
                </c:pt>
                <c:pt idx="61">
                  <c:v>37.365000000000002</c:v>
                </c:pt>
                <c:pt idx="62">
                  <c:v>36.267000000000003</c:v>
                </c:pt>
                <c:pt idx="63">
                  <c:v>34.570999999999998</c:v>
                </c:pt>
                <c:pt idx="64">
                  <c:v>36.704999999999998</c:v>
                </c:pt>
                <c:pt idx="65">
                  <c:v>36.704999999999998</c:v>
                </c:pt>
                <c:pt idx="66">
                  <c:v>36.362000000000002</c:v>
                </c:pt>
                <c:pt idx="67">
                  <c:v>39.917000000000002</c:v>
                </c:pt>
                <c:pt idx="68">
                  <c:v>39.972999999999999</c:v>
                </c:pt>
                <c:pt idx="69">
                  <c:v>40.429000000000002</c:v>
                </c:pt>
                <c:pt idx="70">
                  <c:v>41.805999999999997</c:v>
                </c:pt>
                <c:pt idx="71">
                  <c:v>42.384999999999998</c:v>
                </c:pt>
                <c:pt idx="72">
                  <c:v>42.39</c:v>
                </c:pt>
                <c:pt idx="73">
                  <c:v>45.43</c:v>
                </c:pt>
                <c:pt idx="74">
                  <c:v>46.765999999999998</c:v>
                </c:pt>
                <c:pt idx="75">
                  <c:v>48.683999999999997</c:v>
                </c:pt>
                <c:pt idx="76">
                  <c:v>49.055</c:v>
                </c:pt>
                <c:pt idx="77">
                  <c:v>49.335000000000001</c:v>
                </c:pt>
                <c:pt idx="78">
                  <c:v>52.201000000000001</c:v>
                </c:pt>
                <c:pt idx="79">
                  <c:v>51.215000000000003</c:v>
                </c:pt>
                <c:pt idx="80">
                  <c:v>57.206000000000003</c:v>
                </c:pt>
                <c:pt idx="81">
                  <c:v>55.835999999999999</c:v>
                </c:pt>
                <c:pt idx="82">
                  <c:v>55.9</c:v>
                </c:pt>
                <c:pt idx="83">
                  <c:v>55.783999999999999</c:v>
                </c:pt>
                <c:pt idx="84">
                  <c:v>53.082000000000001</c:v>
                </c:pt>
                <c:pt idx="85">
                  <c:v>50.101999999999997</c:v>
                </c:pt>
                <c:pt idx="86">
                  <c:v>50.996000000000002</c:v>
                </c:pt>
                <c:pt idx="87">
                  <c:v>52.832000000000001</c:v>
                </c:pt>
                <c:pt idx="88">
                  <c:v>54.189</c:v>
                </c:pt>
                <c:pt idx="89">
                  <c:v>58.423000000000002</c:v>
                </c:pt>
                <c:pt idx="90">
                  <c:v>56.615000000000002</c:v>
                </c:pt>
                <c:pt idx="91">
                  <c:v>58.874000000000002</c:v>
                </c:pt>
                <c:pt idx="92">
                  <c:v>60.383000000000003</c:v>
                </c:pt>
                <c:pt idx="93">
                  <c:v>62.817</c:v>
                </c:pt>
                <c:pt idx="94">
                  <c:v>64.771000000000001</c:v>
                </c:pt>
                <c:pt idx="95">
                  <c:v>61.94</c:v>
                </c:pt>
                <c:pt idx="96">
                  <c:v>59.801000000000002</c:v>
                </c:pt>
                <c:pt idx="97">
                  <c:v>61.588000000000001</c:v>
                </c:pt>
                <c:pt idx="98">
                  <c:v>74.210999999999999</c:v>
                </c:pt>
                <c:pt idx="99">
                  <c:v>70.013000000000005</c:v>
                </c:pt>
                <c:pt idx="100">
                  <c:v>74.956000000000003</c:v>
                </c:pt>
                <c:pt idx="101">
                  <c:v>84.685000000000002</c:v>
                </c:pt>
                <c:pt idx="102">
                  <c:v>68.97</c:v>
                </c:pt>
                <c:pt idx="103">
                  <c:v>79.513999999999996</c:v>
                </c:pt>
                <c:pt idx="104">
                  <c:v>70.698999999999998</c:v>
                </c:pt>
                <c:pt idx="105">
                  <c:v>79.537000000000006</c:v>
                </c:pt>
                <c:pt idx="106">
                  <c:v>79.039000000000001</c:v>
                </c:pt>
                <c:pt idx="107">
                  <c:v>83.358999999999995</c:v>
                </c:pt>
                <c:pt idx="108">
                  <c:v>85.908000000000001</c:v>
                </c:pt>
                <c:pt idx="109">
                  <c:v>85.807000000000002</c:v>
                </c:pt>
                <c:pt idx="110">
                  <c:v>92.56</c:v>
                </c:pt>
                <c:pt idx="111">
                  <c:v>88.328999999999994</c:v>
                </c:pt>
                <c:pt idx="112">
                  <c:v>79.813999999999993</c:v>
                </c:pt>
                <c:pt idx="113">
                  <c:v>83.826999999999998</c:v>
                </c:pt>
                <c:pt idx="114">
                  <c:v>84.087999999999994</c:v>
                </c:pt>
                <c:pt idx="115">
                  <c:v>86.787000000000006</c:v>
                </c:pt>
                <c:pt idx="116">
                  <c:v>88.114999999999995</c:v>
                </c:pt>
                <c:pt idx="117">
                  <c:v>94.927000000000007</c:v>
                </c:pt>
                <c:pt idx="118">
                  <c:v>91.718000000000004</c:v>
                </c:pt>
                <c:pt idx="119">
                  <c:v>86.88</c:v>
                </c:pt>
                <c:pt idx="120">
                  <c:v>89.352999999999994</c:v>
                </c:pt>
                <c:pt idx="121">
                  <c:v>90.129000000000005</c:v>
                </c:pt>
                <c:pt idx="122">
                  <c:v>90.47</c:v>
                </c:pt>
                <c:pt idx="123">
                  <c:v>85.62</c:v>
                </c:pt>
                <c:pt idx="124">
                  <c:v>83.183999999999997</c:v>
                </c:pt>
                <c:pt idx="125">
                  <c:v>79.152000000000001</c:v>
                </c:pt>
                <c:pt idx="126">
                  <c:v>80.656999999999996</c:v>
                </c:pt>
                <c:pt idx="127">
                  <c:v>80.105000000000004</c:v>
                </c:pt>
                <c:pt idx="128">
                  <c:v>82.945999999999998</c:v>
                </c:pt>
                <c:pt idx="129">
                  <c:v>84.926000000000002</c:v>
                </c:pt>
                <c:pt idx="130">
                  <c:v>83.834000000000003</c:v>
                </c:pt>
                <c:pt idx="131">
                  <c:v>89.432000000000002</c:v>
                </c:pt>
                <c:pt idx="132">
                  <c:v>92.992000000000004</c:v>
                </c:pt>
                <c:pt idx="133">
                  <c:v>94.447000000000003</c:v>
                </c:pt>
                <c:pt idx="134">
                  <c:v>95.444999999999993</c:v>
                </c:pt>
                <c:pt idx="135">
                  <c:v>91.597999999999999</c:v>
                </c:pt>
                <c:pt idx="136">
                  <c:v>91.052000000000007</c:v>
                </c:pt>
                <c:pt idx="137">
                  <c:v>91.623999999999995</c:v>
                </c:pt>
                <c:pt idx="138">
                  <c:v>96.536000000000001</c:v>
                </c:pt>
                <c:pt idx="139">
                  <c:v>95.86</c:v>
                </c:pt>
                <c:pt idx="140">
                  <c:v>95.844999999999999</c:v>
                </c:pt>
                <c:pt idx="141">
                  <c:v>95.248999999999995</c:v>
                </c:pt>
                <c:pt idx="142">
                  <c:v>88.465000000000003</c:v>
                </c:pt>
                <c:pt idx="143">
                  <c:v>84.509</c:v>
                </c:pt>
                <c:pt idx="144">
                  <c:v>85.588999999999999</c:v>
                </c:pt>
                <c:pt idx="145">
                  <c:v>84.004999999999995</c:v>
                </c:pt>
                <c:pt idx="146">
                  <c:v>89.471999999999994</c:v>
                </c:pt>
                <c:pt idx="147">
                  <c:v>87.299000000000007</c:v>
                </c:pt>
                <c:pt idx="148">
                  <c:v>89.06</c:v>
                </c:pt>
                <c:pt idx="149">
                  <c:v>92.046000000000006</c:v>
                </c:pt>
                <c:pt idx="150">
                  <c:v>89.811999999999998</c:v>
                </c:pt>
                <c:pt idx="151">
                  <c:v>89.715000000000003</c:v>
                </c:pt>
                <c:pt idx="152">
                  <c:v>89.613</c:v>
                </c:pt>
                <c:pt idx="153">
                  <c:v>92.707999999999998</c:v>
                </c:pt>
                <c:pt idx="154">
                  <c:v>96.028999999999996</c:v>
                </c:pt>
                <c:pt idx="155">
                  <c:v>96.704999999999998</c:v>
                </c:pt>
                <c:pt idx="156">
                  <c:v>98.012</c:v>
                </c:pt>
                <c:pt idx="157">
                  <c:v>100.303</c:v>
                </c:pt>
                <c:pt idx="158">
                  <c:v>100.34399999999999</c:v>
                </c:pt>
                <c:pt idx="159">
                  <c:v>97.554000000000002</c:v>
                </c:pt>
                <c:pt idx="160">
                  <c:v>92.763999999999996</c:v>
                </c:pt>
                <c:pt idx="161">
                  <c:v>93.489000000000004</c:v>
                </c:pt>
                <c:pt idx="162">
                  <c:v>92.373999999999995</c:v>
                </c:pt>
                <c:pt idx="163">
                  <c:v>92.373999999999995</c:v>
                </c:pt>
                <c:pt idx="164">
                  <c:v>95.561000000000007</c:v>
                </c:pt>
                <c:pt idx="165">
                  <c:v>95.183000000000007</c:v>
                </c:pt>
                <c:pt idx="166">
                  <c:v>96.048000000000002</c:v>
                </c:pt>
                <c:pt idx="167">
                  <c:v>93.353999999999999</c:v>
                </c:pt>
                <c:pt idx="168">
                  <c:v>97.462000000000003</c:v>
                </c:pt>
                <c:pt idx="169">
                  <c:v>98.671000000000006</c:v>
                </c:pt>
                <c:pt idx="170">
                  <c:v>97.91</c:v>
                </c:pt>
                <c:pt idx="171">
                  <c:v>101.646</c:v>
                </c:pt>
                <c:pt idx="172">
                  <c:v>101.681</c:v>
                </c:pt>
                <c:pt idx="173">
                  <c:v>103.916</c:v>
                </c:pt>
                <c:pt idx="174">
                  <c:v>102.453</c:v>
                </c:pt>
                <c:pt idx="175">
                  <c:v>103.047</c:v>
                </c:pt>
                <c:pt idx="176">
                  <c:v>100.047</c:v>
                </c:pt>
                <c:pt idx="177">
                  <c:v>97.403000000000006</c:v>
                </c:pt>
                <c:pt idx="178">
                  <c:v>97.162000000000006</c:v>
                </c:pt>
                <c:pt idx="179">
                  <c:v>98.704999999999998</c:v>
                </c:pt>
                <c:pt idx="180">
                  <c:v>95.528000000000006</c:v>
                </c:pt>
                <c:pt idx="181">
                  <c:v>93.355999999999995</c:v>
                </c:pt>
                <c:pt idx="182">
                  <c:v>92.584999999999994</c:v>
                </c:pt>
                <c:pt idx="183">
                  <c:v>106.324</c:v>
                </c:pt>
                <c:pt idx="184">
                  <c:v>105.235</c:v>
                </c:pt>
                <c:pt idx="185">
                  <c:v>100.07599999999999</c:v>
                </c:pt>
                <c:pt idx="186">
                  <c:v>104.14400000000001</c:v>
                </c:pt>
                <c:pt idx="187">
                  <c:v>103.294</c:v>
                </c:pt>
                <c:pt idx="188">
                  <c:v>101.64</c:v>
                </c:pt>
                <c:pt idx="189">
                  <c:v>101.423</c:v>
                </c:pt>
                <c:pt idx="190">
                  <c:v>105.443</c:v>
                </c:pt>
                <c:pt idx="191">
                  <c:v>106.20099999999999</c:v>
                </c:pt>
                <c:pt idx="192">
                  <c:v>105.71599999999999</c:v>
                </c:pt>
                <c:pt idx="193">
                  <c:v>108.033</c:v>
                </c:pt>
                <c:pt idx="194">
                  <c:v>108.523</c:v>
                </c:pt>
                <c:pt idx="195">
                  <c:v>108.242</c:v>
                </c:pt>
                <c:pt idx="196">
                  <c:v>108.146</c:v>
                </c:pt>
                <c:pt idx="197">
                  <c:v>106.01900000000001</c:v>
                </c:pt>
                <c:pt idx="198">
                  <c:v>111.479</c:v>
                </c:pt>
                <c:pt idx="199">
                  <c:v>110.28400000000001</c:v>
                </c:pt>
                <c:pt idx="200">
                  <c:v>117.437</c:v>
                </c:pt>
                <c:pt idx="201">
                  <c:v>122.256</c:v>
                </c:pt>
                <c:pt idx="202">
                  <c:v>118.321</c:v>
                </c:pt>
                <c:pt idx="203">
                  <c:v>122.99299999999999</c:v>
                </c:pt>
                <c:pt idx="204">
                  <c:v>122.99299999999999</c:v>
                </c:pt>
                <c:pt idx="205">
                  <c:v>123.61199999999999</c:v>
                </c:pt>
                <c:pt idx="206">
                  <c:v>120.274</c:v>
                </c:pt>
                <c:pt idx="207">
                  <c:v>120.59399999999999</c:v>
                </c:pt>
                <c:pt idx="208">
                  <c:v>117.355</c:v>
                </c:pt>
                <c:pt idx="209">
                  <c:v>112.952</c:v>
                </c:pt>
                <c:pt idx="210">
                  <c:v>111.325</c:v>
                </c:pt>
                <c:pt idx="211">
                  <c:v>109.71899999999999</c:v>
                </c:pt>
                <c:pt idx="212">
                  <c:v>105.642</c:v>
                </c:pt>
                <c:pt idx="213">
                  <c:v>104.53400000000001</c:v>
                </c:pt>
                <c:pt idx="214">
                  <c:v>105.283</c:v>
                </c:pt>
                <c:pt idx="215">
                  <c:v>106.212</c:v>
                </c:pt>
                <c:pt idx="216">
                  <c:v>103.41500000000001</c:v>
                </c:pt>
                <c:pt idx="217">
                  <c:v>105.953</c:v>
                </c:pt>
                <c:pt idx="218">
                  <c:v>106.339</c:v>
                </c:pt>
                <c:pt idx="219">
                  <c:v>105.935</c:v>
                </c:pt>
                <c:pt idx="220">
                  <c:v>104.934</c:v>
                </c:pt>
                <c:pt idx="221">
                  <c:v>103.169</c:v>
                </c:pt>
                <c:pt idx="222">
                  <c:v>98.616</c:v>
                </c:pt>
                <c:pt idx="223">
                  <c:v>98.191999999999993</c:v>
                </c:pt>
                <c:pt idx="224">
                  <c:v>96.81</c:v>
                </c:pt>
                <c:pt idx="225">
                  <c:v>98.847999999999999</c:v>
                </c:pt>
                <c:pt idx="226">
                  <c:v>103.62</c:v>
                </c:pt>
                <c:pt idx="227">
                  <c:v>101.651</c:v>
                </c:pt>
                <c:pt idx="228">
                  <c:v>99.474999999999994</c:v>
                </c:pt>
                <c:pt idx="229">
                  <c:v>101.18600000000001</c:v>
                </c:pt>
                <c:pt idx="230">
                  <c:v>102.03100000000001</c:v>
                </c:pt>
                <c:pt idx="231">
                  <c:v>99.173000000000002</c:v>
                </c:pt>
                <c:pt idx="232">
                  <c:v>98.350999999999999</c:v>
                </c:pt>
                <c:pt idx="233">
                  <c:v>99.046000000000006</c:v>
                </c:pt>
                <c:pt idx="234">
                  <c:v>99.22</c:v>
                </c:pt>
                <c:pt idx="235">
                  <c:v>102.295</c:v>
                </c:pt>
                <c:pt idx="236">
                  <c:v>100.758</c:v>
                </c:pt>
                <c:pt idx="237">
                  <c:v>103.503</c:v>
                </c:pt>
                <c:pt idx="238">
                  <c:v>101.191</c:v>
                </c:pt>
                <c:pt idx="239">
                  <c:v>99.498999999999995</c:v>
                </c:pt>
                <c:pt idx="240">
                  <c:v>97.731999999999999</c:v>
                </c:pt>
                <c:pt idx="241">
                  <c:v>97.558999999999997</c:v>
                </c:pt>
                <c:pt idx="242">
                  <c:v>96.799000000000007</c:v>
                </c:pt>
                <c:pt idx="243">
                  <c:v>98.575000000000003</c:v>
                </c:pt>
                <c:pt idx="244">
                  <c:v>94.858000000000004</c:v>
                </c:pt>
                <c:pt idx="245">
                  <c:v>92.87</c:v>
                </c:pt>
                <c:pt idx="246">
                  <c:v>91.393000000000001</c:v>
                </c:pt>
                <c:pt idx="247">
                  <c:v>93.236000000000004</c:v>
                </c:pt>
                <c:pt idx="248">
                  <c:v>96.227999999999994</c:v>
                </c:pt>
                <c:pt idx="249">
                  <c:v>96.631</c:v>
                </c:pt>
                <c:pt idx="250">
                  <c:v>96.709000000000003</c:v>
                </c:pt>
                <c:pt idx="251">
                  <c:v>97.242000000000004</c:v>
                </c:pt>
                <c:pt idx="252">
                  <c:v>99.814999999999998</c:v>
                </c:pt>
                <c:pt idx="253">
                  <c:v>101.31</c:v>
                </c:pt>
              </c:numCache>
            </c:numRef>
          </c:val>
          <c:smooth val="0"/>
          <c:extLst>
            <c:ext xmlns:c16="http://schemas.microsoft.com/office/drawing/2014/chart" uri="{C3380CC4-5D6E-409C-BE32-E72D297353CC}">
              <c16:uniqueId val="{00000002-5C41-473D-BC9D-8D9BC45F4C1F}"/>
            </c:ext>
          </c:extLst>
        </c:ser>
        <c:dLbls>
          <c:showLegendKey val="0"/>
          <c:showVal val="0"/>
          <c:showCatName val="0"/>
          <c:showSerName val="0"/>
          <c:showPercent val="0"/>
          <c:showBubbleSize val="0"/>
        </c:dLbls>
        <c:smooth val="0"/>
        <c:axId val="1081969240"/>
        <c:axId val="1081969568"/>
      </c:lineChart>
      <c:dateAx>
        <c:axId val="1081969240"/>
        <c:scaling>
          <c:orientation val="minMax"/>
        </c:scaling>
        <c:delete val="0"/>
        <c:axPos val="b"/>
        <c:numFmt formatCode="m/d/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1081969568"/>
        <c:crosses val="autoZero"/>
        <c:auto val="1"/>
        <c:lblOffset val="100"/>
        <c:baseTimeUnit val="days"/>
        <c:majorUnit val="2"/>
      </c:dateAx>
      <c:valAx>
        <c:axId val="1081969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1081969240"/>
        <c:crosses val="autoZero"/>
        <c:crossBetween val="between"/>
      </c:valAx>
      <c:spPr>
        <a:noFill/>
        <a:ln>
          <a:noFill/>
        </a:ln>
        <a:effectLst/>
      </c:spPr>
    </c:plotArea>
    <c:legend>
      <c:legendPos val="t"/>
      <c:layout>
        <c:manualLayout>
          <c:xMode val="edge"/>
          <c:yMode val="edge"/>
          <c:x val="0.30943519201413305"/>
          <c:y val="1.2580938194572629E-2"/>
          <c:w val="0.38112961597173389"/>
          <c:h val="7.1122090905698765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aseline="0">
                <a:latin typeface="+mj-lt"/>
              </a:rPr>
              <a:t>Weekly Flow</a:t>
            </a:r>
            <a:r>
              <a:rPr lang="en-US" altLang="zh-TW" sz="1400" baseline="0"/>
              <a:t>_</a:t>
            </a:r>
            <a:r>
              <a:rPr lang="zh-TW" altLang="en-US" sz="1400" baseline="0">
                <a:latin typeface="微軟正黑體" panose="020B0604030504040204" pitchFamily="34" charset="-120"/>
                <a:ea typeface="微軟正黑體" panose="020B0604030504040204" pitchFamily="34" charset="-120"/>
              </a:rPr>
              <a:t>產業</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1"/>
          <c:order val="1"/>
          <c:tx>
            <c:strRef>
              <c:f>TFLO!$A$5</c:f>
              <c:strCache>
                <c:ptCount val="1"/>
                <c:pt idx="0">
                  <c:v>Financials</c:v>
                </c:pt>
              </c:strCache>
            </c:strRef>
          </c:tx>
          <c:spPr>
            <a:solidFill>
              <a:schemeClr val="accent2"/>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TFLO!$B$5:$K$5</c15:sqref>
                  </c15:fullRef>
                </c:ext>
              </c:extLst>
              <c:f>(TFLO!$C$5:$D$5,TFLO!$G$5:$H$5,TFLO!$K$5)</c:f>
              <c:numCache>
                <c:formatCode>#,##0</c:formatCode>
                <c:ptCount val="5"/>
                <c:pt idx="0">
                  <c:v>16053961</c:v>
                </c:pt>
                <c:pt idx="1">
                  <c:v>15446397</c:v>
                </c:pt>
                <c:pt idx="2">
                  <c:v>2698938</c:v>
                </c:pt>
                <c:pt idx="3">
                  <c:v>3288037</c:v>
                </c:pt>
                <c:pt idx="4">
                  <c:v>18790755</c:v>
                </c:pt>
              </c:numCache>
            </c:numRef>
          </c:val>
          <c:extLst>
            <c:ext xmlns:c16="http://schemas.microsoft.com/office/drawing/2014/chart" uri="{C3380CC4-5D6E-409C-BE32-E72D297353CC}">
              <c16:uniqueId val="{00000000-0DD8-4E0F-9011-EB50BB48406B}"/>
            </c:ext>
          </c:extLst>
        </c:ser>
        <c:ser>
          <c:idx val="2"/>
          <c:order val="2"/>
          <c:tx>
            <c:strRef>
              <c:f>TFLO!$A$6</c:f>
              <c:strCache>
                <c:ptCount val="1"/>
                <c:pt idx="0">
                  <c:v>Communications</c:v>
                </c:pt>
              </c:strCache>
            </c:strRef>
          </c:tx>
          <c:spPr>
            <a:solidFill>
              <a:schemeClr val="accent3"/>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TFLO!$B$6:$K$6</c15:sqref>
                  </c15:fullRef>
                </c:ext>
              </c:extLst>
              <c:f>(TFLO!$C$6:$D$6,TFLO!$G$6:$H$6,TFLO!$K$6)</c:f>
              <c:numCache>
                <c:formatCode>#,##0</c:formatCode>
                <c:ptCount val="5"/>
                <c:pt idx="0">
                  <c:v>6545637</c:v>
                </c:pt>
                <c:pt idx="1">
                  <c:v>6425854</c:v>
                </c:pt>
                <c:pt idx="2">
                  <c:v>618085</c:v>
                </c:pt>
                <c:pt idx="3">
                  <c:v>871609</c:v>
                </c:pt>
                <c:pt idx="4">
                  <c:v>5995054</c:v>
                </c:pt>
              </c:numCache>
            </c:numRef>
          </c:val>
          <c:extLst>
            <c:ext xmlns:c16="http://schemas.microsoft.com/office/drawing/2014/chart" uri="{C3380CC4-5D6E-409C-BE32-E72D297353CC}">
              <c16:uniqueId val="{00000001-0DD8-4E0F-9011-EB50BB48406B}"/>
            </c:ext>
          </c:extLst>
        </c:ser>
        <c:ser>
          <c:idx val="3"/>
          <c:order val="3"/>
          <c:tx>
            <c:strRef>
              <c:f>TFLO!$A$7</c:f>
              <c:strCache>
                <c:ptCount val="1"/>
                <c:pt idx="0">
                  <c:v>Consumer Discretionary</c:v>
                </c:pt>
              </c:strCache>
            </c:strRef>
          </c:tx>
          <c:spPr>
            <a:solidFill>
              <a:schemeClr val="accent4"/>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TFLO!$B$7:$K$7</c15:sqref>
                  </c15:fullRef>
                </c:ext>
              </c:extLst>
              <c:f>(TFLO!$C$7:$D$7,TFLO!$G$7:$H$7,TFLO!$K$7)</c:f>
              <c:numCache>
                <c:formatCode>#,##0</c:formatCode>
                <c:ptCount val="5"/>
                <c:pt idx="0">
                  <c:v>5288489</c:v>
                </c:pt>
                <c:pt idx="1">
                  <c:v>5155748</c:v>
                </c:pt>
                <c:pt idx="2">
                  <c:v>547970</c:v>
                </c:pt>
                <c:pt idx="3">
                  <c:v>634214</c:v>
                </c:pt>
                <c:pt idx="4">
                  <c:v>6189679</c:v>
                </c:pt>
              </c:numCache>
            </c:numRef>
          </c:val>
          <c:extLst>
            <c:ext xmlns:c16="http://schemas.microsoft.com/office/drawing/2014/chart" uri="{C3380CC4-5D6E-409C-BE32-E72D297353CC}">
              <c16:uniqueId val="{00000002-0DD8-4E0F-9011-EB50BB48406B}"/>
            </c:ext>
          </c:extLst>
        </c:ser>
        <c:ser>
          <c:idx val="4"/>
          <c:order val="4"/>
          <c:tx>
            <c:strRef>
              <c:f>TFLO!$A$8</c:f>
              <c:strCache>
                <c:ptCount val="1"/>
                <c:pt idx="0">
                  <c:v>Energy</c:v>
                </c:pt>
              </c:strCache>
            </c:strRef>
          </c:tx>
          <c:spPr>
            <a:solidFill>
              <a:schemeClr val="accent5"/>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TFLO!$B$8:$K$8</c15:sqref>
                  </c15:fullRef>
                </c:ext>
              </c:extLst>
              <c:f>(TFLO!$C$8:$D$8,TFLO!$G$8:$H$8,TFLO!$K$8)</c:f>
              <c:numCache>
                <c:formatCode>#,##0</c:formatCode>
                <c:ptCount val="5"/>
                <c:pt idx="0">
                  <c:v>4866760</c:v>
                </c:pt>
                <c:pt idx="1">
                  <c:v>4622762</c:v>
                </c:pt>
                <c:pt idx="2">
                  <c:v>562949</c:v>
                </c:pt>
                <c:pt idx="3">
                  <c:v>662658</c:v>
                </c:pt>
                <c:pt idx="4">
                  <c:v>5442602</c:v>
                </c:pt>
              </c:numCache>
            </c:numRef>
          </c:val>
          <c:extLst>
            <c:ext xmlns:c16="http://schemas.microsoft.com/office/drawing/2014/chart" uri="{C3380CC4-5D6E-409C-BE32-E72D297353CC}">
              <c16:uniqueId val="{00000003-0DD8-4E0F-9011-EB50BB48406B}"/>
            </c:ext>
          </c:extLst>
        </c:ser>
        <c:ser>
          <c:idx val="5"/>
          <c:order val="5"/>
          <c:tx>
            <c:strRef>
              <c:f>TFLO!$A$9</c:f>
              <c:strCache>
                <c:ptCount val="1"/>
                <c:pt idx="0">
                  <c:v>Technology</c:v>
                </c:pt>
              </c:strCache>
            </c:strRef>
          </c:tx>
          <c:spPr>
            <a:solidFill>
              <a:schemeClr val="accent6"/>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TFLO!$B$9:$K$9</c15:sqref>
                  </c15:fullRef>
                </c:ext>
              </c:extLst>
              <c:f>(TFLO!$C$9:$D$9,TFLO!$G$9:$H$9,TFLO!$K$9)</c:f>
              <c:numCache>
                <c:formatCode>#,##0</c:formatCode>
                <c:ptCount val="5"/>
                <c:pt idx="0">
                  <c:v>4679229</c:v>
                </c:pt>
                <c:pt idx="1">
                  <c:v>4733439</c:v>
                </c:pt>
                <c:pt idx="2">
                  <c:v>496030</c:v>
                </c:pt>
                <c:pt idx="3">
                  <c:v>672352</c:v>
                </c:pt>
                <c:pt idx="4">
                  <c:v>4945312</c:v>
                </c:pt>
              </c:numCache>
            </c:numRef>
          </c:val>
          <c:extLst>
            <c:ext xmlns:c16="http://schemas.microsoft.com/office/drawing/2014/chart" uri="{C3380CC4-5D6E-409C-BE32-E72D297353CC}">
              <c16:uniqueId val="{00000004-0DD8-4E0F-9011-EB50BB48406B}"/>
            </c:ext>
          </c:extLst>
        </c:ser>
        <c:ser>
          <c:idx val="6"/>
          <c:order val="6"/>
          <c:tx>
            <c:strRef>
              <c:f>TFLO!$A$10</c:f>
              <c:strCache>
                <c:ptCount val="1"/>
                <c:pt idx="0">
                  <c:v>Health Care</c:v>
                </c:pt>
              </c:strCache>
            </c:strRef>
          </c:tx>
          <c:spPr>
            <a:solidFill>
              <a:schemeClr val="accent1">
                <a:lumMod val="60000"/>
              </a:schemeClr>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TFLO!$B$10:$K$10</c15:sqref>
                  </c15:fullRef>
                </c:ext>
              </c:extLst>
              <c:f>(TFLO!$C$10:$D$10,TFLO!$G$10:$H$10,TFLO!$K$10)</c:f>
              <c:numCache>
                <c:formatCode>#,##0</c:formatCode>
                <c:ptCount val="5"/>
                <c:pt idx="0">
                  <c:v>4587228</c:v>
                </c:pt>
                <c:pt idx="1">
                  <c:v>4287376</c:v>
                </c:pt>
                <c:pt idx="2">
                  <c:v>482451</c:v>
                </c:pt>
                <c:pt idx="3">
                  <c:v>524834</c:v>
                </c:pt>
                <c:pt idx="4">
                  <c:v>5529117</c:v>
                </c:pt>
              </c:numCache>
            </c:numRef>
          </c:val>
          <c:extLst>
            <c:ext xmlns:c16="http://schemas.microsoft.com/office/drawing/2014/chart" uri="{C3380CC4-5D6E-409C-BE32-E72D297353CC}">
              <c16:uniqueId val="{00000005-0DD8-4E0F-9011-EB50BB48406B}"/>
            </c:ext>
          </c:extLst>
        </c:ser>
        <c:ser>
          <c:idx val="7"/>
          <c:order val="7"/>
          <c:tx>
            <c:strRef>
              <c:f>TFLO!$A$11</c:f>
              <c:strCache>
                <c:ptCount val="1"/>
                <c:pt idx="0">
                  <c:v>Utilities</c:v>
                </c:pt>
              </c:strCache>
            </c:strRef>
          </c:tx>
          <c:spPr>
            <a:solidFill>
              <a:schemeClr val="accent2">
                <a:lumMod val="60000"/>
              </a:schemeClr>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TFLO!$B$11:$K$11</c15:sqref>
                  </c15:fullRef>
                </c:ext>
              </c:extLst>
              <c:f>(TFLO!$C$11:$D$11,TFLO!$G$11:$H$11,TFLO!$K$11)</c:f>
              <c:numCache>
                <c:formatCode>#,##0</c:formatCode>
                <c:ptCount val="5"/>
                <c:pt idx="0">
                  <c:v>3840135</c:v>
                </c:pt>
                <c:pt idx="1">
                  <c:v>3566737</c:v>
                </c:pt>
                <c:pt idx="2">
                  <c:v>416818</c:v>
                </c:pt>
                <c:pt idx="3">
                  <c:v>408825</c:v>
                </c:pt>
                <c:pt idx="4">
                  <c:v>4435356</c:v>
                </c:pt>
              </c:numCache>
            </c:numRef>
          </c:val>
          <c:extLst>
            <c:ext xmlns:c16="http://schemas.microsoft.com/office/drawing/2014/chart" uri="{C3380CC4-5D6E-409C-BE32-E72D297353CC}">
              <c16:uniqueId val="{00000006-0DD8-4E0F-9011-EB50BB48406B}"/>
            </c:ext>
          </c:extLst>
        </c:ser>
        <c:ser>
          <c:idx val="8"/>
          <c:order val="8"/>
          <c:tx>
            <c:strRef>
              <c:f>TFLO!$A$12</c:f>
              <c:strCache>
                <c:ptCount val="1"/>
                <c:pt idx="0">
                  <c:v>Materials</c:v>
                </c:pt>
              </c:strCache>
            </c:strRef>
          </c:tx>
          <c:spPr>
            <a:solidFill>
              <a:schemeClr val="accent3">
                <a:lumMod val="60000"/>
              </a:schemeClr>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TFLO!$B$12:$K$12</c15:sqref>
                  </c15:fullRef>
                </c:ext>
              </c:extLst>
              <c:f>(TFLO!$C$12:$D$12,TFLO!$G$12:$H$12,TFLO!$K$12)</c:f>
              <c:numCache>
                <c:formatCode>#,##0</c:formatCode>
                <c:ptCount val="5"/>
                <c:pt idx="0">
                  <c:v>3325252</c:v>
                </c:pt>
                <c:pt idx="1">
                  <c:v>3047494</c:v>
                </c:pt>
                <c:pt idx="2">
                  <c:v>375550</c:v>
                </c:pt>
                <c:pt idx="3">
                  <c:v>516868</c:v>
                </c:pt>
                <c:pt idx="4">
                  <c:v>3569826</c:v>
                </c:pt>
              </c:numCache>
            </c:numRef>
          </c:val>
          <c:extLst>
            <c:ext xmlns:c16="http://schemas.microsoft.com/office/drawing/2014/chart" uri="{C3380CC4-5D6E-409C-BE32-E72D297353CC}">
              <c16:uniqueId val="{00000007-0DD8-4E0F-9011-EB50BB48406B}"/>
            </c:ext>
          </c:extLst>
        </c:ser>
        <c:ser>
          <c:idx val="9"/>
          <c:order val="9"/>
          <c:tx>
            <c:strRef>
              <c:f>TFLO!$A$13</c:f>
              <c:strCache>
                <c:ptCount val="1"/>
                <c:pt idx="0">
                  <c:v>Industrials</c:v>
                </c:pt>
              </c:strCache>
            </c:strRef>
          </c:tx>
          <c:spPr>
            <a:solidFill>
              <a:schemeClr val="accent4">
                <a:lumMod val="60000"/>
              </a:schemeClr>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TFLO!$B$13:$K$13</c15:sqref>
                  </c15:fullRef>
                </c:ext>
              </c:extLst>
              <c:f>(TFLO!$C$13:$D$13,TFLO!$G$13:$H$13,TFLO!$K$13)</c:f>
              <c:numCache>
                <c:formatCode>#,##0</c:formatCode>
                <c:ptCount val="5"/>
                <c:pt idx="0">
                  <c:v>2957332</c:v>
                </c:pt>
                <c:pt idx="1">
                  <c:v>3101009</c:v>
                </c:pt>
                <c:pt idx="2">
                  <c:v>273341</c:v>
                </c:pt>
                <c:pt idx="3">
                  <c:v>346355</c:v>
                </c:pt>
                <c:pt idx="4">
                  <c:v>3912309</c:v>
                </c:pt>
              </c:numCache>
            </c:numRef>
          </c:val>
          <c:extLst>
            <c:ext xmlns:c16="http://schemas.microsoft.com/office/drawing/2014/chart" uri="{C3380CC4-5D6E-409C-BE32-E72D297353CC}">
              <c16:uniqueId val="{00000008-0DD8-4E0F-9011-EB50BB48406B}"/>
            </c:ext>
          </c:extLst>
        </c:ser>
        <c:ser>
          <c:idx val="10"/>
          <c:order val="10"/>
          <c:tx>
            <c:strRef>
              <c:f>TFLO!$A$14</c:f>
              <c:strCache>
                <c:ptCount val="1"/>
                <c:pt idx="0">
                  <c:v>Consumer Staples</c:v>
                </c:pt>
              </c:strCache>
            </c:strRef>
          </c:tx>
          <c:spPr>
            <a:solidFill>
              <a:schemeClr val="accent5">
                <a:lumMod val="60000"/>
              </a:schemeClr>
            </a:solidFill>
            <a:ln>
              <a:noFill/>
            </a:ln>
            <a:effectLst/>
          </c:spPr>
          <c:invertIfNegative val="0"/>
          <c:cat>
            <c:multiLvlStrRef>
              <c:extLst>
                <c:ext xmlns:c15="http://schemas.microsoft.com/office/drawing/2012/chart" uri="{02D57815-91ED-43cb-92C2-25804820EDAC}">
                  <c15:fullRef>
                    <c15:sqref>TFLO!$B$2:$K$3</c15:sqref>
                  </c15:fullRef>
                </c:ext>
              </c:extLst>
              <c:f>TFLO!$C$2:$K$3</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TFLO!$B$14:$K$14</c15:sqref>
                  </c15:fullRef>
                </c:ext>
              </c:extLst>
              <c:f>(TFLO!$C$14:$D$14,TFLO!$G$14:$H$14,TFLO!$K$14)</c:f>
              <c:numCache>
                <c:formatCode>#,##0</c:formatCode>
                <c:ptCount val="5"/>
                <c:pt idx="0">
                  <c:v>2309304</c:v>
                </c:pt>
                <c:pt idx="1">
                  <c:v>2533103</c:v>
                </c:pt>
                <c:pt idx="2">
                  <c:v>338736</c:v>
                </c:pt>
                <c:pt idx="3">
                  <c:v>345662</c:v>
                </c:pt>
                <c:pt idx="4">
                  <c:v>3326563</c:v>
                </c:pt>
              </c:numCache>
            </c:numRef>
          </c:val>
          <c:extLst>
            <c:ext xmlns:c16="http://schemas.microsoft.com/office/drawing/2014/chart" uri="{C3380CC4-5D6E-409C-BE32-E72D297353CC}">
              <c16:uniqueId val="{00000009-0DD8-4E0F-9011-EB50BB48406B}"/>
            </c:ext>
          </c:extLst>
        </c:ser>
        <c:dLbls>
          <c:showLegendKey val="0"/>
          <c:showVal val="0"/>
          <c:showCatName val="0"/>
          <c:showSerName val="0"/>
          <c:showPercent val="0"/>
          <c:showBubbleSize val="0"/>
        </c:dLbls>
        <c:gapWidth val="219"/>
        <c:overlap val="-27"/>
        <c:axId val="832940704"/>
        <c:axId val="832930624"/>
        <c:extLst>
          <c:ext xmlns:c15="http://schemas.microsoft.com/office/drawing/2012/chart" uri="{02D57815-91ED-43cb-92C2-25804820EDAC}">
            <c15:filteredBarSeries>
              <c15:ser>
                <c:idx val="0"/>
                <c:order val="0"/>
                <c:tx>
                  <c:strRef>
                    <c:extLst>
                      <c:ext uri="{02D57815-91ED-43cb-92C2-25804820EDAC}">
                        <c15:formulaRef>
                          <c15:sqref>TFLO!$A$4</c15:sqref>
                        </c15:formulaRef>
                      </c:ext>
                    </c:extLst>
                    <c:strCache>
                      <c:ptCount val="1"/>
                      <c:pt idx="0">
                        <c:v>Total</c:v>
                      </c:pt>
                    </c:strCache>
                  </c:strRef>
                </c:tx>
                <c:spPr>
                  <a:solidFill>
                    <a:schemeClr val="accent1"/>
                  </a:solidFill>
                  <a:ln>
                    <a:noFill/>
                  </a:ln>
                  <a:effectLst/>
                </c:spPr>
                <c:invertIfNegative val="0"/>
                <c:cat>
                  <c:multiLvlStrRef>
                    <c:extLst>
                      <c:ext uri="{02D57815-91ED-43cb-92C2-25804820EDAC}">
                        <c15:fullRef>
                          <c15:sqref>TFLO!$B$2:$K$3</c15:sqref>
                        </c15:fullRef>
                        <c15:formulaRef>
                          <c15:sqref>TFLO!$C$2:$K$3</c15:sqref>
                        </c15:formulaRef>
                      </c:ext>
                    </c:extLst>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uri="{02D57815-91ED-43cb-92C2-25804820EDAC}">
                        <c15:fullRef>
                          <c15:sqref>TFLO!$B$4:$K$4</c15:sqref>
                        </c15:fullRef>
                        <c15:formulaRef>
                          <c15:sqref>(TFLO!$C$4:$D$4,TFLO!$G$4:$H$4,TFLO!$K$4)</c15:sqref>
                        </c15:formulaRef>
                      </c:ext>
                    </c:extLst>
                    <c:numCache>
                      <c:formatCode>#,##0</c:formatCode>
                      <c:ptCount val="5"/>
                      <c:pt idx="0">
                        <c:v>54453327</c:v>
                      </c:pt>
                      <c:pt idx="1">
                        <c:v>52919919</c:v>
                      </c:pt>
                      <c:pt idx="2">
                        <c:v>6810868</c:v>
                      </c:pt>
                      <c:pt idx="3">
                        <c:v>8271414</c:v>
                      </c:pt>
                      <c:pt idx="4">
                        <c:v>62136573</c:v>
                      </c:pt>
                    </c:numCache>
                  </c:numRef>
                </c:val>
                <c:extLst>
                  <c:ext xmlns:c16="http://schemas.microsoft.com/office/drawing/2014/chart" uri="{C3380CC4-5D6E-409C-BE32-E72D297353CC}">
                    <c16:uniqueId val="{0000000A-0DD8-4E0F-9011-EB50BB48406B}"/>
                  </c:ext>
                </c:extLst>
              </c15:ser>
            </c15:filteredBarSeries>
          </c:ext>
        </c:extLst>
      </c:barChart>
      <c:catAx>
        <c:axId val="83294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832930624"/>
        <c:crosses val="autoZero"/>
        <c:auto val="1"/>
        <c:lblAlgn val="ctr"/>
        <c:lblOffset val="100"/>
        <c:noMultiLvlLbl val="0"/>
      </c:catAx>
      <c:valAx>
        <c:axId val="832930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83294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aseline="0">
                <a:latin typeface="+mj-lt"/>
              </a:rPr>
              <a:t>Weekly Flow</a:t>
            </a:r>
            <a:r>
              <a:rPr lang="en-US" altLang="zh-TW" sz="1400" baseline="0"/>
              <a:t>_</a:t>
            </a:r>
            <a:r>
              <a:rPr lang="zh-TW" altLang="en-US" sz="1400" baseline="0">
                <a:latin typeface="微軟正黑體" panose="020B0604030504040204" pitchFamily="34" charset="-120"/>
                <a:ea typeface="微軟正黑體" panose="020B0604030504040204" pitchFamily="34" charset="-120"/>
              </a:rPr>
              <a:t>天期</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1"/>
          <c:order val="1"/>
          <c:tx>
            <c:strRef>
              <c:f>TFLO!$A$21</c:f>
              <c:strCache>
                <c:ptCount val="1"/>
                <c:pt idx="0">
                  <c:v>0 -1 yr</c:v>
                </c:pt>
              </c:strCache>
            </c:strRef>
          </c:tx>
          <c:spPr>
            <a:solidFill>
              <a:schemeClr val="accent2"/>
            </a:solidFill>
            <a:ln>
              <a:noFill/>
            </a:ln>
            <a:effectLst/>
          </c:spPr>
          <c:invertIfNegative val="0"/>
          <c:cat>
            <c:multiLvlStrRef>
              <c:extLst>
                <c:ext xmlns:c15="http://schemas.microsoft.com/office/drawing/2012/chart" uri="{02D57815-91ED-43cb-92C2-25804820EDAC}">
                  <c15:fullRef>
                    <c15:sqref>TFLO!$B$18:$K$19</c15:sqref>
                  </c15:fullRef>
                </c:ext>
              </c:extLst>
              <c:f>TFLO!$C$18:$K$19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TFLO!$B$21:$K$21</c15:sqref>
                  </c15:fullRef>
                </c:ext>
              </c:extLst>
              <c:f>(TFLO!$C$21:$D$21,TFLO!$G$21:$H$21,TFLO!$K$21)</c:f>
              <c:numCache>
                <c:formatCode>#,##0</c:formatCode>
                <c:ptCount val="5"/>
                <c:pt idx="0">
                  <c:v>2722172</c:v>
                </c:pt>
                <c:pt idx="1">
                  <c:v>3190266</c:v>
                </c:pt>
                <c:pt idx="2">
                  <c:v>401776</c:v>
                </c:pt>
                <c:pt idx="3">
                  <c:v>291701</c:v>
                </c:pt>
                <c:pt idx="4">
                  <c:v>2221523</c:v>
                </c:pt>
              </c:numCache>
            </c:numRef>
          </c:val>
          <c:extLst>
            <c:ext xmlns:c16="http://schemas.microsoft.com/office/drawing/2014/chart" uri="{C3380CC4-5D6E-409C-BE32-E72D297353CC}">
              <c16:uniqueId val="{00000000-1B84-42A5-9150-F1F2CD20F08C}"/>
            </c:ext>
          </c:extLst>
        </c:ser>
        <c:ser>
          <c:idx val="2"/>
          <c:order val="2"/>
          <c:tx>
            <c:strRef>
              <c:f>TFLO!$A$22</c:f>
              <c:strCache>
                <c:ptCount val="1"/>
                <c:pt idx="0">
                  <c:v>1 -3 yr</c:v>
                </c:pt>
              </c:strCache>
            </c:strRef>
          </c:tx>
          <c:spPr>
            <a:solidFill>
              <a:schemeClr val="accent3"/>
            </a:solidFill>
            <a:ln>
              <a:noFill/>
            </a:ln>
            <a:effectLst/>
          </c:spPr>
          <c:invertIfNegative val="0"/>
          <c:cat>
            <c:multiLvlStrRef>
              <c:extLst>
                <c:ext xmlns:c15="http://schemas.microsoft.com/office/drawing/2012/chart" uri="{02D57815-91ED-43cb-92C2-25804820EDAC}">
                  <c15:fullRef>
                    <c15:sqref>TFLO!$B$18:$K$19</c15:sqref>
                  </c15:fullRef>
                </c:ext>
              </c:extLst>
              <c:f>TFLO!$C$18:$K$19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TFLO!$B$22:$K$22</c15:sqref>
                  </c15:fullRef>
                </c:ext>
              </c:extLst>
              <c:f>(TFLO!$C$22:$D$22,TFLO!$G$22:$H$22,TFLO!$K$22)</c:f>
              <c:numCache>
                <c:formatCode>#,##0</c:formatCode>
                <c:ptCount val="5"/>
                <c:pt idx="0">
                  <c:v>7300084</c:v>
                </c:pt>
                <c:pt idx="1">
                  <c:v>7664616</c:v>
                </c:pt>
                <c:pt idx="2">
                  <c:v>1319482</c:v>
                </c:pt>
                <c:pt idx="3">
                  <c:v>1196685</c:v>
                </c:pt>
                <c:pt idx="4">
                  <c:v>8491588</c:v>
                </c:pt>
              </c:numCache>
            </c:numRef>
          </c:val>
          <c:extLst>
            <c:ext xmlns:c16="http://schemas.microsoft.com/office/drawing/2014/chart" uri="{C3380CC4-5D6E-409C-BE32-E72D297353CC}">
              <c16:uniqueId val="{00000001-1B84-42A5-9150-F1F2CD20F08C}"/>
            </c:ext>
          </c:extLst>
        </c:ser>
        <c:ser>
          <c:idx val="3"/>
          <c:order val="3"/>
          <c:tx>
            <c:strRef>
              <c:f>TFLO!$A$23</c:f>
              <c:strCache>
                <c:ptCount val="1"/>
                <c:pt idx="0">
                  <c:v>3 -7 yr</c:v>
                </c:pt>
              </c:strCache>
            </c:strRef>
          </c:tx>
          <c:spPr>
            <a:solidFill>
              <a:schemeClr val="accent4"/>
            </a:solidFill>
            <a:ln>
              <a:noFill/>
            </a:ln>
            <a:effectLst/>
          </c:spPr>
          <c:invertIfNegative val="0"/>
          <c:cat>
            <c:multiLvlStrRef>
              <c:extLst>
                <c:ext xmlns:c15="http://schemas.microsoft.com/office/drawing/2012/chart" uri="{02D57815-91ED-43cb-92C2-25804820EDAC}">
                  <c15:fullRef>
                    <c15:sqref>TFLO!$B$18:$K$19</c15:sqref>
                  </c15:fullRef>
                </c:ext>
              </c:extLst>
              <c:f>TFLO!$C$18:$K$19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TFLO!$B$23:$K$23</c15:sqref>
                  </c15:fullRef>
                </c:ext>
              </c:extLst>
              <c:f>(TFLO!$C$23:$D$23,TFLO!$G$23:$H$23,TFLO!$K$23)</c:f>
              <c:numCache>
                <c:formatCode>#,##0</c:formatCode>
                <c:ptCount val="5"/>
                <c:pt idx="0">
                  <c:v>18957614</c:v>
                </c:pt>
                <c:pt idx="1">
                  <c:v>18603297</c:v>
                </c:pt>
                <c:pt idx="2">
                  <c:v>2039522</c:v>
                </c:pt>
                <c:pt idx="3">
                  <c:v>2888469</c:v>
                </c:pt>
                <c:pt idx="4">
                  <c:v>21684413</c:v>
                </c:pt>
              </c:numCache>
            </c:numRef>
          </c:val>
          <c:extLst>
            <c:ext xmlns:c16="http://schemas.microsoft.com/office/drawing/2014/chart" uri="{C3380CC4-5D6E-409C-BE32-E72D297353CC}">
              <c16:uniqueId val="{00000002-1B84-42A5-9150-F1F2CD20F08C}"/>
            </c:ext>
          </c:extLst>
        </c:ser>
        <c:ser>
          <c:idx val="4"/>
          <c:order val="4"/>
          <c:tx>
            <c:strRef>
              <c:f>TFLO!$A$24</c:f>
              <c:strCache>
                <c:ptCount val="1"/>
                <c:pt idx="0">
                  <c:v>7 -12 yr</c:v>
                </c:pt>
              </c:strCache>
            </c:strRef>
          </c:tx>
          <c:spPr>
            <a:solidFill>
              <a:schemeClr val="accent5"/>
            </a:solidFill>
            <a:ln>
              <a:noFill/>
            </a:ln>
            <a:effectLst/>
          </c:spPr>
          <c:invertIfNegative val="0"/>
          <c:cat>
            <c:multiLvlStrRef>
              <c:extLst>
                <c:ext xmlns:c15="http://schemas.microsoft.com/office/drawing/2012/chart" uri="{02D57815-91ED-43cb-92C2-25804820EDAC}">
                  <c15:fullRef>
                    <c15:sqref>TFLO!$B$18:$K$19</c15:sqref>
                  </c15:fullRef>
                </c:ext>
              </c:extLst>
              <c:f>TFLO!$C$18:$K$19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TFLO!$B$24:$K$24</c15:sqref>
                  </c15:fullRef>
                </c:ext>
              </c:extLst>
              <c:f>(TFLO!$C$24:$D$24,TFLO!$G$24:$H$24,TFLO!$K$24)</c:f>
              <c:numCache>
                <c:formatCode>#,##0</c:formatCode>
                <c:ptCount val="5"/>
                <c:pt idx="0">
                  <c:v>12145259</c:v>
                </c:pt>
                <c:pt idx="1">
                  <c:v>11226714</c:v>
                </c:pt>
                <c:pt idx="2">
                  <c:v>1587903</c:v>
                </c:pt>
                <c:pt idx="3">
                  <c:v>2059089</c:v>
                </c:pt>
                <c:pt idx="4">
                  <c:v>14426995</c:v>
                </c:pt>
              </c:numCache>
            </c:numRef>
          </c:val>
          <c:extLst>
            <c:ext xmlns:c16="http://schemas.microsoft.com/office/drawing/2014/chart" uri="{C3380CC4-5D6E-409C-BE32-E72D297353CC}">
              <c16:uniqueId val="{00000003-1B84-42A5-9150-F1F2CD20F08C}"/>
            </c:ext>
          </c:extLst>
        </c:ser>
        <c:ser>
          <c:idx val="5"/>
          <c:order val="5"/>
          <c:tx>
            <c:strRef>
              <c:f>TFLO!$A$25</c:f>
              <c:strCache>
                <c:ptCount val="1"/>
                <c:pt idx="0">
                  <c:v>&gt; 12 yr</c:v>
                </c:pt>
              </c:strCache>
            </c:strRef>
          </c:tx>
          <c:spPr>
            <a:solidFill>
              <a:schemeClr val="accent6"/>
            </a:solidFill>
            <a:ln>
              <a:noFill/>
            </a:ln>
            <a:effectLst/>
          </c:spPr>
          <c:invertIfNegative val="0"/>
          <c:cat>
            <c:multiLvlStrRef>
              <c:extLst>
                <c:ext xmlns:c15="http://schemas.microsoft.com/office/drawing/2012/chart" uri="{02D57815-91ED-43cb-92C2-25804820EDAC}">
                  <c15:fullRef>
                    <c15:sqref>TFLO!$B$18:$K$19</c15:sqref>
                  </c15:fullRef>
                </c:ext>
              </c:extLst>
              <c:f>TFLO!$C$18:$K$19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TFLO!$B$25:$K$25</c15:sqref>
                  </c15:fullRef>
                </c:ext>
              </c:extLst>
              <c:f>(TFLO!$C$25:$D$25,TFLO!$G$25:$H$25,TFLO!$K$25)</c:f>
              <c:numCache>
                <c:formatCode>#,##0</c:formatCode>
                <c:ptCount val="5"/>
                <c:pt idx="0">
                  <c:v>13496229</c:v>
                </c:pt>
                <c:pt idx="1">
                  <c:v>12375924</c:v>
                </c:pt>
                <c:pt idx="2">
                  <c:v>1547540</c:v>
                </c:pt>
                <c:pt idx="3">
                  <c:v>1984323</c:v>
                </c:pt>
                <c:pt idx="4">
                  <c:v>15422647</c:v>
                </c:pt>
              </c:numCache>
            </c:numRef>
          </c:val>
          <c:extLst>
            <c:ext xmlns:c16="http://schemas.microsoft.com/office/drawing/2014/chart" uri="{C3380CC4-5D6E-409C-BE32-E72D297353CC}">
              <c16:uniqueId val="{00000004-1B84-42A5-9150-F1F2CD20F08C}"/>
            </c:ext>
          </c:extLst>
        </c:ser>
        <c:ser>
          <c:idx val="6"/>
          <c:order val="6"/>
          <c:tx>
            <c:strRef>
              <c:f>TFLO!$A$26</c:f>
              <c:strCache>
                <c:ptCount val="1"/>
                <c:pt idx="0">
                  <c:v>Matured</c:v>
                </c:pt>
              </c:strCache>
            </c:strRef>
          </c:tx>
          <c:spPr>
            <a:solidFill>
              <a:schemeClr val="accent1">
                <a:lumMod val="60000"/>
              </a:schemeClr>
            </a:solidFill>
            <a:ln>
              <a:noFill/>
            </a:ln>
            <a:effectLst/>
          </c:spPr>
          <c:invertIfNegative val="0"/>
          <c:cat>
            <c:multiLvlStrRef>
              <c:extLst>
                <c:ext xmlns:c15="http://schemas.microsoft.com/office/drawing/2012/chart" uri="{02D57815-91ED-43cb-92C2-25804820EDAC}">
                  <c15:fullRef>
                    <c15:sqref>TFLO!$B$18:$K$19</c15:sqref>
                  </c15:fullRef>
                </c:ext>
              </c:extLst>
              <c:f>TFLO!$C$18:$K$19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TFLO!$B$26:$K$26</c15:sqref>
                  </c15:fullRef>
                </c:ext>
              </c:extLst>
              <c:f>(TFLO!$C$26:$D$26,TFLO!$G$26:$H$26,TFLO!$K$26)</c:f>
              <c:numCache>
                <c:formatCode>#,##0</c:formatCode>
                <c:ptCount val="5"/>
                <c:pt idx="0">
                  <c:v>23252</c:v>
                </c:pt>
                <c:pt idx="1">
                  <c:v>14593</c:v>
                </c:pt>
                <c:pt idx="2">
                  <c:v>2057</c:v>
                </c:pt>
                <c:pt idx="3">
                  <c:v>358</c:v>
                </c:pt>
                <c:pt idx="4">
                  <c:v>9566</c:v>
                </c:pt>
              </c:numCache>
            </c:numRef>
          </c:val>
          <c:extLst>
            <c:ext xmlns:c16="http://schemas.microsoft.com/office/drawing/2014/chart" uri="{C3380CC4-5D6E-409C-BE32-E72D297353CC}">
              <c16:uniqueId val="{00000005-1B84-42A5-9150-F1F2CD20F08C}"/>
            </c:ext>
          </c:extLst>
        </c:ser>
        <c:dLbls>
          <c:showLegendKey val="0"/>
          <c:showVal val="0"/>
          <c:showCatName val="0"/>
          <c:showSerName val="0"/>
          <c:showPercent val="0"/>
          <c:showBubbleSize val="0"/>
        </c:dLbls>
        <c:gapWidth val="219"/>
        <c:overlap val="-27"/>
        <c:axId val="832940704"/>
        <c:axId val="832930624"/>
        <c:extLst>
          <c:ext xmlns:c15="http://schemas.microsoft.com/office/drawing/2012/chart" uri="{02D57815-91ED-43cb-92C2-25804820EDAC}">
            <c15:filteredBarSeries>
              <c15:ser>
                <c:idx val="0"/>
                <c:order val="0"/>
                <c:tx>
                  <c:strRef>
                    <c:extLst>
                      <c:ext uri="{02D57815-91ED-43cb-92C2-25804820EDAC}">
                        <c15:formulaRef>
                          <c15:sqref>TFLO!$A$20</c15:sqref>
                        </c15:formulaRef>
                      </c:ext>
                    </c:extLst>
                    <c:strCache>
                      <c:ptCount val="1"/>
                      <c:pt idx="0">
                        <c:v>Total</c:v>
                      </c:pt>
                    </c:strCache>
                  </c:strRef>
                </c:tx>
                <c:spPr>
                  <a:solidFill>
                    <a:schemeClr val="accent1"/>
                  </a:solidFill>
                  <a:ln>
                    <a:noFill/>
                  </a:ln>
                  <a:effectLst/>
                </c:spPr>
                <c:invertIfNegative val="0"/>
                <c:cat>
                  <c:multiLvlStrRef>
                    <c:extLst>
                      <c:ext uri="{02D57815-91ED-43cb-92C2-25804820EDAC}">
                        <c15:fullRef>
                          <c15:sqref>TFLO!$B$18:$K$19</c15:sqref>
                        </c15:fullRef>
                        <c15:formulaRef>
                          <c15:sqref>TFLO!$C$18:$K$19</c15:sqref>
                        </c15:formulaRef>
                      </c:ext>
                    </c:extLst>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uri="{02D57815-91ED-43cb-92C2-25804820EDAC}">
                        <c15:fullRef>
                          <c15:sqref>TFLO!$B$20:$K$20</c15:sqref>
                        </c15:fullRef>
                        <c15:formulaRef>
                          <c15:sqref>(TFLO!$C$20:$D$20,TFLO!$G$20:$H$20,TFLO!$K$20)</c15:sqref>
                        </c15:formulaRef>
                      </c:ext>
                    </c:extLst>
                    <c:numCache>
                      <c:formatCode>#,##0</c:formatCode>
                      <c:ptCount val="5"/>
                      <c:pt idx="0">
                        <c:v>54644610</c:v>
                      </c:pt>
                      <c:pt idx="1">
                        <c:v>53075410</c:v>
                      </c:pt>
                      <c:pt idx="2">
                        <c:v>6898280</c:v>
                      </c:pt>
                      <c:pt idx="3">
                        <c:v>8420625</c:v>
                      </c:pt>
                      <c:pt idx="4">
                        <c:v>62256732</c:v>
                      </c:pt>
                    </c:numCache>
                  </c:numRef>
                </c:val>
                <c:extLst>
                  <c:ext xmlns:c16="http://schemas.microsoft.com/office/drawing/2014/chart" uri="{C3380CC4-5D6E-409C-BE32-E72D297353CC}">
                    <c16:uniqueId val="{0000000A-1B84-42A5-9150-F1F2CD20F08C}"/>
                  </c:ext>
                </c:extLst>
              </c15:ser>
            </c15:filteredBarSeries>
          </c:ext>
        </c:extLst>
      </c:barChart>
      <c:catAx>
        <c:axId val="83294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832930624"/>
        <c:crosses val="autoZero"/>
        <c:auto val="1"/>
        <c:lblAlgn val="ctr"/>
        <c:lblOffset val="100"/>
        <c:noMultiLvlLbl val="0"/>
      </c:catAx>
      <c:valAx>
        <c:axId val="832930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83294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1" baseline="0">
                <a:latin typeface="+mn-lt"/>
              </a:rPr>
              <a:t>Weekly Flow</a:t>
            </a:r>
            <a:r>
              <a:rPr lang="en-US" altLang="zh-TW" sz="1400" b="1" baseline="0"/>
              <a:t>_</a:t>
            </a:r>
            <a:r>
              <a:rPr lang="zh-TW" altLang="en-US" sz="1400" b="1" baseline="0">
                <a:latin typeface="微軟正黑體" panose="020B0604030504040204" pitchFamily="34" charset="-120"/>
                <a:ea typeface="微軟正黑體" panose="020B0604030504040204" pitchFamily="34" charset="-120"/>
              </a:rPr>
              <a:t>信評</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2"/>
          <c:order val="2"/>
          <c:tx>
            <c:strRef>
              <c:f>TFLO!$A$34</c:f>
              <c:strCache>
                <c:ptCount val="1"/>
                <c:pt idx="0">
                  <c:v>Aaa</c:v>
                </c:pt>
              </c:strCache>
            </c:strRef>
          </c:tx>
          <c:spPr>
            <a:solidFill>
              <a:schemeClr val="accent3"/>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TFLO!$B$34:$K$34</c15:sqref>
                  </c15:fullRef>
                </c:ext>
              </c:extLst>
              <c:f>(TFLO!$C$34:$D$34,TFLO!$G$34:$H$34,TFLO!$K$34)</c:f>
              <c:numCache>
                <c:formatCode>#,##0</c:formatCode>
                <c:ptCount val="5"/>
                <c:pt idx="0">
                  <c:v>555924</c:v>
                </c:pt>
                <c:pt idx="1">
                  <c:v>485002</c:v>
                </c:pt>
                <c:pt idx="2">
                  <c:v>108157</c:v>
                </c:pt>
                <c:pt idx="3">
                  <c:v>142817</c:v>
                </c:pt>
                <c:pt idx="4">
                  <c:v>725517</c:v>
                </c:pt>
              </c:numCache>
            </c:numRef>
          </c:val>
          <c:extLst>
            <c:ext xmlns:c16="http://schemas.microsoft.com/office/drawing/2014/chart" uri="{C3380CC4-5D6E-409C-BE32-E72D297353CC}">
              <c16:uniqueId val="{00000001-B9C5-4536-9A4B-3C8C5227B5E2}"/>
            </c:ext>
          </c:extLst>
        </c:ser>
        <c:ser>
          <c:idx val="3"/>
          <c:order val="3"/>
          <c:tx>
            <c:strRef>
              <c:f>TFLO!$A$35</c:f>
              <c:strCache>
                <c:ptCount val="1"/>
                <c:pt idx="0">
                  <c:v>Aa1-Aa3</c:v>
                </c:pt>
              </c:strCache>
            </c:strRef>
          </c:tx>
          <c:spPr>
            <a:solidFill>
              <a:schemeClr val="accent4"/>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TFLO!$B$35:$K$35</c15:sqref>
                  </c15:fullRef>
                </c:ext>
              </c:extLst>
              <c:f>(TFLO!$C$35:$D$35,TFLO!$G$35:$H$35,TFLO!$K$35)</c:f>
              <c:numCache>
                <c:formatCode>#,##0</c:formatCode>
                <c:ptCount val="5"/>
                <c:pt idx="0">
                  <c:v>4422954</c:v>
                </c:pt>
                <c:pt idx="1">
                  <c:v>4742652</c:v>
                </c:pt>
                <c:pt idx="2">
                  <c:v>678721</c:v>
                </c:pt>
                <c:pt idx="3">
                  <c:v>947635</c:v>
                </c:pt>
                <c:pt idx="4">
                  <c:v>4847420</c:v>
                </c:pt>
              </c:numCache>
            </c:numRef>
          </c:val>
          <c:extLst>
            <c:ext xmlns:c16="http://schemas.microsoft.com/office/drawing/2014/chart" uri="{C3380CC4-5D6E-409C-BE32-E72D297353CC}">
              <c16:uniqueId val="{00000002-B9C5-4536-9A4B-3C8C5227B5E2}"/>
            </c:ext>
          </c:extLst>
        </c:ser>
        <c:ser>
          <c:idx val="4"/>
          <c:order val="4"/>
          <c:tx>
            <c:strRef>
              <c:f>TFLO!$A$36</c:f>
              <c:strCache>
                <c:ptCount val="1"/>
                <c:pt idx="0">
                  <c:v>A1-A3</c:v>
                </c:pt>
              </c:strCache>
            </c:strRef>
          </c:tx>
          <c:spPr>
            <a:solidFill>
              <a:schemeClr val="accent5"/>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TFLO!$B$36:$K$36</c15:sqref>
                  </c15:fullRef>
                </c:ext>
              </c:extLst>
              <c:f>(TFLO!$C$36:$D$36,TFLO!$G$36:$H$36,TFLO!$K$36)</c:f>
              <c:numCache>
                <c:formatCode>#,##0</c:formatCode>
                <c:ptCount val="5"/>
                <c:pt idx="0">
                  <c:v>15513362</c:v>
                </c:pt>
                <c:pt idx="1">
                  <c:v>15456844</c:v>
                </c:pt>
                <c:pt idx="2">
                  <c:v>2320102</c:v>
                </c:pt>
                <c:pt idx="3">
                  <c:v>2722699</c:v>
                </c:pt>
                <c:pt idx="4">
                  <c:v>19806921</c:v>
                </c:pt>
              </c:numCache>
            </c:numRef>
          </c:val>
          <c:extLst>
            <c:ext xmlns:c16="http://schemas.microsoft.com/office/drawing/2014/chart" uri="{C3380CC4-5D6E-409C-BE32-E72D297353CC}">
              <c16:uniqueId val="{00000003-B9C5-4536-9A4B-3C8C5227B5E2}"/>
            </c:ext>
          </c:extLst>
        </c:ser>
        <c:ser>
          <c:idx val="5"/>
          <c:order val="5"/>
          <c:tx>
            <c:strRef>
              <c:f>TFLO!$A$37</c:f>
              <c:strCache>
                <c:ptCount val="1"/>
                <c:pt idx="0">
                  <c:v>Baa1-Baa3</c:v>
                </c:pt>
              </c:strCache>
            </c:strRef>
          </c:tx>
          <c:spPr>
            <a:solidFill>
              <a:schemeClr val="accent6"/>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TFLO!$B$37:$K$37</c15:sqref>
                  </c15:fullRef>
                </c:ext>
              </c:extLst>
              <c:f>(TFLO!$C$37:$D$37,TFLO!$G$37:$H$37,TFLO!$K$37)</c:f>
              <c:numCache>
                <c:formatCode>#,##0</c:formatCode>
                <c:ptCount val="5"/>
                <c:pt idx="0">
                  <c:v>20220544</c:v>
                </c:pt>
                <c:pt idx="1">
                  <c:v>19661858</c:v>
                </c:pt>
                <c:pt idx="2">
                  <c:v>2454779</c:v>
                </c:pt>
                <c:pt idx="3">
                  <c:v>2931817</c:v>
                </c:pt>
                <c:pt idx="4">
                  <c:v>24197435</c:v>
                </c:pt>
              </c:numCache>
            </c:numRef>
          </c:val>
          <c:extLst>
            <c:ext xmlns:c16="http://schemas.microsoft.com/office/drawing/2014/chart" uri="{C3380CC4-5D6E-409C-BE32-E72D297353CC}">
              <c16:uniqueId val="{00000004-B9C5-4536-9A4B-3C8C5227B5E2}"/>
            </c:ext>
          </c:extLst>
        </c:ser>
        <c:ser>
          <c:idx val="7"/>
          <c:order val="7"/>
          <c:tx>
            <c:strRef>
              <c:f>TFLO!$A$39</c:f>
              <c:strCache>
                <c:ptCount val="1"/>
                <c:pt idx="0">
                  <c:v>Ba1-Ba3</c:v>
                </c:pt>
              </c:strCache>
            </c:strRef>
          </c:tx>
          <c:spPr>
            <a:solidFill>
              <a:schemeClr val="accent2">
                <a:lumMod val="60000"/>
              </a:schemeClr>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TFLO!$B$39:$K$39</c15:sqref>
                  </c15:fullRef>
                </c:ext>
              </c:extLst>
              <c:f>(TFLO!$C$39:$D$39,TFLO!$G$39:$H$39,TFLO!$K$39)</c:f>
              <c:numCache>
                <c:formatCode>#,##0</c:formatCode>
                <c:ptCount val="5"/>
                <c:pt idx="0">
                  <c:v>4491382</c:v>
                </c:pt>
                <c:pt idx="1">
                  <c:v>4395274</c:v>
                </c:pt>
                <c:pt idx="2">
                  <c:v>507137</c:v>
                </c:pt>
                <c:pt idx="3">
                  <c:v>567333</c:v>
                </c:pt>
                <c:pt idx="4">
                  <c:v>4495037</c:v>
                </c:pt>
              </c:numCache>
            </c:numRef>
          </c:val>
          <c:extLst>
            <c:ext xmlns:c16="http://schemas.microsoft.com/office/drawing/2014/chart" uri="{C3380CC4-5D6E-409C-BE32-E72D297353CC}">
              <c16:uniqueId val="{00000007-B9C5-4536-9A4B-3C8C5227B5E2}"/>
            </c:ext>
          </c:extLst>
        </c:ser>
        <c:ser>
          <c:idx val="8"/>
          <c:order val="8"/>
          <c:tx>
            <c:strRef>
              <c:f>TFLO!$A$40</c:f>
              <c:strCache>
                <c:ptCount val="1"/>
                <c:pt idx="0">
                  <c:v>B1-B3</c:v>
                </c:pt>
              </c:strCache>
            </c:strRef>
          </c:tx>
          <c:spPr>
            <a:solidFill>
              <a:schemeClr val="accent3">
                <a:lumMod val="60000"/>
              </a:schemeClr>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TFLO!$B$40:$K$40</c15:sqref>
                  </c15:fullRef>
                </c:ext>
              </c:extLst>
              <c:f>(TFLO!$C$40:$D$40,TFLO!$G$40:$H$40,TFLO!$K$40)</c:f>
              <c:numCache>
                <c:formatCode>#,##0</c:formatCode>
                <c:ptCount val="5"/>
                <c:pt idx="0">
                  <c:v>4026173</c:v>
                </c:pt>
                <c:pt idx="1">
                  <c:v>4208798</c:v>
                </c:pt>
                <c:pt idx="2">
                  <c:v>336280</c:v>
                </c:pt>
                <c:pt idx="3">
                  <c:v>412412</c:v>
                </c:pt>
                <c:pt idx="4">
                  <c:v>3299409</c:v>
                </c:pt>
              </c:numCache>
            </c:numRef>
          </c:val>
          <c:extLst>
            <c:ext xmlns:c16="http://schemas.microsoft.com/office/drawing/2014/chart" uri="{C3380CC4-5D6E-409C-BE32-E72D297353CC}">
              <c16:uniqueId val="{00000008-B9C5-4536-9A4B-3C8C5227B5E2}"/>
            </c:ext>
          </c:extLst>
        </c:ser>
        <c:ser>
          <c:idx val="9"/>
          <c:order val="9"/>
          <c:tx>
            <c:strRef>
              <c:f>TFLO!$A$41</c:f>
              <c:strCache>
                <c:ptCount val="1"/>
                <c:pt idx="0">
                  <c:v>Caa1-Caa3</c:v>
                </c:pt>
              </c:strCache>
            </c:strRef>
          </c:tx>
          <c:spPr>
            <a:solidFill>
              <a:schemeClr val="accent4">
                <a:lumMod val="60000"/>
              </a:schemeClr>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TFLO!$B$41:$K$41</c15:sqref>
                  </c15:fullRef>
                </c:ext>
              </c:extLst>
              <c:f>(TFLO!$C$41:$D$41,TFLO!$G$41:$H$41,TFLO!$K$41)</c:f>
              <c:numCache>
                <c:formatCode>#,##0</c:formatCode>
                <c:ptCount val="5"/>
                <c:pt idx="0">
                  <c:v>991379</c:v>
                </c:pt>
                <c:pt idx="1">
                  <c:v>1118444</c:v>
                </c:pt>
                <c:pt idx="2">
                  <c:v>46339</c:v>
                </c:pt>
                <c:pt idx="3">
                  <c:v>63814</c:v>
                </c:pt>
                <c:pt idx="4">
                  <c:v>789801</c:v>
                </c:pt>
              </c:numCache>
            </c:numRef>
          </c:val>
          <c:extLst>
            <c:ext xmlns:c16="http://schemas.microsoft.com/office/drawing/2014/chart" uri="{C3380CC4-5D6E-409C-BE32-E72D297353CC}">
              <c16:uniqueId val="{00000009-B9C5-4536-9A4B-3C8C5227B5E2}"/>
            </c:ext>
          </c:extLst>
        </c:ser>
        <c:ser>
          <c:idx val="10"/>
          <c:order val="10"/>
          <c:tx>
            <c:strRef>
              <c:f>TFLO!$A$42</c:f>
              <c:strCache>
                <c:ptCount val="1"/>
                <c:pt idx="0">
                  <c:v>Ca</c:v>
                </c:pt>
              </c:strCache>
            </c:strRef>
          </c:tx>
          <c:spPr>
            <a:solidFill>
              <a:schemeClr val="accent5">
                <a:lumMod val="60000"/>
              </a:schemeClr>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TFLO!$B$42:$K$42</c15:sqref>
                  </c15:fullRef>
                </c:ext>
              </c:extLst>
              <c:f>(TFLO!$C$42:$D$42,TFLO!$G$42:$H$42,TFLO!$K$42)</c:f>
              <c:numCache>
                <c:formatCode>#,##0</c:formatCode>
                <c:ptCount val="5"/>
                <c:pt idx="0">
                  <c:v>19264</c:v>
                </c:pt>
                <c:pt idx="1">
                  <c:v>26562</c:v>
                </c:pt>
                <c:pt idx="2">
                  <c:v>150</c:v>
                </c:pt>
                <c:pt idx="3">
                  <c:v>862</c:v>
                </c:pt>
                <c:pt idx="4">
                  <c:v>47662</c:v>
                </c:pt>
              </c:numCache>
            </c:numRef>
          </c:val>
          <c:extLst>
            <c:ext xmlns:c16="http://schemas.microsoft.com/office/drawing/2014/chart" uri="{C3380CC4-5D6E-409C-BE32-E72D297353CC}">
              <c16:uniqueId val="{0000000A-B9C5-4536-9A4B-3C8C5227B5E2}"/>
            </c:ext>
          </c:extLst>
        </c:ser>
        <c:ser>
          <c:idx val="11"/>
          <c:order val="11"/>
          <c:tx>
            <c:strRef>
              <c:f>TFLO!$A$43</c:f>
              <c:strCache>
                <c:ptCount val="1"/>
                <c:pt idx="0">
                  <c:v>C</c:v>
                </c:pt>
              </c:strCache>
            </c:strRef>
          </c:tx>
          <c:spPr>
            <a:solidFill>
              <a:schemeClr val="accent6">
                <a:lumMod val="60000"/>
              </a:schemeClr>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TFLO!$B$43:$K$43</c15:sqref>
                  </c15:fullRef>
                </c:ext>
              </c:extLst>
              <c:f>(TFLO!$C$43:$D$43,TFLO!$G$43:$H$43,TFLO!$K$43)</c:f>
              <c:numCache>
                <c:formatCode>#,##0</c:formatCode>
                <c:ptCount val="5"/>
                <c:pt idx="0">
                  <c:v>13415</c:v>
                </c:pt>
                <c:pt idx="1">
                  <c:v>7884</c:v>
                </c:pt>
                <c:pt idx="2">
                  <c:v>866</c:v>
                </c:pt>
                <c:pt idx="3">
                  <c:v>598</c:v>
                </c:pt>
                <c:pt idx="4">
                  <c:v>38289</c:v>
                </c:pt>
              </c:numCache>
            </c:numRef>
          </c:val>
          <c:extLst>
            <c:ext xmlns:c16="http://schemas.microsoft.com/office/drawing/2014/chart" uri="{C3380CC4-5D6E-409C-BE32-E72D297353CC}">
              <c16:uniqueId val="{0000000B-B9C5-4536-9A4B-3C8C5227B5E2}"/>
            </c:ext>
          </c:extLst>
        </c:ser>
        <c:ser>
          <c:idx val="12"/>
          <c:order val="12"/>
          <c:tx>
            <c:strRef>
              <c:f>TFLO!$A$44</c:f>
              <c:strCache>
                <c:ptCount val="1"/>
                <c:pt idx="0">
                  <c:v>Not Rated</c:v>
                </c:pt>
              </c:strCache>
            </c:strRef>
          </c:tx>
          <c:spPr>
            <a:solidFill>
              <a:schemeClr val="accent1">
                <a:lumMod val="80000"/>
                <a:lumOff val="20000"/>
              </a:schemeClr>
            </a:solidFill>
            <a:ln>
              <a:noFill/>
            </a:ln>
            <a:effectLst/>
          </c:spPr>
          <c:invertIfNegative val="0"/>
          <c:cat>
            <c:multiLvlStrRef>
              <c:extLst>
                <c:ext xmlns:c15="http://schemas.microsoft.com/office/drawing/2012/chart" uri="{02D57815-91ED-43cb-92C2-25804820EDAC}">
                  <c15:fullRef>
                    <c15:sqref>TFLO!$B$30:$K$31</c15:sqref>
                  </c15:fullRef>
                </c:ext>
              </c:extLst>
              <c:f>TFLO!$C$30:$K$31</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TFLO!$B$44:$K$44</c15:sqref>
                  </c15:fullRef>
                </c:ext>
              </c:extLst>
              <c:f>(TFLO!$C$44:$D$44,TFLO!$G$44:$H$44,TFLO!$K$44)</c:f>
              <c:numCache>
                <c:formatCode>#,##0</c:formatCode>
                <c:ptCount val="5"/>
                <c:pt idx="0">
                  <c:v>4390213</c:v>
                </c:pt>
                <c:pt idx="1">
                  <c:v>2972092</c:v>
                </c:pt>
                <c:pt idx="2">
                  <c:v>445749</c:v>
                </c:pt>
                <c:pt idx="3">
                  <c:v>630638</c:v>
                </c:pt>
                <c:pt idx="4">
                  <c:v>4009241</c:v>
                </c:pt>
              </c:numCache>
            </c:numRef>
          </c:val>
          <c:extLst>
            <c:ext xmlns:c16="http://schemas.microsoft.com/office/drawing/2014/chart" uri="{C3380CC4-5D6E-409C-BE32-E72D297353CC}">
              <c16:uniqueId val="{0000000C-B9C5-4536-9A4B-3C8C5227B5E2}"/>
            </c:ext>
          </c:extLst>
        </c:ser>
        <c:dLbls>
          <c:showLegendKey val="0"/>
          <c:showVal val="0"/>
          <c:showCatName val="0"/>
          <c:showSerName val="0"/>
          <c:showPercent val="0"/>
          <c:showBubbleSize val="0"/>
        </c:dLbls>
        <c:gapWidth val="219"/>
        <c:overlap val="-27"/>
        <c:axId val="832940704"/>
        <c:axId val="832930624"/>
        <c:extLst>
          <c:ext xmlns:c15="http://schemas.microsoft.com/office/drawing/2012/chart" uri="{02D57815-91ED-43cb-92C2-25804820EDAC}">
            <c15:filteredBarSeries>
              <c15:ser>
                <c:idx val="0"/>
                <c:order val="0"/>
                <c:tx>
                  <c:strRef>
                    <c:extLst>
                      <c:ext uri="{02D57815-91ED-43cb-92C2-25804820EDAC}">
                        <c15:formulaRef>
                          <c15:sqref>TFLO!$A$32</c15:sqref>
                        </c15:formulaRef>
                      </c:ext>
                    </c:extLst>
                    <c:strCache>
                      <c:ptCount val="1"/>
                      <c:pt idx="0">
                        <c:v>Total</c:v>
                      </c:pt>
                    </c:strCache>
                  </c:strRef>
                </c:tx>
                <c:spPr>
                  <a:solidFill>
                    <a:schemeClr val="accent1"/>
                  </a:solidFill>
                  <a:ln>
                    <a:noFill/>
                  </a:ln>
                  <a:effectLst/>
                </c:spPr>
                <c:invertIfNegative val="0"/>
                <c:cat>
                  <c:multiLvlStrRef>
                    <c:extLst>
                      <c:ext uri="{02D57815-91ED-43cb-92C2-25804820EDAC}">
                        <c15:fullRef>
                          <c15:sqref>TFLO!$B$30:$K$31</c15:sqref>
                        </c15:fullRef>
                        <c15:formulaRef>
                          <c15:sqref>TFLO!$C$30:$K$31</c15:sqref>
                        </c15:formulaRef>
                      </c:ext>
                    </c:extLst>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uri="{02D57815-91ED-43cb-92C2-25804820EDAC}">
                        <c15:fullRef>
                          <c15:sqref>TFLO!$B$32:$K$32</c15:sqref>
                        </c15:fullRef>
                        <c15:formulaRef>
                          <c15:sqref>(TFLO!$C$32:$D$32,TFLO!$G$32:$H$32,TFLO!$K$32)</c15:sqref>
                        </c15:formulaRef>
                      </c:ext>
                    </c:extLst>
                    <c:numCache>
                      <c:formatCode>#,##0</c:formatCode>
                      <c:ptCount val="5"/>
                      <c:pt idx="0">
                        <c:v>54644610</c:v>
                      </c:pt>
                      <c:pt idx="1">
                        <c:v>53075410</c:v>
                      </c:pt>
                      <c:pt idx="2">
                        <c:v>6898280</c:v>
                      </c:pt>
                      <c:pt idx="3">
                        <c:v>8420625</c:v>
                      </c:pt>
                      <c:pt idx="4">
                        <c:v>62256732</c:v>
                      </c:pt>
                    </c:numCache>
                  </c:numRef>
                </c:val>
                <c:extLst>
                  <c:ext xmlns:c16="http://schemas.microsoft.com/office/drawing/2014/chart" uri="{C3380CC4-5D6E-409C-BE32-E72D297353CC}">
                    <c16:uniqueId val="{00000006-B9C5-4536-9A4B-3C8C5227B5E2}"/>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TFLO!$A$33</c15:sqref>
                        </c15:formulaRef>
                      </c:ext>
                    </c:extLst>
                    <c:strCache>
                      <c:ptCount val="1"/>
                      <c:pt idx="0">
                        <c:v>Investment Grade</c:v>
                      </c:pt>
                    </c:strCache>
                  </c:strRef>
                </c:tx>
                <c:spPr>
                  <a:solidFill>
                    <a:schemeClr val="accent2"/>
                  </a:solidFill>
                  <a:ln>
                    <a:noFill/>
                  </a:ln>
                  <a:effectLst/>
                </c:spPr>
                <c:invertIfNegative val="0"/>
                <c:cat>
                  <c:multiLvlStrRef>
                    <c:extLst>
                      <c:ext xmlns:c15="http://schemas.microsoft.com/office/drawing/2012/chart" uri="{02D57815-91ED-43cb-92C2-25804820EDAC}">
                        <c15:fullRef>
                          <c15:sqref>TFLO!$B$30:$K$31</c15:sqref>
                        </c15:fullRef>
                        <c15:formulaRef>
                          <c15:sqref>TFLO!$C$30:$K$31</c15:sqref>
                        </c15:formulaRef>
                      </c:ext>
                    </c:extLst>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TFLO!$B$33:$K$33</c15:sqref>
                        </c15:fullRef>
                        <c15:formulaRef>
                          <c15:sqref>(TFLO!$C$33:$D$33,TFLO!$G$33:$H$33,TFLO!$K$33)</c15:sqref>
                        </c15:formulaRef>
                      </c:ext>
                    </c:extLst>
                    <c:numCache>
                      <c:formatCode>#,##0</c:formatCode>
                      <c:ptCount val="5"/>
                      <c:pt idx="0">
                        <c:v>40712784</c:v>
                      </c:pt>
                      <c:pt idx="1">
                        <c:v>40346356</c:v>
                      </c:pt>
                      <c:pt idx="2">
                        <c:v>5561759</c:v>
                      </c:pt>
                      <c:pt idx="3">
                        <c:v>6744968</c:v>
                      </c:pt>
                      <c:pt idx="4">
                        <c:v>49577293</c:v>
                      </c:pt>
                    </c:numCache>
                  </c:numRef>
                </c:val>
                <c:extLst xmlns:c15="http://schemas.microsoft.com/office/drawing/2012/chart">
                  <c:ext xmlns:c16="http://schemas.microsoft.com/office/drawing/2014/chart" uri="{C3380CC4-5D6E-409C-BE32-E72D297353CC}">
                    <c16:uniqueId val="{00000000-B9C5-4536-9A4B-3C8C5227B5E2}"/>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TFLO!$A$38</c15:sqref>
                        </c15:formulaRef>
                      </c:ext>
                    </c:extLst>
                    <c:strCache>
                      <c:ptCount val="1"/>
                      <c:pt idx="0">
                        <c:v>High Yield</c:v>
                      </c:pt>
                    </c:strCache>
                  </c:strRef>
                </c:tx>
                <c:spPr>
                  <a:solidFill>
                    <a:schemeClr val="accent1">
                      <a:lumMod val="60000"/>
                    </a:schemeClr>
                  </a:solidFill>
                  <a:ln>
                    <a:noFill/>
                  </a:ln>
                  <a:effectLst/>
                </c:spPr>
                <c:invertIfNegative val="0"/>
                <c:cat>
                  <c:multiLvlStrRef>
                    <c:extLst>
                      <c:ext xmlns:c15="http://schemas.microsoft.com/office/drawing/2012/chart" uri="{02D57815-91ED-43cb-92C2-25804820EDAC}">
                        <c15:fullRef>
                          <c15:sqref>TFLO!$B$30:$K$31</c15:sqref>
                        </c15:fullRef>
                        <c15:formulaRef>
                          <c15:sqref>TFLO!$C$30:$K$31</c15:sqref>
                        </c15:formulaRef>
                      </c:ext>
                    </c:extLst>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TFLO!$B$38:$K$38</c15:sqref>
                        </c15:fullRef>
                        <c15:formulaRef>
                          <c15:sqref>(TFLO!$C$38:$D$38,TFLO!$G$38:$H$38,TFLO!$K$38)</c15:sqref>
                        </c15:formulaRef>
                      </c:ext>
                    </c:extLst>
                    <c:numCache>
                      <c:formatCode>#,##0</c:formatCode>
                      <c:ptCount val="5"/>
                      <c:pt idx="0">
                        <c:v>9541613</c:v>
                      </c:pt>
                      <c:pt idx="1">
                        <c:v>9756962</c:v>
                      </c:pt>
                      <c:pt idx="2">
                        <c:v>890772</c:v>
                      </c:pt>
                      <c:pt idx="3">
                        <c:v>1045019</c:v>
                      </c:pt>
                      <c:pt idx="4">
                        <c:v>8670198</c:v>
                      </c:pt>
                    </c:numCache>
                  </c:numRef>
                </c:val>
                <c:extLst xmlns:c15="http://schemas.microsoft.com/office/drawing/2012/chart">
                  <c:ext xmlns:c16="http://schemas.microsoft.com/office/drawing/2014/chart" uri="{C3380CC4-5D6E-409C-BE32-E72D297353CC}">
                    <c16:uniqueId val="{00000005-B9C5-4536-9A4B-3C8C5227B5E2}"/>
                  </c:ext>
                </c:extLst>
              </c15:ser>
            </c15:filteredBarSeries>
          </c:ext>
        </c:extLst>
      </c:barChart>
      <c:catAx>
        <c:axId val="83294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832930624"/>
        <c:crosses val="autoZero"/>
        <c:auto val="1"/>
        <c:lblAlgn val="ctr"/>
        <c:lblOffset val="100"/>
        <c:noMultiLvlLbl val="0"/>
      </c:catAx>
      <c:valAx>
        <c:axId val="832930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83294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1" baseline="0">
                <a:latin typeface="+mn-lt"/>
              </a:rPr>
              <a:t>Weekly Flow_</a:t>
            </a:r>
            <a:r>
              <a:rPr lang="en-US" altLang="zh-TW" sz="1400" b="1" baseline="0">
                <a:latin typeface="+mn-lt"/>
                <a:ea typeface="微軟正黑體" panose="020B0604030504040204" pitchFamily="34" charset="-120"/>
              </a:rPr>
              <a:t>Ticker</a:t>
            </a:r>
            <a:endParaRPr lang="zh-TW" altLang="en-US" sz="1400" b="1" baseline="0">
              <a:latin typeface="+mn-lt"/>
              <a:ea typeface="微軟正黑體" panose="020B0604030504040204" pitchFamily="34" charset="-12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ltLang="en-US"/>
        </a:p>
      </c:txPr>
    </c:title>
    <c:autoTitleDeleted val="0"/>
    <c:plotArea>
      <c:layout/>
      <c:barChart>
        <c:barDir val="col"/>
        <c:grouping val="clustered"/>
        <c:varyColors val="0"/>
        <c:ser>
          <c:idx val="1"/>
          <c:order val="1"/>
          <c:tx>
            <c:strRef>
              <c:f>TFLO!$A$51</c:f>
              <c:strCache>
                <c:ptCount val="1"/>
                <c:pt idx="0">
                  <c:v>ORCL</c:v>
                </c:pt>
              </c:strCache>
            </c:strRef>
          </c:tx>
          <c:spPr>
            <a:solidFill>
              <a:schemeClr val="accent2"/>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TFLO!$B$51:$K$51</c15:sqref>
                  </c15:fullRef>
                </c:ext>
              </c:extLst>
              <c:f>(TFLO!$C$51:$D$51,TFLO!$G$51:$H$51,TFLO!$K$51)</c:f>
              <c:numCache>
                <c:formatCode>#,##0</c:formatCode>
                <c:ptCount val="5"/>
                <c:pt idx="0">
                  <c:v>1387801</c:v>
                </c:pt>
                <c:pt idx="1">
                  <c:v>1483535</c:v>
                </c:pt>
                <c:pt idx="2">
                  <c:v>163083</c:v>
                </c:pt>
                <c:pt idx="3">
                  <c:v>197173</c:v>
                </c:pt>
                <c:pt idx="4">
                  <c:v>1155699</c:v>
                </c:pt>
              </c:numCache>
            </c:numRef>
          </c:val>
          <c:extLst xmlns:c15="http://schemas.microsoft.com/office/drawing/2012/chart">
            <c:ext xmlns:c16="http://schemas.microsoft.com/office/drawing/2014/chart" uri="{C3380CC4-5D6E-409C-BE32-E72D297353CC}">
              <c16:uniqueId val="{00000005-51D2-43CF-A486-B6922ED845ED}"/>
            </c:ext>
          </c:extLst>
        </c:ser>
        <c:ser>
          <c:idx val="2"/>
          <c:order val="2"/>
          <c:tx>
            <c:strRef>
              <c:f>TFLO!$A$52</c:f>
              <c:strCache>
                <c:ptCount val="1"/>
                <c:pt idx="0">
                  <c:v>VZ</c:v>
                </c:pt>
              </c:strCache>
            </c:strRef>
          </c:tx>
          <c:spPr>
            <a:solidFill>
              <a:schemeClr val="accent3"/>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TFLO!$B$52:$K$52</c15:sqref>
                  </c15:fullRef>
                </c:ext>
              </c:extLst>
              <c:f>(TFLO!$C$52:$D$52,TFLO!$G$52:$H$52,TFLO!$K$52)</c:f>
              <c:numCache>
                <c:formatCode>#,##0</c:formatCode>
                <c:ptCount val="5"/>
                <c:pt idx="0">
                  <c:v>1395538</c:v>
                </c:pt>
                <c:pt idx="1">
                  <c:v>1092727</c:v>
                </c:pt>
                <c:pt idx="2">
                  <c:v>90803</c:v>
                </c:pt>
                <c:pt idx="3">
                  <c:v>93472</c:v>
                </c:pt>
                <c:pt idx="4">
                  <c:v>1086069</c:v>
                </c:pt>
              </c:numCache>
            </c:numRef>
          </c:val>
          <c:extLst xmlns:c15="http://schemas.microsoft.com/office/drawing/2012/chart">
            <c:ext xmlns:c16="http://schemas.microsoft.com/office/drawing/2014/chart" uri="{C3380CC4-5D6E-409C-BE32-E72D297353CC}">
              <c16:uniqueId val="{00000000-51D2-43CF-A486-B6922ED845ED}"/>
            </c:ext>
          </c:extLst>
        </c:ser>
        <c:ser>
          <c:idx val="3"/>
          <c:order val="3"/>
          <c:tx>
            <c:strRef>
              <c:f>TFLO!$A$53</c:f>
              <c:strCache>
                <c:ptCount val="1"/>
                <c:pt idx="0">
                  <c:v>MS</c:v>
                </c:pt>
              </c:strCache>
            </c:strRef>
          </c:tx>
          <c:spPr>
            <a:solidFill>
              <a:schemeClr val="accent4"/>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TFLO!$B$53:$K$53</c15:sqref>
                  </c15:fullRef>
                </c:ext>
              </c:extLst>
              <c:f>(TFLO!$C$53:$D$53,TFLO!$G$53:$H$53,TFLO!$K$53)</c:f>
              <c:numCache>
                <c:formatCode>#,##0</c:formatCode>
                <c:ptCount val="5"/>
                <c:pt idx="0">
                  <c:v>1288560</c:v>
                </c:pt>
                <c:pt idx="1">
                  <c:v>841896</c:v>
                </c:pt>
                <c:pt idx="2">
                  <c:v>159141</c:v>
                </c:pt>
                <c:pt idx="3">
                  <c:v>257477</c:v>
                </c:pt>
                <c:pt idx="4">
                  <c:v>1072484</c:v>
                </c:pt>
              </c:numCache>
            </c:numRef>
          </c:val>
          <c:extLst xmlns:c15="http://schemas.microsoft.com/office/drawing/2012/chart">
            <c:ext xmlns:c16="http://schemas.microsoft.com/office/drawing/2014/chart" uri="{C3380CC4-5D6E-409C-BE32-E72D297353CC}">
              <c16:uniqueId val="{00000001-51D2-43CF-A486-B6922ED845ED}"/>
            </c:ext>
          </c:extLst>
        </c:ser>
        <c:ser>
          <c:idx val="4"/>
          <c:order val="4"/>
          <c:tx>
            <c:strRef>
              <c:f>TFLO!$A$54</c:f>
              <c:strCache>
                <c:ptCount val="1"/>
                <c:pt idx="0">
                  <c:v>JPM</c:v>
                </c:pt>
              </c:strCache>
            </c:strRef>
          </c:tx>
          <c:spPr>
            <a:solidFill>
              <a:schemeClr val="accent5"/>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TFLO!$B$54:$K$54</c15:sqref>
                  </c15:fullRef>
                </c:ext>
              </c:extLst>
              <c:f>(TFLO!$C$54:$D$54,TFLO!$G$54:$H$54,TFLO!$K$54)</c:f>
              <c:numCache>
                <c:formatCode>#,##0</c:formatCode>
                <c:ptCount val="5"/>
                <c:pt idx="0">
                  <c:v>924435</c:v>
                </c:pt>
                <c:pt idx="1">
                  <c:v>776448</c:v>
                </c:pt>
                <c:pt idx="2">
                  <c:v>178250</c:v>
                </c:pt>
                <c:pt idx="3">
                  <c:v>177234</c:v>
                </c:pt>
                <c:pt idx="4">
                  <c:v>1087611</c:v>
                </c:pt>
              </c:numCache>
            </c:numRef>
          </c:val>
          <c:extLst xmlns:c15="http://schemas.microsoft.com/office/drawing/2012/chart">
            <c:ext xmlns:c16="http://schemas.microsoft.com/office/drawing/2014/chart" uri="{C3380CC4-5D6E-409C-BE32-E72D297353CC}">
              <c16:uniqueId val="{00000002-51D2-43CF-A486-B6922ED845ED}"/>
            </c:ext>
          </c:extLst>
        </c:ser>
        <c:ser>
          <c:idx val="5"/>
          <c:order val="5"/>
          <c:tx>
            <c:strRef>
              <c:f>TFLO!$A$55</c:f>
              <c:strCache>
                <c:ptCount val="1"/>
                <c:pt idx="0">
                  <c:v>META</c:v>
                </c:pt>
              </c:strCache>
            </c:strRef>
          </c:tx>
          <c:spPr>
            <a:solidFill>
              <a:schemeClr val="accent6"/>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TFLO!$B$55:$K$55</c15:sqref>
                  </c15:fullRef>
                </c:ext>
              </c:extLst>
              <c:f>(TFLO!$C$55:$D$55,TFLO!$G$55:$H$55,TFLO!$K$55)</c:f>
              <c:numCache>
                <c:formatCode>#,##0</c:formatCode>
                <c:ptCount val="5"/>
                <c:pt idx="0">
                  <c:v>939273</c:v>
                </c:pt>
                <c:pt idx="1">
                  <c:v>1044599</c:v>
                </c:pt>
                <c:pt idx="2">
                  <c:v>82936</c:v>
                </c:pt>
                <c:pt idx="3">
                  <c:v>163825</c:v>
                </c:pt>
                <c:pt idx="4">
                  <c:v>778655</c:v>
                </c:pt>
              </c:numCache>
            </c:numRef>
          </c:val>
          <c:extLst xmlns:c15="http://schemas.microsoft.com/office/drawing/2012/chart">
            <c:ext xmlns:c16="http://schemas.microsoft.com/office/drawing/2014/chart" uri="{C3380CC4-5D6E-409C-BE32-E72D297353CC}">
              <c16:uniqueId val="{00000003-51D2-43CF-A486-B6922ED845ED}"/>
            </c:ext>
          </c:extLst>
        </c:ser>
        <c:ser>
          <c:idx val="6"/>
          <c:order val="6"/>
          <c:tx>
            <c:strRef>
              <c:f>TFLO!$A$56</c:f>
              <c:strCache>
                <c:ptCount val="1"/>
                <c:pt idx="0">
                  <c:v>GS</c:v>
                </c:pt>
              </c:strCache>
            </c:strRef>
          </c:tx>
          <c:spPr>
            <a:solidFill>
              <a:schemeClr val="accent1">
                <a:lumMod val="60000"/>
              </a:schemeClr>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TFLO!$B$56:$K$56</c15:sqref>
                  </c15:fullRef>
                </c:ext>
              </c:extLst>
              <c:f>(TFLO!$C$56:$D$56,TFLO!$G$56:$H$56,TFLO!$K$56)</c:f>
              <c:numCache>
                <c:formatCode>#,##0</c:formatCode>
                <c:ptCount val="5"/>
                <c:pt idx="0">
                  <c:v>720757</c:v>
                </c:pt>
                <c:pt idx="1">
                  <c:v>740145</c:v>
                </c:pt>
                <c:pt idx="2">
                  <c:v>103936</c:v>
                </c:pt>
                <c:pt idx="3">
                  <c:v>134278</c:v>
                </c:pt>
                <c:pt idx="4">
                  <c:v>892959</c:v>
                </c:pt>
              </c:numCache>
            </c:numRef>
          </c:val>
          <c:extLst xmlns:c15="http://schemas.microsoft.com/office/drawing/2012/chart">
            <c:ext xmlns:c16="http://schemas.microsoft.com/office/drawing/2014/chart" uri="{C3380CC4-5D6E-409C-BE32-E72D297353CC}">
              <c16:uniqueId val="{00000006-51D2-43CF-A486-B6922ED845ED}"/>
            </c:ext>
          </c:extLst>
        </c:ser>
        <c:ser>
          <c:idx val="7"/>
          <c:order val="7"/>
          <c:tx>
            <c:strRef>
              <c:f>TFLO!$A$57</c:f>
              <c:strCache>
                <c:ptCount val="1"/>
                <c:pt idx="0">
                  <c:v>C</c:v>
                </c:pt>
              </c:strCache>
            </c:strRef>
          </c:tx>
          <c:spPr>
            <a:solidFill>
              <a:schemeClr val="accent2">
                <a:lumMod val="60000"/>
              </a:schemeClr>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TFLO!$B$57:$K$57</c15:sqref>
                  </c15:fullRef>
                </c:ext>
              </c:extLst>
              <c:f>(TFLO!$C$57:$D$57,TFLO!$G$57:$H$57,TFLO!$K$57)</c:f>
              <c:numCache>
                <c:formatCode>#,##0</c:formatCode>
                <c:ptCount val="5"/>
                <c:pt idx="0">
                  <c:v>607735</c:v>
                </c:pt>
                <c:pt idx="1">
                  <c:v>592822</c:v>
                </c:pt>
                <c:pt idx="2">
                  <c:v>106836</c:v>
                </c:pt>
                <c:pt idx="3">
                  <c:v>112310</c:v>
                </c:pt>
                <c:pt idx="4">
                  <c:v>923044</c:v>
                </c:pt>
              </c:numCache>
            </c:numRef>
          </c:val>
          <c:extLst>
            <c:ext xmlns:c16="http://schemas.microsoft.com/office/drawing/2014/chart" uri="{C3380CC4-5D6E-409C-BE32-E72D297353CC}">
              <c16:uniqueId val="{00000007-51D2-43CF-A486-B6922ED845ED}"/>
            </c:ext>
          </c:extLst>
        </c:ser>
        <c:ser>
          <c:idx val="8"/>
          <c:order val="8"/>
          <c:tx>
            <c:strRef>
              <c:f>TFLO!$A$58</c:f>
              <c:strCache>
                <c:ptCount val="1"/>
                <c:pt idx="0">
                  <c:v>AMZN</c:v>
                </c:pt>
              </c:strCache>
            </c:strRef>
          </c:tx>
          <c:spPr>
            <a:solidFill>
              <a:schemeClr val="accent3">
                <a:lumMod val="60000"/>
              </a:schemeClr>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TFLO!$B$58:$K$58</c15:sqref>
                  </c15:fullRef>
                </c:ext>
              </c:extLst>
              <c:f>(TFLO!$C$58:$D$58,TFLO!$G$58:$H$58,TFLO!$K$58)</c:f>
              <c:numCache>
                <c:formatCode>#,##0</c:formatCode>
                <c:ptCount val="5"/>
                <c:pt idx="0">
                  <c:v>740512</c:v>
                </c:pt>
                <c:pt idx="1">
                  <c:v>560779</c:v>
                </c:pt>
                <c:pt idx="2">
                  <c:v>40721</c:v>
                </c:pt>
                <c:pt idx="3">
                  <c:v>31990</c:v>
                </c:pt>
                <c:pt idx="4">
                  <c:v>796956</c:v>
                </c:pt>
              </c:numCache>
            </c:numRef>
          </c:val>
          <c:extLst>
            <c:ext xmlns:c16="http://schemas.microsoft.com/office/drawing/2014/chart" uri="{C3380CC4-5D6E-409C-BE32-E72D297353CC}">
              <c16:uniqueId val="{00000008-51D2-43CF-A486-B6922ED845ED}"/>
            </c:ext>
          </c:extLst>
        </c:ser>
        <c:ser>
          <c:idx val="9"/>
          <c:order val="9"/>
          <c:tx>
            <c:strRef>
              <c:f>TFLO!$A$59</c:f>
              <c:strCache>
                <c:ptCount val="1"/>
                <c:pt idx="0">
                  <c:v>GOOGL</c:v>
                </c:pt>
              </c:strCache>
            </c:strRef>
          </c:tx>
          <c:spPr>
            <a:solidFill>
              <a:schemeClr val="accent4">
                <a:lumMod val="60000"/>
              </a:schemeClr>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TFLO!$B$59:$K$59</c15:sqref>
                  </c15:fullRef>
                </c:ext>
              </c:extLst>
              <c:f>(TFLO!$C$59:$D$59,TFLO!$G$59:$H$59,TFLO!$K$59)</c:f>
              <c:numCache>
                <c:formatCode>#,##0</c:formatCode>
                <c:ptCount val="5"/>
                <c:pt idx="0">
                  <c:v>642320</c:v>
                </c:pt>
                <c:pt idx="1">
                  <c:v>805249</c:v>
                </c:pt>
                <c:pt idx="2">
                  <c:v>79350</c:v>
                </c:pt>
                <c:pt idx="3">
                  <c:v>117645</c:v>
                </c:pt>
                <c:pt idx="4">
                  <c:v>510088</c:v>
                </c:pt>
              </c:numCache>
            </c:numRef>
          </c:val>
          <c:extLst>
            <c:ext xmlns:c16="http://schemas.microsoft.com/office/drawing/2014/chart" uri="{C3380CC4-5D6E-409C-BE32-E72D297353CC}">
              <c16:uniqueId val="{00000009-51D2-43CF-A486-B6922ED845ED}"/>
            </c:ext>
          </c:extLst>
        </c:ser>
        <c:ser>
          <c:idx val="10"/>
          <c:order val="10"/>
          <c:tx>
            <c:strRef>
              <c:f>TFLO!$A$60</c:f>
              <c:strCache>
                <c:ptCount val="1"/>
                <c:pt idx="0">
                  <c:v>BAC</c:v>
                </c:pt>
              </c:strCache>
            </c:strRef>
          </c:tx>
          <c:spPr>
            <a:solidFill>
              <a:schemeClr val="accent5">
                <a:lumMod val="60000"/>
              </a:schemeClr>
            </a:solidFill>
            <a:ln>
              <a:noFill/>
            </a:ln>
            <a:effectLst/>
          </c:spPr>
          <c:invertIfNegative val="0"/>
          <c:cat>
            <c:multiLvlStrRef>
              <c:extLst>
                <c:ext xmlns:c15="http://schemas.microsoft.com/office/drawing/2012/chart" uri="{02D57815-91ED-43cb-92C2-25804820EDAC}">
                  <c15:fullRef>
                    <c15:sqref>TFLO!$B$48:$K$49</c15:sqref>
                  </c15:fullRef>
                </c:ext>
              </c:extLst>
              <c:f>TFLO!$C$48:$K$49</c:f>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xmlns:c15="http://schemas.microsoft.com/office/drawing/2012/chart" uri="{02D57815-91ED-43cb-92C2-25804820EDAC}">
                  <c15:fullRef>
                    <c15:sqref>TFLO!$B$60:$K$60</c15:sqref>
                  </c15:fullRef>
                </c:ext>
              </c:extLst>
              <c:f>(TFLO!$C$60:$D$60,TFLO!$G$60:$H$60,TFLO!$K$60)</c:f>
              <c:numCache>
                <c:formatCode>#,##0</c:formatCode>
                <c:ptCount val="5"/>
                <c:pt idx="0">
                  <c:v>529368</c:v>
                </c:pt>
                <c:pt idx="1">
                  <c:v>531320</c:v>
                </c:pt>
                <c:pt idx="2">
                  <c:v>68178</c:v>
                </c:pt>
                <c:pt idx="3">
                  <c:v>103015</c:v>
                </c:pt>
                <c:pt idx="4">
                  <c:v>687515</c:v>
                </c:pt>
              </c:numCache>
            </c:numRef>
          </c:val>
          <c:extLst>
            <c:ext xmlns:c16="http://schemas.microsoft.com/office/drawing/2014/chart" uri="{C3380CC4-5D6E-409C-BE32-E72D297353CC}">
              <c16:uniqueId val="{0000000A-51D2-43CF-A486-B6922ED845ED}"/>
            </c:ext>
          </c:extLst>
        </c:ser>
        <c:dLbls>
          <c:showLegendKey val="0"/>
          <c:showVal val="0"/>
          <c:showCatName val="0"/>
          <c:showSerName val="0"/>
          <c:showPercent val="0"/>
          <c:showBubbleSize val="0"/>
        </c:dLbls>
        <c:gapWidth val="219"/>
        <c:overlap val="-27"/>
        <c:axId val="832940704"/>
        <c:axId val="832930624"/>
        <c:extLst>
          <c:ext xmlns:c15="http://schemas.microsoft.com/office/drawing/2012/chart" uri="{02D57815-91ED-43cb-92C2-25804820EDAC}">
            <c15:filteredBarSeries>
              <c15:ser>
                <c:idx val="0"/>
                <c:order val="0"/>
                <c:tx>
                  <c:strRef>
                    <c:extLst>
                      <c:ext uri="{02D57815-91ED-43cb-92C2-25804820EDAC}">
                        <c15:formulaRef>
                          <c15:sqref>TFLO!$A$50</c15:sqref>
                        </c15:formulaRef>
                      </c:ext>
                    </c:extLst>
                    <c:strCache>
                      <c:ptCount val="1"/>
                      <c:pt idx="0">
                        <c:v>Total</c:v>
                      </c:pt>
                    </c:strCache>
                  </c:strRef>
                </c:tx>
                <c:spPr>
                  <a:solidFill>
                    <a:schemeClr val="accent1"/>
                  </a:solidFill>
                  <a:ln>
                    <a:noFill/>
                  </a:ln>
                  <a:effectLst/>
                </c:spPr>
                <c:invertIfNegative val="0"/>
                <c:cat>
                  <c:multiLvlStrRef>
                    <c:extLst>
                      <c:ext uri="{02D57815-91ED-43cb-92C2-25804820EDAC}">
                        <c15:fullRef>
                          <c15:sqref>TFLO!$B$48:$K$49</c15:sqref>
                        </c15:fullRef>
                        <c15:formulaRef>
                          <c15:sqref>TFLO!$C$48:$K$49</c15:sqref>
                        </c15:formulaRef>
                      </c:ext>
                    </c:extLst>
                    <c:multiLvlStrCache>
                      <c:ptCount val="5"/>
                      <c:lvl>
                        <c:pt idx="0">
                          <c:v>Buys(M)</c:v>
                        </c:pt>
                        <c:pt idx="1">
                          <c:v>Sells(M)</c:v>
                        </c:pt>
                        <c:pt idx="2">
                          <c:v>Buys(M)</c:v>
                        </c:pt>
                        <c:pt idx="3">
                          <c:v>Sells(M)</c:v>
                        </c:pt>
                        <c:pt idx="4">
                          <c:v>Volume(M)</c:v>
                        </c:pt>
                      </c:lvl>
                      <c:lvl>
                        <c:pt idx="0">
                          <c:v>Dealer to Client Volume</c:v>
                        </c:pt>
                        <c:pt idx="2">
                          <c:v>Dealer to Affiliate Volume</c:v>
                        </c:pt>
                        <c:pt idx="4">
                          <c:v>Dlr to Dlr Vol</c:v>
                        </c:pt>
                      </c:lvl>
                    </c:multiLvlStrCache>
                  </c:multiLvlStrRef>
                </c:cat>
                <c:val>
                  <c:numRef>
                    <c:extLst>
                      <c:ext uri="{02D57815-91ED-43cb-92C2-25804820EDAC}">
                        <c15:fullRef>
                          <c15:sqref>TFLO!$B$50:$K$50</c15:sqref>
                        </c15:fullRef>
                        <c15:formulaRef>
                          <c15:sqref>(TFLO!$C$50:$D$50,TFLO!$G$50:$H$50,TFLO!$K$50)</c15:sqref>
                        </c15:formulaRef>
                      </c:ext>
                    </c:extLst>
                    <c:numCache>
                      <c:formatCode>#,##0</c:formatCode>
                      <c:ptCount val="5"/>
                      <c:pt idx="0">
                        <c:v>54644610</c:v>
                      </c:pt>
                      <c:pt idx="1">
                        <c:v>53075410</c:v>
                      </c:pt>
                      <c:pt idx="2">
                        <c:v>6898280</c:v>
                      </c:pt>
                      <c:pt idx="3">
                        <c:v>8420625</c:v>
                      </c:pt>
                      <c:pt idx="4">
                        <c:v>62256732</c:v>
                      </c:pt>
                    </c:numCache>
                  </c:numRef>
                </c:val>
                <c:extLst>
                  <c:ext xmlns:c16="http://schemas.microsoft.com/office/drawing/2014/chart" uri="{C3380CC4-5D6E-409C-BE32-E72D297353CC}">
                    <c16:uniqueId val="{00000004-51D2-43CF-A486-B6922ED845ED}"/>
                  </c:ext>
                </c:extLst>
              </c15:ser>
            </c15:filteredBarSeries>
          </c:ext>
        </c:extLst>
      </c:barChart>
      <c:catAx>
        <c:axId val="83294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832930624"/>
        <c:crosses val="autoZero"/>
        <c:auto val="1"/>
        <c:lblAlgn val="ctr"/>
        <c:lblOffset val="100"/>
        <c:noMultiLvlLbl val="0"/>
      </c:catAx>
      <c:valAx>
        <c:axId val="832930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crossAx val="83294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26782060068263"/>
          <c:y val="8.8642779176196729E-2"/>
          <c:w val="0.79133934329953493"/>
          <c:h val="0.77839440464097753"/>
        </c:manualLayout>
      </c:layout>
      <c:barChart>
        <c:barDir val="col"/>
        <c:grouping val="clustered"/>
        <c:varyColors val="0"/>
        <c:ser>
          <c:idx val="2"/>
          <c:order val="2"/>
          <c:tx>
            <c:strRef>
              <c:f>Yield!$E$12</c:f>
              <c:strCache>
                <c:ptCount val="1"/>
                <c:pt idx="0">
                  <c:v>Change (R, bps)</c:v>
                </c:pt>
              </c:strCache>
            </c:strRef>
          </c:tx>
          <c:spPr>
            <a:solidFill>
              <a:srgbClr val="C0C0C0"/>
            </a:solidFill>
            <a:ln w="25400">
              <a:noFill/>
            </a:ln>
          </c:spPr>
          <c:invertIfNegative val="0"/>
          <c:cat>
            <c:strRef>
              <c:f>Yield!$B$13:$B$22</c:f>
              <c:strCache>
                <c:ptCount val="10"/>
                <c:pt idx="0">
                  <c:v>1M</c:v>
                </c:pt>
                <c:pt idx="1">
                  <c:v>3M</c:v>
                </c:pt>
                <c:pt idx="2">
                  <c:v>6M</c:v>
                </c:pt>
                <c:pt idx="3">
                  <c:v>1Y</c:v>
                </c:pt>
                <c:pt idx="4">
                  <c:v>2Y</c:v>
                </c:pt>
                <c:pt idx="5">
                  <c:v>3Y</c:v>
                </c:pt>
                <c:pt idx="6">
                  <c:v>5Y</c:v>
                </c:pt>
                <c:pt idx="7">
                  <c:v>7Y</c:v>
                </c:pt>
                <c:pt idx="8">
                  <c:v>10Y</c:v>
                </c:pt>
                <c:pt idx="9">
                  <c:v>20Y</c:v>
                </c:pt>
              </c:strCache>
            </c:strRef>
          </c:cat>
          <c:val>
            <c:numRef>
              <c:f>Yield!$E$13:$E$22</c:f>
              <c:numCache>
                <c:formatCode>0.0_ </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B052-4E27-8B51-52000DC6D638}"/>
            </c:ext>
          </c:extLst>
        </c:ser>
        <c:dLbls>
          <c:showLegendKey val="0"/>
          <c:showVal val="0"/>
          <c:showCatName val="0"/>
          <c:showSerName val="0"/>
          <c:showPercent val="0"/>
          <c:showBubbleSize val="0"/>
        </c:dLbls>
        <c:gapWidth val="50"/>
        <c:axId val="3"/>
        <c:axId val="4"/>
      </c:barChart>
      <c:lineChart>
        <c:grouping val="standard"/>
        <c:varyColors val="0"/>
        <c:ser>
          <c:idx val="1"/>
          <c:order val="0"/>
          <c:tx>
            <c:strRef>
              <c:f>Yield!$C$12</c:f>
              <c:strCache>
                <c:ptCount val="1"/>
                <c:pt idx="0">
                  <c:v>Yield (L)</c:v>
                </c:pt>
              </c:strCache>
            </c:strRef>
          </c:tx>
          <c:spPr>
            <a:ln w="12700">
              <a:solidFill>
                <a:srgbClr val="000080"/>
              </a:solidFill>
              <a:prstDash val="solid"/>
            </a:ln>
          </c:spPr>
          <c:marker>
            <c:symbol val="circle"/>
            <c:size val="5"/>
            <c:spPr>
              <a:solidFill>
                <a:srgbClr val="000080"/>
              </a:solidFill>
              <a:ln>
                <a:solidFill>
                  <a:srgbClr val="000080"/>
                </a:solidFill>
                <a:prstDash val="solid"/>
              </a:ln>
            </c:spPr>
          </c:marker>
          <c:cat>
            <c:strRef>
              <c:f>Yield!$B$13:$B$22</c:f>
              <c:strCache>
                <c:ptCount val="10"/>
                <c:pt idx="0">
                  <c:v>1M</c:v>
                </c:pt>
                <c:pt idx="1">
                  <c:v>3M</c:v>
                </c:pt>
                <c:pt idx="2">
                  <c:v>6M</c:v>
                </c:pt>
                <c:pt idx="3">
                  <c:v>1Y</c:v>
                </c:pt>
                <c:pt idx="4">
                  <c:v>2Y</c:v>
                </c:pt>
                <c:pt idx="5">
                  <c:v>3Y</c:v>
                </c:pt>
                <c:pt idx="6">
                  <c:v>5Y</c:v>
                </c:pt>
                <c:pt idx="7">
                  <c:v>7Y</c:v>
                </c:pt>
                <c:pt idx="8">
                  <c:v>10Y</c:v>
                </c:pt>
                <c:pt idx="9">
                  <c:v>20Y</c:v>
                </c:pt>
              </c:strCache>
            </c:strRef>
          </c:cat>
          <c:val>
            <c:numRef>
              <c:f>Yield!$C$13:$C$22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B052-4E27-8B51-52000DC6D638}"/>
            </c:ext>
          </c:extLst>
        </c:ser>
        <c:ser>
          <c:idx val="0"/>
          <c:order val="1"/>
          <c:tx>
            <c:strRef>
              <c:f>Yield!$D$12</c:f>
              <c:strCache>
                <c:ptCount val="1"/>
                <c:pt idx="0">
                  <c:v>Previous 1W (L)</c:v>
                </c:pt>
              </c:strCache>
            </c:strRef>
          </c:tx>
          <c:spPr>
            <a:ln w="12700">
              <a:solidFill>
                <a:srgbClr val="A6CAF0"/>
              </a:solidFill>
              <a:prstDash val="lgDash"/>
            </a:ln>
          </c:spPr>
          <c:marker>
            <c:symbol val="circle"/>
            <c:size val="5"/>
            <c:spPr>
              <a:solidFill>
                <a:srgbClr val="A6CAF0"/>
              </a:solidFill>
              <a:ln>
                <a:solidFill>
                  <a:srgbClr val="A6CAF0"/>
                </a:solidFill>
                <a:prstDash val="solid"/>
              </a:ln>
            </c:spPr>
          </c:marker>
          <c:cat>
            <c:strRef>
              <c:f>Yield!$B$13:$B$22</c:f>
              <c:strCache>
                <c:ptCount val="10"/>
                <c:pt idx="0">
                  <c:v>1M</c:v>
                </c:pt>
                <c:pt idx="1">
                  <c:v>3M</c:v>
                </c:pt>
                <c:pt idx="2">
                  <c:v>6M</c:v>
                </c:pt>
                <c:pt idx="3">
                  <c:v>1Y</c:v>
                </c:pt>
                <c:pt idx="4">
                  <c:v>2Y</c:v>
                </c:pt>
                <c:pt idx="5">
                  <c:v>3Y</c:v>
                </c:pt>
                <c:pt idx="6">
                  <c:v>5Y</c:v>
                </c:pt>
                <c:pt idx="7">
                  <c:v>7Y</c:v>
                </c:pt>
                <c:pt idx="8">
                  <c:v>10Y</c:v>
                </c:pt>
                <c:pt idx="9">
                  <c:v>20Y</c:v>
                </c:pt>
              </c:strCache>
            </c:strRef>
          </c:cat>
          <c:val>
            <c:numRef>
              <c:f>Yield!$D$13:$D$22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2-B052-4E27-8B51-52000DC6D638}"/>
            </c:ext>
          </c:extLst>
        </c:ser>
        <c:dLbls>
          <c:showLegendKey val="0"/>
          <c:showVal val="0"/>
          <c:showCatName val="0"/>
          <c:showSerName val="0"/>
          <c:showPercent val="0"/>
          <c:showBubbleSize val="0"/>
        </c:dLbls>
        <c:marker val="1"/>
        <c:smooth val="0"/>
        <c:axId val="1893311320"/>
        <c:axId val="1"/>
      </c:lineChart>
      <c:catAx>
        <c:axId val="189331132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微軟正黑體"/>
                <a:ea typeface="微軟正黑體"/>
                <a:cs typeface="微軟正黑體"/>
              </a:defRPr>
            </a:pPr>
            <a:endParaRPr lang="zh-TW"/>
          </a:p>
        </c:txPr>
        <c:crossAx val="1"/>
        <c:crossesAt val="-1"/>
        <c:auto val="0"/>
        <c:lblAlgn val="ctr"/>
        <c:lblOffset val="100"/>
        <c:tickLblSkip val="1"/>
        <c:tickMarkSkip val="1"/>
        <c:noMultiLvlLbl val="0"/>
      </c:catAx>
      <c:valAx>
        <c:axId val="1"/>
        <c:scaling>
          <c:orientation val="minMax"/>
          <c:max val="4"/>
          <c:min val="-1"/>
        </c:scaling>
        <c:delete val="0"/>
        <c:axPos val="l"/>
        <c:numFmt formatCode="0.0_ " sourceLinked="0"/>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微軟正黑體"/>
                <a:ea typeface="微軟正黑體"/>
                <a:cs typeface="微軟正黑體"/>
              </a:defRPr>
            </a:pPr>
            <a:endParaRPr lang="zh-TW"/>
          </a:p>
        </c:txPr>
        <c:crossAx val="1893311320"/>
        <c:crosses val="autoZero"/>
        <c:crossBetween val="between"/>
        <c:minorUnit val="0.1"/>
      </c:valAx>
      <c:catAx>
        <c:axId val="3"/>
        <c:scaling>
          <c:orientation val="minMax"/>
        </c:scaling>
        <c:delete val="0"/>
        <c:axPos val="b"/>
        <c:numFmt formatCode="General" sourceLinked="1"/>
        <c:majorTickMark val="none"/>
        <c:minorTickMark val="none"/>
        <c:tickLblPos val="none"/>
        <c:spPr>
          <a:ln w="3175">
            <a:solidFill>
              <a:srgbClr val="000000"/>
            </a:solidFill>
            <a:prstDash val="sysDash"/>
          </a:ln>
        </c:spPr>
        <c:crossAx val="4"/>
        <c:crossesAt val="0"/>
        <c:auto val="0"/>
        <c:lblAlgn val="ctr"/>
        <c:lblOffset val="100"/>
        <c:tickMarkSkip val="1"/>
        <c:noMultiLvlLbl val="0"/>
      </c:catAx>
      <c:valAx>
        <c:axId val="4"/>
        <c:scaling>
          <c:orientation val="minMax"/>
          <c:max val="50"/>
          <c:min val="-50"/>
        </c:scaling>
        <c:delete val="0"/>
        <c:axPos val="r"/>
        <c:numFmt formatCode="0_ " sourceLinked="0"/>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微軟正黑體"/>
                <a:ea typeface="微軟正黑體"/>
                <a:cs typeface="微軟正黑體"/>
              </a:defRPr>
            </a:pPr>
            <a:endParaRPr lang="zh-TW"/>
          </a:p>
        </c:txPr>
        <c:crossAx val="3"/>
        <c:crosses val="max"/>
        <c:crossBetween val="between"/>
        <c:majorUnit val="10"/>
        <c:minorUnit val="5"/>
      </c:valAx>
      <c:spPr>
        <a:noFill/>
        <a:ln w="25400">
          <a:noFill/>
        </a:ln>
      </c:spPr>
    </c:plotArea>
    <c:legend>
      <c:legendPos val="r"/>
      <c:layout>
        <c:manualLayout>
          <c:xMode val="edge"/>
          <c:yMode val="edge"/>
          <c:x val="0.23622067910802488"/>
          <c:y val="2.2160664819944598E-2"/>
          <c:w val="0.53346498026329381"/>
          <c:h val="6.0941828254847646E-2"/>
        </c:manualLayout>
      </c:layout>
      <c:overlay val="0"/>
      <c:spPr>
        <a:noFill/>
        <a:ln w="25400">
          <a:noFill/>
        </a:ln>
      </c:spPr>
      <c:txPr>
        <a:bodyPr/>
        <a:lstStyle/>
        <a:p>
          <a:pPr>
            <a:defRPr sz="650" b="0" i="0" u="none" strike="noStrike" baseline="0">
              <a:solidFill>
                <a:srgbClr val="000000"/>
              </a:solidFill>
              <a:latin typeface="微軟正黑體"/>
              <a:ea typeface="微軟正黑體"/>
              <a:cs typeface="微軟正黑體"/>
            </a:defRPr>
          </a:pPr>
          <a:endParaRPr lang="zh-TW"/>
        </a:p>
      </c:txPr>
    </c:legend>
    <c:plotVisOnly val="1"/>
    <c:dispBlanksAs val="gap"/>
    <c:showDLblsOverMax val="0"/>
  </c:chart>
  <c:spPr>
    <a:noFill/>
    <a:ln w="9525">
      <a:noFill/>
    </a:ln>
  </c:spPr>
  <c:txPr>
    <a:bodyPr/>
    <a:lstStyle/>
    <a:p>
      <a:pPr>
        <a:defRPr sz="1000" b="0" i="0" u="none" strike="noStrike" baseline="0">
          <a:solidFill>
            <a:srgbClr val="000000"/>
          </a:solidFill>
          <a:latin typeface="微軟正黑體"/>
          <a:ea typeface="微軟正黑體"/>
          <a:cs typeface="微軟正黑體"/>
        </a:defRPr>
      </a:pPr>
      <a:endParaRPr lang="zh-TW"/>
    </a:p>
  </c:txPr>
  <c:printSettings>
    <c:headerFooter alignWithMargins="0"/>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116859</xdr:colOff>
      <xdr:row>43</xdr:row>
      <xdr:rowOff>54428</xdr:rowOff>
    </xdr:from>
    <xdr:to>
      <xdr:col>7</xdr:col>
      <xdr:colOff>1891392</xdr:colOff>
      <xdr:row>64</xdr:row>
      <xdr:rowOff>99253</xdr:rowOff>
    </xdr:to>
    <xdr:graphicFrame macro="">
      <xdr:nvGraphicFramePr>
        <xdr:cNvPr id="41555850" name="Chart 394">
          <a:extLst>
            <a:ext uri="{FF2B5EF4-FFF2-40B4-BE49-F238E27FC236}">
              <a16:creationId xmlns:a16="http://schemas.microsoft.com/office/drawing/2014/main" id="{044FE1CB-C73C-42FA-A708-F4D0093AF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89645</xdr:colOff>
      <xdr:row>42</xdr:row>
      <xdr:rowOff>250530</xdr:rowOff>
    </xdr:from>
    <xdr:to>
      <xdr:col>14</xdr:col>
      <xdr:colOff>1632856</xdr:colOff>
      <xdr:row>64</xdr:row>
      <xdr:rowOff>20812</xdr:rowOff>
    </xdr:to>
    <xdr:graphicFrame macro="">
      <xdr:nvGraphicFramePr>
        <xdr:cNvPr id="2" name="圖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70</xdr:col>
      <xdr:colOff>100850</xdr:colOff>
      <xdr:row>38</xdr:row>
      <xdr:rowOff>78440</xdr:rowOff>
    </xdr:from>
    <xdr:to>
      <xdr:col>75</xdr:col>
      <xdr:colOff>1905000</xdr:colOff>
      <xdr:row>57</xdr:row>
      <xdr:rowOff>100853</xdr:rowOff>
    </xdr:to>
    <xdr:graphicFrame macro="">
      <xdr:nvGraphicFramePr>
        <xdr:cNvPr id="10" name="圖表 9">
          <a:extLst>
            <a:ext uri="{FF2B5EF4-FFF2-40B4-BE49-F238E27FC236}">
              <a16:creationId xmlns:a16="http://schemas.microsoft.com/office/drawing/2014/main" id="{38AB58C1-22AE-4D74-854E-9D6C82C58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77</xdr:col>
      <xdr:colOff>27215</xdr:colOff>
      <xdr:row>38</xdr:row>
      <xdr:rowOff>44821</xdr:rowOff>
    </xdr:from>
    <xdr:to>
      <xdr:col>83</xdr:col>
      <xdr:colOff>1428750</xdr:colOff>
      <xdr:row>57</xdr:row>
      <xdr:rowOff>89647</xdr:rowOff>
    </xdr:to>
    <xdr:graphicFrame macro="">
      <xdr:nvGraphicFramePr>
        <xdr:cNvPr id="11" name="圖表 10">
          <a:extLst>
            <a:ext uri="{FF2B5EF4-FFF2-40B4-BE49-F238E27FC236}">
              <a16:creationId xmlns:a16="http://schemas.microsoft.com/office/drawing/2014/main" id="{3070A306-6B24-4D51-AD3B-7F2C6C7EB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71</xdr:col>
      <xdr:colOff>11206</xdr:colOff>
      <xdr:row>60</xdr:row>
      <xdr:rowOff>67235</xdr:rowOff>
    </xdr:from>
    <xdr:to>
      <xdr:col>75</xdr:col>
      <xdr:colOff>1918607</xdr:colOff>
      <xdr:row>79</xdr:row>
      <xdr:rowOff>123265</xdr:rowOff>
    </xdr:to>
    <xdr:graphicFrame macro="">
      <xdr:nvGraphicFramePr>
        <xdr:cNvPr id="12" name="圖表 11">
          <a:extLst>
            <a:ext uri="{FF2B5EF4-FFF2-40B4-BE49-F238E27FC236}">
              <a16:creationId xmlns:a16="http://schemas.microsoft.com/office/drawing/2014/main" id="{2FF28AD5-9A22-483F-A5FF-4555838AD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77</xdr:col>
      <xdr:colOff>11206</xdr:colOff>
      <xdr:row>60</xdr:row>
      <xdr:rowOff>56031</xdr:rowOff>
    </xdr:from>
    <xdr:to>
      <xdr:col>83</xdr:col>
      <xdr:colOff>1428750</xdr:colOff>
      <xdr:row>79</xdr:row>
      <xdr:rowOff>123265</xdr:rowOff>
    </xdr:to>
    <xdr:graphicFrame macro="">
      <xdr:nvGraphicFramePr>
        <xdr:cNvPr id="13" name="圖表 12">
          <a:extLst>
            <a:ext uri="{FF2B5EF4-FFF2-40B4-BE49-F238E27FC236}">
              <a16:creationId xmlns:a16="http://schemas.microsoft.com/office/drawing/2014/main" id="{6D46BEB0-1C01-4B0C-8233-A736F84FF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153</xdr:col>
      <xdr:colOff>27212</xdr:colOff>
      <xdr:row>69</xdr:row>
      <xdr:rowOff>120163</xdr:rowOff>
    </xdr:from>
    <xdr:to>
      <xdr:col>159</xdr:col>
      <xdr:colOff>-1</xdr:colOff>
      <xdr:row>88</xdr:row>
      <xdr:rowOff>81643</xdr:rowOff>
    </xdr:to>
    <xdr:pic>
      <xdr:nvPicPr>
        <xdr:cNvPr id="8" name="圖片 7">
          <a:extLst>
            <a:ext uri="{FF2B5EF4-FFF2-40B4-BE49-F238E27FC236}">
              <a16:creationId xmlns:a16="http://schemas.microsoft.com/office/drawing/2014/main" id="{7B09C8C9-A748-4B7F-A384-45ACB639F667}"/>
            </a:ext>
          </a:extLst>
        </xdr:cNvPr>
        <xdr:cNvPicPr>
          <a:picLocks noChangeAspect="1"/>
        </xdr:cNvPicPr>
      </xdr:nvPicPr>
      <xdr:blipFill>
        <a:blip xmlns:r="http://schemas.openxmlformats.org/officeDocument/2006/relationships" r:embed="rId7"/>
        <a:stretch>
          <a:fillRect/>
        </a:stretch>
      </xdr:blipFill>
      <xdr:spPr>
        <a:xfrm>
          <a:off x="168742176" y="19469520"/>
          <a:ext cx="10994573" cy="5404337"/>
        </a:xfrm>
        <a:prstGeom prst="rect">
          <a:avLst/>
        </a:prstGeom>
      </xdr:spPr>
    </xdr:pic>
    <xdr:clientData/>
  </xdr:twoCellAnchor>
  <xdr:twoCellAnchor editAs="oneCell">
    <xdr:from>
      <xdr:col>160</xdr:col>
      <xdr:colOff>44865</xdr:colOff>
      <xdr:row>69</xdr:row>
      <xdr:rowOff>190500</xdr:rowOff>
    </xdr:from>
    <xdr:to>
      <xdr:col>165</xdr:col>
      <xdr:colOff>1592035</xdr:colOff>
      <xdr:row>89</xdr:row>
      <xdr:rowOff>1</xdr:rowOff>
    </xdr:to>
    <xdr:pic>
      <xdr:nvPicPr>
        <xdr:cNvPr id="15" name="圖片 14">
          <a:extLst>
            <a:ext uri="{FF2B5EF4-FFF2-40B4-BE49-F238E27FC236}">
              <a16:creationId xmlns:a16="http://schemas.microsoft.com/office/drawing/2014/main" id="{EFB9EA92-54E5-A69F-94B7-FBC3DA63A720}"/>
            </a:ext>
          </a:extLst>
        </xdr:cNvPr>
        <xdr:cNvPicPr>
          <a:picLocks noChangeAspect="1"/>
        </xdr:cNvPicPr>
      </xdr:nvPicPr>
      <xdr:blipFill>
        <a:blip xmlns:r="http://schemas.openxmlformats.org/officeDocument/2006/relationships" r:embed="rId8"/>
        <a:stretch>
          <a:fillRect/>
        </a:stretch>
      </xdr:blipFill>
      <xdr:spPr>
        <a:xfrm>
          <a:off x="180121794" y="19539857"/>
          <a:ext cx="10201313" cy="5538108"/>
        </a:xfrm>
        <a:prstGeom prst="rect">
          <a:avLst/>
        </a:prstGeom>
      </xdr:spPr>
    </xdr:pic>
    <xdr:clientData/>
  </xdr:twoCellAnchor>
  <xdr:twoCellAnchor editAs="oneCell">
    <xdr:from>
      <xdr:col>9</xdr:col>
      <xdr:colOff>13607</xdr:colOff>
      <xdr:row>67</xdr:row>
      <xdr:rowOff>40821</xdr:rowOff>
    </xdr:from>
    <xdr:to>
      <xdr:col>14</xdr:col>
      <xdr:colOff>1714500</xdr:colOff>
      <xdr:row>84</xdr:row>
      <xdr:rowOff>231322</xdr:rowOff>
    </xdr:to>
    <xdr:pic>
      <xdr:nvPicPr>
        <xdr:cNvPr id="4" name="圖片 3" descr="一張含有 文字, 螢幕擷取畫面, 行, 字型 的圖片&#10;&#10;自動產生的描述">
          <a:extLst>
            <a:ext uri="{FF2B5EF4-FFF2-40B4-BE49-F238E27FC236}">
              <a16:creationId xmlns:a16="http://schemas.microsoft.com/office/drawing/2014/main" id="{9F28ADC6-656B-CDC2-A1F4-0BD1D0B9E6E4}"/>
            </a:ext>
          </a:extLst>
        </xdr:cNvPr>
        <xdr:cNvPicPr>
          <a:picLocks noChangeAspect="1"/>
        </xdr:cNvPicPr>
      </xdr:nvPicPr>
      <xdr:blipFill>
        <a:blip xmlns:r="http://schemas.openxmlformats.org/officeDocument/2006/relationships" r:embed="rId9"/>
        <a:stretch>
          <a:fillRect/>
        </a:stretch>
      </xdr:blipFill>
      <xdr:spPr>
        <a:xfrm>
          <a:off x="11770178" y="18818678"/>
          <a:ext cx="10341429" cy="50618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1343025</xdr:colOff>
      <xdr:row>38</xdr:row>
      <xdr:rowOff>152400</xdr:rowOff>
    </xdr:from>
    <xdr:to>
      <xdr:col>8</xdr:col>
      <xdr:colOff>0</xdr:colOff>
      <xdr:row>52</xdr:row>
      <xdr:rowOff>85725</xdr:rowOff>
    </xdr:to>
    <xdr:graphicFrame macro="">
      <xdr:nvGraphicFramePr>
        <xdr:cNvPr id="40634032" name="Chart 2056">
          <a:extLst>
            <a:ext uri="{FF2B5EF4-FFF2-40B4-BE49-F238E27FC236}">
              <a16:creationId xmlns:a16="http://schemas.microsoft.com/office/drawing/2014/main" id="{2D3733A2-C9E4-4FF2-A34A-3FD6C960D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28.110.9.24\Shared\Documents%20and%20Settings\009137\&#26700;&#38754;\new%20cmupbb_prcupld_v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012295\AppData\Local\Microsoft\Windows\INetCache\Content.Outlook\LCBJLBGY\&#24066;&#22580;&#30435;&#25511;%20080825%20steven.xlsx" TargetMode="External"/><Relationship Id="rId1" Type="http://schemas.openxmlformats.org/officeDocument/2006/relationships/externalLinkPath" Target="https://sinopacgroup-my.sharepoint.com/Users/012295/AppData/Local/Microsoft/Windows/INetCache/Content.Outlook/LCBJLBGY/&#24066;&#22580;&#30435;&#25511;%20080825%20stev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CNH Prices"/>
      <sheetName val="Euro"/>
      <sheetName val="Internal"/>
      <sheetName val="Cons_June"/>
      <sheetName val="June"/>
      <sheetName val="Historical"/>
      <sheetName val="Holidays"/>
      <sheetName val="Search"/>
    </sheetNames>
    <sheetDataSet>
      <sheetData sheetId="0" refreshError="1"/>
      <sheetData sheetId="1" refreshError="1">
        <row r="3">
          <cell r="C3" t="str">
            <v>id bb</v>
          </cell>
          <cell r="D3" t="str">
            <v>Bid</v>
          </cell>
          <cell r="E3" t="str">
            <v>Ask</v>
          </cell>
        </row>
        <row r="4">
          <cell r="C4" t="e">
            <v>#NAME?</v>
          </cell>
          <cell r="D4">
            <v>107.2</v>
          </cell>
          <cell r="E4">
            <v>108.15</v>
          </cell>
        </row>
        <row r="5">
          <cell r="C5" t="e">
            <v>#NAME?</v>
          </cell>
          <cell r="D5">
            <v>102.7</v>
          </cell>
          <cell r="E5">
            <v>103.1</v>
          </cell>
        </row>
        <row r="6">
          <cell r="C6" t="e">
            <v>#NAME?</v>
          </cell>
          <cell r="D6">
            <v>104.8</v>
          </cell>
          <cell r="E6">
            <v>105.3</v>
          </cell>
        </row>
        <row r="7">
          <cell r="C7" t="e">
            <v>#NAME?</v>
          </cell>
          <cell r="D7">
            <v>102.8</v>
          </cell>
          <cell r="E7">
            <v>103.5</v>
          </cell>
        </row>
        <row r="8">
          <cell r="C8" t="e">
            <v>#NAME?</v>
          </cell>
        </row>
        <row r="9">
          <cell r="C9" t="e">
            <v>#NAME?</v>
          </cell>
          <cell r="D9">
            <v>101.7</v>
          </cell>
          <cell r="E9">
            <v>102.1</v>
          </cell>
        </row>
        <row r="10">
          <cell r="C10" t="e">
            <v>#NAME?</v>
          </cell>
          <cell r="D10">
            <v>103.2</v>
          </cell>
          <cell r="E10">
            <v>103.55</v>
          </cell>
        </row>
        <row r="11">
          <cell r="C11" t="e">
            <v>#NAME?</v>
          </cell>
          <cell r="D11">
            <v>101.9</v>
          </cell>
          <cell r="E11">
            <v>102.3</v>
          </cell>
        </row>
        <row r="12">
          <cell r="C12" t="e">
            <v>#NAME?</v>
          </cell>
          <cell r="D12">
            <v>101.5</v>
          </cell>
          <cell r="E12">
            <v>102.1</v>
          </cell>
        </row>
        <row r="13">
          <cell r="C13" t="e">
            <v>#NAME?</v>
          </cell>
          <cell r="D13">
            <v>108.85</v>
          </cell>
          <cell r="E13">
            <v>109.75</v>
          </cell>
        </row>
        <row r="14">
          <cell r="C14" t="e">
            <v>#NAME?</v>
          </cell>
          <cell r="D14">
            <v>104.9</v>
          </cell>
          <cell r="E14">
            <v>105.55</v>
          </cell>
        </row>
        <row r="15">
          <cell r="C15" t="e">
            <v>#NAME?</v>
          </cell>
          <cell r="D15">
            <v>105.45</v>
          </cell>
          <cell r="E15">
            <v>105.9</v>
          </cell>
        </row>
        <row r="16">
          <cell r="C16" t="e">
            <v>#NAME?</v>
          </cell>
        </row>
        <row r="17">
          <cell r="C17" t="e">
            <v>#NAME?</v>
          </cell>
          <cell r="D17">
            <v>99</v>
          </cell>
          <cell r="E17">
            <v>99.8</v>
          </cell>
        </row>
        <row r="18">
          <cell r="C18" t="e">
            <v>#NAME?</v>
          </cell>
        </row>
        <row r="19">
          <cell r="C19" t="e">
            <v>#NAME?</v>
          </cell>
          <cell r="D19">
            <v>103.2</v>
          </cell>
          <cell r="E19">
            <v>103.6</v>
          </cell>
        </row>
        <row r="20">
          <cell r="C20" t="e">
            <v>#NAME?</v>
          </cell>
        </row>
        <row r="21">
          <cell r="C21" t="e">
            <v>#NAME?</v>
          </cell>
        </row>
        <row r="22">
          <cell r="C22" t="e">
            <v>#NAME?</v>
          </cell>
          <cell r="D22">
            <v>102</v>
          </cell>
          <cell r="E22">
            <v>102.4</v>
          </cell>
        </row>
        <row r="23">
          <cell r="C23" t="e">
            <v>#NAME?</v>
          </cell>
          <cell r="D23">
            <v>104.55</v>
          </cell>
          <cell r="E23">
            <v>104.95</v>
          </cell>
        </row>
        <row r="24">
          <cell r="C24" t="e">
            <v>#NAME?</v>
          </cell>
        </row>
        <row r="25">
          <cell r="C25" t="e">
            <v>#NAME?</v>
          </cell>
        </row>
        <row r="26">
          <cell r="C26" t="e">
            <v>#NAME?</v>
          </cell>
          <cell r="D26">
            <v>101.7</v>
          </cell>
          <cell r="E26">
            <v>101.9</v>
          </cell>
        </row>
        <row r="27">
          <cell r="C27" t="e">
            <v>#NAME?</v>
          </cell>
          <cell r="D27">
            <v>98</v>
          </cell>
          <cell r="E27">
            <v>98.6</v>
          </cell>
        </row>
        <row r="28">
          <cell r="C28" t="e">
            <v>#NAME?</v>
          </cell>
          <cell r="D28">
            <v>98.8</v>
          </cell>
          <cell r="E28">
            <v>99.25</v>
          </cell>
        </row>
        <row r="29">
          <cell r="C29" t="e">
            <v>#NAME?</v>
          </cell>
          <cell r="D29">
            <v>101.65</v>
          </cell>
          <cell r="E29">
            <v>102.05</v>
          </cell>
        </row>
        <row r="30">
          <cell r="C30" t="e">
            <v>#NAME?</v>
          </cell>
          <cell r="D30">
            <v>99.85</v>
          </cell>
          <cell r="E30">
            <v>100.3</v>
          </cell>
        </row>
        <row r="31">
          <cell r="C31" t="e">
            <v>#NAME?</v>
          </cell>
          <cell r="D31">
            <v>100.45</v>
          </cell>
          <cell r="E31">
            <v>100.85</v>
          </cell>
        </row>
        <row r="32">
          <cell r="C32" t="e">
            <v>#NAME?</v>
          </cell>
          <cell r="D32">
            <v>100.9</v>
          </cell>
          <cell r="E32">
            <v>101.45</v>
          </cell>
        </row>
        <row r="33">
          <cell r="C33" t="e">
            <v>#NAME?</v>
          </cell>
          <cell r="D33">
            <v>99.7</v>
          </cell>
          <cell r="E33">
            <v>100</v>
          </cell>
        </row>
        <row r="34">
          <cell r="C34" t="e">
            <v>#NAME?</v>
          </cell>
        </row>
        <row r="35">
          <cell r="C35" t="e">
            <v>#NAME?</v>
          </cell>
          <cell r="D35">
            <v>97</v>
          </cell>
          <cell r="E35">
            <v>97.75</v>
          </cell>
        </row>
        <row r="36">
          <cell r="C36" t="e">
            <v>#NAME?</v>
          </cell>
          <cell r="D36">
            <v>103.3</v>
          </cell>
          <cell r="E36">
            <v>103.6</v>
          </cell>
        </row>
        <row r="37">
          <cell r="C37" t="e">
            <v>#NAME?</v>
          </cell>
          <cell r="D37">
            <v>104.95</v>
          </cell>
          <cell r="E37">
            <v>105.45</v>
          </cell>
        </row>
        <row r="38">
          <cell r="C38" t="e">
            <v>#NAME?</v>
          </cell>
          <cell r="D38">
            <v>100.7</v>
          </cell>
          <cell r="E38">
            <v>101.2</v>
          </cell>
        </row>
        <row r="39">
          <cell r="C39" t="e">
            <v>#NAME?</v>
          </cell>
          <cell r="D39">
            <v>104.5</v>
          </cell>
          <cell r="E39">
            <v>105</v>
          </cell>
        </row>
        <row r="40">
          <cell r="C40" t="e">
            <v>#NAME?</v>
          </cell>
        </row>
        <row r="41">
          <cell r="C41" t="e">
            <v>#NAME?</v>
          </cell>
          <cell r="D41">
            <v>100.45</v>
          </cell>
          <cell r="E41">
            <v>100.65</v>
          </cell>
        </row>
        <row r="42">
          <cell r="C42" t="e">
            <v>#NAME?</v>
          </cell>
        </row>
        <row r="43">
          <cell r="C43" t="e">
            <v>#NAME?</v>
          </cell>
          <cell r="D43">
            <v>99.4</v>
          </cell>
          <cell r="E43">
            <v>100.3</v>
          </cell>
        </row>
        <row r="44">
          <cell r="C44" t="e">
            <v>#NAME?</v>
          </cell>
        </row>
        <row r="45">
          <cell r="C45" t="e">
            <v>#NAME?</v>
          </cell>
          <cell r="D45">
            <v>102.7</v>
          </cell>
          <cell r="E45">
            <v>103.1</v>
          </cell>
        </row>
        <row r="46">
          <cell r="C46" t="e">
            <v>#NAME?</v>
          </cell>
          <cell r="D46">
            <v>102.15</v>
          </cell>
          <cell r="E46">
            <v>102.45</v>
          </cell>
        </row>
        <row r="47">
          <cell r="C47" t="e">
            <v>#NAME?</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重點發行人"/>
      <sheetName val="指數匯率利率"/>
      <sheetName val="市場監控 "/>
      <sheetName val="市場監控 (金交) "/>
    </sheetNames>
    <sheetDataSet>
      <sheetData sheetId="0"/>
      <sheetData sheetId="1"/>
      <sheetData sheetId="2">
        <row r="7">
          <cell r="F7" t="str">
            <v>Formosa Plastics Corp</v>
          </cell>
          <cell r="G7" t="str">
            <v>台灣塑膠工業股份有限公司</v>
          </cell>
          <cell r="H7">
            <v>40.4</v>
          </cell>
          <cell r="I7">
            <v>5.0715209999999997</v>
          </cell>
          <cell r="J7">
            <v>7.8771699999999996</v>
          </cell>
          <cell r="K7">
            <v>13.66197</v>
          </cell>
          <cell r="L7" t="str">
            <v>#N/A N/A BEST Curncy</v>
          </cell>
          <cell r="M7" t="str">
            <v>#N/A N/A BEST Curncy</v>
          </cell>
          <cell r="N7" t="str">
            <v>#N/A N/A BEST Curncy</v>
          </cell>
          <cell r="O7" t="str">
            <v>#N/A N/A BEST Curncy</v>
          </cell>
          <cell r="P7" t="str">
            <v xml:space="preserve"> </v>
          </cell>
          <cell r="Q7" t="str">
            <v>BBB</v>
          </cell>
          <cell r="R7" t="str">
            <v>Baa1</v>
          </cell>
          <cell r="S7" t="str">
            <v>-</v>
          </cell>
          <cell r="T7" t="str">
            <v>NEG</v>
          </cell>
          <cell r="U7" t="str">
            <v>NEG</v>
          </cell>
          <cell r="V7" t="str">
            <v xml:space="preserve"> </v>
          </cell>
          <cell r="X7" t="str">
            <v>BBB</v>
          </cell>
          <cell r="Y7" t="str">
            <v>Baa1</v>
          </cell>
          <cell r="Z7" t="str">
            <v>-</v>
          </cell>
          <cell r="AA7" t="str">
            <v>NEG</v>
          </cell>
          <cell r="AB7" t="str">
            <v>NEG</v>
          </cell>
          <cell r="AC7" t="str">
            <v xml:space="preserve"> </v>
          </cell>
          <cell r="AD7">
            <v>0</v>
          </cell>
          <cell r="AE7">
            <v>0</v>
          </cell>
          <cell r="AF7">
            <v>0</v>
          </cell>
          <cell r="AG7">
            <v>0</v>
          </cell>
          <cell r="AH7">
            <v>0</v>
          </cell>
          <cell r="AI7">
            <v>0</v>
          </cell>
          <cell r="AJ7" t="str">
            <v/>
          </cell>
          <cell r="AK7">
            <v>256857640513.35001</v>
          </cell>
          <cell r="AL7" t="str">
            <v>TWD</v>
          </cell>
          <cell r="AM7">
            <v>29.920999999999999</v>
          </cell>
          <cell r="AN7">
            <v>8.5845272722619566</v>
          </cell>
          <cell r="AP7" t="str">
            <v/>
          </cell>
          <cell r="AQ7" t="str">
            <v/>
          </cell>
          <cell r="AR7" t="str">
            <v/>
          </cell>
          <cell r="AS7">
            <v>45841</v>
          </cell>
          <cell r="AT7">
            <v>45677</v>
          </cell>
          <cell r="AU7" t="str">
            <v/>
          </cell>
          <cell r="AV7">
            <v>37.549999999999997</v>
          </cell>
          <cell r="AW7">
            <v>40.700000000000003</v>
          </cell>
          <cell r="AX7">
            <v>-7.7395577395577568</v>
          </cell>
        </row>
        <row r="8">
          <cell r="F8" t="str">
            <v>BHP Group Ltd</v>
          </cell>
          <cell r="G8" t="str">
            <v>必和必拓集團有限公司</v>
          </cell>
          <cell r="H8">
            <v>40.869999999999997</v>
          </cell>
          <cell r="I8">
            <v>0</v>
          </cell>
          <cell r="J8">
            <v>2.6884420000000002</v>
          </cell>
          <cell r="K8">
            <v>3.3375490000000001</v>
          </cell>
          <cell r="L8">
            <v>63.667090000000002</v>
          </cell>
          <cell r="M8">
            <v>0</v>
          </cell>
          <cell r="N8">
            <v>-2.9194900000000001</v>
          </cell>
          <cell r="O8">
            <v>-1.1179399999999999</v>
          </cell>
          <cell r="P8" t="str">
            <v xml:space="preserve"> </v>
          </cell>
          <cell r="Q8" t="str">
            <v>A-</v>
          </cell>
          <cell r="R8" t="str">
            <v>A1</v>
          </cell>
          <cell r="S8" t="str">
            <v>A</v>
          </cell>
          <cell r="T8" t="str">
            <v>STABLE</v>
          </cell>
          <cell r="U8" t="str">
            <v>STABLE</v>
          </cell>
          <cell r="V8" t="str">
            <v>STABLE</v>
          </cell>
          <cell r="X8" t="str">
            <v>A-</v>
          </cell>
          <cell r="Y8" t="str">
            <v>A1</v>
          </cell>
          <cell r="Z8" t="str">
            <v>A</v>
          </cell>
          <cell r="AA8" t="str">
            <v>STABLE</v>
          </cell>
          <cell r="AB8" t="str">
            <v>STABLE</v>
          </cell>
          <cell r="AC8" t="str">
            <v>STABLE</v>
          </cell>
          <cell r="AD8">
            <v>0</v>
          </cell>
          <cell r="AE8">
            <v>0</v>
          </cell>
          <cell r="AF8">
            <v>0</v>
          </cell>
          <cell r="AG8">
            <v>0</v>
          </cell>
          <cell r="AH8">
            <v>0</v>
          </cell>
          <cell r="AI8">
            <v>0</v>
          </cell>
          <cell r="AJ8" t="str">
            <v/>
          </cell>
          <cell r="AK8">
            <v>207455802644.44998</v>
          </cell>
          <cell r="AL8" t="str">
            <v>AUD</v>
          </cell>
          <cell r="AM8">
            <v>1.5344</v>
          </cell>
          <cell r="AN8">
            <v>135.20320818851016</v>
          </cell>
          <cell r="AP8" t="str">
            <v/>
          </cell>
          <cell r="AQ8" t="str">
            <v/>
          </cell>
          <cell r="AR8" t="str">
            <v/>
          </cell>
          <cell r="AS8">
            <v>44713</v>
          </cell>
          <cell r="AT8">
            <v>45391</v>
          </cell>
          <cell r="AU8">
            <v>43362</v>
          </cell>
          <cell r="AV8">
            <v>40.21</v>
          </cell>
          <cell r="AW8">
            <v>39.22</v>
          </cell>
          <cell r="AX8">
            <v>2.5242223355431026</v>
          </cell>
        </row>
        <row r="9">
          <cell r="F9" t="str">
            <v>BASF SE</v>
          </cell>
          <cell r="G9" t="str">
            <v>巴斯夫公司</v>
          </cell>
          <cell r="H9">
            <v>44.58</v>
          </cell>
          <cell r="I9">
            <v>-1.5676749999999999</v>
          </cell>
          <cell r="J9">
            <v>6.7017709999999999</v>
          </cell>
          <cell r="K9">
            <v>4.9929370000000004</v>
          </cell>
          <cell r="L9">
            <v>40.389760000000003</v>
          </cell>
          <cell r="M9">
            <v>0</v>
          </cell>
          <cell r="N9">
            <v>-1.6523399999999999</v>
          </cell>
          <cell r="O9">
            <v>-11.84915</v>
          </cell>
          <cell r="P9" t="str">
            <v xml:space="preserve"> </v>
          </cell>
          <cell r="Q9" t="str">
            <v>A-</v>
          </cell>
          <cell r="R9" t="str">
            <v>A3</v>
          </cell>
          <cell r="S9" t="str">
            <v>A</v>
          </cell>
          <cell r="T9" t="str">
            <v>STABLE</v>
          </cell>
          <cell r="U9" t="str">
            <v>STABLE</v>
          </cell>
          <cell r="V9" t="str">
            <v>STABLE</v>
          </cell>
          <cell r="X9" t="str">
            <v>A-</v>
          </cell>
          <cell r="Y9" t="str">
            <v>A3</v>
          </cell>
          <cell r="Z9" t="str">
            <v>A</v>
          </cell>
          <cell r="AA9" t="str">
            <v>STABLE</v>
          </cell>
          <cell r="AB9" t="str">
            <v>STABLE</v>
          </cell>
          <cell r="AC9" t="str">
            <v>STABLE</v>
          </cell>
          <cell r="AD9">
            <v>0</v>
          </cell>
          <cell r="AE9">
            <v>0</v>
          </cell>
          <cell r="AF9">
            <v>0</v>
          </cell>
          <cell r="AG9">
            <v>0</v>
          </cell>
          <cell r="AH9">
            <v>0</v>
          </cell>
          <cell r="AI9">
            <v>0</v>
          </cell>
          <cell r="AJ9" t="str">
            <v/>
          </cell>
          <cell r="AK9">
            <v>39788638071.119995</v>
          </cell>
          <cell r="AL9" t="str">
            <v>EUR</v>
          </cell>
          <cell r="AM9">
            <v>0.86060000000000003</v>
          </cell>
          <cell r="AN9">
            <v>46.233602220683238</v>
          </cell>
          <cell r="AP9" t="str">
            <v/>
          </cell>
          <cell r="AQ9" t="str">
            <v/>
          </cell>
          <cell r="AR9" t="str">
            <v/>
          </cell>
          <cell r="AS9">
            <v>45140</v>
          </cell>
          <cell r="AT9">
            <v>45372</v>
          </cell>
          <cell r="AU9">
            <v>43962</v>
          </cell>
          <cell r="AV9">
            <v>45.29</v>
          </cell>
          <cell r="AW9">
            <v>42.03</v>
          </cell>
          <cell r="AX9">
            <v>7.7563645015465088</v>
          </cell>
        </row>
        <row r="10">
          <cell r="F10" t="str">
            <v>Rio Tinto PLC</v>
          </cell>
          <cell r="G10" t="str">
            <v>力拓公開有限公司</v>
          </cell>
          <cell r="H10">
            <v>4587</v>
          </cell>
          <cell r="I10">
            <v>0.30614479999999999</v>
          </cell>
          <cell r="J10">
            <v>2.1717339999999998</v>
          </cell>
          <cell r="K10">
            <v>-2.8795259999999998</v>
          </cell>
          <cell r="L10">
            <v>63.667090000000002</v>
          </cell>
          <cell r="M10">
            <v>0</v>
          </cell>
          <cell r="N10">
            <v>-2.9194900000000001</v>
          </cell>
          <cell r="O10">
            <v>-1.1179399999999999</v>
          </cell>
          <cell r="P10" t="str">
            <v xml:space="preserve"> </v>
          </cell>
          <cell r="Q10" t="str">
            <v>A</v>
          </cell>
          <cell r="R10" t="str">
            <v>A1</v>
          </cell>
          <cell r="S10" t="str">
            <v>A</v>
          </cell>
          <cell r="T10" t="str">
            <v>STABLE</v>
          </cell>
          <cell r="U10" t="str">
            <v>STABLE</v>
          </cell>
          <cell r="V10" t="str">
            <v>STABLE</v>
          </cell>
          <cell r="X10" t="str">
            <v>A</v>
          </cell>
          <cell r="Y10" t="str">
            <v>A1</v>
          </cell>
          <cell r="Z10" t="str">
            <v>A</v>
          </cell>
          <cell r="AA10" t="str">
            <v>STABLE</v>
          </cell>
          <cell r="AB10" t="str">
            <v>STABLE</v>
          </cell>
          <cell r="AC10" t="str">
            <v>STABLE</v>
          </cell>
          <cell r="AD10">
            <v>0</v>
          </cell>
          <cell r="AE10">
            <v>0</v>
          </cell>
          <cell r="AF10">
            <v>0</v>
          </cell>
          <cell r="AG10">
            <v>0</v>
          </cell>
          <cell r="AH10">
            <v>0</v>
          </cell>
          <cell r="AI10">
            <v>0</v>
          </cell>
          <cell r="AJ10" t="str">
            <v/>
          </cell>
          <cell r="AK10">
            <v>78132090385.770752</v>
          </cell>
          <cell r="AL10" t="str">
            <v>GBp</v>
          </cell>
          <cell r="AM10">
            <v>0.74450000000000005</v>
          </cell>
          <cell r="AN10">
            <v>104.94572247920853</v>
          </cell>
          <cell r="AP10" t="str">
            <v/>
          </cell>
          <cell r="AQ10" t="str">
            <v/>
          </cell>
          <cell r="AR10" t="str">
            <v/>
          </cell>
          <cell r="AS10">
            <v>43143</v>
          </cell>
          <cell r="AT10">
            <v>45145</v>
          </cell>
          <cell r="AU10">
            <v>43294</v>
          </cell>
          <cell r="AV10">
            <v>4573</v>
          </cell>
          <cell r="AW10">
            <v>4492</v>
          </cell>
          <cell r="AX10">
            <v>1.8032056990204826</v>
          </cell>
        </row>
        <row r="11">
          <cell r="F11" t="str">
            <v>BASF SE</v>
          </cell>
          <cell r="G11" t="str">
            <v>巴斯夫公司</v>
          </cell>
          <cell r="H11">
            <v>44.58</v>
          </cell>
          <cell r="I11">
            <v>-1.5676749999999999</v>
          </cell>
          <cell r="J11">
            <v>6.7017709999999999</v>
          </cell>
          <cell r="K11">
            <v>4.9929370000000004</v>
          </cell>
          <cell r="L11">
            <v>40.389760000000003</v>
          </cell>
          <cell r="M11">
            <v>0</v>
          </cell>
          <cell r="N11">
            <v>-1.6523399999999999</v>
          </cell>
          <cell r="O11">
            <v>-11.84915</v>
          </cell>
          <cell r="P11" t="str">
            <v xml:space="preserve"> </v>
          </cell>
          <cell r="Q11" t="str">
            <v>A-</v>
          </cell>
          <cell r="R11" t="str">
            <v>A3</v>
          </cell>
          <cell r="S11" t="str">
            <v>A</v>
          </cell>
          <cell r="T11" t="str">
            <v>STABLE</v>
          </cell>
          <cell r="U11" t="str">
            <v>STABLE</v>
          </cell>
          <cell r="V11" t="str">
            <v>STABLE</v>
          </cell>
          <cell r="X11" t="str">
            <v>A-</v>
          </cell>
          <cell r="Y11" t="str">
            <v>A3</v>
          </cell>
          <cell r="Z11" t="str">
            <v>A</v>
          </cell>
          <cell r="AA11" t="str">
            <v>STABLE</v>
          </cell>
          <cell r="AB11" t="str">
            <v>STABLE</v>
          </cell>
          <cell r="AC11" t="str">
            <v>STABLE</v>
          </cell>
          <cell r="AD11">
            <v>0</v>
          </cell>
          <cell r="AE11">
            <v>0</v>
          </cell>
          <cell r="AF11">
            <v>0</v>
          </cell>
          <cell r="AG11">
            <v>0</v>
          </cell>
          <cell r="AH11">
            <v>0</v>
          </cell>
          <cell r="AI11">
            <v>0</v>
          </cell>
          <cell r="AJ11" t="str">
            <v/>
          </cell>
          <cell r="AK11">
            <v>39788638071.119995</v>
          </cell>
          <cell r="AL11" t="str">
            <v>EUR</v>
          </cell>
          <cell r="AM11">
            <v>0.86060000000000003</v>
          </cell>
          <cell r="AN11">
            <v>46.233602220683238</v>
          </cell>
          <cell r="AP11" t="str">
            <v/>
          </cell>
          <cell r="AQ11" t="str">
            <v/>
          </cell>
          <cell r="AR11" t="str">
            <v/>
          </cell>
          <cell r="AS11">
            <v>45140</v>
          </cell>
          <cell r="AT11">
            <v>45372</v>
          </cell>
          <cell r="AU11">
            <v>43962</v>
          </cell>
          <cell r="AV11">
            <v>45.29</v>
          </cell>
          <cell r="AW11">
            <v>42.03</v>
          </cell>
          <cell r="AX11">
            <v>7.7563645015465088</v>
          </cell>
        </row>
        <row r="12">
          <cell r="F12" t="str">
            <v>Corp Nacional del Cobre de Chi</v>
          </cell>
          <cell r="G12" t="str">
            <v>智利國家銅業公司</v>
          </cell>
          <cell r="H12" t="str">
            <v>-</v>
          </cell>
          <cell r="I12" t="str">
            <v>-</v>
          </cell>
          <cell r="J12" t="str">
            <v>-</v>
          </cell>
          <cell r="K12" t="str">
            <v>-</v>
          </cell>
          <cell r="L12">
            <v>61.940919999999998</v>
          </cell>
          <cell r="M12">
            <v>0</v>
          </cell>
          <cell r="N12">
            <v>0.30437999999999998</v>
          </cell>
          <cell r="O12">
            <v>-3.4238400000000002</v>
          </cell>
          <cell r="P12" t="str">
            <v>Y</v>
          </cell>
          <cell r="Q12" t="str">
            <v>BBB+</v>
          </cell>
          <cell r="R12" t="str">
            <v>Baa2</v>
          </cell>
          <cell r="S12" t="str">
            <v>BBB+</v>
          </cell>
          <cell r="T12" t="str">
            <v>STABLE</v>
          </cell>
          <cell r="U12" t="str">
            <v>STABLE</v>
          </cell>
          <cell r="V12" t="str">
            <v>STABLE</v>
          </cell>
          <cell r="X12" t="str">
            <v>A-</v>
          </cell>
          <cell r="Y12" t="str">
            <v>A3</v>
          </cell>
          <cell r="Z12" t="str">
            <v>A</v>
          </cell>
          <cell r="AA12" t="str">
            <v>STABLE</v>
          </cell>
          <cell r="AB12" t="str">
            <v>STABLE</v>
          </cell>
          <cell r="AC12" t="str">
            <v>STABLE</v>
          </cell>
          <cell r="AD12">
            <v>1</v>
          </cell>
          <cell r="AE12">
            <v>1</v>
          </cell>
          <cell r="AF12">
            <v>1</v>
          </cell>
          <cell r="AG12">
            <v>0</v>
          </cell>
          <cell r="AH12">
            <v>0</v>
          </cell>
          <cell r="AI12">
            <v>0</v>
          </cell>
          <cell r="AJ12" t="str">
            <v/>
          </cell>
          <cell r="AK12" t="str">
            <v>#N/A N/A</v>
          </cell>
          <cell r="AL12" t="str">
            <v>CLP</v>
          </cell>
          <cell r="AM12">
            <v>969.85</v>
          </cell>
          <cell r="AN12" t="e">
            <v>#VALUE!</v>
          </cell>
          <cell r="AP12" t="str">
            <v/>
          </cell>
          <cell r="AQ12" t="str">
            <v/>
          </cell>
          <cell r="AR12" t="str">
            <v/>
          </cell>
          <cell r="AS12" t="str">
            <v/>
          </cell>
          <cell r="AT12">
            <v>45796</v>
          </cell>
          <cell r="AU12">
            <v>45252</v>
          </cell>
          <cell r="AV12" t="str">
            <v>-</v>
          </cell>
          <cell r="AW12" t="str">
            <v>-</v>
          </cell>
          <cell r="AX12" t="str">
            <v>-</v>
          </cell>
        </row>
        <row r="13">
          <cell r="F13" t="str">
            <v>Cargill Inc</v>
          </cell>
          <cell r="G13" t="str">
            <v>嘉吉公司</v>
          </cell>
          <cell r="H13" t="str">
            <v>-</v>
          </cell>
          <cell r="I13" t="str">
            <v>-</v>
          </cell>
          <cell r="J13" t="str">
            <v>-</v>
          </cell>
          <cell r="K13" t="str">
            <v>-</v>
          </cell>
          <cell r="L13">
            <v>43.209490000000002</v>
          </cell>
          <cell r="M13">
            <v>0</v>
          </cell>
          <cell r="N13">
            <v>-1.2456100000000001</v>
          </cell>
          <cell r="O13">
            <v>-9.4500000000000001E-3</v>
          </cell>
          <cell r="P13" t="str">
            <v xml:space="preserve"> </v>
          </cell>
          <cell r="Q13" t="str">
            <v>A</v>
          </cell>
          <cell r="R13" t="str">
            <v>A2</v>
          </cell>
          <cell r="S13" t="str">
            <v>A</v>
          </cell>
          <cell r="T13" t="str">
            <v>STABLE</v>
          </cell>
          <cell r="U13" t="str">
            <v>STABLE</v>
          </cell>
          <cell r="V13" t="str">
            <v>STABLE</v>
          </cell>
          <cell r="X13" t="str">
            <v>A</v>
          </cell>
          <cell r="Y13" t="str">
            <v>A2</v>
          </cell>
          <cell r="Z13" t="str">
            <v>A</v>
          </cell>
          <cell r="AA13" t="str">
            <v>STABLE</v>
          </cell>
          <cell r="AB13" t="str">
            <v>STABLE</v>
          </cell>
          <cell r="AC13" t="str">
            <v>STABLE</v>
          </cell>
          <cell r="AD13">
            <v>0</v>
          </cell>
          <cell r="AE13">
            <v>0</v>
          </cell>
          <cell r="AF13">
            <v>0</v>
          </cell>
          <cell r="AG13">
            <v>0</v>
          </cell>
          <cell r="AH13">
            <v>0</v>
          </cell>
          <cell r="AI13">
            <v>0</v>
          </cell>
          <cell r="AJ13" t="str">
            <v/>
          </cell>
          <cell r="AK13" t="str">
            <v>#N/A N/A</v>
          </cell>
          <cell r="AL13" t="str">
            <v>USD</v>
          </cell>
          <cell r="AM13">
            <v>1</v>
          </cell>
          <cell r="AN13" t="e">
            <v>#VALUE!</v>
          </cell>
          <cell r="AP13" t="str">
            <v/>
          </cell>
          <cell r="AQ13" t="str">
            <v/>
          </cell>
          <cell r="AR13" t="str">
            <v/>
          </cell>
          <cell r="AS13">
            <v>39135</v>
          </cell>
          <cell r="AT13">
            <v>45138</v>
          </cell>
          <cell r="AU13">
            <v>38971</v>
          </cell>
          <cell r="AV13" t="str">
            <v>-</v>
          </cell>
          <cell r="AW13" t="str">
            <v>-</v>
          </cell>
          <cell r="AX13" t="str">
            <v>-</v>
          </cell>
        </row>
        <row r="14">
          <cell r="F14" t="str">
            <v>Vale SA</v>
          </cell>
          <cell r="G14" t="str">
            <v>淡水河谷</v>
          </cell>
          <cell r="H14">
            <v>55.33</v>
          </cell>
          <cell r="I14">
            <v>-0.1083228</v>
          </cell>
          <cell r="J14">
            <v>2.1225540000000001</v>
          </cell>
          <cell r="K14">
            <v>1.4298820000000001</v>
          </cell>
          <cell r="L14">
            <v>77.250169999999997</v>
          </cell>
          <cell r="M14">
            <v>0</v>
          </cell>
          <cell r="N14">
            <v>-0.24403</v>
          </cell>
          <cell r="O14">
            <v>-79.271029999999996</v>
          </cell>
          <cell r="P14" t="str">
            <v xml:space="preserve"> </v>
          </cell>
          <cell r="Q14" t="str">
            <v>BBB-</v>
          </cell>
          <cell r="R14" t="str">
            <v>Baa2</v>
          </cell>
          <cell r="S14" t="str">
            <v>BBB</v>
          </cell>
          <cell r="T14" t="str">
            <v>STABLE</v>
          </cell>
          <cell r="U14" t="str">
            <v>STABLE</v>
          </cell>
          <cell r="V14" t="str">
            <v>POS</v>
          </cell>
          <cell r="X14" t="str">
            <v>BBB-</v>
          </cell>
          <cell r="Y14" t="str">
            <v>Baa2</v>
          </cell>
          <cell r="Z14" t="str">
            <v>BBB</v>
          </cell>
          <cell r="AA14" t="str">
            <v>STABLE</v>
          </cell>
          <cell r="AB14" t="str">
            <v>STABLE</v>
          </cell>
          <cell r="AC14" t="str">
            <v>POS</v>
          </cell>
          <cell r="AD14">
            <v>0</v>
          </cell>
          <cell r="AE14">
            <v>0</v>
          </cell>
          <cell r="AF14">
            <v>0</v>
          </cell>
          <cell r="AG14">
            <v>0</v>
          </cell>
          <cell r="AH14">
            <v>0</v>
          </cell>
          <cell r="AI14">
            <v>0</v>
          </cell>
          <cell r="AJ14" t="str">
            <v/>
          </cell>
          <cell r="AK14">
            <v>251143289401.39999</v>
          </cell>
          <cell r="AL14" t="str">
            <v>BRL</v>
          </cell>
          <cell r="AM14">
            <v>5.4425999999999997</v>
          </cell>
          <cell r="AN14">
            <v>46.143991732150077</v>
          </cell>
          <cell r="AP14" t="str">
            <v/>
          </cell>
          <cell r="AQ14" t="str">
            <v/>
          </cell>
          <cell r="AR14" t="str">
            <v/>
          </cell>
          <cell r="AS14">
            <v>43545</v>
          </cell>
          <cell r="AT14">
            <v>45810</v>
          </cell>
          <cell r="AU14">
            <v>44075</v>
          </cell>
          <cell r="AV14">
            <v>55.39</v>
          </cell>
          <cell r="AW14">
            <v>53.75</v>
          </cell>
          <cell r="AX14">
            <v>3.0511627906976813</v>
          </cell>
        </row>
        <row r="15">
          <cell r="F15" t="str">
            <v>Corp Nacional del Cobre de Chi</v>
          </cell>
          <cell r="G15" t="str">
            <v>智利國家銅業公司</v>
          </cell>
          <cell r="H15" t="str">
            <v>-</v>
          </cell>
          <cell r="I15" t="str">
            <v>-</v>
          </cell>
          <cell r="J15" t="str">
            <v>-</v>
          </cell>
          <cell r="K15" t="str">
            <v>-</v>
          </cell>
          <cell r="L15">
            <v>61.940919999999998</v>
          </cell>
          <cell r="M15">
            <v>0</v>
          </cell>
          <cell r="N15">
            <v>0.30437999999999998</v>
          </cell>
          <cell r="O15">
            <v>-3.4238400000000002</v>
          </cell>
          <cell r="P15" t="str">
            <v xml:space="preserve"> </v>
          </cell>
          <cell r="Q15" t="str">
            <v>BBB+</v>
          </cell>
          <cell r="R15" t="str">
            <v>Baa2</v>
          </cell>
          <cell r="S15" t="str">
            <v>BBB+</v>
          </cell>
          <cell r="T15" t="str">
            <v>STABLE</v>
          </cell>
          <cell r="U15" t="str">
            <v>STABLE</v>
          </cell>
          <cell r="V15" t="str">
            <v>STABLE</v>
          </cell>
          <cell r="X15" t="str">
            <v>BBB+</v>
          </cell>
          <cell r="Y15" t="str">
            <v>Baa2</v>
          </cell>
          <cell r="Z15" t="str">
            <v>BBB+</v>
          </cell>
          <cell r="AA15" t="str">
            <v>STABLE</v>
          </cell>
          <cell r="AB15" t="str">
            <v>STABLE</v>
          </cell>
          <cell r="AC15" t="str">
            <v>STABLE</v>
          </cell>
          <cell r="AD15">
            <v>0</v>
          </cell>
          <cell r="AE15">
            <v>0</v>
          </cell>
          <cell r="AF15">
            <v>0</v>
          </cell>
          <cell r="AG15">
            <v>0</v>
          </cell>
          <cell r="AH15">
            <v>0</v>
          </cell>
          <cell r="AI15">
            <v>0</v>
          </cell>
          <cell r="AJ15" t="str">
            <v/>
          </cell>
          <cell r="AK15" t="str">
            <v>#N/A N/A</v>
          </cell>
          <cell r="AL15" t="str">
            <v>CLP</v>
          </cell>
          <cell r="AM15">
            <v>969.85</v>
          </cell>
          <cell r="AN15" t="e">
            <v>#VALUE!</v>
          </cell>
          <cell r="AP15" t="str">
            <v/>
          </cell>
          <cell r="AQ15" t="str">
            <v/>
          </cell>
          <cell r="AR15" t="str">
            <v/>
          </cell>
          <cell r="AS15" t="str">
            <v/>
          </cell>
          <cell r="AT15">
            <v>45796</v>
          </cell>
          <cell r="AU15">
            <v>45252</v>
          </cell>
          <cell r="AV15" t="str">
            <v>-</v>
          </cell>
          <cell r="AW15" t="str">
            <v>-</v>
          </cell>
          <cell r="AX15" t="str">
            <v>-</v>
          </cell>
        </row>
        <row r="16">
          <cell r="F16" t="str">
            <v>Tencent Holdings Ltd</v>
          </cell>
          <cell r="G16" t="str">
            <v>騰訊控股有限公司</v>
          </cell>
          <cell r="H16">
            <v>561</v>
          </cell>
          <cell r="I16">
            <v>0</v>
          </cell>
          <cell r="J16">
            <v>0.35778179999999998</v>
          </cell>
          <cell r="K16">
            <v>34.53237</v>
          </cell>
          <cell r="L16">
            <v>45.79419</v>
          </cell>
          <cell r="M16">
            <v>0</v>
          </cell>
          <cell r="N16">
            <v>0.39062000000000002</v>
          </cell>
          <cell r="O16">
            <v>-4.2797499999999999</v>
          </cell>
          <cell r="P16" t="str">
            <v xml:space="preserve"> </v>
          </cell>
          <cell r="Q16" t="str">
            <v>A+</v>
          </cell>
          <cell r="R16" t="str">
            <v>A1</v>
          </cell>
          <cell r="S16" t="str">
            <v>A</v>
          </cell>
          <cell r="T16" t="str">
            <v>STABLE</v>
          </cell>
          <cell r="U16" t="str">
            <v>NEG</v>
          </cell>
          <cell r="V16" t="str">
            <v>STABLE</v>
          </cell>
          <cell r="X16" t="str">
            <v>A+</v>
          </cell>
          <cell r="Y16" t="str">
            <v>A1</v>
          </cell>
          <cell r="Z16" t="str">
            <v>A</v>
          </cell>
          <cell r="AA16" t="str">
            <v>STABLE</v>
          </cell>
          <cell r="AB16" t="str">
            <v>NEG</v>
          </cell>
          <cell r="AC16" t="str">
            <v>STABLE</v>
          </cell>
          <cell r="AD16">
            <v>0</v>
          </cell>
          <cell r="AE16">
            <v>0</v>
          </cell>
          <cell r="AF16">
            <v>0</v>
          </cell>
          <cell r="AG16">
            <v>0</v>
          </cell>
          <cell r="AH16">
            <v>0</v>
          </cell>
          <cell r="AI16">
            <v>0</v>
          </cell>
          <cell r="AJ16" t="str">
            <v/>
          </cell>
          <cell r="AK16">
            <v>5135247777594</v>
          </cell>
          <cell r="AL16" t="str">
            <v>HKD</v>
          </cell>
          <cell r="AM16">
            <v>7.8498999999999999</v>
          </cell>
          <cell r="AN16">
            <v>654.18002491675054</v>
          </cell>
          <cell r="AP16" t="str">
            <v/>
          </cell>
          <cell r="AQ16" t="str">
            <v/>
          </cell>
          <cell r="AR16" t="str">
            <v/>
          </cell>
          <cell r="AS16">
            <v>42852</v>
          </cell>
          <cell r="AT16">
            <v>45804</v>
          </cell>
          <cell r="AU16">
            <v>45756</v>
          </cell>
          <cell r="AV16">
            <v>561</v>
          </cell>
          <cell r="AW16">
            <v>535</v>
          </cell>
          <cell r="AX16">
            <v>4.8598130841121412</v>
          </cell>
        </row>
        <row r="17">
          <cell r="F17" t="str">
            <v>SoftBank Group Corp</v>
          </cell>
          <cell r="G17" t="str">
            <v>軟銀集團公司</v>
          </cell>
          <cell r="H17">
            <v>14875</v>
          </cell>
          <cell r="I17">
            <v>7.284529</v>
          </cell>
          <cell r="J17">
            <v>28.454229999999999</v>
          </cell>
          <cell r="K17">
            <v>61.948830000000001</v>
          </cell>
          <cell r="L17" t="str">
            <v xml:space="preserve"> </v>
          </cell>
          <cell r="M17" t="str">
            <v xml:space="preserve"> </v>
          </cell>
          <cell r="N17" t="str">
            <v xml:space="preserve"> </v>
          </cell>
          <cell r="O17" t="str">
            <v xml:space="preserve"> </v>
          </cell>
          <cell r="P17" t="str">
            <v xml:space="preserve"> </v>
          </cell>
          <cell r="Q17" t="str">
            <v>BB+</v>
          </cell>
          <cell r="R17" t="str">
            <v>Ba3u</v>
          </cell>
          <cell r="S17" t="str">
            <v>-</v>
          </cell>
          <cell r="T17" t="str">
            <v>STABLE</v>
          </cell>
          <cell r="U17" t="str">
            <v>POS</v>
          </cell>
          <cell r="V17" t="str">
            <v xml:space="preserve"> </v>
          </cell>
          <cell r="X17" t="str">
            <v>BB+</v>
          </cell>
          <cell r="Y17" t="str">
            <v>Ba3u</v>
          </cell>
          <cell r="Z17" t="str">
            <v>-</v>
          </cell>
          <cell r="AA17" t="str">
            <v>STABLE</v>
          </cell>
          <cell r="AB17" t="str">
            <v>POS</v>
          </cell>
          <cell r="AC17" t="str">
            <v xml:space="preserve"> </v>
          </cell>
          <cell r="AD17">
            <v>0</v>
          </cell>
          <cell r="AE17">
            <v>0</v>
          </cell>
          <cell r="AF17">
            <v>0</v>
          </cell>
          <cell r="AG17">
            <v>0</v>
          </cell>
          <cell r="AH17">
            <v>0</v>
          </cell>
          <cell r="AI17">
            <v>0</v>
          </cell>
          <cell r="AJ17" t="str">
            <v/>
          </cell>
          <cell r="AK17">
            <v>21866179046250.004</v>
          </cell>
          <cell r="AL17" t="str">
            <v>JPY</v>
          </cell>
          <cell r="AM17">
            <v>148.27000000000001</v>
          </cell>
          <cell r="AN17">
            <v>147.47541003743174</v>
          </cell>
          <cell r="AP17" t="str">
            <v/>
          </cell>
          <cell r="AQ17" t="str">
            <v/>
          </cell>
          <cell r="AR17" t="str">
            <v/>
          </cell>
          <cell r="AS17">
            <v>45434</v>
          </cell>
          <cell r="AT17">
            <v>45623</v>
          </cell>
          <cell r="AU17" t="str">
            <v/>
          </cell>
          <cell r="AV17">
            <v>13865</v>
          </cell>
          <cell r="AW17">
            <v>11585</v>
          </cell>
          <cell r="AX17">
            <v>19.680621493310312</v>
          </cell>
        </row>
        <row r="18">
          <cell r="F18" t="str">
            <v>Lumen Technologies Inc</v>
          </cell>
          <cell r="G18" t="str">
            <v>流明科技公司</v>
          </cell>
          <cell r="H18" t="str">
            <v>-</v>
          </cell>
          <cell r="I18" t="str">
            <v>-</v>
          </cell>
          <cell r="J18" t="str">
            <v>-</v>
          </cell>
          <cell r="K18" t="str">
            <v>-</v>
          </cell>
          <cell r="L18">
            <v>631.93140000000005</v>
          </cell>
          <cell r="M18">
            <v>0</v>
          </cell>
          <cell r="N18">
            <v>-22.0321</v>
          </cell>
          <cell r="O18">
            <v>126.0518</v>
          </cell>
          <cell r="P18" t="str">
            <v xml:space="preserve"> </v>
          </cell>
          <cell r="Q18" t="str">
            <v>B-</v>
          </cell>
          <cell r="R18" t="str">
            <v>B3 *+</v>
          </cell>
          <cell r="S18" t="str">
            <v>CCC+ *+</v>
          </cell>
          <cell r="T18" t="str">
            <v>STABLE</v>
          </cell>
          <cell r="U18" t="str">
            <v xml:space="preserve"> </v>
          </cell>
          <cell r="V18" t="str">
            <v xml:space="preserve"> </v>
          </cell>
          <cell r="X18" t="str">
            <v>B-</v>
          </cell>
          <cell r="Y18" t="str">
            <v>B3 *+</v>
          </cell>
          <cell r="Z18" t="str">
            <v>CCC+ *+</v>
          </cell>
          <cell r="AA18" t="str">
            <v>STABLE</v>
          </cell>
          <cell r="AB18" t="str">
            <v xml:space="preserve"> </v>
          </cell>
          <cell r="AC18" t="str">
            <v xml:space="preserve"> </v>
          </cell>
          <cell r="AD18">
            <v>0</v>
          </cell>
          <cell r="AE18">
            <v>0</v>
          </cell>
          <cell r="AF18">
            <v>0</v>
          </cell>
          <cell r="AG18">
            <v>0</v>
          </cell>
          <cell r="AH18">
            <v>0</v>
          </cell>
          <cell r="AI18">
            <v>0</v>
          </cell>
          <cell r="AJ18" t="str">
            <v/>
          </cell>
          <cell r="AK18" t="str">
            <v>#N/A N/A</v>
          </cell>
          <cell r="AL18" t="str">
            <v>USD</v>
          </cell>
          <cell r="AM18">
            <v>1</v>
          </cell>
          <cell r="AN18" t="e">
            <v>#VALUE!</v>
          </cell>
          <cell r="AP18" t="str">
            <v/>
          </cell>
          <cell r="AQ18" t="str">
            <v/>
          </cell>
          <cell r="AR18" t="str">
            <v/>
          </cell>
          <cell r="AS18">
            <v>45719</v>
          </cell>
          <cell r="AT18">
            <v>45806</v>
          </cell>
          <cell r="AU18">
            <v>45855</v>
          </cell>
          <cell r="AV18" t="str">
            <v>-</v>
          </cell>
          <cell r="AW18" t="str">
            <v>-</v>
          </cell>
          <cell r="AX18" t="str">
            <v>-</v>
          </cell>
        </row>
        <row r="19">
          <cell r="F19" t="str">
            <v>AT&amp;T Inc</v>
          </cell>
          <cell r="G19" t="str">
            <v>AT&amp;T公司</v>
          </cell>
          <cell r="H19">
            <v>28.14</v>
          </cell>
          <cell r="I19">
            <v>0.21367520000000001</v>
          </cell>
          <cell r="J19">
            <v>1.66185</v>
          </cell>
          <cell r="K19">
            <v>23.583659999999998</v>
          </cell>
          <cell r="L19">
            <v>65.827269999999999</v>
          </cell>
          <cell r="M19">
            <v>0</v>
          </cell>
          <cell r="N19">
            <v>-3.6510000000000001E-2</v>
          </cell>
          <cell r="O19">
            <v>-15.21461</v>
          </cell>
          <cell r="P19" t="str">
            <v xml:space="preserve"> </v>
          </cell>
          <cell r="Q19" t="str">
            <v>BBB</v>
          </cell>
          <cell r="R19" t="str">
            <v>Baa2</v>
          </cell>
          <cell r="S19" t="str">
            <v>BBB+</v>
          </cell>
          <cell r="T19" t="str">
            <v>POS</v>
          </cell>
          <cell r="U19" t="str">
            <v>STABLE</v>
          </cell>
          <cell r="V19" t="str">
            <v>STABLE</v>
          </cell>
          <cell r="X19" t="str">
            <v>BBB</v>
          </cell>
          <cell r="Y19" t="str">
            <v>Baa2</v>
          </cell>
          <cell r="Z19" t="str">
            <v>BBB+</v>
          </cell>
          <cell r="AA19" t="str">
            <v>POS</v>
          </cell>
          <cell r="AB19" t="str">
            <v>STABLE</v>
          </cell>
          <cell r="AC19" t="str">
            <v>STABLE</v>
          </cell>
          <cell r="AD19">
            <v>0</v>
          </cell>
          <cell r="AE19">
            <v>0</v>
          </cell>
          <cell r="AF19">
            <v>0</v>
          </cell>
          <cell r="AG19">
            <v>0</v>
          </cell>
          <cell r="AH19">
            <v>0</v>
          </cell>
          <cell r="AI19">
            <v>0</v>
          </cell>
          <cell r="AJ19" t="str">
            <v/>
          </cell>
          <cell r="AK19">
            <v>201211847407.20001</v>
          </cell>
          <cell r="AL19" t="str">
            <v>USD</v>
          </cell>
          <cell r="AM19">
            <v>1</v>
          </cell>
          <cell r="AN19">
            <v>201.21184740720003</v>
          </cell>
          <cell r="AP19" t="str">
            <v/>
          </cell>
          <cell r="AQ19" t="str">
            <v/>
          </cell>
          <cell r="AR19" t="str">
            <v/>
          </cell>
          <cell r="AS19">
            <v>43266</v>
          </cell>
          <cell r="AT19">
            <v>45429</v>
          </cell>
          <cell r="AU19">
            <v>44267</v>
          </cell>
          <cell r="AV19">
            <v>28.08</v>
          </cell>
          <cell r="AW19">
            <v>27.75</v>
          </cell>
          <cell r="AX19">
            <v>1.189189189189177</v>
          </cell>
        </row>
        <row r="20">
          <cell r="F20" t="str">
            <v>Verizon Communications Inc</v>
          </cell>
          <cell r="G20" t="str">
            <v>威瑞森電信公司</v>
          </cell>
          <cell r="H20">
            <v>43.18</v>
          </cell>
          <cell r="I20">
            <v>6.9524909999999995E-2</v>
          </cell>
          <cell r="J20">
            <v>0.53550640000000005</v>
          </cell>
          <cell r="K20">
            <v>7.9769899999999998</v>
          </cell>
          <cell r="L20">
            <v>65.827269999999999</v>
          </cell>
          <cell r="M20">
            <v>0</v>
          </cell>
          <cell r="N20">
            <v>-3.6510000000000001E-2</v>
          </cell>
          <cell r="O20">
            <v>-15.21461</v>
          </cell>
          <cell r="P20" t="str">
            <v xml:space="preserve"> </v>
          </cell>
          <cell r="Q20" t="str">
            <v>BBB+</v>
          </cell>
          <cell r="R20" t="str">
            <v>Baa1</v>
          </cell>
          <cell r="S20" t="str">
            <v>A-</v>
          </cell>
          <cell r="T20" t="str">
            <v>STABLE</v>
          </cell>
          <cell r="U20" t="str">
            <v>STABLE</v>
          </cell>
          <cell r="V20" t="str">
            <v>STABLE</v>
          </cell>
          <cell r="X20" t="str">
            <v>BBB+</v>
          </cell>
          <cell r="Y20" t="str">
            <v>Baa1</v>
          </cell>
          <cell r="Z20" t="str">
            <v>A-</v>
          </cell>
          <cell r="AA20" t="str">
            <v>STABLE</v>
          </cell>
          <cell r="AB20" t="str">
            <v>STABLE</v>
          </cell>
          <cell r="AC20" t="str">
            <v>STABLE</v>
          </cell>
          <cell r="AD20">
            <v>0</v>
          </cell>
          <cell r="AE20">
            <v>0</v>
          </cell>
          <cell r="AF20">
            <v>0</v>
          </cell>
          <cell r="AG20">
            <v>0</v>
          </cell>
          <cell r="AH20">
            <v>0</v>
          </cell>
          <cell r="AI20">
            <v>0</v>
          </cell>
          <cell r="AJ20" t="str">
            <v>Y</v>
          </cell>
          <cell r="AK20">
            <v>182060905209.43988</v>
          </cell>
          <cell r="AL20" t="str">
            <v>USD</v>
          </cell>
          <cell r="AM20">
            <v>1</v>
          </cell>
          <cell r="AN20">
            <v>182.06090520943988</v>
          </cell>
          <cell r="AP20" t="str">
            <v/>
          </cell>
          <cell r="AQ20">
            <v>1</v>
          </cell>
          <cell r="AR20" t="str">
            <v/>
          </cell>
          <cell r="AS20">
            <v>41519</v>
          </cell>
          <cell r="AT20">
            <v>45876</v>
          </cell>
          <cell r="AU20">
            <v>41520</v>
          </cell>
          <cell r="AV20">
            <v>43.15</v>
          </cell>
          <cell r="AW20">
            <v>42.88</v>
          </cell>
          <cell r="AX20">
            <v>0.62966417910446104</v>
          </cell>
        </row>
        <row r="21">
          <cell r="F21" t="str">
            <v>Orange SA</v>
          </cell>
          <cell r="G21" t="str">
            <v>橙色有限責任公司</v>
          </cell>
          <cell r="H21">
            <v>14.15</v>
          </cell>
          <cell r="I21">
            <v>1.5793250000000001</v>
          </cell>
          <cell r="J21">
            <v>3.0214780000000001</v>
          </cell>
          <cell r="K21">
            <v>46.967179999999999</v>
          </cell>
          <cell r="L21">
            <v>32.38073</v>
          </cell>
          <cell r="M21">
            <v>0</v>
          </cell>
          <cell r="N21">
            <v>-1.69682</v>
          </cell>
          <cell r="O21">
            <v>-3.7909799999999998</v>
          </cell>
          <cell r="P21" t="str">
            <v xml:space="preserve"> </v>
          </cell>
          <cell r="Q21" t="str">
            <v>BBB+</v>
          </cell>
          <cell r="R21" t="str">
            <v>Baa1</v>
          </cell>
          <cell r="S21" t="str">
            <v>BBB+</v>
          </cell>
          <cell r="T21" t="str">
            <v>STABLE</v>
          </cell>
          <cell r="U21" t="str">
            <v>STABLE</v>
          </cell>
          <cell r="V21" t="str">
            <v>STABLE</v>
          </cell>
          <cell r="X21" t="str">
            <v>BBB+</v>
          </cell>
          <cell r="Y21" t="str">
            <v>Baa1</v>
          </cell>
          <cell r="Z21" t="str">
            <v>BBB+</v>
          </cell>
          <cell r="AA21" t="str">
            <v>STABLE</v>
          </cell>
          <cell r="AB21" t="str">
            <v>STABLE</v>
          </cell>
          <cell r="AC21" t="str">
            <v>STABLE</v>
          </cell>
          <cell r="AD21">
            <v>0</v>
          </cell>
          <cell r="AE21">
            <v>0</v>
          </cell>
          <cell r="AF21">
            <v>0</v>
          </cell>
          <cell r="AG21">
            <v>0</v>
          </cell>
          <cell r="AH21">
            <v>0</v>
          </cell>
          <cell r="AI21">
            <v>0</v>
          </cell>
          <cell r="AJ21" t="str">
            <v/>
          </cell>
          <cell r="AK21">
            <v>37639800875.849998</v>
          </cell>
          <cell r="AL21" t="str">
            <v>EUR</v>
          </cell>
          <cell r="AM21">
            <v>0.86060000000000003</v>
          </cell>
          <cell r="AN21">
            <v>43.736696346560542</v>
          </cell>
          <cell r="AP21" t="str">
            <v/>
          </cell>
          <cell r="AQ21" t="str">
            <v/>
          </cell>
          <cell r="AR21" t="str">
            <v/>
          </cell>
          <cell r="AS21">
            <v>41386</v>
          </cell>
          <cell r="AT21">
            <v>45783</v>
          </cell>
          <cell r="AU21">
            <v>41212</v>
          </cell>
          <cell r="AV21">
            <v>13.93</v>
          </cell>
          <cell r="AW21">
            <v>13.824999999999999</v>
          </cell>
          <cell r="AX21">
            <v>0.75949367088608</v>
          </cell>
        </row>
        <row r="22">
          <cell r="F22" t="str">
            <v>Deutsche Telekom AG</v>
          </cell>
          <cell r="G22" t="str">
            <v>德意志電信</v>
          </cell>
          <cell r="H22">
            <v>29.97</v>
          </cell>
          <cell r="I22">
            <v>1.5243899999999999</v>
          </cell>
          <cell r="J22">
            <v>-4.8873369999999996</v>
          </cell>
          <cell r="K22">
            <v>3.7383199999999999</v>
          </cell>
          <cell r="L22">
            <v>30.98357</v>
          </cell>
          <cell r="M22">
            <v>0</v>
          </cell>
          <cell r="N22">
            <v>-0.83601000000000003</v>
          </cell>
          <cell r="O22">
            <v>-7.61076</v>
          </cell>
          <cell r="P22" t="str">
            <v xml:space="preserve"> </v>
          </cell>
          <cell r="Q22" t="str">
            <v>BBB+</v>
          </cell>
          <cell r="R22" t="str">
            <v>Baa1</v>
          </cell>
          <cell r="S22" t="str">
            <v>BBB+</v>
          </cell>
          <cell r="T22" t="str">
            <v>POS</v>
          </cell>
          <cell r="U22" t="str">
            <v>POS</v>
          </cell>
          <cell r="V22" t="str">
            <v>STABLE</v>
          </cell>
          <cell r="X22" t="str">
            <v>BBB+</v>
          </cell>
          <cell r="Y22" t="str">
            <v>Baa1</v>
          </cell>
          <cell r="Z22" t="str">
            <v>BBB+</v>
          </cell>
          <cell r="AA22" t="str">
            <v>POS</v>
          </cell>
          <cell r="AB22" t="str">
            <v>POS</v>
          </cell>
          <cell r="AC22" t="str">
            <v>STABLE</v>
          </cell>
          <cell r="AD22">
            <v>0</v>
          </cell>
          <cell r="AE22">
            <v>0</v>
          </cell>
          <cell r="AF22">
            <v>0</v>
          </cell>
          <cell r="AG22">
            <v>0</v>
          </cell>
          <cell r="AH22">
            <v>0</v>
          </cell>
          <cell r="AI22">
            <v>0</v>
          </cell>
          <cell r="AJ22" t="str">
            <v/>
          </cell>
          <cell r="AK22">
            <v>149444164122.11996</v>
          </cell>
          <cell r="AL22" t="str">
            <v>EUR</v>
          </cell>
          <cell r="AM22">
            <v>0.86060000000000003</v>
          </cell>
          <cell r="AN22">
            <v>173.65113191043454</v>
          </cell>
          <cell r="AP22" t="str">
            <v/>
          </cell>
          <cell r="AQ22" t="str">
            <v/>
          </cell>
          <cell r="AR22" t="str">
            <v/>
          </cell>
          <cell r="AS22">
            <v>45065</v>
          </cell>
          <cell r="AT22">
            <v>45588</v>
          </cell>
          <cell r="AU22">
            <v>39926</v>
          </cell>
          <cell r="AV22">
            <v>29.52</v>
          </cell>
          <cell r="AW22">
            <v>31.09</v>
          </cell>
          <cell r="AX22">
            <v>-5.0498552589256951</v>
          </cell>
        </row>
        <row r="23">
          <cell r="F23" t="str">
            <v>SK Telecom Co Ltd</v>
          </cell>
          <cell r="G23" t="str">
            <v>鮮京電信</v>
          </cell>
          <cell r="H23">
            <v>56200</v>
          </cell>
          <cell r="I23">
            <v>0.53667260000000006</v>
          </cell>
          <cell r="J23">
            <v>-0.53097349999999999</v>
          </cell>
          <cell r="K23">
            <v>1.8115939999999999</v>
          </cell>
          <cell r="L23">
            <v>45.79419</v>
          </cell>
          <cell r="M23">
            <v>0</v>
          </cell>
          <cell r="N23">
            <v>0.39062000000000002</v>
          </cell>
          <cell r="O23">
            <v>-4.2797499999999999</v>
          </cell>
          <cell r="P23" t="str">
            <v xml:space="preserve"> </v>
          </cell>
          <cell r="Q23" t="str">
            <v>A-</v>
          </cell>
          <cell r="R23" t="str">
            <v>A3</v>
          </cell>
          <cell r="S23" t="str">
            <v>A-</v>
          </cell>
          <cell r="T23" t="str">
            <v>STABLE</v>
          </cell>
          <cell r="U23" t="str">
            <v>STABLE</v>
          </cell>
          <cell r="V23" t="str">
            <v>STABLE</v>
          </cell>
          <cell r="X23" t="str">
            <v>A-</v>
          </cell>
          <cell r="Y23" t="str">
            <v>A3</v>
          </cell>
          <cell r="Z23" t="str">
            <v>A-</v>
          </cell>
          <cell r="AA23" t="str">
            <v>STABLE</v>
          </cell>
          <cell r="AB23" t="str">
            <v>STABLE</v>
          </cell>
          <cell r="AC23" t="str">
            <v>STABLE</v>
          </cell>
          <cell r="AD23">
            <v>0</v>
          </cell>
          <cell r="AE23">
            <v>0</v>
          </cell>
          <cell r="AF23">
            <v>0</v>
          </cell>
          <cell r="AG23">
            <v>0</v>
          </cell>
          <cell r="AH23">
            <v>0</v>
          </cell>
          <cell r="AI23">
            <v>0</v>
          </cell>
          <cell r="AJ23" t="str">
            <v/>
          </cell>
          <cell r="AK23">
            <v>12071200978600</v>
          </cell>
          <cell r="AL23" t="str">
            <v>KRW</v>
          </cell>
          <cell r="AM23">
            <v>1389.5</v>
          </cell>
          <cell r="AN23">
            <v>8.6874422300107952</v>
          </cell>
          <cell r="AP23" t="str">
            <v/>
          </cell>
          <cell r="AQ23" t="str">
            <v/>
          </cell>
          <cell r="AR23" t="str">
            <v/>
          </cell>
          <cell r="AS23">
            <v>40953</v>
          </cell>
          <cell r="AT23">
            <v>45749</v>
          </cell>
          <cell r="AU23">
            <v>40952</v>
          </cell>
          <cell r="AV23">
            <v>56100</v>
          </cell>
          <cell r="AW23">
            <v>55500</v>
          </cell>
          <cell r="AX23">
            <v>1.08108108108107</v>
          </cell>
        </row>
        <row r="24">
          <cell r="F24" t="str">
            <v>Vodafone Group PLC</v>
          </cell>
          <cell r="G24" t="str">
            <v>沃達豐集團公開有限公司</v>
          </cell>
          <cell r="H24">
            <v>85.78</v>
          </cell>
          <cell r="I24">
            <v>1.4187749999999999</v>
          </cell>
          <cell r="J24">
            <v>3.4990350000000001</v>
          </cell>
          <cell r="K24">
            <v>25.592970000000001</v>
          </cell>
          <cell r="L24">
            <v>48.61242</v>
          </cell>
          <cell r="M24">
            <v>0</v>
          </cell>
          <cell r="N24">
            <v>-0.25413000000000002</v>
          </cell>
          <cell r="O24">
            <v>-6.9007800000000001</v>
          </cell>
          <cell r="P24" t="str">
            <v xml:space="preserve"> </v>
          </cell>
          <cell r="Q24" t="str">
            <v>BBB</v>
          </cell>
          <cell r="R24" t="str">
            <v>Baa2</v>
          </cell>
          <cell r="S24" t="str">
            <v>BBB</v>
          </cell>
          <cell r="T24" t="str">
            <v>STABLE</v>
          </cell>
          <cell r="U24" t="str">
            <v>STABLE</v>
          </cell>
          <cell r="V24" t="str">
            <v>POS</v>
          </cell>
          <cell r="X24" t="str">
            <v>BBB</v>
          </cell>
          <cell r="Y24" t="str">
            <v>Baa2</v>
          </cell>
          <cell r="Z24" t="str">
            <v>BBB</v>
          </cell>
          <cell r="AA24" t="str">
            <v>STABLE</v>
          </cell>
          <cell r="AB24" t="str">
            <v>STABLE</v>
          </cell>
          <cell r="AC24" t="str">
            <v>POS</v>
          </cell>
          <cell r="AD24">
            <v>0</v>
          </cell>
          <cell r="AE24">
            <v>0</v>
          </cell>
          <cell r="AF24">
            <v>0</v>
          </cell>
          <cell r="AG24">
            <v>0</v>
          </cell>
          <cell r="AH24">
            <v>0</v>
          </cell>
          <cell r="AI24">
            <v>0</v>
          </cell>
          <cell r="AJ24" t="str">
            <v/>
          </cell>
          <cell r="AK24">
            <v>20751729266.185802</v>
          </cell>
          <cell r="AL24" t="str">
            <v>GBp</v>
          </cell>
          <cell r="AM24">
            <v>0.74450000000000005</v>
          </cell>
          <cell r="AN24">
            <v>27.873377120464475</v>
          </cell>
          <cell r="AP24" t="str">
            <v/>
          </cell>
          <cell r="AQ24" t="str">
            <v/>
          </cell>
          <cell r="AR24" t="str">
            <v/>
          </cell>
          <cell r="AS24">
            <v>43678</v>
          </cell>
          <cell r="AT24">
            <v>45636</v>
          </cell>
          <cell r="AU24">
            <v>43690</v>
          </cell>
          <cell r="AV24">
            <v>84.58</v>
          </cell>
          <cell r="AW24">
            <v>82.86</v>
          </cell>
          <cell r="AX24">
            <v>2.0757904899830981</v>
          </cell>
        </row>
        <row r="25">
          <cell r="F25" t="str">
            <v>T-Mobile US Inc</v>
          </cell>
          <cell r="G25" t="str">
            <v>T-Mobile美國公司</v>
          </cell>
          <cell r="H25">
            <v>248.87</v>
          </cell>
          <cell r="I25">
            <v>1.587885</v>
          </cell>
          <cell r="J25">
            <v>3.2612749999999999</v>
          </cell>
          <cell r="K25">
            <v>12.748609999999999</v>
          </cell>
          <cell r="L25">
            <v>42.27608</v>
          </cell>
          <cell r="M25">
            <v>0</v>
          </cell>
          <cell r="N25">
            <v>-0.11722</v>
          </cell>
          <cell r="O25">
            <v>2.0447600000000001</v>
          </cell>
          <cell r="P25" t="str">
            <v xml:space="preserve"> </v>
          </cell>
          <cell r="Q25" t="str">
            <v>BBB</v>
          </cell>
          <cell r="R25" t="str">
            <v>-</v>
          </cell>
          <cell r="S25" t="str">
            <v>BBB+</v>
          </cell>
          <cell r="T25" t="str">
            <v>POS</v>
          </cell>
          <cell r="U25" t="str">
            <v xml:space="preserve"> </v>
          </cell>
          <cell r="V25" t="str">
            <v>STABLE</v>
          </cell>
          <cell r="X25" t="str">
            <v>BBB</v>
          </cell>
          <cell r="Y25" t="str">
            <v>-</v>
          </cell>
          <cell r="Z25" t="str">
            <v>BBB+</v>
          </cell>
          <cell r="AA25" t="str">
            <v>POS</v>
          </cell>
          <cell r="AB25" t="str">
            <v xml:space="preserve"> </v>
          </cell>
          <cell r="AC25" t="str">
            <v>STABLE</v>
          </cell>
          <cell r="AD25">
            <v>0</v>
          </cell>
          <cell r="AE25">
            <v>0</v>
          </cell>
          <cell r="AF25">
            <v>0</v>
          </cell>
          <cell r="AG25">
            <v>0</v>
          </cell>
          <cell r="AH25">
            <v>0</v>
          </cell>
          <cell r="AI25">
            <v>0</v>
          </cell>
          <cell r="AJ25" t="str">
            <v/>
          </cell>
          <cell r="AK25">
            <v>280083035987.06</v>
          </cell>
          <cell r="AL25" t="str">
            <v>USD</v>
          </cell>
          <cell r="AM25">
            <v>1</v>
          </cell>
          <cell r="AN25">
            <v>280.08303598705999</v>
          </cell>
          <cell r="AP25" t="str">
            <v/>
          </cell>
          <cell r="AQ25" t="str">
            <v/>
          </cell>
          <cell r="AR25" t="str">
            <v/>
          </cell>
          <cell r="AS25">
            <v>45065</v>
          </cell>
          <cell r="AT25" t="str">
            <v/>
          </cell>
          <cell r="AU25">
            <v>45030</v>
          </cell>
          <cell r="AV25">
            <v>244.98</v>
          </cell>
          <cell r="AW25">
            <v>237.2</v>
          </cell>
          <cell r="AX25">
            <v>3.2799325463743756</v>
          </cell>
        </row>
        <row r="26">
          <cell r="F26" t="str">
            <v>Telefonica SA</v>
          </cell>
          <cell r="G26" t="str">
            <v>西班牙電信公司</v>
          </cell>
          <cell r="H26">
            <v>4.6970000000000001</v>
          </cell>
          <cell r="I26">
            <v>0.96732589999999996</v>
          </cell>
          <cell r="J26">
            <v>2.398082</v>
          </cell>
          <cell r="K26">
            <v>19.304040000000001</v>
          </cell>
          <cell r="L26">
            <v>72.409769999999995</v>
          </cell>
          <cell r="M26">
            <v>0</v>
          </cell>
          <cell r="N26">
            <v>-2.6748699999999999</v>
          </cell>
          <cell r="O26">
            <v>13.62369</v>
          </cell>
          <cell r="P26" t="str">
            <v xml:space="preserve"> </v>
          </cell>
          <cell r="Q26" t="str">
            <v>BBB-</v>
          </cell>
          <cell r="R26" t="str">
            <v>Baa3</v>
          </cell>
          <cell r="S26" t="str">
            <v>BBB</v>
          </cell>
          <cell r="T26" t="str">
            <v>STABLE</v>
          </cell>
          <cell r="U26" t="str">
            <v>STABLE</v>
          </cell>
          <cell r="V26" t="str">
            <v>STABLE</v>
          </cell>
          <cell r="X26" t="str">
            <v>BBB-</v>
          </cell>
          <cell r="Y26" t="str">
            <v>Baa3</v>
          </cell>
          <cell r="Z26" t="str">
            <v>BBB</v>
          </cell>
          <cell r="AA26" t="str">
            <v>STABLE</v>
          </cell>
          <cell r="AB26" t="str">
            <v>STABLE</v>
          </cell>
          <cell r="AC26" t="str">
            <v>STABLE</v>
          </cell>
          <cell r="AD26">
            <v>0</v>
          </cell>
          <cell r="AE26">
            <v>0</v>
          </cell>
          <cell r="AF26">
            <v>0</v>
          </cell>
          <cell r="AG26">
            <v>0</v>
          </cell>
          <cell r="AH26">
            <v>0</v>
          </cell>
          <cell r="AI26">
            <v>0</v>
          </cell>
          <cell r="AJ26" t="str">
            <v/>
          </cell>
          <cell r="AK26">
            <v>26632748819.137989</v>
          </cell>
          <cell r="AL26" t="str">
            <v>EUR</v>
          </cell>
          <cell r="AM26">
            <v>0.86060000000000003</v>
          </cell>
          <cell r="AN26">
            <v>30.946721844222623</v>
          </cell>
          <cell r="AP26" t="str">
            <v/>
          </cell>
          <cell r="AQ26" t="str">
            <v/>
          </cell>
          <cell r="AR26" t="str">
            <v/>
          </cell>
          <cell r="AS26">
            <v>44155</v>
          </cell>
          <cell r="AT26">
            <v>45237</v>
          </cell>
          <cell r="AU26">
            <v>42618</v>
          </cell>
          <cell r="AV26">
            <v>4.6520000000000001</v>
          </cell>
          <cell r="AW26">
            <v>4.55</v>
          </cell>
          <cell r="AX26">
            <v>2.2417582417582516</v>
          </cell>
        </row>
        <row r="27">
          <cell r="F27" t="str">
            <v>Comcast Corp</v>
          </cell>
          <cell r="G27" t="str">
            <v>康卡斯特公司</v>
          </cell>
          <cell r="H27">
            <v>31.41</v>
          </cell>
          <cell r="I27">
            <v>-0.82096619999999998</v>
          </cell>
          <cell r="J27">
            <v>-3.5319410000000002</v>
          </cell>
          <cell r="K27">
            <v>-16.306950000000001</v>
          </cell>
          <cell r="L27">
            <v>65.827269999999999</v>
          </cell>
          <cell r="M27">
            <v>0</v>
          </cell>
          <cell r="N27">
            <v>-3.6510000000000001E-2</v>
          </cell>
          <cell r="O27">
            <v>-15.21461</v>
          </cell>
          <cell r="P27" t="str">
            <v xml:space="preserve"> </v>
          </cell>
          <cell r="Q27" t="str">
            <v>A-</v>
          </cell>
          <cell r="R27" t="str">
            <v>A3</v>
          </cell>
          <cell r="S27" t="str">
            <v>A-</v>
          </cell>
          <cell r="T27" t="str">
            <v>STABLE</v>
          </cell>
          <cell r="U27" t="str">
            <v>STABLE</v>
          </cell>
          <cell r="V27" t="str">
            <v>STABLE</v>
          </cell>
          <cell r="X27" t="str">
            <v>A-</v>
          </cell>
          <cell r="Y27" t="str">
            <v>A3</v>
          </cell>
          <cell r="Z27" t="str">
            <v>A-</v>
          </cell>
          <cell r="AA27" t="str">
            <v>STABLE</v>
          </cell>
          <cell r="AB27" t="str">
            <v>STABLE</v>
          </cell>
          <cell r="AC27" t="str">
            <v>STABLE</v>
          </cell>
          <cell r="AD27">
            <v>0</v>
          </cell>
          <cell r="AE27">
            <v>0</v>
          </cell>
          <cell r="AF27">
            <v>0</v>
          </cell>
          <cell r="AG27">
            <v>0</v>
          </cell>
          <cell r="AH27">
            <v>0</v>
          </cell>
          <cell r="AI27">
            <v>0</v>
          </cell>
          <cell r="AJ27" t="str">
            <v/>
          </cell>
          <cell r="AK27">
            <v>115972206229.01819</v>
          </cell>
          <cell r="AL27" t="str">
            <v>USD</v>
          </cell>
          <cell r="AM27">
            <v>1</v>
          </cell>
          <cell r="AN27">
            <v>115.97220622901818</v>
          </cell>
          <cell r="AP27" t="str">
            <v/>
          </cell>
          <cell r="AQ27" t="str">
            <v/>
          </cell>
          <cell r="AR27" t="str">
            <v/>
          </cell>
          <cell r="AS27">
            <v>43368</v>
          </cell>
          <cell r="AT27">
            <v>45572</v>
          </cell>
          <cell r="AU27">
            <v>41674</v>
          </cell>
          <cell r="AV27">
            <v>31.67</v>
          </cell>
          <cell r="AW27">
            <v>32.520000000000003</v>
          </cell>
          <cell r="AX27">
            <v>-2.6137761377613811</v>
          </cell>
        </row>
        <row r="28">
          <cell r="F28" t="str">
            <v>America Movil SAB de CV</v>
          </cell>
          <cell r="G28" t="str">
            <v>美洲移動通訊公司</v>
          </cell>
          <cell r="H28" t="str">
            <v>-</v>
          </cell>
          <cell r="I28" t="str">
            <v>-</v>
          </cell>
          <cell r="J28" t="str">
            <v>-</v>
          </cell>
          <cell r="K28" t="str">
            <v>-</v>
          </cell>
          <cell r="L28">
            <v>45.79419</v>
          </cell>
          <cell r="M28">
            <v>0</v>
          </cell>
          <cell r="N28">
            <v>0.39062000000000002</v>
          </cell>
          <cell r="O28">
            <v>-79.988010000000003</v>
          </cell>
          <cell r="P28" t="str">
            <v xml:space="preserve"> </v>
          </cell>
          <cell r="Q28" t="str">
            <v>A-</v>
          </cell>
          <cell r="R28" t="str">
            <v>Baa1</v>
          </cell>
          <cell r="S28" t="str">
            <v>A-</v>
          </cell>
          <cell r="T28" t="str">
            <v>STABLE</v>
          </cell>
          <cell r="U28" t="str">
            <v>STABLE</v>
          </cell>
          <cell r="V28" t="str">
            <v>STABLE</v>
          </cell>
          <cell r="X28" t="str">
            <v>A-</v>
          </cell>
          <cell r="Y28" t="str">
            <v>Baa1</v>
          </cell>
          <cell r="Z28" t="str">
            <v>A-</v>
          </cell>
          <cell r="AA28" t="str">
            <v>STABLE</v>
          </cell>
          <cell r="AB28" t="str">
            <v>STABLE</v>
          </cell>
          <cell r="AC28" t="str">
            <v>STABLE</v>
          </cell>
          <cell r="AD28">
            <v>0</v>
          </cell>
          <cell r="AE28">
            <v>0</v>
          </cell>
          <cell r="AF28">
            <v>0</v>
          </cell>
          <cell r="AG28">
            <v>0</v>
          </cell>
          <cell r="AH28">
            <v>0</v>
          </cell>
          <cell r="AI28">
            <v>0</v>
          </cell>
          <cell r="AJ28" t="str">
            <v/>
          </cell>
          <cell r="AK28" t="str">
            <v>#N/A N/A</v>
          </cell>
          <cell r="AL28" t="str">
            <v>MXN</v>
          </cell>
          <cell r="AM28">
            <v>18.673500000000001</v>
          </cell>
          <cell r="AN28" t="e">
            <v>#VALUE!</v>
          </cell>
          <cell r="AP28" t="str">
            <v/>
          </cell>
          <cell r="AQ28" t="str">
            <v/>
          </cell>
          <cell r="AR28" t="str">
            <v/>
          </cell>
          <cell r="AS28">
            <v>44748</v>
          </cell>
          <cell r="AT28">
            <v>45611</v>
          </cell>
          <cell r="AU28">
            <v>43706</v>
          </cell>
          <cell r="AV28" t="str">
            <v>-</v>
          </cell>
          <cell r="AW28" t="str">
            <v>-</v>
          </cell>
          <cell r="AX28" t="str">
            <v>-</v>
          </cell>
        </row>
        <row r="29">
          <cell r="F29" t="str">
            <v>Netflix Inc</v>
          </cell>
          <cell r="G29" t="str">
            <v>網飛公司</v>
          </cell>
          <cell r="H29">
            <v>1218.31</v>
          </cell>
          <cell r="I29">
            <v>0.55049349999999997</v>
          </cell>
          <cell r="J29">
            <v>4.0410250000000003</v>
          </cell>
          <cell r="K29">
            <v>36.686039999999998</v>
          </cell>
          <cell r="L29">
            <v>23.90596</v>
          </cell>
          <cell r="M29">
            <v>0</v>
          </cell>
          <cell r="N29">
            <v>0</v>
          </cell>
          <cell r="O29">
            <v>-11.62058</v>
          </cell>
          <cell r="P29" t="str">
            <v>Y</v>
          </cell>
          <cell r="Q29" t="str">
            <v>A</v>
          </cell>
          <cell r="R29" t="str">
            <v>A3</v>
          </cell>
          <cell r="S29" t="str">
            <v>-</v>
          </cell>
          <cell r="T29" t="str">
            <v>STABLE</v>
          </cell>
          <cell r="U29" t="str">
            <v>POS</v>
          </cell>
          <cell r="V29" t="str">
            <v xml:space="preserve"> </v>
          </cell>
          <cell r="X29" t="str">
            <v>BBB</v>
          </cell>
          <cell r="Y29" t="str">
            <v>Baa2</v>
          </cell>
          <cell r="Z29" t="str">
            <v>BBB+</v>
          </cell>
          <cell r="AA29" t="str">
            <v>POS</v>
          </cell>
          <cell r="AB29" t="str">
            <v>STABLE</v>
          </cell>
          <cell r="AC29" t="str">
            <v>STABLE</v>
          </cell>
          <cell r="AD29">
            <v>1</v>
          </cell>
          <cell r="AE29">
            <v>1</v>
          </cell>
          <cell r="AF29">
            <v>1</v>
          </cell>
          <cell r="AG29">
            <v>1</v>
          </cell>
          <cell r="AH29">
            <v>1</v>
          </cell>
          <cell r="AI29">
            <v>1</v>
          </cell>
          <cell r="AJ29" t="str">
            <v/>
          </cell>
          <cell r="AK29">
            <v>517692016595.25995</v>
          </cell>
          <cell r="AL29" t="str">
            <v>USD</v>
          </cell>
          <cell r="AM29">
            <v>1</v>
          </cell>
          <cell r="AN29">
            <v>517.69201659525993</v>
          </cell>
          <cell r="AP29" t="str">
            <v/>
          </cell>
          <cell r="AQ29" t="str">
            <v/>
          </cell>
          <cell r="AR29" t="str">
            <v/>
          </cell>
          <cell r="AS29">
            <v>45495</v>
          </cell>
          <cell r="AT29">
            <v>45778</v>
          </cell>
          <cell r="AU29" t="str">
            <v/>
          </cell>
          <cell r="AV29">
            <v>1211.6400000000001</v>
          </cell>
          <cell r="AW29">
            <v>1158.5999999999999</v>
          </cell>
          <cell r="AX29">
            <v>4.5779388917659425</v>
          </cell>
        </row>
        <row r="30">
          <cell r="F30" t="str">
            <v>Walt Disney Co/The</v>
          </cell>
          <cell r="G30" t="str">
            <v>華特迪士尼公司</v>
          </cell>
          <cell r="H30">
            <v>112.55</v>
          </cell>
          <cell r="I30">
            <v>0.1067331</v>
          </cell>
          <cell r="J30">
            <v>-5.6975280000000001</v>
          </cell>
          <cell r="K30">
            <v>1.0776840000000001</v>
          </cell>
          <cell r="L30">
            <v>33.094259999999998</v>
          </cell>
          <cell r="M30">
            <v>0</v>
          </cell>
          <cell r="N30">
            <v>0.51014999999999999</v>
          </cell>
          <cell r="O30">
            <v>-2.43228</v>
          </cell>
          <cell r="P30" t="str">
            <v>Y</v>
          </cell>
          <cell r="Q30" t="str">
            <v>A</v>
          </cell>
          <cell r="R30" t="str">
            <v>A2</v>
          </cell>
          <cell r="S30" t="str">
            <v>A-</v>
          </cell>
          <cell r="T30" t="str">
            <v>STABLE</v>
          </cell>
          <cell r="U30" t="str">
            <v>STABLE</v>
          </cell>
          <cell r="V30" t="str">
            <v>STABLE</v>
          </cell>
          <cell r="X30" t="str">
            <v>BBB</v>
          </cell>
          <cell r="Y30" t="str">
            <v>Baa2</v>
          </cell>
          <cell r="Z30" t="str">
            <v>BBB+</v>
          </cell>
          <cell r="AA30" t="str">
            <v>POS</v>
          </cell>
          <cell r="AB30" t="str">
            <v>STABLE</v>
          </cell>
          <cell r="AC30" t="str">
            <v>STABLE</v>
          </cell>
          <cell r="AD30">
            <v>1</v>
          </cell>
          <cell r="AE30">
            <v>1</v>
          </cell>
          <cell r="AF30">
            <v>1</v>
          </cell>
          <cell r="AG30">
            <v>1</v>
          </cell>
          <cell r="AH30">
            <v>0</v>
          </cell>
          <cell r="AI30">
            <v>0</v>
          </cell>
          <cell r="AJ30" t="str">
            <v/>
          </cell>
          <cell r="AK30">
            <v>202357452904.14996</v>
          </cell>
          <cell r="AL30" t="str">
            <v>USD</v>
          </cell>
          <cell r="AM30">
            <v>1</v>
          </cell>
          <cell r="AN30">
            <v>202.35745290414997</v>
          </cell>
          <cell r="AP30" t="str">
            <v/>
          </cell>
          <cell r="AQ30" t="str">
            <v/>
          </cell>
          <cell r="AR30" t="str">
            <v/>
          </cell>
          <cell r="AS30">
            <v>45628</v>
          </cell>
          <cell r="AT30">
            <v>45580</v>
          </cell>
          <cell r="AU30">
            <v>43957</v>
          </cell>
          <cell r="AV30">
            <v>112.43</v>
          </cell>
          <cell r="AW30">
            <v>116.59</v>
          </cell>
          <cell r="AX30">
            <v>-3.5680590102067034</v>
          </cell>
        </row>
        <row r="31">
          <cell r="F31" t="str">
            <v>Warner Bros Discovery Inc</v>
          </cell>
          <cell r="G31" t="str">
            <v>華納兄弟探索公司</v>
          </cell>
          <cell r="H31">
            <v>10.78</v>
          </cell>
          <cell r="I31">
            <v>-1.191567</v>
          </cell>
          <cell r="J31">
            <v>-15.78125</v>
          </cell>
          <cell r="K31">
            <v>1.986758</v>
          </cell>
          <cell r="L31" t="str">
            <v xml:space="preserve"> </v>
          </cell>
          <cell r="M31" t="str">
            <v xml:space="preserve"> </v>
          </cell>
          <cell r="N31" t="str">
            <v xml:space="preserve"> </v>
          </cell>
          <cell r="O31" t="str">
            <v xml:space="preserve"> </v>
          </cell>
          <cell r="P31" t="str">
            <v>Y</v>
          </cell>
          <cell r="Q31" t="str">
            <v>BB+ *-</v>
          </cell>
          <cell r="R31" t="str">
            <v>Ba1 *-</v>
          </cell>
          <cell r="S31" t="str">
            <v>BB+ *-</v>
          </cell>
          <cell r="T31" t="str">
            <v xml:space="preserve"> </v>
          </cell>
          <cell r="U31" t="str">
            <v xml:space="preserve"> </v>
          </cell>
          <cell r="V31" t="str">
            <v xml:space="preserve"> </v>
          </cell>
          <cell r="X31" t="str">
            <v>BBB</v>
          </cell>
          <cell r="Y31" t="str">
            <v>Baa2</v>
          </cell>
          <cell r="Z31" t="str">
            <v>BBB+</v>
          </cell>
          <cell r="AA31" t="str">
            <v>POS</v>
          </cell>
          <cell r="AB31" t="str">
            <v>STABLE</v>
          </cell>
          <cell r="AC31" t="str">
            <v>STABLE</v>
          </cell>
          <cell r="AD31">
            <v>1</v>
          </cell>
          <cell r="AE31">
            <v>1</v>
          </cell>
          <cell r="AF31">
            <v>1</v>
          </cell>
          <cell r="AG31">
            <v>1</v>
          </cell>
          <cell r="AH31">
            <v>1</v>
          </cell>
          <cell r="AI31">
            <v>1</v>
          </cell>
          <cell r="AJ31" t="str">
            <v/>
          </cell>
          <cell r="AK31">
            <v>26688825199.959995</v>
          </cell>
          <cell r="AL31" t="str">
            <v>USD</v>
          </cell>
          <cell r="AM31">
            <v>1</v>
          </cell>
          <cell r="AN31">
            <v>26.688825199959997</v>
          </cell>
          <cell r="AP31" t="str">
            <v/>
          </cell>
          <cell r="AQ31" t="str">
            <v/>
          </cell>
          <cell r="AR31" t="str">
            <v/>
          </cell>
          <cell r="AS31">
            <v>45817</v>
          </cell>
          <cell r="AT31">
            <v>45818</v>
          </cell>
          <cell r="AU31">
            <v>45819</v>
          </cell>
          <cell r="AV31">
            <v>10.91</v>
          </cell>
          <cell r="AW31">
            <v>12.87</v>
          </cell>
          <cell r="AX31">
            <v>-15.229215229215221</v>
          </cell>
        </row>
        <row r="32">
          <cell r="F32" t="str">
            <v>Fox Corp</v>
          </cell>
          <cell r="G32" t="str">
            <v>福斯公司</v>
          </cell>
          <cell r="H32">
            <v>54.5</v>
          </cell>
          <cell r="I32">
            <v>0.88855980000000001</v>
          </cell>
          <cell r="J32">
            <v>-4.3524039999999999</v>
          </cell>
          <cell r="K32">
            <v>12.18608</v>
          </cell>
          <cell r="L32" t="str">
            <v>#N/A N/A BEST Curncy</v>
          </cell>
          <cell r="M32" t="str">
            <v>#N/A N/A BEST Curncy</v>
          </cell>
          <cell r="N32" t="str">
            <v>#N/A N/A BEST Curncy</v>
          </cell>
          <cell r="O32" t="str">
            <v>#N/A N/A BEST Curncy</v>
          </cell>
          <cell r="P32" t="str">
            <v>Y</v>
          </cell>
          <cell r="Q32" t="str">
            <v>BBB</v>
          </cell>
          <cell r="R32" t="str">
            <v>Baa2</v>
          </cell>
          <cell r="S32" t="str">
            <v>-</v>
          </cell>
          <cell r="T32" t="str">
            <v>STABLE</v>
          </cell>
          <cell r="U32" t="str">
            <v>STABLE</v>
          </cell>
          <cell r="V32" t="str">
            <v xml:space="preserve"> </v>
          </cell>
          <cell r="X32" t="str">
            <v>BBB</v>
          </cell>
          <cell r="Y32" t="str">
            <v>Baa2</v>
          </cell>
          <cell r="Z32" t="str">
            <v>BBB+</v>
          </cell>
          <cell r="AA32" t="str">
            <v>POS</v>
          </cell>
          <cell r="AB32" t="str">
            <v>STABLE</v>
          </cell>
          <cell r="AC32" t="str">
            <v>STABLE</v>
          </cell>
          <cell r="AD32">
            <v>0</v>
          </cell>
          <cell r="AE32">
            <v>0</v>
          </cell>
          <cell r="AF32">
            <v>1</v>
          </cell>
          <cell r="AG32">
            <v>1</v>
          </cell>
          <cell r="AH32">
            <v>0</v>
          </cell>
          <cell r="AI32">
            <v>1</v>
          </cell>
          <cell r="AJ32" t="str">
            <v/>
          </cell>
          <cell r="AK32">
            <v>23134430173.75</v>
          </cell>
          <cell r="AL32" t="str">
            <v>USD</v>
          </cell>
          <cell r="AM32">
            <v>1</v>
          </cell>
          <cell r="AN32">
            <v>23.134430173750001</v>
          </cell>
          <cell r="AP32" t="str">
            <v/>
          </cell>
          <cell r="AQ32" t="str">
            <v/>
          </cell>
          <cell r="AR32" t="str">
            <v/>
          </cell>
          <cell r="AS32">
            <v>43475</v>
          </cell>
          <cell r="AT32">
            <v>45457</v>
          </cell>
          <cell r="AU32" t="str">
            <v/>
          </cell>
          <cell r="AV32">
            <v>54.02</v>
          </cell>
          <cell r="AW32">
            <v>55.54</v>
          </cell>
          <cell r="AX32">
            <v>-2.7367662945624649</v>
          </cell>
        </row>
        <row r="33">
          <cell r="F33" t="str">
            <v>Sony Group Corp</v>
          </cell>
          <cell r="G33" t="str">
            <v>索尼</v>
          </cell>
          <cell r="H33">
            <v>4025</v>
          </cell>
          <cell r="I33">
            <v>0.75093869999999996</v>
          </cell>
          <cell r="J33">
            <v>11.28007</v>
          </cell>
          <cell r="K33">
            <v>19.412289999999999</v>
          </cell>
          <cell r="L33">
            <v>53.088329999999999</v>
          </cell>
          <cell r="M33">
            <v>0</v>
          </cell>
          <cell r="N33">
            <v>29.808229999999998</v>
          </cell>
          <cell r="O33">
            <v>32.911999999999999</v>
          </cell>
          <cell r="P33" t="str">
            <v>Y</v>
          </cell>
          <cell r="Q33" t="str">
            <v>A</v>
          </cell>
          <cell r="R33" t="str">
            <v>A2</v>
          </cell>
          <cell r="S33" t="str">
            <v>WD</v>
          </cell>
          <cell r="T33" t="str">
            <v>STABLE</v>
          </cell>
          <cell r="U33" t="str">
            <v>STABLE</v>
          </cell>
          <cell r="V33" t="str">
            <v xml:space="preserve"> </v>
          </cell>
          <cell r="X33" t="str">
            <v>BBB</v>
          </cell>
          <cell r="Y33" t="str">
            <v>Baa2</v>
          </cell>
          <cell r="Z33" t="str">
            <v>BBB+</v>
          </cell>
          <cell r="AA33" t="str">
            <v>POS</v>
          </cell>
          <cell r="AB33" t="str">
            <v>STABLE</v>
          </cell>
          <cell r="AC33" t="str">
            <v>STABLE</v>
          </cell>
          <cell r="AD33">
            <v>1</v>
          </cell>
          <cell r="AE33">
            <v>1</v>
          </cell>
          <cell r="AF33">
            <v>1</v>
          </cell>
          <cell r="AG33">
            <v>1</v>
          </cell>
          <cell r="AH33">
            <v>0</v>
          </cell>
          <cell r="AI33">
            <v>1</v>
          </cell>
          <cell r="AJ33" t="str">
            <v/>
          </cell>
          <cell r="AK33">
            <v>24740688224834.996</v>
          </cell>
          <cell r="AL33" t="str">
            <v>JPY</v>
          </cell>
          <cell r="AM33">
            <v>148.27000000000001</v>
          </cell>
          <cell r="AN33">
            <v>166.86240119265526</v>
          </cell>
          <cell r="AP33" t="str">
            <v/>
          </cell>
          <cell r="AQ33" t="str">
            <v/>
          </cell>
          <cell r="AR33" t="str">
            <v/>
          </cell>
          <cell r="AS33">
            <v>44651</v>
          </cell>
          <cell r="AT33">
            <v>45475</v>
          </cell>
          <cell r="AU33">
            <v>45855</v>
          </cell>
          <cell r="AV33">
            <v>3995</v>
          </cell>
          <cell r="AW33">
            <v>3680</v>
          </cell>
          <cell r="AX33">
            <v>8.5597826086956541</v>
          </cell>
        </row>
        <row r="34">
          <cell r="F34" t="str">
            <v>Paramount Global</v>
          </cell>
          <cell r="G34" t="str">
            <v>派拉蒙全球</v>
          </cell>
          <cell r="H34">
            <v>11.04</v>
          </cell>
          <cell r="I34" t="str">
            <v>-</v>
          </cell>
          <cell r="J34" t="str">
            <v>-</v>
          </cell>
          <cell r="K34">
            <v>5.5449330000000003</v>
          </cell>
          <cell r="L34">
            <v>65.827269999999999</v>
          </cell>
          <cell r="M34">
            <v>0</v>
          </cell>
          <cell r="N34">
            <v>-3.6510000000000001E-2</v>
          </cell>
          <cell r="O34">
            <v>-15.21461</v>
          </cell>
          <cell r="P34" t="str">
            <v>Y</v>
          </cell>
          <cell r="Q34" t="str">
            <v>BB+</v>
          </cell>
          <cell r="R34" t="str">
            <v>Baa3</v>
          </cell>
          <cell r="S34" t="str">
            <v>BBB-</v>
          </cell>
          <cell r="T34" t="str">
            <v>STABLE</v>
          </cell>
          <cell r="U34" t="str">
            <v>NEG</v>
          </cell>
          <cell r="V34" t="str">
            <v>NEG</v>
          </cell>
          <cell r="X34" t="str">
            <v>BBB</v>
          </cell>
          <cell r="Y34" t="str">
            <v>Baa2</v>
          </cell>
          <cell r="Z34" t="str">
            <v>BBB+</v>
          </cell>
          <cell r="AA34" t="str">
            <v>POS</v>
          </cell>
          <cell r="AB34" t="str">
            <v>STABLE</v>
          </cell>
          <cell r="AC34" t="str">
            <v>STABLE</v>
          </cell>
          <cell r="AD34">
            <v>1</v>
          </cell>
          <cell r="AE34">
            <v>1</v>
          </cell>
          <cell r="AF34">
            <v>1</v>
          </cell>
          <cell r="AG34">
            <v>1</v>
          </cell>
          <cell r="AH34">
            <v>1</v>
          </cell>
          <cell r="AI34">
            <v>1</v>
          </cell>
          <cell r="AJ34" t="str">
            <v/>
          </cell>
          <cell r="AK34">
            <v>6994085099.039999</v>
          </cell>
          <cell r="AL34" t="str">
            <v>USD</v>
          </cell>
          <cell r="AM34">
            <v>1</v>
          </cell>
          <cell r="AN34">
            <v>6.9940850990399994</v>
          </cell>
          <cell r="AP34" t="str">
            <v/>
          </cell>
          <cell r="AQ34" t="str">
            <v/>
          </cell>
          <cell r="AR34" t="str">
            <v/>
          </cell>
          <cell r="AS34">
            <v>45378</v>
          </cell>
          <cell r="AT34">
            <v>45604</v>
          </cell>
          <cell r="AU34">
            <v>45357</v>
          </cell>
          <cell r="AV34" t="str">
            <v>-</v>
          </cell>
          <cell r="AW34">
            <v>13.01</v>
          </cell>
          <cell r="AX34" t="str">
            <v>-</v>
          </cell>
        </row>
        <row r="35">
          <cell r="F35" t="str">
            <v>Ford Motor Co</v>
          </cell>
          <cell r="G35" t="str">
            <v>福特汽車公司</v>
          </cell>
          <cell r="H35">
            <v>11.14</v>
          </cell>
          <cell r="I35">
            <v>-0.2685765</v>
          </cell>
          <cell r="J35">
            <v>1.73516</v>
          </cell>
          <cell r="K35">
            <v>12.525259999999999</v>
          </cell>
          <cell r="L35">
            <v>149.87270000000001</v>
          </cell>
          <cell r="M35">
            <v>0</v>
          </cell>
          <cell r="N35">
            <v>-5.6485000000000003</v>
          </cell>
          <cell r="O35">
            <v>3.5828000000000002</v>
          </cell>
          <cell r="P35" t="str">
            <v xml:space="preserve"> </v>
          </cell>
          <cell r="Q35" t="str">
            <v>BBB-</v>
          </cell>
          <cell r="R35" t="str">
            <v>Ba1</v>
          </cell>
          <cell r="S35" t="str">
            <v>BBB-</v>
          </cell>
          <cell r="T35" t="str">
            <v>NEG</v>
          </cell>
          <cell r="U35" t="str">
            <v>STABLE</v>
          </cell>
          <cell r="V35" t="str">
            <v>STABLE</v>
          </cell>
          <cell r="X35" t="str">
            <v>BBB-</v>
          </cell>
          <cell r="Y35" t="str">
            <v>Ba1</v>
          </cell>
          <cell r="Z35" t="str">
            <v>BBB-</v>
          </cell>
          <cell r="AA35" t="str">
            <v>NEG</v>
          </cell>
          <cell r="AB35" t="str">
            <v>STABLE</v>
          </cell>
          <cell r="AC35" t="str">
            <v>STABLE</v>
          </cell>
          <cell r="AD35">
            <v>0</v>
          </cell>
          <cell r="AE35">
            <v>0</v>
          </cell>
          <cell r="AF35">
            <v>0</v>
          </cell>
          <cell r="AG35">
            <v>0</v>
          </cell>
          <cell r="AH35">
            <v>0</v>
          </cell>
          <cell r="AI35">
            <v>0</v>
          </cell>
          <cell r="AJ35" t="str">
            <v/>
          </cell>
          <cell r="AK35">
            <v>44335643708.580009</v>
          </cell>
          <cell r="AL35" t="str">
            <v>USD</v>
          </cell>
          <cell r="AM35">
            <v>1</v>
          </cell>
          <cell r="AN35">
            <v>44.335643708580008</v>
          </cell>
          <cell r="AP35" t="str">
            <v/>
          </cell>
          <cell r="AQ35" t="str">
            <v/>
          </cell>
          <cell r="AR35" t="str">
            <v/>
          </cell>
          <cell r="AS35">
            <v>45229</v>
          </cell>
          <cell r="AT35">
            <v>45120</v>
          </cell>
          <cell r="AU35">
            <v>45175</v>
          </cell>
          <cell r="AV35">
            <v>11.32</v>
          </cell>
          <cell r="AW35">
            <v>10.82</v>
          </cell>
          <cell r="AX35">
            <v>4.621072088724576</v>
          </cell>
        </row>
        <row r="36">
          <cell r="F36" t="str">
            <v>General Motors Co</v>
          </cell>
          <cell r="G36" t="str">
            <v>通用汽車公司</v>
          </cell>
          <cell r="H36">
            <v>54.01</v>
          </cell>
          <cell r="I36">
            <v>0.89669339999999997</v>
          </cell>
          <cell r="J36">
            <v>2.3498199999999998</v>
          </cell>
          <cell r="K36">
            <v>1.389149</v>
          </cell>
          <cell r="L36">
            <v>112.55840000000001</v>
          </cell>
          <cell r="M36">
            <v>0</v>
          </cell>
          <cell r="N36">
            <v>-3.9914000000000001</v>
          </cell>
          <cell r="O36">
            <v>11.8127</v>
          </cell>
          <cell r="P36" t="str">
            <v xml:space="preserve"> </v>
          </cell>
          <cell r="Q36" t="str">
            <v>BBB</v>
          </cell>
          <cell r="R36" t="str">
            <v>Baa2</v>
          </cell>
          <cell r="S36" t="str">
            <v>BBB</v>
          </cell>
          <cell r="T36" t="str">
            <v>STABLE</v>
          </cell>
          <cell r="U36" t="str">
            <v>STABLE</v>
          </cell>
          <cell r="V36" t="str">
            <v>POS</v>
          </cell>
          <cell r="X36" t="str">
            <v>BBB</v>
          </cell>
          <cell r="Y36" t="str">
            <v>Baa2</v>
          </cell>
          <cell r="Z36" t="str">
            <v>BBB</v>
          </cell>
          <cell r="AA36" t="str">
            <v>STABLE</v>
          </cell>
          <cell r="AB36" t="str">
            <v>STABLE</v>
          </cell>
          <cell r="AC36" t="str">
            <v>POS</v>
          </cell>
          <cell r="AD36">
            <v>0</v>
          </cell>
          <cell r="AE36">
            <v>0</v>
          </cell>
          <cell r="AF36">
            <v>0</v>
          </cell>
          <cell r="AG36">
            <v>0</v>
          </cell>
          <cell r="AH36">
            <v>0</v>
          </cell>
          <cell r="AI36">
            <v>0</v>
          </cell>
          <cell r="AJ36" t="str">
            <v/>
          </cell>
          <cell r="AK36">
            <v>51421722032.010002</v>
          </cell>
          <cell r="AL36" t="str">
            <v>USD</v>
          </cell>
          <cell r="AM36">
            <v>1</v>
          </cell>
          <cell r="AN36">
            <v>51.421722032010003</v>
          </cell>
          <cell r="AP36" t="str">
            <v/>
          </cell>
          <cell r="AQ36" t="str">
            <v/>
          </cell>
          <cell r="AR36" t="str">
            <v/>
          </cell>
          <cell r="AS36">
            <v>44054</v>
          </cell>
          <cell r="AT36">
            <v>45016</v>
          </cell>
          <cell r="AU36">
            <v>45175</v>
          </cell>
          <cell r="AV36">
            <v>53.53</v>
          </cell>
          <cell r="AW36">
            <v>52.53</v>
          </cell>
          <cell r="AX36">
            <v>1.9036740909956107</v>
          </cell>
        </row>
        <row r="37">
          <cell r="F37" t="str">
            <v>Stellantis NV</v>
          </cell>
          <cell r="G37" t="str">
            <v>繁星聯盟公眾有限公司</v>
          </cell>
          <cell r="H37">
            <v>9.35</v>
          </cell>
          <cell r="I37">
            <v>-0.84835629999999995</v>
          </cell>
          <cell r="J37">
            <v>6.9794049999999999</v>
          </cell>
          <cell r="K37">
            <v>-28.35249</v>
          </cell>
          <cell r="L37">
            <v>151.9118</v>
          </cell>
          <cell r="M37">
            <v>0</v>
          </cell>
          <cell r="N37">
            <v>-3.222</v>
          </cell>
          <cell r="O37">
            <v>3.5872000000000002</v>
          </cell>
          <cell r="P37" t="str">
            <v>Y</v>
          </cell>
          <cell r="Q37" t="str">
            <v>BBB</v>
          </cell>
          <cell r="R37" t="str">
            <v>Baa2</v>
          </cell>
          <cell r="S37" t="str">
            <v>WD</v>
          </cell>
          <cell r="T37" t="str">
            <v>NEG</v>
          </cell>
          <cell r="U37" t="str">
            <v>STABLE</v>
          </cell>
          <cell r="V37" t="str">
            <v xml:space="preserve"> </v>
          </cell>
          <cell r="X37" t="str">
            <v>BBB</v>
          </cell>
          <cell r="Y37" t="str">
            <v>Baa2</v>
          </cell>
          <cell r="Z37" t="str">
            <v>BBB</v>
          </cell>
          <cell r="AA37" t="str">
            <v>STABLE</v>
          </cell>
          <cell r="AB37" t="str">
            <v>STABLE</v>
          </cell>
          <cell r="AC37" t="str">
            <v>STABLE</v>
          </cell>
          <cell r="AD37">
            <v>0</v>
          </cell>
          <cell r="AE37">
            <v>0</v>
          </cell>
          <cell r="AF37">
            <v>1</v>
          </cell>
          <cell r="AG37">
            <v>1</v>
          </cell>
          <cell r="AH37">
            <v>0</v>
          </cell>
          <cell r="AI37">
            <v>1</v>
          </cell>
          <cell r="AJ37" t="str">
            <v/>
          </cell>
          <cell r="AK37">
            <v>27009569512.199997</v>
          </cell>
          <cell r="AL37" t="str">
            <v>USD</v>
          </cell>
          <cell r="AM37">
            <v>1</v>
          </cell>
          <cell r="AN37">
            <v>27.009569512199995</v>
          </cell>
          <cell r="AP37" t="str">
            <v/>
          </cell>
          <cell r="AQ37" t="str">
            <v/>
          </cell>
          <cell r="AR37" t="str">
            <v/>
          </cell>
          <cell r="AS37">
            <v>45722</v>
          </cell>
          <cell r="AT37">
            <v>45786</v>
          </cell>
          <cell r="AU37">
            <v>45873</v>
          </cell>
          <cell r="AV37">
            <v>9.43</v>
          </cell>
          <cell r="AW37">
            <v>8.7899999999999991</v>
          </cell>
          <cell r="AX37">
            <v>7.2810011376564399</v>
          </cell>
        </row>
        <row r="38">
          <cell r="F38" t="str">
            <v>Tesla Inc</v>
          </cell>
          <cell r="G38" t="str">
            <v>特斯拉公司</v>
          </cell>
          <cell r="H38">
            <v>339.03</v>
          </cell>
          <cell r="I38">
            <v>2.8454419999999998</v>
          </cell>
          <cell r="J38">
            <v>9.6262039999999995</v>
          </cell>
          <cell r="K38">
            <v>-16.04843</v>
          </cell>
          <cell r="L38">
            <v>235.0718</v>
          </cell>
          <cell r="M38">
            <v>0</v>
          </cell>
          <cell r="N38">
            <v>-3.7082999999999999</v>
          </cell>
          <cell r="O38">
            <v>-7.4827000000000004</v>
          </cell>
          <cell r="P38" t="str">
            <v xml:space="preserve"> </v>
          </cell>
          <cell r="Q38" t="str">
            <v>BBB</v>
          </cell>
          <cell r="R38" t="str">
            <v>Baa3</v>
          </cell>
          <cell r="S38" t="str">
            <v>-</v>
          </cell>
          <cell r="T38" t="str">
            <v>STABLE</v>
          </cell>
          <cell r="U38" t="str">
            <v>STABLE</v>
          </cell>
          <cell r="V38" t="str">
            <v xml:space="preserve"> </v>
          </cell>
          <cell r="X38" t="str">
            <v>BBB</v>
          </cell>
          <cell r="Y38" t="str">
            <v>Baa3</v>
          </cell>
          <cell r="Z38" t="str">
            <v>-</v>
          </cell>
          <cell r="AA38" t="str">
            <v>STABLE</v>
          </cell>
          <cell r="AB38" t="str">
            <v>STABLE</v>
          </cell>
          <cell r="AC38" t="str">
            <v xml:space="preserve"> </v>
          </cell>
          <cell r="AD38">
            <v>0</v>
          </cell>
          <cell r="AE38">
            <v>0</v>
          </cell>
          <cell r="AF38">
            <v>0</v>
          </cell>
          <cell r="AG38">
            <v>0</v>
          </cell>
          <cell r="AH38">
            <v>0</v>
          </cell>
          <cell r="AI38">
            <v>0</v>
          </cell>
          <cell r="AJ38" t="str">
            <v/>
          </cell>
          <cell r="AK38">
            <v>1093523936837.6699</v>
          </cell>
          <cell r="AL38" t="str">
            <v>USD</v>
          </cell>
          <cell r="AM38">
            <v>1</v>
          </cell>
          <cell r="AN38">
            <v>1093.5239368376699</v>
          </cell>
          <cell r="AP38" t="str">
            <v/>
          </cell>
          <cell r="AQ38" t="str">
            <v/>
          </cell>
          <cell r="AR38" t="str">
            <v/>
          </cell>
          <cell r="AS38">
            <v>44840</v>
          </cell>
          <cell r="AT38">
            <v>45870</v>
          </cell>
          <cell r="AU38" t="str">
            <v/>
          </cell>
          <cell r="AV38">
            <v>329.65</v>
          </cell>
          <cell r="AW38">
            <v>302.63</v>
          </cell>
          <cell r="AX38">
            <v>8.9283944090142953</v>
          </cell>
        </row>
        <row r="39">
          <cell r="F39" t="str">
            <v>Mercedes-Benz Group AG</v>
          </cell>
          <cell r="G39" t="str">
            <v>賓士集團公司</v>
          </cell>
          <cell r="H39">
            <v>13.4</v>
          </cell>
          <cell r="I39">
            <v>3.875969</v>
          </cell>
          <cell r="J39">
            <v>4.6875</v>
          </cell>
          <cell r="K39" t="str">
            <v>-</v>
          </cell>
          <cell r="L39">
            <v>55.219720000000002</v>
          </cell>
          <cell r="M39">
            <v>0</v>
          </cell>
          <cell r="N39">
            <v>-2.3896000000000002</v>
          </cell>
          <cell r="O39">
            <v>-5.6043399999999997</v>
          </cell>
          <cell r="P39" t="str">
            <v>Y</v>
          </cell>
          <cell r="Q39" t="str">
            <v>A</v>
          </cell>
          <cell r="R39" t="str">
            <v>A2</v>
          </cell>
          <cell r="S39" t="str">
            <v>WD</v>
          </cell>
          <cell r="T39" t="str">
            <v>NEG</v>
          </cell>
          <cell r="U39" t="str">
            <v>STABLE</v>
          </cell>
          <cell r="V39" t="str">
            <v xml:space="preserve"> </v>
          </cell>
          <cell r="X39" t="str">
            <v>A</v>
          </cell>
          <cell r="Y39" t="str">
            <v>A2</v>
          </cell>
          <cell r="Z39" t="str">
            <v>Au</v>
          </cell>
          <cell r="AA39" t="str">
            <v>STABLE</v>
          </cell>
          <cell r="AB39" t="str">
            <v>STABLE</v>
          </cell>
          <cell r="AC39" t="str">
            <v>STABLE</v>
          </cell>
          <cell r="AD39">
            <v>0</v>
          </cell>
          <cell r="AE39">
            <v>0</v>
          </cell>
          <cell r="AF39">
            <v>1</v>
          </cell>
          <cell r="AG39">
            <v>1</v>
          </cell>
          <cell r="AH39">
            <v>0</v>
          </cell>
          <cell r="AI39">
            <v>1</v>
          </cell>
          <cell r="AJ39" t="str">
            <v/>
          </cell>
          <cell r="AK39">
            <v>12902860000.000002</v>
          </cell>
          <cell r="AL39" t="str">
            <v>EUR</v>
          </cell>
          <cell r="AM39">
            <v>0.86060000000000003</v>
          </cell>
          <cell r="AN39">
            <v>14.992865442714388</v>
          </cell>
          <cell r="AP39" t="str">
            <v/>
          </cell>
          <cell r="AQ39" t="str">
            <v/>
          </cell>
          <cell r="AR39" t="str">
            <v/>
          </cell>
          <cell r="AS39">
            <v>45051</v>
          </cell>
          <cell r="AT39">
            <v>44981</v>
          </cell>
          <cell r="AU39">
            <v>45873</v>
          </cell>
          <cell r="AV39">
            <v>12.9</v>
          </cell>
          <cell r="AW39">
            <v>14</v>
          </cell>
          <cell r="AX39">
            <v>-7.8571428571428514</v>
          </cell>
        </row>
        <row r="40">
          <cell r="F40" t="str">
            <v>Renault SA</v>
          </cell>
          <cell r="G40" t="str">
            <v>雷諾汽車有限責任公司</v>
          </cell>
          <cell r="H40">
            <v>32.369999999999997</v>
          </cell>
          <cell r="I40">
            <v>-0.18501390000000001</v>
          </cell>
          <cell r="J40">
            <v>3.089172</v>
          </cell>
          <cell r="K40">
            <v>-31.200849999999999</v>
          </cell>
          <cell r="L40">
            <v>80.692740000000001</v>
          </cell>
          <cell r="M40">
            <v>0</v>
          </cell>
          <cell r="N40">
            <v>-2.7992900000000001</v>
          </cell>
          <cell r="O40">
            <v>-69.331659999999999</v>
          </cell>
          <cell r="P40" t="str">
            <v xml:space="preserve"> </v>
          </cell>
          <cell r="Q40" t="str">
            <v>BB+</v>
          </cell>
          <cell r="R40" t="str">
            <v>Ba1</v>
          </cell>
          <cell r="S40" t="str">
            <v>WD</v>
          </cell>
          <cell r="T40" t="str">
            <v>POS</v>
          </cell>
          <cell r="U40" t="str">
            <v>POS</v>
          </cell>
          <cell r="V40" t="str">
            <v xml:space="preserve"> </v>
          </cell>
          <cell r="X40" t="str">
            <v>BB+</v>
          </cell>
          <cell r="Y40" t="str">
            <v>Ba1</v>
          </cell>
          <cell r="Z40" t="str">
            <v>WD</v>
          </cell>
          <cell r="AA40" t="str">
            <v>POS</v>
          </cell>
          <cell r="AB40" t="str">
            <v>POS</v>
          </cell>
          <cell r="AC40" t="str">
            <v xml:space="preserve"> </v>
          </cell>
          <cell r="AD40">
            <v>0</v>
          </cell>
          <cell r="AE40">
            <v>0</v>
          </cell>
          <cell r="AF40">
            <v>0</v>
          </cell>
          <cell r="AG40">
            <v>0</v>
          </cell>
          <cell r="AH40">
            <v>0</v>
          </cell>
          <cell r="AI40">
            <v>0</v>
          </cell>
          <cell r="AJ40" t="str">
            <v/>
          </cell>
          <cell r="AK40">
            <v>9572530333.0799999</v>
          </cell>
          <cell r="AL40" t="str">
            <v>EUR</v>
          </cell>
          <cell r="AM40">
            <v>0.86060000000000003</v>
          </cell>
          <cell r="AN40">
            <v>11.123088929909365</v>
          </cell>
          <cell r="AP40" t="str">
            <v/>
          </cell>
          <cell r="AQ40" t="str">
            <v/>
          </cell>
          <cell r="AR40" t="str">
            <v/>
          </cell>
          <cell r="AS40">
            <v>43930</v>
          </cell>
          <cell r="AT40">
            <v>45764</v>
          </cell>
          <cell r="AU40">
            <v>45149</v>
          </cell>
          <cell r="AV40">
            <v>32.43</v>
          </cell>
          <cell r="AW40">
            <v>32.19</v>
          </cell>
          <cell r="AX40">
            <v>0.74557315936627511</v>
          </cell>
        </row>
        <row r="41">
          <cell r="F41" t="str">
            <v>Bayerische Motoren Werke AG</v>
          </cell>
          <cell r="G41" t="str">
            <v>寶馬汽車</v>
          </cell>
          <cell r="H41">
            <v>86.4</v>
          </cell>
          <cell r="I41">
            <v>-1.1441650000000001</v>
          </cell>
          <cell r="J41">
            <v>4.7018899999999997</v>
          </cell>
          <cell r="K41">
            <v>9.3947789999999998</v>
          </cell>
          <cell r="L41">
            <v>55.677100000000003</v>
          </cell>
          <cell r="M41">
            <v>0</v>
          </cell>
          <cell r="N41">
            <v>-2.9488300000000001</v>
          </cell>
          <cell r="O41">
            <v>-6.2579900000000004</v>
          </cell>
          <cell r="P41" t="str">
            <v>Y</v>
          </cell>
          <cell r="Q41" t="str">
            <v>A</v>
          </cell>
          <cell r="R41" t="str">
            <v>A2</v>
          </cell>
          <cell r="S41" t="str">
            <v>-</v>
          </cell>
          <cell r="T41" t="str">
            <v>NEG</v>
          </cell>
          <cell r="U41" t="str">
            <v>STABLE</v>
          </cell>
          <cell r="V41" t="str">
            <v xml:space="preserve"> </v>
          </cell>
          <cell r="X41" t="str">
            <v>A</v>
          </cell>
          <cell r="Y41" t="str">
            <v>A2</v>
          </cell>
          <cell r="Z41" t="str">
            <v>-</v>
          </cell>
          <cell r="AA41" t="str">
            <v>STABLE</v>
          </cell>
          <cell r="AB41" t="str">
            <v>STABLE</v>
          </cell>
          <cell r="AC41" t="str">
            <v xml:space="preserve"> </v>
          </cell>
          <cell r="AD41">
            <v>0</v>
          </cell>
          <cell r="AE41">
            <v>0</v>
          </cell>
          <cell r="AF41">
            <v>0</v>
          </cell>
          <cell r="AG41">
            <v>1</v>
          </cell>
          <cell r="AH41">
            <v>0</v>
          </cell>
          <cell r="AI41">
            <v>0</v>
          </cell>
          <cell r="AJ41" t="str">
            <v/>
          </cell>
          <cell r="AK41">
            <v>54796194107.400002</v>
          </cell>
          <cell r="AL41" t="str">
            <v>EUR</v>
          </cell>
          <cell r="AM41">
            <v>0.86060000000000003</v>
          </cell>
          <cell r="AN41">
            <v>63.672082392981643</v>
          </cell>
          <cell r="AP41" t="str">
            <v/>
          </cell>
          <cell r="AQ41" t="str">
            <v/>
          </cell>
          <cell r="AR41" t="str">
            <v/>
          </cell>
          <cell r="AS41">
            <v>43916</v>
          </cell>
          <cell r="AT41">
            <v>45502</v>
          </cell>
          <cell r="AU41" t="str">
            <v/>
          </cell>
          <cell r="AV41">
            <v>87.4</v>
          </cell>
          <cell r="AW41">
            <v>82.1</v>
          </cell>
          <cell r="AX41">
            <v>6.4555420219244875</v>
          </cell>
        </row>
        <row r="42">
          <cell r="F42" t="str">
            <v>Volkswagen AG</v>
          </cell>
          <cell r="G42" t="str">
            <v>福斯股份有限公司</v>
          </cell>
          <cell r="H42">
            <v>98.75</v>
          </cell>
          <cell r="I42">
            <v>1.43811</v>
          </cell>
          <cell r="J42">
            <v>8.5164840000000002</v>
          </cell>
          <cell r="K42">
            <v>7.1622339999999998</v>
          </cell>
          <cell r="L42">
            <v>106.4258</v>
          </cell>
          <cell r="M42">
            <v>0</v>
          </cell>
          <cell r="N42">
            <v>-7.6106999999999996</v>
          </cell>
          <cell r="O42">
            <v>-6.9591000000000003</v>
          </cell>
          <cell r="P42" t="str">
            <v xml:space="preserve"> </v>
          </cell>
          <cell r="Q42" t="str">
            <v>BBB+</v>
          </cell>
          <cell r="R42" t="str">
            <v>Baa1</v>
          </cell>
          <cell r="S42" t="str">
            <v>A-</v>
          </cell>
          <cell r="T42" t="str">
            <v>STABLE</v>
          </cell>
          <cell r="U42" t="str">
            <v>STABLE</v>
          </cell>
          <cell r="V42" t="str">
            <v>NEG</v>
          </cell>
          <cell r="X42" t="str">
            <v>BBB+</v>
          </cell>
          <cell r="Y42" t="str">
            <v>Baa1</v>
          </cell>
          <cell r="Z42" t="str">
            <v>A-</v>
          </cell>
          <cell r="AA42" t="str">
            <v>STABLE</v>
          </cell>
          <cell r="AB42" t="str">
            <v>STABLE</v>
          </cell>
          <cell r="AC42" t="str">
            <v>NEG</v>
          </cell>
          <cell r="AD42">
            <v>0</v>
          </cell>
          <cell r="AE42">
            <v>0</v>
          </cell>
          <cell r="AF42">
            <v>0</v>
          </cell>
          <cell r="AG42">
            <v>0</v>
          </cell>
          <cell r="AH42">
            <v>0</v>
          </cell>
          <cell r="AI42">
            <v>0</v>
          </cell>
          <cell r="AJ42" t="str">
            <v/>
          </cell>
          <cell r="AK42">
            <v>49047193187.800003</v>
          </cell>
          <cell r="AL42" t="str">
            <v>EUR</v>
          </cell>
          <cell r="AM42">
            <v>0.86060000000000003</v>
          </cell>
          <cell r="AN42">
            <v>56.991858224262145</v>
          </cell>
          <cell r="AP42" t="str">
            <v/>
          </cell>
          <cell r="AQ42" t="str">
            <v/>
          </cell>
          <cell r="AR42" t="str">
            <v/>
          </cell>
          <cell r="AS42">
            <v>42339</v>
          </cell>
          <cell r="AT42">
            <v>45733</v>
          </cell>
          <cell r="AU42">
            <v>45302</v>
          </cell>
          <cell r="AV42">
            <v>97.35</v>
          </cell>
          <cell r="AW42">
            <v>91.45</v>
          </cell>
          <cell r="AX42">
            <v>6.4516129032258007</v>
          </cell>
        </row>
        <row r="43">
          <cell r="F43" t="str">
            <v>Hyundai Motor Co</v>
          </cell>
          <cell r="G43" t="str">
            <v>現代汽車</v>
          </cell>
          <cell r="H43">
            <v>214000</v>
          </cell>
          <cell r="I43">
            <v>0.70588240000000002</v>
          </cell>
          <cell r="J43">
            <v>1.6627080000000001</v>
          </cell>
          <cell r="K43">
            <v>0.94339620000000002</v>
          </cell>
          <cell r="L43">
            <v>115.38249999999999</v>
          </cell>
          <cell r="M43">
            <v>0</v>
          </cell>
          <cell r="N43">
            <v>-0.14349999999999999</v>
          </cell>
          <cell r="O43">
            <v>-6.2344999999999997</v>
          </cell>
          <cell r="P43" t="str">
            <v xml:space="preserve"> </v>
          </cell>
          <cell r="Q43" t="str">
            <v>A-</v>
          </cell>
          <cell r="R43" t="str">
            <v>A3</v>
          </cell>
          <cell r="S43" t="str">
            <v>A-</v>
          </cell>
          <cell r="T43" t="str">
            <v>STABLE</v>
          </cell>
          <cell r="U43" t="str">
            <v>STABLE</v>
          </cell>
          <cell r="V43" t="str">
            <v>STABLE</v>
          </cell>
          <cell r="X43" t="str">
            <v>A-</v>
          </cell>
          <cell r="Y43" t="str">
            <v>A3</v>
          </cell>
          <cell r="Z43" t="str">
            <v>A-</v>
          </cell>
          <cell r="AA43" t="str">
            <v>STABLE</v>
          </cell>
          <cell r="AB43" t="str">
            <v>STABLE</v>
          </cell>
          <cell r="AC43" t="str">
            <v>STABLE</v>
          </cell>
          <cell r="AD43">
            <v>0</v>
          </cell>
          <cell r="AE43">
            <v>0</v>
          </cell>
          <cell r="AF43">
            <v>0</v>
          </cell>
          <cell r="AG43">
            <v>0</v>
          </cell>
          <cell r="AH43">
            <v>0</v>
          </cell>
          <cell r="AI43">
            <v>0</v>
          </cell>
          <cell r="AJ43" t="str">
            <v/>
          </cell>
          <cell r="AK43">
            <v>43818161924000</v>
          </cell>
          <cell r="AL43" t="str">
            <v>KRW</v>
          </cell>
          <cell r="AM43">
            <v>1389.5</v>
          </cell>
          <cell r="AN43">
            <v>31.535201096797408</v>
          </cell>
          <cell r="AP43" t="str">
            <v/>
          </cell>
          <cell r="AQ43" t="str">
            <v/>
          </cell>
          <cell r="AR43" t="str">
            <v/>
          </cell>
          <cell r="AS43">
            <v>45525</v>
          </cell>
          <cell r="AT43">
            <v>45328</v>
          </cell>
          <cell r="AU43">
            <v>45338</v>
          </cell>
          <cell r="AV43">
            <v>212500</v>
          </cell>
          <cell r="AW43">
            <v>210000</v>
          </cell>
          <cell r="AX43">
            <v>1.1904761904761862</v>
          </cell>
        </row>
        <row r="44">
          <cell r="F44" t="str">
            <v>Toyota Motor Corp</v>
          </cell>
          <cell r="G44" t="str">
            <v>豐田汽車公司</v>
          </cell>
          <cell r="H44">
            <v>2841</v>
          </cell>
          <cell r="I44">
            <v>2.4522179999999998</v>
          </cell>
          <cell r="J44">
            <v>6.2056069999999997</v>
          </cell>
          <cell r="K44">
            <v>-9.6948509999999999</v>
          </cell>
          <cell r="L44">
            <v>10.68141</v>
          </cell>
          <cell r="M44">
            <v>0</v>
          </cell>
          <cell r="N44">
            <v>0</v>
          </cell>
          <cell r="O44">
            <v>0</v>
          </cell>
          <cell r="P44" t="str">
            <v xml:space="preserve"> </v>
          </cell>
          <cell r="Q44" t="str">
            <v>A+</v>
          </cell>
          <cell r="R44" t="str">
            <v>A1</v>
          </cell>
          <cell r="S44" t="str">
            <v>A+</v>
          </cell>
          <cell r="T44" t="str">
            <v>STABLE</v>
          </cell>
          <cell r="U44" t="str">
            <v>STABLE</v>
          </cell>
          <cell r="V44" t="str">
            <v>STABLE</v>
          </cell>
          <cell r="X44" t="str">
            <v>A+</v>
          </cell>
          <cell r="Y44" t="str">
            <v>A1</v>
          </cell>
          <cell r="Z44" t="str">
            <v>A+</v>
          </cell>
          <cell r="AA44" t="str">
            <v>STABLE</v>
          </cell>
          <cell r="AB44" t="str">
            <v>STABLE</v>
          </cell>
          <cell r="AC44" t="str">
            <v>STABLE</v>
          </cell>
          <cell r="AD44">
            <v>0</v>
          </cell>
          <cell r="AE44">
            <v>0</v>
          </cell>
          <cell r="AF44">
            <v>0</v>
          </cell>
          <cell r="AG44">
            <v>0</v>
          </cell>
          <cell r="AH44">
            <v>0</v>
          </cell>
          <cell r="AI44">
            <v>0</v>
          </cell>
          <cell r="AJ44" t="str">
            <v/>
          </cell>
          <cell r="AK44">
            <v>44873559373860.008</v>
          </cell>
          <cell r="AL44" t="str">
            <v>JPY</v>
          </cell>
          <cell r="AM44">
            <v>148.27000000000001</v>
          </cell>
          <cell r="AN44">
            <v>302.64759812409795</v>
          </cell>
          <cell r="AP44" t="str">
            <v/>
          </cell>
          <cell r="AQ44" t="str">
            <v/>
          </cell>
          <cell r="AR44" t="str">
            <v/>
          </cell>
          <cell r="AS44">
            <v>43971</v>
          </cell>
          <cell r="AT44">
            <v>45812</v>
          </cell>
          <cell r="AU44">
            <v>43378</v>
          </cell>
          <cell r="AV44">
            <v>2773</v>
          </cell>
          <cell r="AW44">
            <v>2724.5</v>
          </cell>
          <cell r="AX44">
            <v>1.7801431455312988</v>
          </cell>
        </row>
        <row r="45">
          <cell r="F45" t="str">
            <v>Starbucks Corp</v>
          </cell>
          <cell r="G45" t="str">
            <v>星巴克</v>
          </cell>
          <cell r="H45">
            <v>91.74</v>
          </cell>
          <cell r="I45">
            <v>-0.41250540000000002</v>
          </cell>
          <cell r="J45">
            <v>2.1831140000000002</v>
          </cell>
          <cell r="K45">
            <v>0.53698630000000003</v>
          </cell>
          <cell r="L45" t="str">
            <v>#N/A N/A BEST Curncy</v>
          </cell>
          <cell r="M45" t="str">
            <v>#N/A N/A BEST Curncy</v>
          </cell>
          <cell r="N45" t="str">
            <v>#N/A N/A BEST Curncy</v>
          </cell>
          <cell r="O45" t="str">
            <v>#N/A N/A BEST Curncy</v>
          </cell>
          <cell r="P45" t="str">
            <v xml:space="preserve"> </v>
          </cell>
          <cell r="Q45" t="str">
            <v>BBB+</v>
          </cell>
          <cell r="R45" t="str">
            <v>Baa1</v>
          </cell>
          <cell r="S45" t="str">
            <v>WD</v>
          </cell>
          <cell r="T45" t="str">
            <v>NEG</v>
          </cell>
          <cell r="U45" t="str">
            <v>NEG</v>
          </cell>
          <cell r="V45" t="str">
            <v xml:space="preserve"> </v>
          </cell>
          <cell r="X45" t="str">
            <v>BBB+</v>
          </cell>
          <cell r="Y45" t="str">
            <v>Baa1</v>
          </cell>
          <cell r="Z45" t="str">
            <v>WD</v>
          </cell>
          <cell r="AA45" t="str">
            <v>NEG</v>
          </cell>
          <cell r="AB45" t="str">
            <v>NEG</v>
          </cell>
          <cell r="AC45" t="str">
            <v xml:space="preserve"> </v>
          </cell>
          <cell r="AD45">
            <v>0</v>
          </cell>
          <cell r="AE45">
            <v>0</v>
          </cell>
          <cell r="AF45">
            <v>0</v>
          </cell>
          <cell r="AG45">
            <v>0</v>
          </cell>
          <cell r="AH45">
            <v>0</v>
          </cell>
          <cell r="AI45">
            <v>0</v>
          </cell>
          <cell r="AJ45" t="str">
            <v/>
          </cell>
          <cell r="AK45">
            <v>104280858000</v>
          </cell>
          <cell r="AL45" t="str">
            <v>USD</v>
          </cell>
          <cell r="AM45">
            <v>1</v>
          </cell>
          <cell r="AN45">
            <v>104.28085799999999</v>
          </cell>
          <cell r="AP45" t="str">
            <v/>
          </cell>
          <cell r="AQ45" t="str">
            <v/>
          </cell>
          <cell r="AR45" t="str">
            <v/>
          </cell>
          <cell r="AS45">
            <v>43271</v>
          </cell>
          <cell r="AT45">
            <v>45777</v>
          </cell>
          <cell r="AU45">
            <v>44844</v>
          </cell>
          <cell r="AV45">
            <v>92.12</v>
          </cell>
          <cell r="AW45">
            <v>86.86</v>
          </cell>
          <cell r="AX45">
            <v>6.0557218512548916</v>
          </cell>
        </row>
        <row r="46">
          <cell r="F46" t="str">
            <v>Anheuser-Busch InBev SA/NV</v>
          </cell>
          <cell r="G46" t="str">
            <v>百威英博</v>
          </cell>
          <cell r="H46">
            <v>52.72</v>
          </cell>
          <cell r="I46">
            <v>-0.5658242</v>
          </cell>
          <cell r="J46">
            <v>4.5616820000000002</v>
          </cell>
          <cell r="K46">
            <v>9.2642489999999995</v>
          </cell>
          <cell r="L46">
            <v>64.490139999999997</v>
          </cell>
          <cell r="M46">
            <v>0</v>
          </cell>
          <cell r="N46">
            <v>-1.1123000000000001</v>
          </cell>
          <cell r="O46">
            <v>28.643149999999999</v>
          </cell>
          <cell r="P46" t="str">
            <v xml:space="preserve"> </v>
          </cell>
          <cell r="Q46" t="str">
            <v>A-</v>
          </cell>
          <cell r="R46" t="str">
            <v>A3</v>
          </cell>
          <cell r="S46" t="str">
            <v>WD</v>
          </cell>
          <cell r="T46" t="str">
            <v>POS</v>
          </cell>
          <cell r="U46" t="str">
            <v>POS</v>
          </cell>
          <cell r="V46" t="str">
            <v xml:space="preserve"> </v>
          </cell>
          <cell r="X46" t="str">
            <v>A-</v>
          </cell>
          <cell r="Y46" t="str">
            <v>A3</v>
          </cell>
          <cell r="Z46" t="str">
            <v>WD</v>
          </cell>
          <cell r="AA46" t="str">
            <v>POS</v>
          </cell>
          <cell r="AB46" t="str">
            <v>POS</v>
          </cell>
          <cell r="AC46" t="str">
            <v xml:space="preserve"> </v>
          </cell>
          <cell r="AD46">
            <v>0</v>
          </cell>
          <cell r="AE46">
            <v>0</v>
          </cell>
          <cell r="AF46">
            <v>0</v>
          </cell>
          <cell r="AG46">
            <v>0</v>
          </cell>
          <cell r="AH46">
            <v>0</v>
          </cell>
          <cell r="AI46">
            <v>0</v>
          </cell>
          <cell r="AJ46" t="str">
            <v/>
          </cell>
          <cell r="AK46">
            <v>106454530078.23999</v>
          </cell>
          <cell r="AL46" t="str">
            <v>EUR</v>
          </cell>
          <cell r="AM46">
            <v>0.86060000000000003</v>
          </cell>
          <cell r="AN46">
            <v>123.69803634468974</v>
          </cell>
          <cell r="AP46" t="str">
            <v/>
          </cell>
          <cell r="AQ46" t="str">
            <v/>
          </cell>
          <cell r="AR46" t="str">
            <v/>
          </cell>
          <cell r="AS46">
            <v>45037</v>
          </cell>
          <cell r="AT46">
            <v>45778</v>
          </cell>
          <cell r="AU46">
            <v>44888</v>
          </cell>
          <cell r="AV46">
            <v>53.02</v>
          </cell>
          <cell r="AW46">
            <v>49.94</v>
          </cell>
          <cell r="AX46">
            <v>6.1674008810572722</v>
          </cell>
        </row>
        <row r="47">
          <cell r="F47" t="str">
            <v>Coca-Cola Co/The</v>
          </cell>
          <cell r="G47" t="str">
            <v>可口可樂公司</v>
          </cell>
          <cell r="H47">
            <v>70.75</v>
          </cell>
          <cell r="I47">
            <v>0.58288309999999999</v>
          </cell>
          <cell r="J47">
            <v>2.5957080000000001</v>
          </cell>
          <cell r="K47">
            <v>13.636369999999999</v>
          </cell>
          <cell r="L47">
            <v>43.209490000000002</v>
          </cell>
          <cell r="M47">
            <v>0</v>
          </cell>
          <cell r="N47">
            <v>-1.2456100000000001</v>
          </cell>
          <cell r="O47">
            <v>-9.4500000000000001E-3</v>
          </cell>
          <cell r="P47" t="str">
            <v xml:space="preserve"> </v>
          </cell>
          <cell r="Q47" t="str">
            <v>A+</v>
          </cell>
          <cell r="R47" t="str">
            <v>A1</v>
          </cell>
          <cell r="S47" t="str">
            <v>WD</v>
          </cell>
          <cell r="T47" t="str">
            <v>STABLE</v>
          </cell>
          <cell r="U47" t="str">
            <v>STABLE</v>
          </cell>
          <cell r="V47" t="str">
            <v xml:space="preserve"> </v>
          </cell>
          <cell r="X47" t="str">
            <v>A+</v>
          </cell>
          <cell r="Y47" t="str">
            <v>A1</v>
          </cell>
          <cell r="Z47" t="str">
            <v>WD</v>
          </cell>
          <cell r="AA47" t="str">
            <v>STABLE</v>
          </cell>
          <cell r="AB47" t="str">
            <v>STABLE</v>
          </cell>
          <cell r="AC47" t="str">
            <v xml:space="preserve"> </v>
          </cell>
          <cell r="AD47">
            <v>0</v>
          </cell>
          <cell r="AE47">
            <v>0</v>
          </cell>
          <cell r="AF47">
            <v>0</v>
          </cell>
          <cell r="AG47">
            <v>0</v>
          </cell>
          <cell r="AH47">
            <v>0</v>
          </cell>
          <cell r="AI47">
            <v>0</v>
          </cell>
          <cell r="AJ47" t="str">
            <v/>
          </cell>
          <cell r="AK47">
            <v>304484458079</v>
          </cell>
          <cell r="AL47" t="str">
            <v>USD</v>
          </cell>
          <cell r="AM47">
            <v>1</v>
          </cell>
          <cell r="AN47">
            <v>304.48445807899998</v>
          </cell>
          <cell r="AP47" t="str">
            <v/>
          </cell>
          <cell r="AQ47" t="str">
            <v/>
          </cell>
          <cell r="AR47" t="str">
            <v/>
          </cell>
          <cell r="AS47">
            <v>43216</v>
          </cell>
          <cell r="AT47">
            <v>45083</v>
          </cell>
          <cell r="AU47">
            <v>45245</v>
          </cell>
          <cell r="AV47">
            <v>70.34</v>
          </cell>
          <cell r="AW47">
            <v>68.86</v>
          </cell>
          <cell r="AX47">
            <v>2.1492884112692456</v>
          </cell>
        </row>
        <row r="48">
          <cell r="F48" t="str">
            <v>Nestle SA</v>
          </cell>
          <cell r="G48" t="str">
            <v>雀巢</v>
          </cell>
          <cell r="H48">
            <v>72.12</v>
          </cell>
          <cell r="I48">
            <v>2.773925E-2</v>
          </cell>
          <cell r="J48">
            <v>1.1500699999999999</v>
          </cell>
          <cell r="K48">
            <v>-3.6858939999999998</v>
          </cell>
          <cell r="L48">
            <v>25.99277</v>
          </cell>
          <cell r="M48">
            <v>0</v>
          </cell>
          <cell r="N48">
            <v>-0.94950000000000001</v>
          </cell>
          <cell r="O48">
            <v>-4.7849199999999996</v>
          </cell>
          <cell r="P48" t="str">
            <v xml:space="preserve"> </v>
          </cell>
          <cell r="Q48" t="str">
            <v>AA-</v>
          </cell>
          <cell r="R48" t="str">
            <v>Aa3</v>
          </cell>
          <cell r="S48" t="str">
            <v>A+u</v>
          </cell>
          <cell r="T48" t="str">
            <v>STABLE</v>
          </cell>
          <cell r="U48" t="str">
            <v>STABLE</v>
          </cell>
          <cell r="V48" t="str">
            <v>STABLE</v>
          </cell>
          <cell r="X48" t="str">
            <v>AA-</v>
          </cell>
          <cell r="Y48" t="str">
            <v>Aa3</v>
          </cell>
          <cell r="Z48" t="str">
            <v>A+u</v>
          </cell>
          <cell r="AA48" t="str">
            <v>STABLE</v>
          </cell>
          <cell r="AB48" t="str">
            <v>STABLE</v>
          </cell>
          <cell r="AC48" t="str">
            <v>STABLE</v>
          </cell>
          <cell r="AD48">
            <v>0</v>
          </cell>
          <cell r="AE48">
            <v>0</v>
          </cell>
          <cell r="AF48">
            <v>0</v>
          </cell>
          <cell r="AG48">
            <v>0</v>
          </cell>
          <cell r="AH48">
            <v>0</v>
          </cell>
          <cell r="AI48">
            <v>0</v>
          </cell>
          <cell r="AJ48" t="str">
            <v/>
          </cell>
          <cell r="AK48">
            <v>185818622400.00003</v>
          </cell>
          <cell r="AL48" t="str">
            <v>CHF</v>
          </cell>
          <cell r="AM48">
            <v>0.81110000000000004</v>
          </cell>
          <cell r="AN48">
            <v>229.09459055603503</v>
          </cell>
          <cell r="AP48" t="str">
            <v/>
          </cell>
          <cell r="AQ48" t="str">
            <v/>
          </cell>
          <cell r="AR48" t="str">
            <v/>
          </cell>
          <cell r="AS48">
            <v>42914</v>
          </cell>
          <cell r="AT48">
            <v>44862</v>
          </cell>
          <cell r="AU48">
            <v>43760</v>
          </cell>
          <cell r="AV48">
            <v>72.099999999999994</v>
          </cell>
          <cell r="AW48" t="str">
            <v>-</v>
          </cell>
          <cell r="AX48" t="str">
            <v>-</v>
          </cell>
        </row>
        <row r="49">
          <cell r="F49" t="str">
            <v>Procter &amp; Gamble Co/The</v>
          </cell>
          <cell r="G49" t="str">
            <v>寶僑公司</v>
          </cell>
          <cell r="H49">
            <v>154.97999999999999</v>
          </cell>
          <cell r="I49">
            <v>0.95759229999999995</v>
          </cell>
          <cell r="J49">
            <v>2.7991510000000002</v>
          </cell>
          <cell r="K49">
            <v>-7.5574079999999997</v>
          </cell>
          <cell r="L49">
            <v>23.301929999999999</v>
          </cell>
          <cell r="M49">
            <v>0</v>
          </cell>
          <cell r="N49">
            <v>-0.54425000000000001</v>
          </cell>
          <cell r="O49">
            <v>-0.46096999999999999</v>
          </cell>
          <cell r="P49" t="str">
            <v xml:space="preserve"> </v>
          </cell>
          <cell r="Q49" t="str">
            <v>AA-</v>
          </cell>
          <cell r="R49" t="str">
            <v>Aa3</v>
          </cell>
          <cell r="S49" t="str">
            <v>-</v>
          </cell>
          <cell r="T49" t="str">
            <v>STABLE</v>
          </cell>
          <cell r="U49" t="str">
            <v>STABLE</v>
          </cell>
          <cell r="V49" t="str">
            <v xml:space="preserve"> </v>
          </cell>
          <cell r="X49" t="str">
            <v>AA-</v>
          </cell>
          <cell r="Y49" t="str">
            <v>Aa3</v>
          </cell>
          <cell r="Z49" t="str">
            <v>-</v>
          </cell>
          <cell r="AA49" t="str">
            <v>STABLE</v>
          </cell>
          <cell r="AB49" t="str">
            <v>STABLE</v>
          </cell>
          <cell r="AC49" t="str">
            <v xml:space="preserve"> </v>
          </cell>
          <cell r="AD49">
            <v>0</v>
          </cell>
          <cell r="AE49">
            <v>0</v>
          </cell>
          <cell r="AF49">
            <v>0</v>
          </cell>
          <cell r="AG49">
            <v>0</v>
          </cell>
          <cell r="AH49">
            <v>0</v>
          </cell>
          <cell r="AI49">
            <v>0</v>
          </cell>
          <cell r="AJ49" t="str">
            <v/>
          </cell>
          <cell r="AK49">
            <v>363020733210.23999</v>
          </cell>
          <cell r="AL49" t="str">
            <v>USD</v>
          </cell>
          <cell r="AM49">
            <v>1</v>
          </cell>
          <cell r="AN49">
            <v>363.02073321024</v>
          </cell>
          <cell r="AP49" t="str">
            <v/>
          </cell>
          <cell r="AQ49" t="str">
            <v/>
          </cell>
          <cell r="AR49" t="str">
            <v/>
          </cell>
          <cell r="AS49">
            <v>38482</v>
          </cell>
          <cell r="AT49">
            <v>44861</v>
          </cell>
          <cell r="AU49" t="str">
            <v/>
          </cell>
          <cell r="AV49">
            <v>153.51</v>
          </cell>
          <cell r="AW49">
            <v>150.65</v>
          </cell>
          <cell r="AX49">
            <v>1.8984400929306311</v>
          </cell>
        </row>
        <row r="50">
          <cell r="F50" t="str">
            <v>Unilever PLC</v>
          </cell>
          <cell r="G50" t="str">
            <v>聯合利華公開有限公司</v>
          </cell>
          <cell r="H50">
            <v>4506</v>
          </cell>
          <cell r="I50">
            <v>0.1110864</v>
          </cell>
          <cell r="J50">
            <v>0.2224199</v>
          </cell>
          <cell r="K50">
            <v>-0.92348280000000005</v>
          </cell>
          <cell r="L50">
            <v>30.1419</v>
          </cell>
          <cell r="M50">
            <v>0</v>
          </cell>
          <cell r="N50">
            <v>-0.34927999999999998</v>
          </cell>
          <cell r="O50">
            <v>0.25657000000000002</v>
          </cell>
          <cell r="P50" t="str">
            <v xml:space="preserve"> </v>
          </cell>
          <cell r="Q50" t="str">
            <v>A+</v>
          </cell>
          <cell r="R50" t="str">
            <v>A1</v>
          </cell>
          <cell r="S50" t="str">
            <v>WDu</v>
          </cell>
          <cell r="T50" t="str">
            <v>STABLE</v>
          </cell>
          <cell r="U50" t="str">
            <v>STABLE</v>
          </cell>
          <cell r="V50" t="str">
            <v xml:space="preserve"> </v>
          </cell>
          <cell r="X50" t="str">
            <v>A+</v>
          </cell>
          <cell r="Y50" t="str">
            <v>A1</v>
          </cell>
          <cell r="Z50" t="str">
            <v>WDu</v>
          </cell>
          <cell r="AA50" t="str">
            <v>STABLE</v>
          </cell>
          <cell r="AB50" t="str">
            <v>STABLE</v>
          </cell>
          <cell r="AC50" t="str">
            <v xml:space="preserve"> </v>
          </cell>
          <cell r="AD50">
            <v>0</v>
          </cell>
          <cell r="AE50">
            <v>0</v>
          </cell>
          <cell r="AF50">
            <v>0</v>
          </cell>
          <cell r="AG50">
            <v>0</v>
          </cell>
          <cell r="AH50">
            <v>0</v>
          </cell>
          <cell r="AI50">
            <v>0</v>
          </cell>
          <cell r="AJ50" t="str">
            <v/>
          </cell>
          <cell r="AK50">
            <v>110480098705.73999</v>
          </cell>
          <cell r="AL50" t="str">
            <v>GBp</v>
          </cell>
          <cell r="AM50">
            <v>0.74450000000000005</v>
          </cell>
          <cell r="AN50">
            <v>148.39502848319674</v>
          </cell>
          <cell r="AP50" t="str">
            <v/>
          </cell>
          <cell r="AQ50" t="str">
            <v/>
          </cell>
          <cell r="AR50" t="str">
            <v/>
          </cell>
          <cell r="AS50">
            <v>44614</v>
          </cell>
          <cell r="AT50">
            <v>45597</v>
          </cell>
          <cell r="AU50">
            <v>45420</v>
          </cell>
          <cell r="AV50">
            <v>4501</v>
          </cell>
          <cell r="AW50">
            <v>4531</v>
          </cell>
          <cell r="AX50">
            <v>-0.66210549547561781</v>
          </cell>
        </row>
        <row r="51">
          <cell r="F51" t="str">
            <v>UnitedHealth Group Inc</v>
          </cell>
          <cell r="G51" t="str">
            <v>聯合健康集團公司</v>
          </cell>
          <cell r="H51">
            <v>252.37</v>
          </cell>
          <cell r="I51">
            <v>0.58989999999999998</v>
          </cell>
          <cell r="J51">
            <v>4.7265329999999999</v>
          </cell>
          <cell r="K51">
            <v>-50.110700000000001</v>
          </cell>
          <cell r="L51">
            <v>58.822040000000001</v>
          </cell>
          <cell r="M51">
            <v>0</v>
          </cell>
          <cell r="N51">
            <v>-1.9588699999999999</v>
          </cell>
          <cell r="O51">
            <v>15.2821</v>
          </cell>
          <cell r="P51" t="str">
            <v>Y</v>
          </cell>
          <cell r="Q51" t="str">
            <v>NR</v>
          </cell>
          <cell r="R51" t="str">
            <v>A2</v>
          </cell>
          <cell r="S51" t="str">
            <v>A</v>
          </cell>
          <cell r="T51" t="str">
            <v>NEG</v>
          </cell>
          <cell r="U51" t="str">
            <v>NEG</v>
          </cell>
          <cell r="V51" t="str">
            <v>NEG</v>
          </cell>
          <cell r="X51" t="str">
            <v>NR</v>
          </cell>
          <cell r="Y51" t="str">
            <v>A2</v>
          </cell>
          <cell r="Z51" t="str">
            <v>A</v>
          </cell>
          <cell r="AA51" t="str">
            <v>NEG</v>
          </cell>
          <cell r="AB51" t="str">
            <v>NEG</v>
          </cell>
          <cell r="AC51" t="str">
            <v>STABLE</v>
          </cell>
          <cell r="AD51">
            <v>0</v>
          </cell>
          <cell r="AE51">
            <v>0</v>
          </cell>
          <cell r="AF51">
            <v>0</v>
          </cell>
          <cell r="AG51">
            <v>0</v>
          </cell>
          <cell r="AH51">
            <v>0</v>
          </cell>
          <cell r="AI51">
            <v>1</v>
          </cell>
          <cell r="AJ51" t="str">
            <v/>
          </cell>
          <cell r="AK51">
            <v>228564852741.25</v>
          </cell>
          <cell r="AL51" t="str">
            <v>USD</v>
          </cell>
          <cell r="AM51">
            <v>1</v>
          </cell>
          <cell r="AN51">
            <v>228.56485274125001</v>
          </cell>
          <cell r="AP51" t="str">
            <v/>
          </cell>
          <cell r="AQ51" t="str">
            <v/>
          </cell>
          <cell r="AR51" t="str">
            <v/>
          </cell>
          <cell r="AS51">
            <v>41946</v>
          </cell>
          <cell r="AT51">
            <v>45817</v>
          </cell>
          <cell r="AU51">
            <v>42192</v>
          </cell>
          <cell r="AV51">
            <v>250.89</v>
          </cell>
          <cell r="AW51">
            <v>237.77</v>
          </cell>
          <cell r="AX51">
            <v>5.5179375026285893</v>
          </cell>
        </row>
        <row r="52">
          <cell r="F52" t="str">
            <v>Abbott Laboratories</v>
          </cell>
          <cell r="G52" t="str">
            <v>亞培</v>
          </cell>
          <cell r="H52">
            <v>131.36000000000001</v>
          </cell>
          <cell r="I52">
            <v>-2.1745610000000002</v>
          </cell>
          <cell r="J52">
            <v>1.1005929999999999</v>
          </cell>
          <cell r="K52">
            <v>16.134740000000001</v>
          </cell>
          <cell r="L52">
            <v>37.681609999999999</v>
          </cell>
          <cell r="M52">
            <v>0</v>
          </cell>
          <cell r="N52">
            <v>-0.81322000000000005</v>
          </cell>
          <cell r="O52">
            <v>-2.2461799999999998</v>
          </cell>
          <cell r="P52" t="str">
            <v xml:space="preserve"> </v>
          </cell>
          <cell r="Q52" t="str">
            <v>AA-</v>
          </cell>
          <cell r="R52" t="str">
            <v>Aa3</v>
          </cell>
          <cell r="S52" t="str">
            <v>WD</v>
          </cell>
          <cell r="T52" t="str">
            <v>STABLE</v>
          </cell>
          <cell r="U52" t="str">
            <v>STABLE</v>
          </cell>
          <cell r="V52" t="str">
            <v xml:space="preserve"> </v>
          </cell>
          <cell r="X52" t="str">
            <v>AA-</v>
          </cell>
          <cell r="Y52" t="str">
            <v>Aa3</v>
          </cell>
          <cell r="Z52" t="str">
            <v>WD</v>
          </cell>
          <cell r="AA52" t="str">
            <v>STABLE</v>
          </cell>
          <cell r="AB52" t="str">
            <v>STABLE</v>
          </cell>
          <cell r="AC52" t="str">
            <v xml:space="preserve"> </v>
          </cell>
          <cell r="AD52">
            <v>0</v>
          </cell>
          <cell r="AE52">
            <v>0</v>
          </cell>
          <cell r="AF52">
            <v>0</v>
          </cell>
          <cell r="AG52">
            <v>0</v>
          </cell>
          <cell r="AH52">
            <v>0</v>
          </cell>
          <cell r="AI52">
            <v>0</v>
          </cell>
          <cell r="AJ52" t="str">
            <v/>
          </cell>
          <cell r="AK52">
            <v>228626696079.04004</v>
          </cell>
          <cell r="AL52" t="str">
            <v>USD</v>
          </cell>
          <cell r="AM52">
            <v>1</v>
          </cell>
          <cell r="AN52">
            <v>228.62669607904004</v>
          </cell>
          <cell r="AP52" t="str">
            <v/>
          </cell>
          <cell r="AQ52" t="str">
            <v/>
          </cell>
          <cell r="AR52" t="str">
            <v/>
          </cell>
          <cell r="AS52">
            <v>44629</v>
          </cell>
          <cell r="AT52">
            <v>45089</v>
          </cell>
          <cell r="AU52">
            <v>43041</v>
          </cell>
          <cell r="AV52">
            <v>134.28</v>
          </cell>
          <cell r="AW52">
            <v>127.29</v>
          </cell>
          <cell r="AX52">
            <v>5.491397596040537</v>
          </cell>
        </row>
        <row r="53">
          <cell r="F53" t="str">
            <v>McDonald's Corp</v>
          </cell>
          <cell r="G53" t="str">
            <v>麥當勞公司</v>
          </cell>
          <cell r="H53">
            <v>304.36</v>
          </cell>
          <cell r="I53">
            <v>-0.35685050000000001</v>
          </cell>
          <cell r="J53">
            <v>4.2730829999999997E-2</v>
          </cell>
          <cell r="K53">
            <v>4.9915430000000001</v>
          </cell>
          <cell r="L53">
            <v>27.082439999999998</v>
          </cell>
          <cell r="M53">
            <v>0</v>
          </cell>
          <cell r="N53">
            <v>-0.79113</v>
          </cell>
          <cell r="O53">
            <v>-1.5100899999999999</v>
          </cell>
          <cell r="P53" t="str">
            <v xml:space="preserve"> </v>
          </cell>
          <cell r="Q53" t="str">
            <v>BBB+</v>
          </cell>
          <cell r="R53" t="str">
            <v>Baa1</v>
          </cell>
          <cell r="S53" t="str">
            <v>WD</v>
          </cell>
          <cell r="T53" t="str">
            <v>STABLE</v>
          </cell>
          <cell r="U53" t="str">
            <v>STABLE</v>
          </cell>
          <cell r="V53" t="str">
            <v xml:space="preserve"> </v>
          </cell>
          <cell r="X53" t="str">
            <v>BBB+</v>
          </cell>
          <cell r="Y53" t="str">
            <v>Baa1</v>
          </cell>
          <cell r="Z53" t="str">
            <v>WD</v>
          </cell>
          <cell r="AA53" t="str">
            <v>STABLE</v>
          </cell>
          <cell r="AB53" t="str">
            <v>STABLE</v>
          </cell>
          <cell r="AC53" t="str">
            <v xml:space="preserve"> </v>
          </cell>
          <cell r="AD53">
            <v>0</v>
          </cell>
          <cell r="AE53">
            <v>0</v>
          </cell>
          <cell r="AF53">
            <v>0</v>
          </cell>
          <cell r="AG53">
            <v>0</v>
          </cell>
          <cell r="AH53">
            <v>0</v>
          </cell>
          <cell r="AI53">
            <v>0</v>
          </cell>
          <cell r="AJ53" t="str">
            <v/>
          </cell>
          <cell r="AK53">
            <v>217192645532.24002</v>
          </cell>
          <cell r="AL53" t="str">
            <v>USD</v>
          </cell>
          <cell r="AM53">
            <v>1</v>
          </cell>
          <cell r="AN53">
            <v>217.19264553224002</v>
          </cell>
          <cell r="AP53" t="str">
            <v/>
          </cell>
          <cell r="AQ53" t="str">
            <v/>
          </cell>
          <cell r="AR53" t="str">
            <v/>
          </cell>
          <cell r="AS53">
            <v>42318</v>
          </cell>
          <cell r="AT53">
            <v>45860</v>
          </cell>
          <cell r="AU53">
            <v>43746</v>
          </cell>
          <cell r="AV53">
            <v>305.45</v>
          </cell>
          <cell r="AW53">
            <v>302.89</v>
          </cell>
          <cell r="AX53">
            <v>0.84519132358282789</v>
          </cell>
        </row>
        <row r="54">
          <cell r="F54" t="str">
            <v>Uber Technologies Inc</v>
          </cell>
          <cell r="G54" t="str">
            <v>優步科技公司</v>
          </cell>
          <cell r="H54">
            <v>90.58</v>
          </cell>
          <cell r="I54">
            <v>1.1389009999999999</v>
          </cell>
          <cell r="J54">
            <v>2.4313020000000001</v>
          </cell>
          <cell r="K54">
            <v>50.165779999999998</v>
          </cell>
          <cell r="L54">
            <v>35.907850000000003</v>
          </cell>
          <cell r="M54">
            <v>0</v>
          </cell>
          <cell r="N54">
            <v>-2.7137799999999999</v>
          </cell>
          <cell r="O54">
            <v>-31.45919</v>
          </cell>
          <cell r="P54" t="str">
            <v>Y</v>
          </cell>
          <cell r="Q54" t="str">
            <v>BBB</v>
          </cell>
          <cell r="R54" t="str">
            <v>Baa1</v>
          </cell>
          <cell r="S54" t="str">
            <v>BBB+</v>
          </cell>
          <cell r="T54" t="str">
            <v>STABLE</v>
          </cell>
          <cell r="U54" t="str">
            <v>POS</v>
          </cell>
          <cell r="V54" t="str">
            <v>POS</v>
          </cell>
          <cell r="X54" t="str">
            <v>BBB+</v>
          </cell>
          <cell r="Y54" t="str">
            <v>Baa1</v>
          </cell>
          <cell r="Z54" t="str">
            <v>WD</v>
          </cell>
          <cell r="AA54" t="str">
            <v>STABLE</v>
          </cell>
          <cell r="AB54" t="str">
            <v>STABLE</v>
          </cell>
          <cell r="AC54" t="str">
            <v xml:space="preserve"> </v>
          </cell>
          <cell r="AD54">
            <v>1</v>
          </cell>
          <cell r="AE54">
            <v>0</v>
          </cell>
          <cell r="AF54">
            <v>1</v>
          </cell>
          <cell r="AG54">
            <v>0</v>
          </cell>
          <cell r="AH54">
            <v>1</v>
          </cell>
          <cell r="AI54">
            <v>1</v>
          </cell>
          <cell r="AJ54" t="str">
            <v/>
          </cell>
          <cell r="AK54">
            <v>188897223672.07996</v>
          </cell>
          <cell r="AL54" t="str">
            <v>USD</v>
          </cell>
          <cell r="AM54">
            <v>1</v>
          </cell>
          <cell r="AN54">
            <v>188.89722367207995</v>
          </cell>
          <cell r="AP54" t="str">
            <v/>
          </cell>
          <cell r="AQ54" t="str">
            <v/>
          </cell>
          <cell r="AR54" t="str">
            <v/>
          </cell>
          <cell r="AS54">
            <v>45729</v>
          </cell>
          <cell r="AT54">
            <v>45810</v>
          </cell>
          <cell r="AU54">
            <v>45814</v>
          </cell>
          <cell r="AV54">
            <v>89.56</v>
          </cell>
          <cell r="AW54">
            <v>86.91</v>
          </cell>
          <cell r="AX54">
            <v>3.0491312852376051</v>
          </cell>
        </row>
        <row r="55">
          <cell r="F55" t="str">
            <v>3M Co</v>
          </cell>
          <cell r="G55" t="str">
            <v>3M</v>
          </cell>
          <cell r="H55">
            <v>155.31</v>
          </cell>
          <cell r="I55">
            <v>1.3111550000000001</v>
          </cell>
          <cell r="J55">
            <v>5.031447</v>
          </cell>
          <cell r="K55">
            <v>20.311409999999999</v>
          </cell>
          <cell r="L55">
            <v>36.973649999999999</v>
          </cell>
          <cell r="M55">
            <v>0</v>
          </cell>
          <cell r="N55">
            <v>-0.86460000000000004</v>
          </cell>
          <cell r="O55">
            <v>-1.6257600000000001</v>
          </cell>
          <cell r="P55" t="str">
            <v>Y</v>
          </cell>
          <cell r="Q55" t="str">
            <v>BBB+</v>
          </cell>
          <cell r="R55" t="str">
            <v>A3</v>
          </cell>
          <cell r="S55" t="str">
            <v>A-</v>
          </cell>
          <cell r="T55" t="str">
            <v>STABLE</v>
          </cell>
          <cell r="U55" t="str">
            <v>STABLE</v>
          </cell>
          <cell r="V55" t="str">
            <v>STABLE</v>
          </cell>
          <cell r="X55" t="str">
            <v>BBB+</v>
          </cell>
          <cell r="Y55" t="str">
            <v>Baa1</v>
          </cell>
          <cell r="Z55" t="str">
            <v>WD</v>
          </cell>
          <cell r="AA55" t="str">
            <v>STABLE</v>
          </cell>
          <cell r="AB55" t="str">
            <v>STABLE</v>
          </cell>
          <cell r="AC55" t="str">
            <v xml:space="preserve"> </v>
          </cell>
          <cell r="AD55">
            <v>0</v>
          </cell>
          <cell r="AE55">
            <v>1</v>
          </cell>
          <cell r="AF55">
            <v>1</v>
          </cell>
          <cell r="AG55">
            <v>0</v>
          </cell>
          <cell r="AH55">
            <v>0</v>
          </cell>
          <cell r="AI55">
            <v>1</v>
          </cell>
          <cell r="AJ55" t="str">
            <v/>
          </cell>
          <cell r="AK55">
            <v>82722719017.619995</v>
          </cell>
          <cell r="AL55" t="str">
            <v>USD</v>
          </cell>
          <cell r="AM55">
            <v>1</v>
          </cell>
          <cell r="AN55">
            <v>82.722719017619994</v>
          </cell>
          <cell r="AP55" t="str">
            <v/>
          </cell>
          <cell r="AQ55" t="str">
            <v/>
          </cell>
          <cell r="AR55" t="str">
            <v/>
          </cell>
          <cell r="AS55">
            <v>45420</v>
          </cell>
          <cell r="AT55">
            <v>45461</v>
          </cell>
          <cell r="AU55">
            <v>45313</v>
          </cell>
          <cell r="AV55">
            <v>153.30000000000001</v>
          </cell>
          <cell r="AW55">
            <v>144.41</v>
          </cell>
          <cell r="AX55">
            <v>6.1560833737275944</v>
          </cell>
        </row>
        <row r="56">
          <cell r="F56" t="str">
            <v>NIKE Inc</v>
          </cell>
          <cell r="G56" t="str">
            <v>耐吉公司</v>
          </cell>
          <cell r="H56">
            <v>74.02</v>
          </cell>
          <cell r="I56">
            <v>-0.2291414</v>
          </cell>
          <cell r="J56">
            <v>-1.0692330000000001</v>
          </cell>
          <cell r="K56">
            <v>-2.1805180000000002</v>
          </cell>
          <cell r="L56">
            <v>196.58779999999999</v>
          </cell>
          <cell r="M56">
            <v>0</v>
          </cell>
          <cell r="N56">
            <v>-2.2155</v>
          </cell>
          <cell r="O56">
            <v>30.007999999999999</v>
          </cell>
          <cell r="P56" t="str">
            <v>Y</v>
          </cell>
          <cell r="Q56" t="str">
            <v>A+</v>
          </cell>
          <cell r="R56" t="str">
            <v>A1</v>
          </cell>
          <cell r="S56" t="str">
            <v>-</v>
          </cell>
          <cell r="T56" t="str">
            <v>STABLE</v>
          </cell>
          <cell r="U56" t="str">
            <v>NEG</v>
          </cell>
          <cell r="V56" t="str">
            <v xml:space="preserve"> </v>
          </cell>
          <cell r="X56" t="str">
            <v>BBB+</v>
          </cell>
          <cell r="Y56" t="str">
            <v>Baa1</v>
          </cell>
          <cell r="Z56" t="str">
            <v>WD</v>
          </cell>
          <cell r="AA56" t="str">
            <v>STABLE</v>
          </cell>
          <cell r="AB56" t="str">
            <v>STABLE</v>
          </cell>
          <cell r="AC56" t="str">
            <v xml:space="preserve"> </v>
          </cell>
          <cell r="AD56">
            <v>1</v>
          </cell>
          <cell r="AE56">
            <v>1</v>
          </cell>
          <cell r="AF56">
            <v>1</v>
          </cell>
          <cell r="AG56">
            <v>0</v>
          </cell>
          <cell r="AH56">
            <v>1</v>
          </cell>
          <cell r="AI56">
            <v>0</v>
          </cell>
          <cell r="AJ56" t="str">
            <v/>
          </cell>
          <cell r="AK56">
            <v>109320396477.84</v>
          </cell>
          <cell r="AL56" t="str">
            <v>USD</v>
          </cell>
          <cell r="AM56">
            <v>1</v>
          </cell>
          <cell r="AN56">
            <v>109.32039647783999</v>
          </cell>
          <cell r="AP56" t="str">
            <v/>
          </cell>
          <cell r="AQ56" t="str">
            <v/>
          </cell>
          <cell r="AR56" t="str">
            <v/>
          </cell>
          <cell r="AS56">
            <v>45854</v>
          </cell>
          <cell r="AT56">
            <v>45679</v>
          </cell>
          <cell r="AU56" t="str">
            <v/>
          </cell>
          <cell r="AV56">
            <v>74.19</v>
          </cell>
          <cell r="AW56">
            <v>74.62</v>
          </cell>
          <cell r="AX56">
            <v>-0.57625301527741701</v>
          </cell>
        </row>
        <row r="57">
          <cell r="F57" t="str">
            <v>Walmart Inc</v>
          </cell>
          <cell r="G57" t="str">
            <v>沃爾瑪公司</v>
          </cell>
          <cell r="H57">
            <v>103.93</v>
          </cell>
          <cell r="I57">
            <v>0.19280829999999999</v>
          </cell>
          <cell r="J57">
            <v>4.3578669999999997</v>
          </cell>
          <cell r="K57">
            <v>15.03044</v>
          </cell>
          <cell r="L57">
            <v>27.371780000000001</v>
          </cell>
          <cell r="M57">
            <v>0</v>
          </cell>
          <cell r="N57">
            <v>0.38938</v>
          </cell>
          <cell r="O57">
            <v>-1.8614299999999999</v>
          </cell>
          <cell r="P57" t="str">
            <v xml:space="preserve"> </v>
          </cell>
          <cell r="Q57" t="str">
            <v>AA</v>
          </cell>
          <cell r="R57" t="str">
            <v>Aa2</v>
          </cell>
          <cell r="S57" t="str">
            <v>AA</v>
          </cell>
          <cell r="T57" t="str">
            <v>STABLE</v>
          </cell>
          <cell r="U57" t="str">
            <v>STABLE</v>
          </cell>
          <cell r="V57" t="str">
            <v>STABLE</v>
          </cell>
          <cell r="X57" t="str">
            <v>AA</v>
          </cell>
          <cell r="Y57" t="str">
            <v>Aa2</v>
          </cell>
          <cell r="Z57" t="str">
            <v>AA</v>
          </cell>
          <cell r="AA57" t="str">
            <v>STABLE</v>
          </cell>
          <cell r="AB57" t="str">
            <v>STABLE</v>
          </cell>
          <cell r="AC57" t="str">
            <v>STABLE</v>
          </cell>
          <cell r="AD57">
            <v>0</v>
          </cell>
          <cell r="AE57">
            <v>0</v>
          </cell>
          <cell r="AF57">
            <v>0</v>
          </cell>
          <cell r="AG57">
            <v>0</v>
          </cell>
          <cell r="AH57">
            <v>0</v>
          </cell>
          <cell r="AI57">
            <v>0</v>
          </cell>
          <cell r="AJ57" t="str">
            <v/>
          </cell>
          <cell r="AK57">
            <v>829404859784.52002</v>
          </cell>
          <cell r="AL57" t="str">
            <v>USD</v>
          </cell>
          <cell r="AM57">
            <v>1</v>
          </cell>
          <cell r="AN57">
            <v>829.40485978452</v>
          </cell>
          <cell r="AP57" t="str">
            <v/>
          </cell>
          <cell r="AQ57" t="str">
            <v/>
          </cell>
          <cell r="AR57" t="str">
            <v/>
          </cell>
          <cell r="AS57">
            <v>36350</v>
          </cell>
          <cell r="AT57">
            <v>44847</v>
          </cell>
          <cell r="AU57">
            <v>37067</v>
          </cell>
          <cell r="AV57">
            <v>103.73</v>
          </cell>
          <cell r="AW57">
            <v>98.49</v>
          </cell>
          <cell r="AX57">
            <v>5.3203370900599234</v>
          </cell>
        </row>
        <row r="58">
          <cell r="F58" t="str">
            <v>Costco Wholesale Corp</v>
          </cell>
          <cell r="G58" t="str">
            <v>好市多公司</v>
          </cell>
          <cell r="H58">
            <v>988.74</v>
          </cell>
          <cell r="I58">
            <v>0.79104569999999996</v>
          </cell>
          <cell r="J58">
            <v>3.4928880000000002</v>
          </cell>
          <cell r="K58">
            <v>7.9092380000000002</v>
          </cell>
          <cell r="L58">
            <v>196.58779999999999</v>
          </cell>
          <cell r="M58">
            <v>0</v>
          </cell>
          <cell r="N58">
            <v>-2.2115</v>
          </cell>
          <cell r="O58">
            <v>30.007999999999999</v>
          </cell>
          <cell r="P58" t="str">
            <v xml:space="preserve"> </v>
          </cell>
          <cell r="Q58" t="str">
            <v>AA</v>
          </cell>
          <cell r="R58" t="str">
            <v>Aa3</v>
          </cell>
          <cell r="S58" t="str">
            <v>WD</v>
          </cell>
          <cell r="T58" t="str">
            <v>STABLE</v>
          </cell>
          <cell r="U58" t="str">
            <v>STABLE</v>
          </cell>
          <cell r="V58" t="str">
            <v xml:space="preserve"> </v>
          </cell>
          <cell r="X58" t="str">
            <v>AA</v>
          </cell>
          <cell r="Y58" t="str">
            <v>Aa3</v>
          </cell>
          <cell r="Z58" t="str">
            <v>WD</v>
          </cell>
          <cell r="AA58" t="str">
            <v>STABLE</v>
          </cell>
          <cell r="AB58" t="str">
            <v>STABLE</v>
          </cell>
          <cell r="AC58" t="str">
            <v xml:space="preserve"> </v>
          </cell>
          <cell r="AD58">
            <v>0</v>
          </cell>
          <cell r="AE58">
            <v>0</v>
          </cell>
          <cell r="AF58">
            <v>0</v>
          </cell>
          <cell r="AG58">
            <v>0</v>
          </cell>
          <cell r="AH58">
            <v>0</v>
          </cell>
          <cell r="AI58">
            <v>0</v>
          </cell>
          <cell r="AJ58" t="str">
            <v/>
          </cell>
          <cell r="AK58">
            <v>438483534011.64001</v>
          </cell>
          <cell r="AL58" t="str">
            <v>USD</v>
          </cell>
          <cell r="AM58">
            <v>1</v>
          </cell>
          <cell r="AN58">
            <v>438.48353401164002</v>
          </cell>
          <cell r="AP58" t="str">
            <v/>
          </cell>
          <cell r="AQ58" t="str">
            <v/>
          </cell>
          <cell r="AR58" t="str">
            <v/>
          </cell>
          <cell r="AS58">
            <v>45678</v>
          </cell>
          <cell r="AT58">
            <v>44866</v>
          </cell>
          <cell r="AU58">
            <v>43572</v>
          </cell>
          <cell r="AV58">
            <v>980.98</v>
          </cell>
          <cell r="AW58">
            <v>952.52</v>
          </cell>
          <cell r="AX58">
            <v>2.9878637718893097</v>
          </cell>
        </row>
        <row r="59">
          <cell r="F59" t="str">
            <v>Kraft Heinz Co/The</v>
          </cell>
          <cell r="G59" t="str">
            <v>卡夫亨氏公司</v>
          </cell>
          <cell r="H59">
            <v>27.43</v>
          </cell>
          <cell r="I59">
            <v>-1.188761</v>
          </cell>
          <cell r="J59">
            <v>2.350746</v>
          </cell>
          <cell r="K59">
            <v>-10.68056</v>
          </cell>
          <cell r="L59">
            <v>62.080469999999998</v>
          </cell>
          <cell r="M59">
            <v>0</v>
          </cell>
          <cell r="N59">
            <v>9.0999999999999998E-2</v>
          </cell>
          <cell r="O59">
            <v>14.017429999999999</v>
          </cell>
          <cell r="P59" t="str">
            <v xml:space="preserve"> </v>
          </cell>
          <cell r="Q59" t="str">
            <v>BBB</v>
          </cell>
          <cell r="R59" t="str">
            <v>-</v>
          </cell>
          <cell r="S59" t="str">
            <v>BBB</v>
          </cell>
          <cell r="T59" t="str">
            <v>STABLE</v>
          </cell>
          <cell r="U59" t="str">
            <v xml:space="preserve"> </v>
          </cell>
          <cell r="V59" t="str">
            <v>STABLE</v>
          </cell>
          <cell r="X59" t="str">
            <v>BBB</v>
          </cell>
          <cell r="Y59" t="str">
            <v>-</v>
          </cell>
          <cell r="Z59" t="str">
            <v>BBB</v>
          </cell>
          <cell r="AA59" t="str">
            <v>STABLE</v>
          </cell>
          <cell r="AB59" t="str">
            <v xml:space="preserve"> </v>
          </cell>
          <cell r="AC59" t="str">
            <v>STABLE</v>
          </cell>
          <cell r="AD59">
            <v>0</v>
          </cell>
          <cell r="AE59">
            <v>0</v>
          </cell>
          <cell r="AF59">
            <v>0</v>
          </cell>
          <cell r="AG59">
            <v>0</v>
          </cell>
          <cell r="AH59">
            <v>0</v>
          </cell>
          <cell r="AI59">
            <v>0</v>
          </cell>
          <cell r="AJ59" t="str">
            <v/>
          </cell>
          <cell r="AK59">
            <v>32466126467.449997</v>
          </cell>
          <cell r="AL59" t="str">
            <v>USD</v>
          </cell>
          <cell r="AM59">
            <v>1</v>
          </cell>
          <cell r="AN59">
            <v>32.466126467449996</v>
          </cell>
          <cell r="AP59" t="str">
            <v/>
          </cell>
          <cell r="AQ59" t="str">
            <v/>
          </cell>
          <cell r="AR59" t="str">
            <v/>
          </cell>
          <cell r="AS59">
            <v>44974</v>
          </cell>
          <cell r="AT59" t="str">
            <v/>
          </cell>
          <cell r="AU59">
            <v>44873</v>
          </cell>
          <cell r="AV59">
            <v>27.76</v>
          </cell>
          <cell r="AW59">
            <v>27.41</v>
          </cell>
          <cell r="AX59">
            <v>1.2769062385990626</v>
          </cell>
        </row>
        <row r="60">
          <cell r="F60" t="str">
            <v>Johnson &amp; Johnson</v>
          </cell>
          <cell r="G60" t="str">
            <v>嬌生公司</v>
          </cell>
          <cell r="H60">
            <v>173.82</v>
          </cell>
          <cell r="I60">
            <v>0.2826977</v>
          </cell>
          <cell r="J60">
            <v>1.625351</v>
          </cell>
          <cell r="K60">
            <v>20.190850000000001</v>
          </cell>
          <cell r="L60">
            <v>21.162420000000001</v>
          </cell>
          <cell r="M60">
            <v>0</v>
          </cell>
          <cell r="N60">
            <v>-0.97529999999999994</v>
          </cell>
          <cell r="O60">
            <v>-1.2662899999999999</v>
          </cell>
          <cell r="P60" t="str">
            <v xml:space="preserve"> </v>
          </cell>
          <cell r="Q60" t="str">
            <v>AAA</v>
          </cell>
          <cell r="R60" t="str">
            <v>Aaa</v>
          </cell>
          <cell r="S60" t="str">
            <v>WD</v>
          </cell>
          <cell r="T60" t="str">
            <v>STABLE</v>
          </cell>
          <cell r="U60" t="str">
            <v>STABLE</v>
          </cell>
          <cell r="V60" t="str">
            <v xml:space="preserve"> </v>
          </cell>
          <cell r="X60" t="str">
            <v>AAA</v>
          </cell>
          <cell r="Y60" t="str">
            <v>Aaa</v>
          </cell>
          <cell r="Z60" t="str">
            <v>WD</v>
          </cell>
          <cell r="AA60" t="str">
            <v>STABLE</v>
          </cell>
          <cell r="AB60" t="str">
            <v>STABLE</v>
          </cell>
          <cell r="AC60" t="str">
            <v xml:space="preserve"> </v>
          </cell>
          <cell r="AD60">
            <v>0</v>
          </cell>
          <cell r="AE60">
            <v>0</v>
          </cell>
          <cell r="AF60">
            <v>0</v>
          </cell>
          <cell r="AG60">
            <v>0</v>
          </cell>
          <cell r="AH60">
            <v>0</v>
          </cell>
          <cell r="AI60">
            <v>0</v>
          </cell>
          <cell r="AJ60" t="str">
            <v/>
          </cell>
          <cell r="AK60">
            <v>418617462731.03998</v>
          </cell>
          <cell r="AL60" t="str">
            <v>USD</v>
          </cell>
          <cell r="AM60">
            <v>1</v>
          </cell>
          <cell r="AN60">
            <v>418.61746273103995</v>
          </cell>
          <cell r="AP60" t="str">
            <v/>
          </cell>
          <cell r="AQ60" t="str">
            <v/>
          </cell>
          <cell r="AR60" t="str">
            <v/>
          </cell>
          <cell r="AS60">
            <v>45772</v>
          </cell>
          <cell r="AT60">
            <v>45671</v>
          </cell>
          <cell r="AU60">
            <v>43712</v>
          </cell>
          <cell r="AV60">
            <v>173.33</v>
          </cell>
          <cell r="AW60">
            <v>167.33</v>
          </cell>
          <cell r="AX60">
            <v>3.5857287993784626</v>
          </cell>
        </row>
        <row r="61">
          <cell r="F61" t="str">
            <v>Kimberly-Clark Corp</v>
          </cell>
          <cell r="G61" t="str">
            <v>金百利克拉克</v>
          </cell>
          <cell r="H61">
            <v>134.15</v>
          </cell>
          <cell r="I61">
            <v>-1.4762040000000001</v>
          </cell>
          <cell r="J61">
            <v>0.75860000000000005</v>
          </cell>
          <cell r="K61">
            <v>2.373326</v>
          </cell>
          <cell r="L61">
            <v>43.209490000000002</v>
          </cell>
          <cell r="M61">
            <v>0</v>
          </cell>
          <cell r="N61">
            <v>-1.2456100000000001</v>
          </cell>
          <cell r="O61">
            <v>-9.4500000000000001E-3</v>
          </cell>
          <cell r="P61" t="str">
            <v xml:space="preserve"> </v>
          </cell>
          <cell r="Q61" t="str">
            <v>A</v>
          </cell>
          <cell r="R61" t="str">
            <v>A2</v>
          </cell>
          <cell r="S61" t="str">
            <v>WD</v>
          </cell>
          <cell r="T61" t="str">
            <v>STABLE</v>
          </cell>
          <cell r="U61" t="str">
            <v>STABLE</v>
          </cell>
          <cell r="V61" t="str">
            <v xml:space="preserve"> </v>
          </cell>
          <cell r="X61" t="str">
            <v>A</v>
          </cell>
          <cell r="Y61" t="str">
            <v>A2</v>
          </cell>
          <cell r="Z61" t="str">
            <v>WD</v>
          </cell>
          <cell r="AA61" t="str">
            <v>STABLE</v>
          </cell>
          <cell r="AB61" t="str">
            <v>STABLE</v>
          </cell>
          <cell r="AC61" t="str">
            <v xml:space="preserve"> </v>
          </cell>
          <cell r="AD61">
            <v>0</v>
          </cell>
          <cell r="AE61">
            <v>0</v>
          </cell>
          <cell r="AF61">
            <v>0</v>
          </cell>
          <cell r="AG61">
            <v>0</v>
          </cell>
          <cell r="AH61">
            <v>0</v>
          </cell>
          <cell r="AI61">
            <v>0</v>
          </cell>
          <cell r="AJ61" t="str">
            <v/>
          </cell>
          <cell r="AK61">
            <v>44508278682.699997</v>
          </cell>
          <cell r="AL61" t="str">
            <v>USD</v>
          </cell>
          <cell r="AM61">
            <v>1</v>
          </cell>
          <cell r="AN61">
            <v>44.508278682699995</v>
          </cell>
          <cell r="AP61" t="str">
            <v/>
          </cell>
          <cell r="AQ61" t="str">
            <v/>
          </cell>
          <cell r="AR61" t="str">
            <v/>
          </cell>
          <cell r="AS61">
            <v>39679</v>
          </cell>
          <cell r="AT61">
            <v>44734</v>
          </cell>
          <cell r="AU61">
            <v>43294</v>
          </cell>
          <cell r="AV61">
            <v>136.16</v>
          </cell>
          <cell r="AW61">
            <v>130.63999999999999</v>
          </cell>
          <cell r="AX61">
            <v>4.2253521126760729</v>
          </cell>
        </row>
        <row r="62">
          <cell r="F62" t="str">
            <v>CVS Health Corp</v>
          </cell>
          <cell r="G62" t="str">
            <v>CVS保健公司</v>
          </cell>
          <cell r="H62">
            <v>64.88</v>
          </cell>
          <cell r="I62">
            <v>-1.0070190000000001</v>
          </cell>
          <cell r="J62">
            <v>5.5817740000000002</v>
          </cell>
          <cell r="K62">
            <v>44.531080000000003</v>
          </cell>
          <cell r="L62">
            <v>60.22927</v>
          </cell>
          <cell r="M62">
            <v>0</v>
          </cell>
          <cell r="N62">
            <v>-0.61663000000000001</v>
          </cell>
          <cell r="O62">
            <v>-27.276990000000001</v>
          </cell>
          <cell r="P62" t="str">
            <v xml:space="preserve"> </v>
          </cell>
          <cell r="Q62" t="str">
            <v>BBB</v>
          </cell>
          <cell r="R62" t="str">
            <v>Baa3</v>
          </cell>
          <cell r="S62" t="str">
            <v>BBB</v>
          </cell>
          <cell r="T62" t="str">
            <v>NEG</v>
          </cell>
          <cell r="U62" t="str">
            <v>STABLE</v>
          </cell>
          <cell r="V62" t="str">
            <v>NEG</v>
          </cell>
          <cell r="X62" t="str">
            <v>BBB</v>
          </cell>
          <cell r="Y62" t="str">
            <v>Baa3</v>
          </cell>
          <cell r="Z62" t="str">
            <v>BBB</v>
          </cell>
          <cell r="AA62" t="str">
            <v>NEG</v>
          </cell>
          <cell r="AB62" t="str">
            <v>STABLE</v>
          </cell>
          <cell r="AC62" t="str">
            <v>NEG</v>
          </cell>
          <cell r="AD62">
            <v>0</v>
          </cell>
          <cell r="AE62">
            <v>0</v>
          </cell>
          <cell r="AF62">
            <v>0</v>
          </cell>
          <cell r="AG62">
            <v>0</v>
          </cell>
          <cell r="AH62">
            <v>0</v>
          </cell>
          <cell r="AI62">
            <v>0</v>
          </cell>
          <cell r="AJ62" t="str">
            <v/>
          </cell>
          <cell r="AK62">
            <v>82289015209.999985</v>
          </cell>
          <cell r="AL62" t="str">
            <v>USD</v>
          </cell>
          <cell r="AM62">
            <v>1</v>
          </cell>
          <cell r="AN62">
            <v>82.289015209999988</v>
          </cell>
          <cell r="AP62" t="str">
            <v/>
          </cell>
          <cell r="AQ62" t="str">
            <v/>
          </cell>
          <cell r="AR62" t="str">
            <v/>
          </cell>
          <cell r="AS62">
            <v>43165</v>
          </cell>
          <cell r="AT62">
            <v>45642</v>
          </cell>
          <cell r="AU62">
            <v>45653</v>
          </cell>
          <cell r="AV62">
            <v>65.540000000000006</v>
          </cell>
          <cell r="AW62">
            <v>62.47</v>
          </cell>
          <cell r="AX62">
            <v>4.9143588922683001</v>
          </cell>
        </row>
        <row r="63">
          <cell r="F63" t="str">
            <v>Pfizer Inc</v>
          </cell>
          <cell r="G63" t="str">
            <v>輝瑞大藥廠股份有限公司</v>
          </cell>
          <cell r="H63">
            <v>24.58</v>
          </cell>
          <cell r="I63">
            <v>0</v>
          </cell>
          <cell r="J63">
            <v>4.4623879999999998</v>
          </cell>
          <cell r="K63">
            <v>-7.3501719999999997</v>
          </cell>
          <cell r="L63">
            <v>36.239840000000001</v>
          </cell>
          <cell r="M63">
            <v>0</v>
          </cell>
          <cell r="N63">
            <v>-1.2664</v>
          </cell>
          <cell r="O63">
            <v>-6.59504</v>
          </cell>
          <cell r="P63" t="str">
            <v xml:space="preserve"> </v>
          </cell>
          <cell r="Q63" t="str">
            <v>A</v>
          </cell>
          <cell r="R63" t="str">
            <v>A2</v>
          </cell>
          <cell r="S63" t="str">
            <v>WD</v>
          </cell>
          <cell r="T63" t="str">
            <v>STABLE</v>
          </cell>
          <cell r="U63" t="str">
            <v>STABLE</v>
          </cell>
          <cell r="V63" t="str">
            <v xml:space="preserve"> </v>
          </cell>
          <cell r="X63" t="str">
            <v>A</v>
          </cell>
          <cell r="Y63" t="str">
            <v>A2</v>
          </cell>
          <cell r="Z63" t="str">
            <v>WD</v>
          </cell>
          <cell r="AA63" t="str">
            <v>STABLE</v>
          </cell>
          <cell r="AB63" t="str">
            <v>STABLE</v>
          </cell>
          <cell r="AC63" t="str">
            <v xml:space="preserve"> </v>
          </cell>
          <cell r="AD63">
            <v>0</v>
          </cell>
          <cell r="AE63">
            <v>0</v>
          </cell>
          <cell r="AF63">
            <v>0</v>
          </cell>
          <cell r="AG63">
            <v>0</v>
          </cell>
          <cell r="AH63">
            <v>0</v>
          </cell>
          <cell r="AI63">
            <v>0</v>
          </cell>
          <cell r="AJ63" t="str">
            <v/>
          </cell>
          <cell r="AK63">
            <v>139750831290</v>
          </cell>
          <cell r="AL63" t="str">
            <v>USD</v>
          </cell>
          <cell r="AM63">
            <v>1</v>
          </cell>
          <cell r="AN63">
            <v>139.75083129000001</v>
          </cell>
          <cell r="AP63" t="str">
            <v/>
          </cell>
          <cell r="AQ63" t="str">
            <v/>
          </cell>
          <cell r="AR63" t="str">
            <v/>
          </cell>
          <cell r="AS63">
            <v>45273</v>
          </cell>
          <cell r="AT63">
            <v>45273</v>
          </cell>
          <cell r="AU63">
            <v>45427</v>
          </cell>
          <cell r="AV63">
            <v>24.58</v>
          </cell>
          <cell r="AW63">
            <v>23.49</v>
          </cell>
          <cell r="AX63">
            <v>4.6402724563644027</v>
          </cell>
        </row>
        <row r="64">
          <cell r="F64" t="str">
            <v>AbbVie Inc</v>
          </cell>
          <cell r="G64" t="str">
            <v>艾伯維公司</v>
          </cell>
          <cell r="H64">
            <v>198.64</v>
          </cell>
          <cell r="I64">
            <v>0.29790460000000002</v>
          </cell>
          <cell r="J64">
            <v>0.73533139999999997</v>
          </cell>
          <cell r="K64">
            <v>11.783910000000001</v>
          </cell>
          <cell r="L64">
            <v>43.209490000000002</v>
          </cell>
          <cell r="M64">
            <v>0</v>
          </cell>
          <cell r="N64">
            <v>-1.2456100000000001</v>
          </cell>
          <cell r="O64">
            <v>-9.4500000000000001E-3</v>
          </cell>
          <cell r="P64" t="str">
            <v xml:space="preserve"> </v>
          </cell>
          <cell r="Q64" t="str">
            <v>A-</v>
          </cell>
          <cell r="R64" t="str">
            <v>A3</v>
          </cell>
          <cell r="S64" t="str">
            <v>-</v>
          </cell>
          <cell r="T64" t="str">
            <v>STABLE</v>
          </cell>
          <cell r="U64" t="str">
            <v>POS</v>
          </cell>
          <cell r="V64" t="str">
            <v xml:space="preserve"> </v>
          </cell>
          <cell r="X64" t="str">
            <v>A-</v>
          </cell>
          <cell r="Y64" t="str">
            <v>A3</v>
          </cell>
          <cell r="Z64" t="str">
            <v>-</v>
          </cell>
          <cell r="AA64" t="str">
            <v>STABLE</v>
          </cell>
          <cell r="AB64" t="str">
            <v>POS</v>
          </cell>
          <cell r="AC64" t="str">
            <v xml:space="preserve"> </v>
          </cell>
          <cell r="AD64">
            <v>0</v>
          </cell>
          <cell r="AE64">
            <v>0</v>
          </cell>
          <cell r="AF64">
            <v>0</v>
          </cell>
          <cell r="AG64">
            <v>0</v>
          </cell>
          <cell r="AH64">
            <v>0</v>
          </cell>
          <cell r="AI64">
            <v>0</v>
          </cell>
          <cell r="AJ64" t="str">
            <v/>
          </cell>
          <cell r="AK64">
            <v>350909131375.91998</v>
          </cell>
          <cell r="AL64" t="str">
            <v>USD</v>
          </cell>
          <cell r="AM64">
            <v>1</v>
          </cell>
          <cell r="AN64">
            <v>350.90913137591997</v>
          </cell>
          <cell r="AP64" t="str">
            <v/>
          </cell>
          <cell r="AQ64" t="str">
            <v/>
          </cell>
          <cell r="AR64" t="str">
            <v/>
          </cell>
          <cell r="AS64">
            <v>45232</v>
          </cell>
          <cell r="AT64">
            <v>45505</v>
          </cell>
          <cell r="AU64" t="str">
            <v/>
          </cell>
          <cell r="AV64">
            <v>198.05</v>
          </cell>
          <cell r="AW64">
            <v>195.22</v>
          </cell>
          <cell r="AX64">
            <v>1.449646552607331</v>
          </cell>
        </row>
        <row r="65">
          <cell r="F65" t="str">
            <v>Altria Group Inc</v>
          </cell>
          <cell r="G65" t="str">
            <v>高特利集團</v>
          </cell>
          <cell r="H65">
            <v>65.67</v>
          </cell>
          <cell r="I65">
            <v>2.3056549999999998</v>
          </cell>
          <cell r="J65">
            <v>6.0219569999999996</v>
          </cell>
          <cell r="K65">
            <v>25.588059999999999</v>
          </cell>
          <cell r="L65">
            <v>43.209490000000002</v>
          </cell>
          <cell r="M65">
            <v>0</v>
          </cell>
          <cell r="N65">
            <v>-1.2456100000000001</v>
          </cell>
          <cell r="O65">
            <v>-9.4500000000000001E-3</v>
          </cell>
          <cell r="P65" t="str">
            <v xml:space="preserve"> </v>
          </cell>
          <cell r="Q65" t="str">
            <v>BBB+</v>
          </cell>
          <cell r="R65" t="str">
            <v>A3</v>
          </cell>
          <cell r="S65" t="str">
            <v>BBB</v>
          </cell>
          <cell r="T65" t="str">
            <v>STABLE</v>
          </cell>
          <cell r="U65" t="str">
            <v>STABLE</v>
          </cell>
          <cell r="V65" t="str">
            <v>STABLE</v>
          </cell>
          <cell r="X65" t="str">
            <v>BBB+</v>
          </cell>
          <cell r="Y65" t="str">
            <v>A3</v>
          </cell>
          <cell r="Z65" t="str">
            <v>BBB</v>
          </cell>
          <cell r="AA65" t="str">
            <v>STABLE</v>
          </cell>
          <cell r="AB65" t="str">
            <v>STABLE</v>
          </cell>
          <cell r="AC65" t="str">
            <v>STABLE</v>
          </cell>
          <cell r="AD65">
            <v>0</v>
          </cell>
          <cell r="AE65">
            <v>0</v>
          </cell>
          <cell r="AF65">
            <v>0</v>
          </cell>
          <cell r="AG65">
            <v>0</v>
          </cell>
          <cell r="AH65">
            <v>0</v>
          </cell>
          <cell r="AI65">
            <v>0</v>
          </cell>
          <cell r="AJ65" t="str">
            <v/>
          </cell>
          <cell r="AK65">
            <v>110318438883.50999</v>
          </cell>
          <cell r="AL65" t="str">
            <v>USD</v>
          </cell>
          <cell r="AM65">
            <v>1</v>
          </cell>
          <cell r="AN65">
            <v>110.31843888351</v>
          </cell>
          <cell r="AP65" t="str">
            <v/>
          </cell>
          <cell r="AQ65" t="str">
            <v/>
          </cell>
          <cell r="AR65" t="str">
            <v/>
          </cell>
          <cell r="AS65">
            <v>45791</v>
          </cell>
          <cell r="AT65">
            <v>45775</v>
          </cell>
          <cell r="AU65">
            <v>43454</v>
          </cell>
          <cell r="AV65">
            <v>64.19</v>
          </cell>
          <cell r="AW65">
            <v>61.78</v>
          </cell>
          <cell r="AX65">
            <v>3.9009388151505231</v>
          </cell>
        </row>
        <row r="66">
          <cell r="F66" t="str">
            <v>L'Oreal SA</v>
          </cell>
          <cell r="G66" t="str">
            <v>萊雅有限責任公司</v>
          </cell>
          <cell r="H66">
            <v>381.65</v>
          </cell>
          <cell r="I66">
            <v>-0.96016610000000002</v>
          </cell>
          <cell r="J66">
            <v>0.55328679999999997</v>
          </cell>
          <cell r="K66">
            <v>11.544650000000001</v>
          </cell>
          <cell r="L66" t="str">
            <v>#N/A N/A BEST Curncy</v>
          </cell>
          <cell r="M66" t="str">
            <v>#N/A N/A BEST Curncy</v>
          </cell>
          <cell r="N66" t="str">
            <v>#N/A N/A BEST Curncy</v>
          </cell>
          <cell r="O66" t="str">
            <v>#N/A N/A BEST Curncy</v>
          </cell>
          <cell r="P66" t="str">
            <v>Y</v>
          </cell>
          <cell r="Q66" t="str">
            <v>AA</v>
          </cell>
          <cell r="R66" t="str">
            <v>Aa1</v>
          </cell>
          <cell r="S66" t="str">
            <v>-</v>
          </cell>
          <cell r="T66" t="str">
            <v>STABLE</v>
          </cell>
          <cell r="U66" t="str">
            <v>STABLE</v>
          </cell>
          <cell r="V66" t="str">
            <v xml:space="preserve"> </v>
          </cell>
          <cell r="X66" t="str">
            <v>BBB+</v>
          </cell>
          <cell r="Y66" t="str">
            <v>A3</v>
          </cell>
          <cell r="Z66" t="str">
            <v>BBB</v>
          </cell>
          <cell r="AA66" t="str">
            <v>STABLE</v>
          </cell>
          <cell r="AB66" t="str">
            <v>STABLE</v>
          </cell>
          <cell r="AC66" t="str">
            <v>STABLE</v>
          </cell>
          <cell r="AD66">
            <v>1</v>
          </cell>
          <cell r="AE66">
            <v>1</v>
          </cell>
          <cell r="AF66">
            <v>1</v>
          </cell>
          <cell r="AG66">
            <v>0</v>
          </cell>
          <cell r="AH66">
            <v>0</v>
          </cell>
          <cell r="AI66">
            <v>1</v>
          </cell>
          <cell r="AJ66" t="str">
            <v/>
          </cell>
          <cell r="AK66">
            <v>203497655046.44995</v>
          </cell>
          <cell r="AL66" t="str">
            <v>EUR</v>
          </cell>
          <cell r="AM66">
            <v>0.86060000000000003</v>
          </cell>
          <cell r="AN66">
            <v>236.4602080483964</v>
          </cell>
          <cell r="AP66" t="str">
            <v/>
          </cell>
          <cell r="AQ66" t="str">
            <v/>
          </cell>
          <cell r="AR66" t="str">
            <v/>
          </cell>
          <cell r="AS66">
            <v>44631</v>
          </cell>
          <cell r="AT66">
            <v>45715</v>
          </cell>
          <cell r="AU66" t="str">
            <v/>
          </cell>
          <cell r="AV66">
            <v>385.35</v>
          </cell>
          <cell r="AW66">
            <v>375.6</v>
          </cell>
          <cell r="AX66">
            <v>2.5958466453674056</v>
          </cell>
        </row>
        <row r="67">
          <cell r="F67" t="str">
            <v>Hermes International SCA</v>
          </cell>
          <cell r="G67" t="str">
            <v>愛馬仕國際合夥有限公司</v>
          </cell>
          <cell r="H67">
            <v>2037</v>
          </cell>
          <cell r="I67">
            <v>-3.6423839999999998</v>
          </cell>
          <cell r="J67">
            <v>-2.8612299999999999</v>
          </cell>
          <cell r="K67">
            <v>-11.91283</v>
          </cell>
          <cell r="L67">
            <v>19.0961</v>
          </cell>
          <cell r="M67">
            <v>0</v>
          </cell>
          <cell r="N67">
            <v>-0.24287</v>
          </cell>
          <cell r="O67">
            <v>-5.2734899999999998</v>
          </cell>
          <cell r="P67" t="str">
            <v>Y</v>
          </cell>
          <cell r="Q67" t="str">
            <v>-</v>
          </cell>
          <cell r="R67" t="str">
            <v>-</v>
          </cell>
          <cell r="S67" t="str">
            <v>-</v>
          </cell>
          <cell r="T67" t="str">
            <v xml:space="preserve"> </v>
          </cell>
          <cell r="U67" t="str">
            <v xml:space="preserve"> </v>
          </cell>
          <cell r="V67" t="str">
            <v xml:space="preserve"> </v>
          </cell>
          <cell r="X67" t="str">
            <v>A-</v>
          </cell>
          <cell r="Y67" t="str">
            <v>A3</v>
          </cell>
          <cell r="Z67" t="str">
            <v>-</v>
          </cell>
          <cell r="AA67" t="str">
            <v>STABLE</v>
          </cell>
          <cell r="AB67" t="str">
            <v>POS</v>
          </cell>
          <cell r="AC67" t="str">
            <v xml:space="preserve"> </v>
          </cell>
          <cell r="AD67">
            <v>1</v>
          </cell>
          <cell r="AE67">
            <v>1</v>
          </cell>
          <cell r="AF67">
            <v>0</v>
          </cell>
          <cell r="AG67">
            <v>1</v>
          </cell>
          <cell r="AH67">
            <v>1</v>
          </cell>
          <cell r="AI67">
            <v>0</v>
          </cell>
          <cell r="AJ67" t="str">
            <v/>
          </cell>
          <cell r="AK67">
            <v>215044892244</v>
          </cell>
          <cell r="AL67" t="str">
            <v>EUR</v>
          </cell>
          <cell r="AM67">
            <v>0.86060000000000003</v>
          </cell>
          <cell r="AN67">
            <v>249.87786688821751</v>
          </cell>
          <cell r="AP67" t="str">
            <v/>
          </cell>
          <cell r="AQ67" t="str">
            <v/>
          </cell>
          <cell r="AR67" t="str">
            <v/>
          </cell>
          <cell r="AS67" t="str">
            <v/>
          </cell>
          <cell r="AT67" t="str">
            <v/>
          </cell>
          <cell r="AU67" t="str">
            <v/>
          </cell>
          <cell r="AV67">
            <v>2114</v>
          </cell>
          <cell r="AW67">
            <v>2078</v>
          </cell>
          <cell r="AX67">
            <v>1.7324350336862304</v>
          </cell>
        </row>
        <row r="68">
          <cell r="F68" t="str">
            <v>LVMH Moet Hennessy Louis Vuitt</v>
          </cell>
          <cell r="G68" t="str">
            <v>酩悅·軒尼詩-路易·威登公司</v>
          </cell>
          <cell r="H68">
            <v>458</v>
          </cell>
          <cell r="I68">
            <v>-0.72612980000000005</v>
          </cell>
          <cell r="J68">
            <v>-0.93013190000000001</v>
          </cell>
          <cell r="K68">
            <v>-27.930759999999999</v>
          </cell>
          <cell r="L68">
            <v>30.556450000000002</v>
          </cell>
          <cell r="M68">
            <v>0</v>
          </cell>
          <cell r="N68">
            <v>0</v>
          </cell>
          <cell r="O68">
            <v>1.20665</v>
          </cell>
          <cell r="P68" t="str">
            <v>Y</v>
          </cell>
          <cell r="Q68" t="str">
            <v>AA-</v>
          </cell>
          <cell r="R68" t="str">
            <v>Aa3</v>
          </cell>
          <cell r="S68" t="str">
            <v>WD</v>
          </cell>
          <cell r="T68" t="str">
            <v>STABLE</v>
          </cell>
          <cell r="U68" t="str">
            <v>STABLE</v>
          </cell>
          <cell r="V68" t="str">
            <v xml:space="preserve"> </v>
          </cell>
          <cell r="X68" t="str">
            <v>A-</v>
          </cell>
          <cell r="Y68" t="str">
            <v>A3</v>
          </cell>
          <cell r="Z68" t="str">
            <v>-</v>
          </cell>
          <cell r="AA68" t="str">
            <v>STABLE</v>
          </cell>
          <cell r="AB68" t="str">
            <v>POS</v>
          </cell>
          <cell r="AC68" t="str">
            <v xml:space="preserve"> </v>
          </cell>
          <cell r="AD68">
            <v>1</v>
          </cell>
          <cell r="AE68">
            <v>1</v>
          </cell>
          <cell r="AF68">
            <v>1</v>
          </cell>
          <cell r="AG68">
            <v>0</v>
          </cell>
          <cell r="AH68">
            <v>1</v>
          </cell>
          <cell r="AI68">
            <v>0</v>
          </cell>
          <cell r="AJ68" t="str">
            <v/>
          </cell>
          <cell r="AK68">
            <v>229064898600</v>
          </cell>
          <cell r="AL68" t="str">
            <v>EUR</v>
          </cell>
          <cell r="AM68">
            <v>0.86060000000000003</v>
          </cell>
          <cell r="AN68">
            <v>266.16883406925399</v>
          </cell>
          <cell r="AP68" t="str">
            <v/>
          </cell>
          <cell r="AQ68" t="str">
            <v/>
          </cell>
          <cell r="AR68" t="str">
            <v/>
          </cell>
          <cell r="AS68">
            <v>44900</v>
          </cell>
          <cell r="AT68">
            <v>45253</v>
          </cell>
          <cell r="AU68">
            <v>40506</v>
          </cell>
          <cell r="AV68">
            <v>461.35</v>
          </cell>
          <cell r="AW68">
            <v>461.65</v>
          </cell>
          <cell r="AX68">
            <v>-6.4984295461922859E-2</v>
          </cell>
        </row>
        <row r="69">
          <cell r="F69" t="str">
            <v>Cie Financiere Richemont SA</v>
          </cell>
          <cell r="G69" t="str">
            <v>歷峰集團有限責任公司</v>
          </cell>
          <cell r="H69">
            <v>130.1</v>
          </cell>
          <cell r="I69">
            <v>-1.36467</v>
          </cell>
          <cell r="J69">
            <v>-1.214882</v>
          </cell>
          <cell r="K69">
            <v>-5.6562679999999999</v>
          </cell>
          <cell r="L69" t="str">
            <v>#N/A N/A BEST Curncy</v>
          </cell>
          <cell r="M69" t="str">
            <v>#N/A N/A BEST Curncy</v>
          </cell>
          <cell r="N69" t="str">
            <v>#N/A N/A BEST Curncy</v>
          </cell>
          <cell r="O69" t="str">
            <v>#N/A N/A BEST Curncy</v>
          </cell>
          <cell r="P69" t="str">
            <v>Y</v>
          </cell>
          <cell r="Q69" t="str">
            <v>A+</v>
          </cell>
          <cell r="R69" t="str">
            <v>-</v>
          </cell>
          <cell r="S69" t="str">
            <v>-</v>
          </cell>
          <cell r="T69" t="str">
            <v>STABLE</v>
          </cell>
          <cell r="U69" t="str">
            <v xml:space="preserve"> </v>
          </cell>
          <cell r="V69" t="str">
            <v xml:space="preserve"> </v>
          </cell>
          <cell r="X69" t="str">
            <v>BBB+</v>
          </cell>
          <cell r="Y69" t="str">
            <v>A3</v>
          </cell>
          <cell r="Z69" t="str">
            <v>BBB</v>
          </cell>
          <cell r="AA69" t="str">
            <v>STABLE</v>
          </cell>
          <cell r="AB69" t="str">
            <v>STABLE</v>
          </cell>
          <cell r="AC69" t="str">
            <v>STABLE</v>
          </cell>
          <cell r="AD69">
            <v>1</v>
          </cell>
          <cell r="AE69">
            <v>1</v>
          </cell>
          <cell r="AF69">
            <v>1</v>
          </cell>
          <cell r="AG69">
            <v>0</v>
          </cell>
          <cell r="AH69">
            <v>1</v>
          </cell>
          <cell r="AI69">
            <v>1</v>
          </cell>
          <cell r="AJ69" t="str">
            <v/>
          </cell>
          <cell r="AK69">
            <v>76933372756.789993</v>
          </cell>
          <cell r="AL69" t="str">
            <v>CHF</v>
          </cell>
          <cell r="AM69">
            <v>0.81110000000000004</v>
          </cell>
          <cell r="AN69">
            <v>94.850662996905427</v>
          </cell>
          <cell r="AP69" t="str">
            <v/>
          </cell>
          <cell r="AQ69" t="str">
            <v/>
          </cell>
          <cell r="AR69" t="str">
            <v/>
          </cell>
          <cell r="AS69">
            <v>43164</v>
          </cell>
          <cell r="AT69" t="str">
            <v/>
          </cell>
          <cell r="AU69" t="str">
            <v/>
          </cell>
          <cell r="AV69">
            <v>131.9</v>
          </cell>
          <cell r="AW69" t="str">
            <v>-</v>
          </cell>
          <cell r="AX69" t="str">
            <v>-</v>
          </cell>
        </row>
        <row r="70">
          <cell r="F70" t="str">
            <v>Christian Dior SE</v>
          </cell>
          <cell r="G70" t="str">
            <v>克麗絲汀迪奧公司</v>
          </cell>
          <cell r="H70">
            <v>440</v>
          </cell>
          <cell r="I70">
            <v>-1.8295399999999999</v>
          </cell>
          <cell r="J70">
            <v>-0.63233969999999995</v>
          </cell>
          <cell r="K70">
            <v>-27.272729999999999</v>
          </cell>
          <cell r="L70" t="str">
            <v>#N/A N/A BEST Curncy</v>
          </cell>
          <cell r="M70" t="str">
            <v>#N/A N/A BEST Curncy</v>
          </cell>
          <cell r="N70" t="str">
            <v>#N/A N/A BEST Curncy</v>
          </cell>
          <cell r="O70" t="str">
            <v>#N/A N/A BEST Curncy</v>
          </cell>
          <cell r="P70" t="str">
            <v>Y</v>
          </cell>
          <cell r="Q70" t="str">
            <v>-</v>
          </cell>
          <cell r="R70" t="str">
            <v>-</v>
          </cell>
          <cell r="S70" t="str">
            <v>-</v>
          </cell>
          <cell r="T70" t="str">
            <v xml:space="preserve"> </v>
          </cell>
          <cell r="U70" t="str">
            <v xml:space="preserve"> </v>
          </cell>
          <cell r="V70" t="str">
            <v xml:space="preserve"> </v>
          </cell>
          <cell r="X70" t="str">
            <v>BBB+</v>
          </cell>
          <cell r="Y70" t="str">
            <v>A3</v>
          </cell>
          <cell r="Z70" t="str">
            <v>BBB</v>
          </cell>
          <cell r="AA70" t="str">
            <v>STABLE</v>
          </cell>
          <cell r="AB70" t="str">
            <v>STABLE</v>
          </cell>
          <cell r="AC70" t="str">
            <v>STABLE</v>
          </cell>
          <cell r="AD70">
            <v>1</v>
          </cell>
          <cell r="AE70">
            <v>1</v>
          </cell>
          <cell r="AF70">
            <v>1</v>
          </cell>
          <cell r="AG70">
            <v>1</v>
          </cell>
          <cell r="AH70">
            <v>1</v>
          </cell>
          <cell r="AI70">
            <v>1</v>
          </cell>
          <cell r="AJ70" t="str">
            <v/>
          </cell>
          <cell r="AK70">
            <v>79423307039.999985</v>
          </cell>
          <cell r="AL70" t="str">
            <v>EUR</v>
          </cell>
          <cell r="AM70">
            <v>0.86060000000000003</v>
          </cell>
          <cell r="AN70">
            <v>92.288295421798722</v>
          </cell>
          <cell r="AP70" t="str">
            <v/>
          </cell>
          <cell r="AQ70" t="str">
            <v/>
          </cell>
          <cell r="AR70" t="str">
            <v/>
          </cell>
          <cell r="AS70" t="str">
            <v/>
          </cell>
          <cell r="AT70" t="str">
            <v/>
          </cell>
          <cell r="AU70" t="str">
            <v/>
          </cell>
          <cell r="AV70">
            <v>448.2</v>
          </cell>
          <cell r="AW70">
            <v>440.4</v>
          </cell>
          <cell r="AX70">
            <v>1.7711171662125436</v>
          </cell>
        </row>
        <row r="71">
          <cell r="F71" t="str">
            <v>De Beers Consolidated Mines Pt</v>
          </cell>
          <cell r="G71" t="str">
            <v>De Beers Consolidated Mines</v>
          </cell>
          <cell r="H71" t="str">
            <v>-</v>
          </cell>
          <cell r="I71" t="str">
            <v>-</v>
          </cell>
          <cell r="J71" t="str">
            <v>-</v>
          </cell>
          <cell r="K71" t="str">
            <v>-</v>
          </cell>
          <cell r="L71" t="str">
            <v>#N/A N/A BEST Curncy</v>
          </cell>
          <cell r="M71" t="str">
            <v>#N/A N/A BEST Curncy</v>
          </cell>
          <cell r="N71" t="str">
            <v>#N/A N/A BEST Curncy</v>
          </cell>
          <cell r="O71" t="str">
            <v>#N/A N/A BEST Curncy</v>
          </cell>
          <cell r="P71" t="str">
            <v>Y</v>
          </cell>
          <cell r="Q71" t="str">
            <v>-</v>
          </cell>
          <cell r="R71" t="str">
            <v>-</v>
          </cell>
          <cell r="S71" t="str">
            <v>-</v>
          </cell>
          <cell r="T71" t="str">
            <v xml:space="preserve"> </v>
          </cell>
          <cell r="U71" t="str">
            <v xml:space="preserve"> </v>
          </cell>
          <cell r="V71" t="str">
            <v xml:space="preserve"> </v>
          </cell>
          <cell r="X71" t="str">
            <v>BBB+</v>
          </cell>
          <cell r="Y71" t="str">
            <v>A3</v>
          </cell>
          <cell r="Z71" t="str">
            <v>BBB</v>
          </cell>
          <cell r="AA71" t="str">
            <v>STABLE</v>
          </cell>
          <cell r="AB71" t="str">
            <v>STABLE</v>
          </cell>
          <cell r="AC71" t="str">
            <v>STABLE</v>
          </cell>
          <cell r="AD71">
            <v>1</v>
          </cell>
          <cell r="AE71">
            <v>1</v>
          </cell>
          <cell r="AF71">
            <v>1</v>
          </cell>
          <cell r="AG71">
            <v>1</v>
          </cell>
          <cell r="AH71">
            <v>1</v>
          </cell>
          <cell r="AI71">
            <v>1</v>
          </cell>
          <cell r="AJ71" t="str">
            <v/>
          </cell>
          <cell r="AK71" t="str">
            <v>#N/A N/A</v>
          </cell>
          <cell r="AL71" t="str">
            <v>ZAr</v>
          </cell>
          <cell r="AM71">
            <v>17.741099999999999</v>
          </cell>
          <cell r="AN71" t="e">
            <v>#VALUE!</v>
          </cell>
          <cell r="AP71" t="str">
            <v/>
          </cell>
          <cell r="AQ71" t="str">
            <v/>
          </cell>
          <cell r="AR71" t="str">
            <v/>
          </cell>
          <cell r="AS71" t="str">
            <v/>
          </cell>
          <cell r="AT71" t="str">
            <v/>
          </cell>
          <cell r="AU71" t="str">
            <v/>
          </cell>
          <cell r="AV71" t="str">
            <v>-</v>
          </cell>
          <cell r="AW71" t="str">
            <v>-</v>
          </cell>
          <cell r="AX71" t="str">
            <v>-</v>
          </cell>
        </row>
        <row r="72">
          <cell r="F72" t="str">
            <v>Ferrari NV</v>
          </cell>
          <cell r="G72" t="str">
            <v>法拉利公司</v>
          </cell>
          <cell r="H72">
            <v>380.4</v>
          </cell>
          <cell r="I72">
            <v>-2.6281209999999999E-2</v>
          </cell>
          <cell r="J72">
            <v>0.55511500000000003</v>
          </cell>
          <cell r="K72">
            <v>-7.759455</v>
          </cell>
          <cell r="L72">
            <v>80.692740000000001</v>
          </cell>
          <cell r="M72">
            <v>0</v>
          </cell>
          <cell r="N72">
            <v>-2.7992900000000001</v>
          </cell>
          <cell r="O72">
            <v>-0.87072000000000005</v>
          </cell>
          <cell r="P72" t="str">
            <v>Y</v>
          </cell>
          <cell r="Q72" t="str">
            <v>-</v>
          </cell>
          <cell r="R72" t="str">
            <v>-</v>
          </cell>
          <cell r="S72" t="str">
            <v>-</v>
          </cell>
          <cell r="T72" t="str">
            <v xml:space="preserve"> </v>
          </cell>
          <cell r="U72" t="str">
            <v xml:space="preserve"> </v>
          </cell>
          <cell r="V72" t="str">
            <v xml:space="preserve"> </v>
          </cell>
          <cell r="X72" t="str">
            <v>BBB+</v>
          </cell>
          <cell r="Y72" t="str">
            <v>A3</v>
          </cell>
          <cell r="Z72" t="str">
            <v>BBB</v>
          </cell>
          <cell r="AA72" t="str">
            <v>STABLE</v>
          </cell>
          <cell r="AB72" t="str">
            <v>STABLE</v>
          </cell>
          <cell r="AC72" t="str">
            <v>STABLE</v>
          </cell>
          <cell r="AD72">
            <v>1</v>
          </cell>
          <cell r="AE72">
            <v>1</v>
          </cell>
          <cell r="AF72">
            <v>1</v>
          </cell>
          <cell r="AG72">
            <v>1</v>
          </cell>
          <cell r="AH72">
            <v>1</v>
          </cell>
          <cell r="AI72">
            <v>1</v>
          </cell>
          <cell r="AJ72" t="str">
            <v/>
          </cell>
          <cell r="AK72">
            <v>68001562439.780174</v>
          </cell>
          <cell r="AL72" t="str">
            <v>EUR</v>
          </cell>
          <cell r="AM72">
            <v>0.86060000000000003</v>
          </cell>
          <cell r="AN72">
            <v>79.016456471973243</v>
          </cell>
          <cell r="AP72" t="str">
            <v/>
          </cell>
          <cell r="AQ72" t="str">
            <v/>
          </cell>
          <cell r="AR72" t="str">
            <v/>
          </cell>
          <cell r="AS72" t="str">
            <v/>
          </cell>
          <cell r="AT72" t="str">
            <v/>
          </cell>
          <cell r="AU72" t="str">
            <v/>
          </cell>
          <cell r="AV72">
            <v>380.5</v>
          </cell>
          <cell r="AW72">
            <v>379.3</v>
          </cell>
          <cell r="AX72">
            <v>0.31637226469811708</v>
          </cell>
        </row>
        <row r="73">
          <cell r="F73" t="str">
            <v>Automobili Lamborghini SpA</v>
          </cell>
          <cell r="G73" t="str">
            <v>Automobili Lamborghini SpA</v>
          </cell>
          <cell r="H73" t="str">
            <v>-</v>
          </cell>
          <cell r="I73" t="str">
            <v>-</v>
          </cell>
          <cell r="J73" t="str">
            <v>-</v>
          </cell>
          <cell r="K73" t="str">
            <v>-</v>
          </cell>
          <cell r="L73">
            <v>106.4258</v>
          </cell>
          <cell r="M73">
            <v>0</v>
          </cell>
          <cell r="N73">
            <v>-7.6106999999999996</v>
          </cell>
          <cell r="O73">
            <v>-6.9591000000000003</v>
          </cell>
          <cell r="P73" t="str">
            <v>Y</v>
          </cell>
          <cell r="Q73" t="str">
            <v>-</v>
          </cell>
          <cell r="R73" t="str">
            <v>-</v>
          </cell>
          <cell r="S73" t="str">
            <v>-</v>
          </cell>
          <cell r="T73" t="str">
            <v xml:space="preserve"> </v>
          </cell>
          <cell r="U73" t="str">
            <v xml:space="preserve"> </v>
          </cell>
          <cell r="V73" t="str">
            <v xml:space="preserve"> </v>
          </cell>
          <cell r="X73" t="str">
            <v>BBB+</v>
          </cell>
          <cell r="Y73" t="str">
            <v>A3</v>
          </cell>
          <cell r="Z73" t="str">
            <v>BBB</v>
          </cell>
          <cell r="AA73" t="str">
            <v>STABLE</v>
          </cell>
          <cell r="AB73" t="str">
            <v>STABLE</v>
          </cell>
          <cell r="AC73" t="str">
            <v>STABLE</v>
          </cell>
          <cell r="AD73">
            <v>1</v>
          </cell>
          <cell r="AE73">
            <v>1</v>
          </cell>
          <cell r="AF73">
            <v>1</v>
          </cell>
          <cell r="AG73">
            <v>1</v>
          </cell>
          <cell r="AH73">
            <v>1</v>
          </cell>
          <cell r="AI73">
            <v>1</v>
          </cell>
          <cell r="AJ73" t="str">
            <v/>
          </cell>
          <cell r="AK73" t="str">
            <v>#N/A N/A</v>
          </cell>
          <cell r="AL73" t="str">
            <v>EUR</v>
          </cell>
          <cell r="AM73">
            <v>0.86060000000000003</v>
          </cell>
          <cell r="AN73" t="e">
            <v>#VALUE!</v>
          </cell>
          <cell r="AP73" t="str">
            <v/>
          </cell>
          <cell r="AQ73" t="str">
            <v/>
          </cell>
          <cell r="AR73" t="str">
            <v/>
          </cell>
          <cell r="AS73" t="str">
            <v/>
          </cell>
          <cell r="AT73" t="str">
            <v/>
          </cell>
          <cell r="AU73" t="str">
            <v/>
          </cell>
          <cell r="AV73" t="str">
            <v>-</v>
          </cell>
          <cell r="AW73" t="str">
            <v>-</v>
          </cell>
          <cell r="AX73" t="str">
            <v>-</v>
          </cell>
        </row>
        <row r="74">
          <cell r="F74" t="str">
            <v>Azimut - Benetti SPA</v>
          </cell>
          <cell r="G74" t="str">
            <v>Azimut - Benetti SPA</v>
          </cell>
          <cell r="H74" t="str">
            <v>-</v>
          </cell>
          <cell r="I74" t="str">
            <v>-</v>
          </cell>
          <cell r="J74" t="str">
            <v>-</v>
          </cell>
          <cell r="K74" t="str">
            <v>-</v>
          </cell>
          <cell r="L74" t="str">
            <v>#N/A N/A BEST Curncy</v>
          </cell>
          <cell r="M74" t="str">
            <v>#N/A N/A BEST Curncy</v>
          </cell>
          <cell r="N74" t="str">
            <v>#N/A N/A BEST Curncy</v>
          </cell>
          <cell r="O74" t="str">
            <v>#N/A N/A BEST Curncy</v>
          </cell>
          <cell r="P74" t="str">
            <v>Y</v>
          </cell>
          <cell r="Q74" t="str">
            <v>-</v>
          </cell>
          <cell r="R74" t="str">
            <v>-</v>
          </cell>
          <cell r="S74" t="str">
            <v>-</v>
          </cell>
          <cell r="T74" t="str">
            <v xml:space="preserve"> </v>
          </cell>
          <cell r="U74" t="str">
            <v xml:space="preserve"> </v>
          </cell>
          <cell r="V74" t="str">
            <v xml:space="preserve"> </v>
          </cell>
          <cell r="X74" t="str">
            <v>BBB+</v>
          </cell>
          <cell r="Y74" t="str">
            <v>A3</v>
          </cell>
          <cell r="Z74" t="str">
            <v>BBB</v>
          </cell>
          <cell r="AA74" t="str">
            <v>STABLE</v>
          </cell>
          <cell r="AB74" t="str">
            <v>STABLE</v>
          </cell>
          <cell r="AC74" t="str">
            <v>STABLE</v>
          </cell>
          <cell r="AD74">
            <v>1</v>
          </cell>
          <cell r="AE74">
            <v>1</v>
          </cell>
          <cell r="AF74">
            <v>1</v>
          </cell>
          <cell r="AG74">
            <v>1</v>
          </cell>
          <cell r="AH74">
            <v>1</v>
          </cell>
          <cell r="AI74">
            <v>1</v>
          </cell>
          <cell r="AJ74" t="str">
            <v/>
          </cell>
          <cell r="AK74" t="str">
            <v>#N/A N/A</v>
          </cell>
          <cell r="AL74" t="str">
            <v>EUR</v>
          </cell>
          <cell r="AM74">
            <v>0.86060000000000003</v>
          </cell>
          <cell r="AN74" t="e">
            <v>#VALUE!</v>
          </cell>
          <cell r="AP74" t="str">
            <v/>
          </cell>
          <cell r="AQ74" t="str">
            <v/>
          </cell>
          <cell r="AR74" t="str">
            <v/>
          </cell>
          <cell r="AS74" t="str">
            <v/>
          </cell>
          <cell r="AT74" t="str">
            <v/>
          </cell>
          <cell r="AU74" t="str">
            <v/>
          </cell>
          <cell r="AV74" t="str">
            <v>-</v>
          </cell>
          <cell r="AW74" t="str">
            <v>-</v>
          </cell>
          <cell r="AX74" t="str">
            <v>-</v>
          </cell>
        </row>
        <row r="75">
          <cell r="F75" t="str">
            <v>Petroleos Mexicanos</v>
          </cell>
          <cell r="G75" t="str">
            <v>墨西哥石油公司</v>
          </cell>
          <cell r="H75" t="str">
            <v>-</v>
          </cell>
          <cell r="I75" t="str">
            <v>-</v>
          </cell>
          <cell r="J75" t="str">
            <v>-</v>
          </cell>
          <cell r="K75" t="str">
            <v>-</v>
          </cell>
          <cell r="L75">
            <v>373.37990000000002</v>
          </cell>
          <cell r="M75">
            <v>0.59430000000000005</v>
          </cell>
          <cell r="N75">
            <v>10.7029</v>
          </cell>
          <cell r="O75">
            <v>-56.855899999999998</v>
          </cell>
          <cell r="P75" t="str">
            <v>Y</v>
          </cell>
          <cell r="Q75" t="str">
            <v>BBB</v>
          </cell>
          <cell r="R75" t="str">
            <v>B3</v>
          </cell>
          <cell r="S75" t="str">
            <v>BBu</v>
          </cell>
          <cell r="T75" t="str">
            <v>STABLE</v>
          </cell>
          <cell r="U75" t="str">
            <v>NEG</v>
          </cell>
          <cell r="V75" t="str">
            <v>STABLE</v>
          </cell>
          <cell r="X75" t="str">
            <v>BBB</v>
          </cell>
          <cell r="Y75" t="str">
            <v>B3</v>
          </cell>
          <cell r="Z75" t="str">
            <v>B+</v>
          </cell>
          <cell r="AA75" t="str">
            <v>STABLE</v>
          </cell>
          <cell r="AB75" t="str">
            <v>NEG</v>
          </cell>
          <cell r="AC75" t="str">
            <v>STABLE</v>
          </cell>
          <cell r="AD75">
            <v>0</v>
          </cell>
          <cell r="AE75">
            <v>0</v>
          </cell>
          <cell r="AF75">
            <v>1</v>
          </cell>
          <cell r="AG75">
            <v>0</v>
          </cell>
          <cell r="AH75">
            <v>0</v>
          </cell>
          <cell r="AI75">
            <v>0</v>
          </cell>
          <cell r="AJ75" t="str">
            <v/>
          </cell>
          <cell r="AK75" t="str">
            <v>#N/A N/A</v>
          </cell>
          <cell r="AL75" t="str">
            <v>MXN</v>
          </cell>
          <cell r="AM75">
            <v>18.673500000000001</v>
          </cell>
          <cell r="AN75" t="e">
            <v>#VALUE!</v>
          </cell>
          <cell r="AP75" t="str">
            <v/>
          </cell>
          <cell r="AQ75" t="str">
            <v/>
          </cell>
          <cell r="AR75" t="str">
            <v/>
          </cell>
          <cell r="AS75">
            <v>43916</v>
          </cell>
          <cell r="AT75">
            <v>45331</v>
          </cell>
          <cell r="AU75">
            <v>45870</v>
          </cell>
          <cell r="AV75" t="str">
            <v>-</v>
          </cell>
          <cell r="AW75" t="str">
            <v>-</v>
          </cell>
          <cell r="AX75" t="str">
            <v>-</v>
          </cell>
        </row>
        <row r="76">
          <cell r="F76" t="str">
            <v>Pertamina Persero PT</v>
          </cell>
          <cell r="G76" t="str">
            <v>印尼國家石油有限公司</v>
          </cell>
          <cell r="H76" t="str">
            <v>-</v>
          </cell>
          <cell r="I76" t="str">
            <v>-</v>
          </cell>
          <cell r="J76" t="str">
            <v>-</v>
          </cell>
          <cell r="K76" t="str">
            <v>-</v>
          </cell>
          <cell r="L76">
            <v>69.307749999999999</v>
          </cell>
          <cell r="M76">
            <v>0</v>
          </cell>
          <cell r="N76">
            <v>-2.02488</v>
          </cell>
          <cell r="O76">
            <v>-9.3630099999999992</v>
          </cell>
          <cell r="P76" t="str">
            <v xml:space="preserve"> </v>
          </cell>
          <cell r="Q76" t="str">
            <v>BBB</v>
          </cell>
          <cell r="R76" t="str">
            <v>Baa2</v>
          </cell>
          <cell r="S76" t="str">
            <v>BBB</v>
          </cell>
          <cell r="T76" t="str">
            <v>STABLE</v>
          </cell>
          <cell r="U76" t="str">
            <v>STABLE</v>
          </cell>
          <cell r="V76" t="str">
            <v>STABLE</v>
          </cell>
          <cell r="X76" t="str">
            <v>BBB</v>
          </cell>
          <cell r="Y76" t="str">
            <v>Baa2</v>
          </cell>
          <cell r="Z76" t="str">
            <v>BBB</v>
          </cell>
          <cell r="AA76" t="str">
            <v>STABLE</v>
          </cell>
          <cell r="AB76" t="str">
            <v>STABLE</v>
          </cell>
          <cell r="AC76" t="str">
            <v>STABLE</v>
          </cell>
          <cell r="AD76">
            <v>0</v>
          </cell>
          <cell r="AE76">
            <v>0</v>
          </cell>
          <cell r="AF76">
            <v>0</v>
          </cell>
          <cell r="AG76">
            <v>0</v>
          </cell>
          <cell r="AH76">
            <v>0</v>
          </cell>
          <cell r="AI76">
            <v>0</v>
          </cell>
          <cell r="AJ76" t="str">
            <v/>
          </cell>
          <cell r="AK76" t="str">
            <v>#N/A N/A</v>
          </cell>
          <cell r="AL76" t="str">
            <v>IDR</v>
          </cell>
          <cell r="AM76">
            <v>16288</v>
          </cell>
          <cell r="AN76" t="e">
            <v>#VALUE!</v>
          </cell>
          <cell r="AP76" t="str">
            <v/>
          </cell>
          <cell r="AQ76" t="str">
            <v/>
          </cell>
          <cell r="AR76" t="str">
            <v/>
          </cell>
          <cell r="AS76">
            <v>43616</v>
          </cell>
          <cell r="AT76">
            <v>45482</v>
          </cell>
          <cell r="AU76">
            <v>43091</v>
          </cell>
          <cell r="AV76" t="str">
            <v>-</v>
          </cell>
          <cell r="AW76" t="str">
            <v>-</v>
          </cell>
          <cell r="AX76" t="str">
            <v>-</v>
          </cell>
        </row>
        <row r="77">
          <cell r="F77" t="str">
            <v>Exxon Mobil Corp</v>
          </cell>
          <cell r="G77" t="str">
            <v>埃克森美孚公司</v>
          </cell>
          <cell r="H77">
            <v>105.83</v>
          </cell>
          <cell r="I77">
            <v>-0.90823969999999998</v>
          </cell>
          <cell r="J77">
            <v>-1.434293</v>
          </cell>
          <cell r="K77">
            <v>-1.617551</v>
          </cell>
          <cell r="L77">
            <v>104.69929999999999</v>
          </cell>
          <cell r="M77">
            <v>0</v>
          </cell>
          <cell r="N77">
            <v>-2.9512999999999998</v>
          </cell>
          <cell r="O77">
            <v>16.463539999999998</v>
          </cell>
          <cell r="P77" t="str">
            <v xml:space="preserve"> </v>
          </cell>
          <cell r="Q77" t="str">
            <v>AA-</v>
          </cell>
          <cell r="R77" t="str">
            <v>Aa2</v>
          </cell>
          <cell r="S77" t="str">
            <v>WD</v>
          </cell>
          <cell r="T77" t="str">
            <v>STABLE</v>
          </cell>
          <cell r="U77" t="str">
            <v>STABLE</v>
          </cell>
          <cell r="V77" t="str">
            <v xml:space="preserve"> </v>
          </cell>
          <cell r="X77" t="str">
            <v>AA-</v>
          </cell>
          <cell r="Y77" t="str">
            <v>Aa2</v>
          </cell>
          <cell r="Z77" t="str">
            <v>WD</v>
          </cell>
          <cell r="AA77" t="str">
            <v>STABLE</v>
          </cell>
          <cell r="AB77" t="str">
            <v>STABLE</v>
          </cell>
          <cell r="AC77" t="str">
            <v xml:space="preserve"> </v>
          </cell>
          <cell r="AD77">
            <v>0</v>
          </cell>
          <cell r="AE77">
            <v>0</v>
          </cell>
          <cell r="AF77">
            <v>0</v>
          </cell>
          <cell r="AG77">
            <v>0</v>
          </cell>
          <cell r="AH77">
            <v>0</v>
          </cell>
          <cell r="AI77">
            <v>0</v>
          </cell>
          <cell r="AJ77" t="str">
            <v/>
          </cell>
          <cell r="AK77">
            <v>451179432232.43005</v>
          </cell>
          <cell r="AL77" t="str">
            <v>USD</v>
          </cell>
          <cell r="AM77">
            <v>1</v>
          </cell>
          <cell r="AN77">
            <v>451.17943223243003</v>
          </cell>
          <cell r="AP77" t="str">
            <v/>
          </cell>
          <cell r="AQ77" t="str">
            <v/>
          </cell>
          <cell r="AR77" t="str">
            <v/>
          </cell>
          <cell r="AS77">
            <v>44238</v>
          </cell>
          <cell r="AT77">
            <v>45443</v>
          </cell>
          <cell r="AU77">
            <v>41047</v>
          </cell>
          <cell r="AV77">
            <v>106.8</v>
          </cell>
          <cell r="AW77">
            <v>109.64</v>
          </cell>
          <cell r="AX77">
            <v>-2.5902955125866489</v>
          </cell>
        </row>
        <row r="78">
          <cell r="F78" t="str">
            <v>Petronas Gas Bhd</v>
          </cell>
          <cell r="G78" t="str">
            <v>國油氣體公司</v>
          </cell>
          <cell r="H78">
            <v>18.940000000000001</v>
          </cell>
          <cell r="I78">
            <v>0.95948829999999996</v>
          </cell>
          <cell r="J78">
            <v>4.6408839999999998</v>
          </cell>
          <cell r="K78">
            <v>7.1266949999999998</v>
          </cell>
          <cell r="L78" t="str">
            <v>#N/A N/A BEST Curncy</v>
          </cell>
          <cell r="M78" t="str">
            <v>#N/A N/A BEST Curncy</v>
          </cell>
          <cell r="N78" t="str">
            <v>#N/A N/A BEST Curncy</v>
          </cell>
          <cell r="O78" t="str">
            <v>#N/A N/A BEST Curncy</v>
          </cell>
          <cell r="P78" t="str">
            <v xml:space="preserve"> </v>
          </cell>
          <cell r="Q78" t="str">
            <v>-</v>
          </cell>
          <cell r="R78" t="str">
            <v>-</v>
          </cell>
          <cell r="S78" t="str">
            <v>-</v>
          </cell>
          <cell r="T78" t="str">
            <v xml:space="preserve"> </v>
          </cell>
          <cell r="U78" t="str">
            <v xml:space="preserve"> </v>
          </cell>
          <cell r="V78" t="str">
            <v xml:space="preserve"> </v>
          </cell>
          <cell r="X78" t="str">
            <v>-</v>
          </cell>
          <cell r="Y78" t="str">
            <v>-</v>
          </cell>
          <cell r="Z78" t="str">
            <v>-</v>
          </cell>
          <cell r="AA78" t="str">
            <v xml:space="preserve"> </v>
          </cell>
          <cell r="AB78" t="str">
            <v xml:space="preserve"> </v>
          </cell>
          <cell r="AC78" t="str">
            <v xml:space="preserve"> </v>
          </cell>
          <cell r="AD78">
            <v>0</v>
          </cell>
          <cell r="AE78">
            <v>0</v>
          </cell>
          <cell r="AF78">
            <v>0</v>
          </cell>
          <cell r="AG78">
            <v>0</v>
          </cell>
          <cell r="AH78">
            <v>0</v>
          </cell>
          <cell r="AI78">
            <v>0</v>
          </cell>
          <cell r="AJ78" t="str">
            <v/>
          </cell>
          <cell r="AK78">
            <v>37477182470.099998</v>
          </cell>
          <cell r="AL78" t="str">
            <v>MYR</v>
          </cell>
          <cell r="AM78">
            <v>4.2329999999999997</v>
          </cell>
          <cell r="AN78">
            <v>8.853574880722892</v>
          </cell>
          <cell r="AP78" t="str">
            <v/>
          </cell>
          <cell r="AQ78" t="str">
            <v/>
          </cell>
          <cell r="AR78" t="str">
            <v/>
          </cell>
          <cell r="AS78" t="str">
            <v/>
          </cell>
          <cell r="AT78" t="str">
            <v/>
          </cell>
          <cell r="AU78" t="str">
            <v/>
          </cell>
          <cell r="AV78">
            <v>18.68</v>
          </cell>
          <cell r="AW78">
            <v>17.88</v>
          </cell>
          <cell r="AX78">
            <v>4.4742729306487705</v>
          </cell>
        </row>
        <row r="79">
          <cell r="F79" t="str">
            <v>Shell PLC</v>
          </cell>
          <cell r="G79" t="str">
            <v>殼牌公開有限公司</v>
          </cell>
          <cell r="H79">
            <v>2644.5</v>
          </cell>
          <cell r="I79">
            <v>-0.32039200000000001</v>
          </cell>
          <cell r="J79">
            <v>-1.39821</v>
          </cell>
          <cell r="K79">
            <v>6.8053309999999998</v>
          </cell>
          <cell r="L79">
            <v>52.01717</v>
          </cell>
          <cell r="M79">
            <v>0</v>
          </cell>
          <cell r="N79">
            <v>-2.4849100000000002</v>
          </cell>
          <cell r="O79">
            <v>20.3109</v>
          </cell>
          <cell r="P79" t="str">
            <v xml:space="preserve"> </v>
          </cell>
          <cell r="Q79" t="str">
            <v>A+</v>
          </cell>
          <cell r="R79" t="str">
            <v>Aa2</v>
          </cell>
          <cell r="S79" t="str">
            <v>AA-</v>
          </cell>
          <cell r="T79" t="str">
            <v>STABLE</v>
          </cell>
          <cell r="U79" t="str">
            <v>STABLE</v>
          </cell>
          <cell r="V79" t="str">
            <v>STABLE</v>
          </cell>
          <cell r="X79" t="str">
            <v>A+</v>
          </cell>
          <cell r="Y79" t="str">
            <v>Aa2</v>
          </cell>
          <cell r="Z79" t="str">
            <v>AA-</v>
          </cell>
          <cell r="AA79" t="str">
            <v>STABLE</v>
          </cell>
          <cell r="AB79" t="str">
            <v>STABLE</v>
          </cell>
          <cell r="AC79" t="str">
            <v>STABLE</v>
          </cell>
          <cell r="AD79">
            <v>0</v>
          </cell>
          <cell r="AE79">
            <v>0</v>
          </cell>
          <cell r="AF79">
            <v>0</v>
          </cell>
          <cell r="AG79">
            <v>0</v>
          </cell>
          <cell r="AH79">
            <v>0</v>
          </cell>
          <cell r="AI79">
            <v>0</v>
          </cell>
          <cell r="AJ79" t="str">
            <v/>
          </cell>
          <cell r="AK79">
            <v>155086908506.55002</v>
          </cell>
          <cell r="AL79" t="str">
            <v>GBp</v>
          </cell>
          <cell r="AM79">
            <v>0.74450000000000005</v>
          </cell>
          <cell r="AN79">
            <v>208.31015246010745</v>
          </cell>
          <cell r="AP79" t="str">
            <v/>
          </cell>
          <cell r="AQ79" t="str">
            <v/>
          </cell>
          <cell r="AR79" t="str">
            <v/>
          </cell>
          <cell r="AS79">
            <v>44245</v>
          </cell>
          <cell r="AT79">
            <v>45533</v>
          </cell>
          <cell r="AU79">
            <v>45665</v>
          </cell>
          <cell r="AV79">
            <v>2653</v>
          </cell>
          <cell r="AW79">
            <v>2707</v>
          </cell>
          <cell r="AX79">
            <v>-1.9948282231252334</v>
          </cell>
        </row>
        <row r="80">
          <cell r="F80" t="str">
            <v>Saudi Arabian Oil Co</v>
          </cell>
          <cell r="G80" t="str">
            <v>沙烏地阿拉伯國家石油公司</v>
          </cell>
          <cell r="H80">
            <v>24.05</v>
          </cell>
          <cell r="I80">
            <v>0</v>
          </cell>
          <cell r="J80">
            <v>-0.29021560000000002</v>
          </cell>
          <cell r="K80">
            <v>-14.2377</v>
          </cell>
          <cell r="L80">
            <v>32.660260000000001</v>
          </cell>
          <cell r="M80">
            <v>0</v>
          </cell>
          <cell r="N80">
            <v>0.29418</v>
          </cell>
          <cell r="O80">
            <v>2.68248</v>
          </cell>
          <cell r="P80" t="str">
            <v xml:space="preserve"> </v>
          </cell>
          <cell r="Q80" t="str">
            <v>-</v>
          </cell>
          <cell r="R80" t="str">
            <v>Aa3</v>
          </cell>
          <cell r="S80" t="str">
            <v>A+</v>
          </cell>
          <cell r="T80" t="str">
            <v xml:space="preserve"> </v>
          </cell>
          <cell r="U80" t="str">
            <v>STABLE</v>
          </cell>
          <cell r="V80" t="str">
            <v>STABLE</v>
          </cell>
          <cell r="X80" t="str">
            <v>-</v>
          </cell>
          <cell r="Y80" t="str">
            <v>Aa3</v>
          </cell>
          <cell r="Z80" t="str">
            <v>A+</v>
          </cell>
          <cell r="AA80" t="str">
            <v xml:space="preserve"> </v>
          </cell>
          <cell r="AB80" t="str">
            <v>STABLE</v>
          </cell>
          <cell r="AC80" t="str">
            <v>STABLE</v>
          </cell>
          <cell r="AD80">
            <v>0</v>
          </cell>
          <cell r="AE80">
            <v>0</v>
          </cell>
          <cell r="AF80">
            <v>0</v>
          </cell>
          <cell r="AG80">
            <v>0</v>
          </cell>
          <cell r="AH80">
            <v>0</v>
          </cell>
          <cell r="AI80">
            <v>0</v>
          </cell>
          <cell r="AJ80" t="str">
            <v/>
          </cell>
          <cell r="AK80">
            <v>5820100000000</v>
          </cell>
          <cell r="AL80" t="str">
            <v>SAR</v>
          </cell>
          <cell r="AM80">
            <v>3.7530000000000001</v>
          </cell>
          <cell r="AN80">
            <v>1550.7860378363976</v>
          </cell>
          <cell r="AP80" t="str">
            <v/>
          </cell>
          <cell r="AQ80" t="str">
            <v/>
          </cell>
          <cell r="AR80" t="str">
            <v/>
          </cell>
          <cell r="AS80" t="str">
            <v/>
          </cell>
          <cell r="AT80">
            <v>45623</v>
          </cell>
          <cell r="AU80">
            <v>45029</v>
          </cell>
          <cell r="AV80" t="str">
            <v>-</v>
          </cell>
          <cell r="AW80" t="str">
            <v>-</v>
          </cell>
          <cell r="AX80" t="str">
            <v>-</v>
          </cell>
        </row>
        <row r="81">
          <cell r="F81" t="str">
            <v>Petroleo Brasileiro SA - Petro</v>
          </cell>
          <cell r="G81" t="str">
            <v>巴西石油公司</v>
          </cell>
          <cell r="H81">
            <v>30.72</v>
          </cell>
          <cell r="I81">
            <v>0.62233870000000002</v>
          </cell>
          <cell r="J81">
            <v>-4.4776119999999997</v>
          </cell>
          <cell r="K81">
            <v>-15.11467</v>
          </cell>
          <cell r="L81">
            <v>150.73079999999999</v>
          </cell>
          <cell r="M81">
            <v>0</v>
          </cell>
          <cell r="N81">
            <v>-8.1395</v>
          </cell>
          <cell r="O81">
            <v>-71.317099999999996</v>
          </cell>
          <cell r="P81" t="str">
            <v xml:space="preserve"> </v>
          </cell>
          <cell r="Q81" t="str">
            <v>BB</v>
          </cell>
          <cell r="R81" t="str">
            <v>Ba1</v>
          </cell>
          <cell r="S81" t="str">
            <v>BB</v>
          </cell>
          <cell r="T81" t="str">
            <v>STABLE</v>
          </cell>
          <cell r="U81" t="str">
            <v>STABLE</v>
          </cell>
          <cell r="V81" t="str">
            <v>STABLE</v>
          </cell>
          <cell r="X81" t="str">
            <v>BB</v>
          </cell>
          <cell r="Y81" t="str">
            <v>Ba1</v>
          </cell>
          <cell r="Z81" t="str">
            <v>BB</v>
          </cell>
          <cell r="AA81" t="str">
            <v>STABLE</v>
          </cell>
          <cell r="AB81" t="str">
            <v>STABLE</v>
          </cell>
          <cell r="AC81" t="str">
            <v>STABLE</v>
          </cell>
          <cell r="AD81">
            <v>0</v>
          </cell>
          <cell r="AE81">
            <v>0</v>
          </cell>
          <cell r="AF81">
            <v>0</v>
          </cell>
          <cell r="AG81">
            <v>0</v>
          </cell>
          <cell r="AH81">
            <v>0</v>
          </cell>
          <cell r="AI81">
            <v>0</v>
          </cell>
          <cell r="AJ81" t="str">
            <v/>
          </cell>
          <cell r="AK81">
            <v>412389201772.14001</v>
          </cell>
          <cell r="AL81" t="str">
            <v>BRL</v>
          </cell>
          <cell r="AM81">
            <v>5.4425999999999997</v>
          </cell>
          <cell r="AN81">
            <v>75.770624659563452</v>
          </cell>
          <cell r="AP81" t="str">
            <v/>
          </cell>
          <cell r="AQ81" t="str">
            <v/>
          </cell>
          <cell r="AR81" t="str">
            <v/>
          </cell>
          <cell r="AS81">
            <v>45280</v>
          </cell>
          <cell r="AT81">
            <v>45810</v>
          </cell>
          <cell r="AU81">
            <v>45135</v>
          </cell>
          <cell r="AV81">
            <v>30.53</v>
          </cell>
          <cell r="AW81">
            <v>32.21</v>
          </cell>
          <cell r="AX81">
            <v>-5.2157714995343056</v>
          </cell>
        </row>
        <row r="82">
          <cell r="F82" t="str">
            <v>China Orient Asset Management</v>
          </cell>
          <cell r="G82" t="str">
            <v>中國東方資產管理股份有限公司</v>
          </cell>
          <cell r="H82" t="str">
            <v>-</v>
          </cell>
          <cell r="I82" t="str">
            <v>-</v>
          </cell>
          <cell r="J82" t="str">
            <v>-</v>
          </cell>
          <cell r="K82" t="str">
            <v>-</v>
          </cell>
          <cell r="L82" t="str">
            <v>#N/A N/A BEST Curncy</v>
          </cell>
          <cell r="M82" t="str">
            <v>#N/A N/A BEST Curncy</v>
          </cell>
          <cell r="N82" t="str">
            <v>#N/A N/A BEST Curncy</v>
          </cell>
          <cell r="O82" t="str">
            <v>#N/A N/A BEST Curncy</v>
          </cell>
          <cell r="P82" t="str">
            <v xml:space="preserve"> </v>
          </cell>
          <cell r="Q82" t="str">
            <v>BBB</v>
          </cell>
          <cell r="R82" t="str">
            <v>Baa2</v>
          </cell>
          <cell r="S82" t="str">
            <v>BBB+</v>
          </cell>
          <cell r="T82" t="str">
            <v>STABLE</v>
          </cell>
          <cell r="U82" t="str">
            <v>STABLE</v>
          </cell>
          <cell r="V82" t="str">
            <v>STABLE</v>
          </cell>
          <cell r="X82" t="str">
            <v>BBB</v>
          </cell>
          <cell r="Y82" t="str">
            <v>Baa2</v>
          </cell>
          <cell r="Z82" t="str">
            <v>BBB+</v>
          </cell>
          <cell r="AA82" t="str">
            <v>STABLE</v>
          </cell>
          <cell r="AB82" t="str">
            <v>STABLE</v>
          </cell>
          <cell r="AC82" t="str">
            <v>STABLE</v>
          </cell>
          <cell r="AD82">
            <v>0</v>
          </cell>
          <cell r="AE82">
            <v>0</v>
          </cell>
          <cell r="AF82">
            <v>0</v>
          </cell>
          <cell r="AG82">
            <v>0</v>
          </cell>
          <cell r="AH82">
            <v>0</v>
          </cell>
          <cell r="AI82">
            <v>0</v>
          </cell>
          <cell r="AJ82" t="str">
            <v/>
          </cell>
          <cell r="AK82" t="str">
            <v>#N/A N/A</v>
          </cell>
          <cell r="AL82" t="str">
            <v>CNY</v>
          </cell>
          <cell r="AM82">
            <v>7.1874000000000002</v>
          </cell>
          <cell r="AN82" t="e">
            <v>#VALUE!</v>
          </cell>
          <cell r="AP82" t="str">
            <v/>
          </cell>
          <cell r="AQ82" t="str">
            <v/>
          </cell>
          <cell r="AR82" t="str">
            <v/>
          </cell>
          <cell r="AS82">
            <v>44825</v>
          </cell>
          <cell r="AT82">
            <v>45826</v>
          </cell>
          <cell r="AU82">
            <v>45456</v>
          </cell>
          <cell r="AV82" t="str">
            <v>-</v>
          </cell>
          <cell r="AW82" t="str">
            <v>-</v>
          </cell>
          <cell r="AX82" t="str">
            <v>-</v>
          </cell>
        </row>
        <row r="83">
          <cell r="F83" t="str">
            <v>China Cinda Asset Management C</v>
          </cell>
          <cell r="G83" t="str">
            <v>中國信達資產管理股份有限公司</v>
          </cell>
          <cell r="H83">
            <v>1.45</v>
          </cell>
          <cell r="I83">
            <v>0</v>
          </cell>
          <cell r="J83">
            <v>0.69444439999999996</v>
          </cell>
          <cell r="K83">
            <v>14.17323</v>
          </cell>
          <cell r="L83" t="str">
            <v xml:space="preserve"> </v>
          </cell>
          <cell r="M83" t="str">
            <v xml:space="preserve"> </v>
          </cell>
          <cell r="N83" t="str">
            <v xml:space="preserve"> </v>
          </cell>
          <cell r="O83" t="str">
            <v xml:space="preserve"> </v>
          </cell>
          <cell r="P83" t="str">
            <v xml:space="preserve"> </v>
          </cell>
          <cell r="Q83" t="str">
            <v>BBB+</v>
          </cell>
          <cell r="R83" t="str">
            <v>Baa1</v>
          </cell>
          <cell r="S83" t="str">
            <v>A-</v>
          </cell>
          <cell r="T83" t="str">
            <v>STABLE</v>
          </cell>
          <cell r="U83" t="str">
            <v>STABLE</v>
          </cell>
          <cell r="V83" t="str">
            <v>STABLE</v>
          </cell>
          <cell r="X83" t="str">
            <v>BBB+</v>
          </cell>
          <cell r="Y83" t="str">
            <v>Baa1</v>
          </cell>
          <cell r="Z83" t="str">
            <v>A-</v>
          </cell>
          <cell r="AA83" t="str">
            <v>STABLE</v>
          </cell>
          <cell r="AB83" t="str">
            <v>STABLE</v>
          </cell>
          <cell r="AC83" t="str">
            <v>STABLE</v>
          </cell>
          <cell r="AD83">
            <v>0</v>
          </cell>
          <cell r="AE83">
            <v>0</v>
          </cell>
          <cell r="AF83">
            <v>0</v>
          </cell>
          <cell r="AG83">
            <v>0</v>
          </cell>
          <cell r="AH83">
            <v>0</v>
          </cell>
          <cell r="AI83">
            <v>0</v>
          </cell>
          <cell r="AJ83" t="str">
            <v/>
          </cell>
          <cell r="AK83">
            <v>55338575963.149994</v>
          </cell>
          <cell r="AL83" t="str">
            <v>HKD</v>
          </cell>
          <cell r="AM83">
            <v>7.8498999999999999</v>
          </cell>
          <cell r="AN83">
            <v>7.049589926387597</v>
          </cell>
          <cell r="AP83" t="str">
            <v/>
          </cell>
          <cell r="AQ83" t="str">
            <v/>
          </cell>
          <cell r="AR83" t="str">
            <v/>
          </cell>
          <cell r="AS83">
            <v>44825</v>
          </cell>
          <cell r="AT83">
            <v>45825</v>
          </cell>
          <cell r="AU83">
            <v>45294</v>
          </cell>
          <cell r="AV83">
            <v>1.46</v>
          </cell>
          <cell r="AW83">
            <v>1.39</v>
          </cell>
          <cell r="AX83">
            <v>5.0359712230215958</v>
          </cell>
        </row>
        <row r="84">
          <cell r="F84" t="str">
            <v>China CITIC Financial Asset Ma</v>
          </cell>
          <cell r="G84" t="str">
            <v>中國中信金融資產管理股份有限</v>
          </cell>
          <cell r="H84">
            <v>1.18</v>
          </cell>
          <cell r="I84">
            <v>-0.84033610000000003</v>
          </cell>
          <cell r="J84">
            <v>-4.0650409999999999</v>
          </cell>
          <cell r="K84">
            <v>81.538470000000004</v>
          </cell>
          <cell r="L84" t="str">
            <v>#N/A N/A BEST Curncy</v>
          </cell>
          <cell r="M84" t="str">
            <v>#N/A N/A BEST Curncy</v>
          </cell>
          <cell r="N84" t="str">
            <v>#N/A N/A BEST Curncy</v>
          </cell>
          <cell r="O84" t="str">
            <v>#N/A N/A BEST Curncy</v>
          </cell>
          <cell r="P84" t="str">
            <v xml:space="preserve"> </v>
          </cell>
          <cell r="Q84" t="str">
            <v>BBB-</v>
          </cell>
          <cell r="R84" t="str">
            <v>Ba1</v>
          </cell>
          <cell r="S84" t="str">
            <v>BBB</v>
          </cell>
          <cell r="T84" t="str">
            <v>STABLE</v>
          </cell>
          <cell r="U84" t="str">
            <v>STABLE</v>
          </cell>
          <cell r="V84" t="str">
            <v>STABLE</v>
          </cell>
          <cell r="X84" t="str">
            <v>BBB-</v>
          </cell>
          <cell r="Y84" t="str">
            <v>Ba1</v>
          </cell>
          <cell r="Z84" t="str">
            <v>BBB</v>
          </cell>
          <cell r="AA84" t="str">
            <v>STABLE</v>
          </cell>
          <cell r="AB84" t="str">
            <v>STABLE</v>
          </cell>
          <cell r="AC84" t="str">
            <v>STABLE</v>
          </cell>
          <cell r="AD84">
            <v>0</v>
          </cell>
          <cell r="AE84">
            <v>0</v>
          </cell>
          <cell r="AF84">
            <v>0</v>
          </cell>
          <cell r="AG84">
            <v>0</v>
          </cell>
          <cell r="AH84">
            <v>0</v>
          </cell>
          <cell r="AI84">
            <v>0</v>
          </cell>
          <cell r="AJ84" t="str">
            <v/>
          </cell>
          <cell r="AK84">
            <v>94691081275.460007</v>
          </cell>
          <cell r="AL84" t="str">
            <v>HKD</v>
          </cell>
          <cell r="AM84">
            <v>7.8498999999999999</v>
          </cell>
          <cell r="AN84">
            <v>12.062711789380758</v>
          </cell>
          <cell r="AP84" t="str">
            <v/>
          </cell>
          <cell r="AQ84" t="str">
            <v/>
          </cell>
          <cell r="AR84" t="str">
            <v/>
          </cell>
          <cell r="AS84">
            <v>44825</v>
          </cell>
          <cell r="AT84">
            <v>45827</v>
          </cell>
          <cell r="AU84">
            <v>45456</v>
          </cell>
          <cell r="AV84">
            <v>1.18</v>
          </cell>
          <cell r="AW84">
            <v>1.19</v>
          </cell>
          <cell r="AX84">
            <v>-0.84033613445377853</v>
          </cell>
        </row>
        <row r="85">
          <cell r="F85" t="str">
            <v>Bank of China Ltd</v>
          </cell>
          <cell r="G85" t="str">
            <v>中國銀行股份有限公司</v>
          </cell>
          <cell r="H85">
            <v>4.5599999999999996</v>
          </cell>
          <cell r="I85">
            <v>0.44052859999999999</v>
          </cell>
          <cell r="J85">
            <v>-0.86956520000000004</v>
          </cell>
          <cell r="K85">
            <v>15.113350000000001</v>
          </cell>
          <cell r="L85">
            <v>46.964799999999997</v>
          </cell>
          <cell r="M85">
            <v>0</v>
          </cell>
          <cell r="N85">
            <v>0.28892000000000001</v>
          </cell>
          <cell r="O85">
            <v>-18.118539999999999</v>
          </cell>
          <cell r="P85" t="str">
            <v xml:space="preserve"> </v>
          </cell>
          <cell r="Q85" t="str">
            <v>A</v>
          </cell>
          <cell r="R85" t="str">
            <v>-</v>
          </cell>
          <cell r="S85" t="str">
            <v>A</v>
          </cell>
          <cell r="T85" t="str">
            <v>STABLE</v>
          </cell>
          <cell r="U85" t="str">
            <v>NEG</v>
          </cell>
          <cell r="V85" t="str">
            <v>STABLE</v>
          </cell>
          <cell r="X85" t="str">
            <v>A</v>
          </cell>
          <cell r="Y85" t="str">
            <v>-</v>
          </cell>
          <cell r="Z85" t="str">
            <v>A</v>
          </cell>
          <cell r="AA85" t="str">
            <v>STABLE</v>
          </cell>
          <cell r="AB85" t="str">
            <v>NEG</v>
          </cell>
          <cell r="AC85" t="str">
            <v>STABLE</v>
          </cell>
          <cell r="AD85">
            <v>0</v>
          </cell>
          <cell r="AE85">
            <v>0</v>
          </cell>
          <cell r="AF85">
            <v>0</v>
          </cell>
          <cell r="AG85">
            <v>0</v>
          </cell>
          <cell r="AH85">
            <v>0</v>
          </cell>
          <cell r="AI85">
            <v>0</v>
          </cell>
          <cell r="AJ85" t="str">
            <v/>
          </cell>
          <cell r="AK85">
            <v>1851837568411.8279</v>
          </cell>
          <cell r="AL85" t="str">
            <v>HKD</v>
          </cell>
          <cell r="AM85">
            <v>7.8498999999999999</v>
          </cell>
          <cell r="AN85">
            <v>235.90588012736822</v>
          </cell>
          <cell r="AP85" t="str">
            <v/>
          </cell>
          <cell r="AQ85" t="str">
            <v/>
          </cell>
          <cell r="AR85" t="str">
            <v/>
          </cell>
          <cell r="AS85">
            <v>40876</v>
          </cell>
          <cell r="AT85" t="str">
            <v/>
          </cell>
          <cell r="AU85">
            <v>39393</v>
          </cell>
          <cell r="AV85">
            <v>4.57</v>
          </cell>
          <cell r="AW85">
            <v>4.51</v>
          </cell>
          <cell r="AX85">
            <v>1.330376940133049</v>
          </cell>
        </row>
        <row r="86">
          <cell r="F86" t="str">
            <v>Industrial &amp; Commercial Bank o</v>
          </cell>
          <cell r="G86" t="str">
            <v>中國工商銀行股份有限公司</v>
          </cell>
          <cell r="H86">
            <v>6.1</v>
          </cell>
          <cell r="I86">
            <v>0.3289474</v>
          </cell>
          <cell r="J86">
            <v>-0.97402599999999995</v>
          </cell>
          <cell r="K86">
            <v>17.082529999999998</v>
          </cell>
          <cell r="L86">
            <v>51.37914</v>
          </cell>
          <cell r="M86">
            <v>0</v>
          </cell>
          <cell r="N86">
            <v>-0.10264</v>
          </cell>
          <cell r="O86">
            <v>0.65073999999999999</v>
          </cell>
          <cell r="P86" t="str">
            <v xml:space="preserve"> </v>
          </cell>
          <cell r="Q86" t="str">
            <v>A</v>
          </cell>
          <cell r="R86" t="str">
            <v>-</v>
          </cell>
          <cell r="S86" t="str">
            <v>A</v>
          </cell>
          <cell r="T86" t="str">
            <v>STABLE</v>
          </cell>
          <cell r="U86" t="str">
            <v>NEG</v>
          </cell>
          <cell r="V86" t="str">
            <v>STABLE</v>
          </cell>
          <cell r="X86" t="str">
            <v>A</v>
          </cell>
          <cell r="Y86" t="str">
            <v>-</v>
          </cell>
          <cell r="Z86" t="str">
            <v>A</v>
          </cell>
          <cell r="AA86" t="str">
            <v>STABLE</v>
          </cell>
          <cell r="AB86" t="str">
            <v>NEG</v>
          </cell>
          <cell r="AC86" t="str">
            <v>STABLE</v>
          </cell>
          <cell r="AD86">
            <v>0</v>
          </cell>
          <cell r="AE86">
            <v>0</v>
          </cell>
          <cell r="AF86">
            <v>0</v>
          </cell>
          <cell r="AG86">
            <v>0</v>
          </cell>
          <cell r="AH86">
            <v>0</v>
          </cell>
          <cell r="AI86">
            <v>0</v>
          </cell>
          <cell r="AJ86" t="str">
            <v/>
          </cell>
          <cell r="AK86">
            <v>2814482535048.9502</v>
          </cell>
          <cell r="AL86" t="str">
            <v>HKD</v>
          </cell>
          <cell r="AM86">
            <v>7.8498999999999999</v>
          </cell>
          <cell r="AN86">
            <v>358.53737436769262</v>
          </cell>
          <cell r="AP86" t="str">
            <v/>
          </cell>
          <cell r="AQ86" t="str">
            <v/>
          </cell>
          <cell r="AR86" t="str">
            <v/>
          </cell>
          <cell r="AS86">
            <v>41149</v>
          </cell>
          <cell r="AT86" t="str">
            <v/>
          </cell>
          <cell r="AU86">
            <v>39393</v>
          </cell>
          <cell r="AV86">
            <v>6.16</v>
          </cell>
          <cell r="AW86">
            <v>5.98</v>
          </cell>
          <cell r="AX86">
            <v>3.0100334448160515</v>
          </cell>
        </row>
        <row r="87">
          <cell r="F87" t="str">
            <v>China Construction Bank Corp</v>
          </cell>
          <cell r="G87" t="str">
            <v>中國建設銀行股份有限公司</v>
          </cell>
          <cell r="H87">
            <v>7.93</v>
          </cell>
          <cell r="I87">
            <v>0</v>
          </cell>
          <cell r="J87">
            <v>-0.875</v>
          </cell>
          <cell r="K87">
            <v>22.530860000000001</v>
          </cell>
          <cell r="L87">
            <v>51.37914</v>
          </cell>
          <cell r="M87">
            <v>0</v>
          </cell>
          <cell r="N87">
            <v>-0.10264</v>
          </cell>
          <cell r="O87">
            <v>0.65073999999999999</v>
          </cell>
          <cell r="P87" t="str">
            <v xml:space="preserve"> </v>
          </cell>
          <cell r="Q87" t="str">
            <v>A</v>
          </cell>
          <cell r="R87" t="str">
            <v>-</v>
          </cell>
          <cell r="S87" t="str">
            <v>A</v>
          </cell>
          <cell r="T87" t="str">
            <v>STABLE</v>
          </cell>
          <cell r="U87" t="str">
            <v>NEG</v>
          </cell>
          <cell r="V87" t="str">
            <v>STABLE</v>
          </cell>
          <cell r="X87" t="str">
            <v>A</v>
          </cell>
          <cell r="Y87" t="str">
            <v>-</v>
          </cell>
          <cell r="Z87" t="str">
            <v>A</v>
          </cell>
          <cell r="AA87" t="str">
            <v>STABLE</v>
          </cell>
          <cell r="AB87" t="str">
            <v>NEG</v>
          </cell>
          <cell r="AC87" t="str">
            <v>STABLE</v>
          </cell>
          <cell r="AD87">
            <v>0</v>
          </cell>
          <cell r="AE87">
            <v>0</v>
          </cell>
          <cell r="AF87">
            <v>0</v>
          </cell>
          <cell r="AG87">
            <v>0</v>
          </cell>
          <cell r="AH87">
            <v>0</v>
          </cell>
          <cell r="AI87">
            <v>0</v>
          </cell>
          <cell r="AJ87" t="str">
            <v/>
          </cell>
          <cell r="AK87">
            <v>2128239144638.9463</v>
          </cell>
          <cell r="AL87" t="str">
            <v>HKD</v>
          </cell>
          <cell r="AM87">
            <v>7.8498999999999999</v>
          </cell>
          <cell r="AN87">
            <v>271.1167205491721</v>
          </cell>
          <cell r="AP87" t="str">
            <v/>
          </cell>
          <cell r="AQ87" t="str">
            <v/>
          </cell>
          <cell r="AR87" t="str">
            <v/>
          </cell>
          <cell r="AS87">
            <v>40876</v>
          </cell>
          <cell r="AT87" t="str">
            <v/>
          </cell>
          <cell r="AU87">
            <v>39393</v>
          </cell>
          <cell r="AV87">
            <v>7.94</v>
          </cell>
          <cell r="AW87">
            <v>7.89</v>
          </cell>
          <cell r="AX87">
            <v>0.63371356147021718</v>
          </cell>
        </row>
        <row r="88">
          <cell r="F88" t="str">
            <v>Bank of Communications Co Ltd</v>
          </cell>
          <cell r="G88" t="str">
            <v>交通銀行股份有限公司</v>
          </cell>
          <cell r="H88">
            <v>7.09</v>
          </cell>
          <cell r="I88">
            <v>0.56737590000000004</v>
          </cell>
          <cell r="J88">
            <v>-1.253482</v>
          </cell>
          <cell r="K88">
            <v>10.95462</v>
          </cell>
          <cell r="L88">
            <v>51.37914</v>
          </cell>
          <cell r="M88">
            <v>0</v>
          </cell>
          <cell r="N88">
            <v>-0.10264</v>
          </cell>
          <cell r="O88">
            <v>0.65073999999999999</v>
          </cell>
          <cell r="P88" t="str">
            <v xml:space="preserve"> </v>
          </cell>
          <cell r="Q88" t="str">
            <v>A-</v>
          </cell>
          <cell r="R88" t="str">
            <v>-</v>
          </cell>
          <cell r="S88" t="str">
            <v>A</v>
          </cell>
          <cell r="T88" t="str">
            <v>STABLE</v>
          </cell>
          <cell r="U88" t="str">
            <v>STABLE</v>
          </cell>
          <cell r="V88" t="str">
            <v>STABLE</v>
          </cell>
          <cell r="X88" t="str">
            <v>A-</v>
          </cell>
          <cell r="Y88" t="str">
            <v>-</v>
          </cell>
          <cell r="Z88" t="str">
            <v>A</v>
          </cell>
          <cell r="AA88" t="str">
            <v>STABLE</v>
          </cell>
          <cell r="AB88" t="str">
            <v>STABLE</v>
          </cell>
          <cell r="AC88" t="str">
            <v>STABLE</v>
          </cell>
          <cell r="AD88">
            <v>0</v>
          </cell>
          <cell r="AE88">
            <v>0</v>
          </cell>
          <cell r="AF88">
            <v>0</v>
          </cell>
          <cell r="AG88">
            <v>0</v>
          </cell>
          <cell r="AH88">
            <v>0</v>
          </cell>
          <cell r="AI88">
            <v>0</v>
          </cell>
          <cell r="AJ88" t="str">
            <v/>
          </cell>
          <cell r="AK88">
            <v>697493072209.67468</v>
          </cell>
          <cell r="AL88" t="str">
            <v>HKD</v>
          </cell>
          <cell r="AM88">
            <v>7.8498999999999999</v>
          </cell>
          <cell r="AN88">
            <v>88.853752558589875</v>
          </cell>
          <cell r="AP88" t="str">
            <v/>
          </cell>
          <cell r="AQ88" t="str">
            <v/>
          </cell>
          <cell r="AR88" t="str">
            <v/>
          </cell>
          <cell r="AS88">
            <v>40883</v>
          </cell>
          <cell r="AT88" t="str">
            <v/>
          </cell>
          <cell r="AU88">
            <v>41311</v>
          </cell>
          <cell r="AV88">
            <v>7.04</v>
          </cell>
          <cell r="AW88">
            <v>7</v>
          </cell>
          <cell r="AX88">
            <v>0.57142857142857828</v>
          </cell>
        </row>
        <row r="89">
          <cell r="F89" t="str">
            <v>Agricultural Bank of China Ltd</v>
          </cell>
          <cell r="G89" t="str">
            <v>中國農業銀行股份有限公司</v>
          </cell>
          <cell r="H89">
            <v>6.83</v>
          </cell>
          <cell r="I89">
            <v>1.3353120000000001</v>
          </cell>
          <cell r="J89">
            <v>4.4342509999999997</v>
          </cell>
          <cell r="K89">
            <v>27.902619999999999</v>
          </cell>
          <cell r="L89">
            <v>51.37914</v>
          </cell>
          <cell r="M89">
            <v>0</v>
          </cell>
          <cell r="N89">
            <v>-0.10264</v>
          </cell>
          <cell r="O89">
            <v>0.65073999999999999</v>
          </cell>
          <cell r="P89" t="str">
            <v xml:space="preserve"> </v>
          </cell>
          <cell r="Q89" t="str">
            <v>A</v>
          </cell>
          <cell r="R89" t="str">
            <v>-</v>
          </cell>
          <cell r="S89" t="str">
            <v>A</v>
          </cell>
          <cell r="T89" t="str">
            <v>STABLE</v>
          </cell>
          <cell r="U89" t="str">
            <v>NEG</v>
          </cell>
          <cell r="V89" t="str">
            <v>STABLE</v>
          </cell>
          <cell r="X89" t="str">
            <v>A</v>
          </cell>
          <cell r="Y89" t="str">
            <v>-</v>
          </cell>
          <cell r="Z89" t="str">
            <v>A</v>
          </cell>
          <cell r="AA89" t="str">
            <v>STABLE</v>
          </cell>
          <cell r="AB89" t="str">
            <v>NEG</v>
          </cell>
          <cell r="AC89" t="str">
            <v>STABLE</v>
          </cell>
          <cell r="AD89">
            <v>0</v>
          </cell>
          <cell r="AE89">
            <v>0</v>
          </cell>
          <cell r="AF89">
            <v>0</v>
          </cell>
          <cell r="AG89">
            <v>0</v>
          </cell>
          <cell r="AH89">
            <v>0</v>
          </cell>
          <cell r="AI89">
            <v>0</v>
          </cell>
          <cell r="AJ89" t="str">
            <v/>
          </cell>
          <cell r="AK89">
            <v>2333263083413.5762</v>
          </cell>
          <cell r="AL89" t="str">
            <v>CNY</v>
          </cell>
          <cell r="AM89">
            <v>7.1874000000000002</v>
          </cell>
          <cell r="AN89">
            <v>324.63242388256896</v>
          </cell>
          <cell r="AP89" t="str">
            <v/>
          </cell>
          <cell r="AQ89" t="str">
            <v/>
          </cell>
          <cell r="AR89" t="str">
            <v/>
          </cell>
          <cell r="AS89">
            <v>43039</v>
          </cell>
          <cell r="AT89" t="str">
            <v/>
          </cell>
          <cell r="AU89">
            <v>40744</v>
          </cell>
          <cell r="AV89">
            <v>6.71</v>
          </cell>
          <cell r="AW89">
            <v>6.33</v>
          </cell>
          <cell r="AX89">
            <v>6.0031595576619301</v>
          </cell>
        </row>
        <row r="90">
          <cell r="F90" t="str">
            <v>Citigroup Inc</v>
          </cell>
          <cell r="G90" t="str">
            <v>花旗集團</v>
          </cell>
          <cell r="H90">
            <v>92.31</v>
          </cell>
          <cell r="I90">
            <v>-0.45292789999999999</v>
          </cell>
          <cell r="J90">
            <v>0.2497828</v>
          </cell>
          <cell r="K90">
            <v>31.140789999999999</v>
          </cell>
          <cell r="L90">
            <v>53.691929999999999</v>
          </cell>
          <cell r="M90">
            <v>5.8599999999999998E-3</v>
          </cell>
          <cell r="N90">
            <v>-0.64741000000000004</v>
          </cell>
          <cell r="O90">
            <v>-2.3124600000000002</v>
          </cell>
          <cell r="P90" t="str">
            <v xml:space="preserve"> </v>
          </cell>
          <cell r="Q90" t="str">
            <v>BBB+</v>
          </cell>
          <cell r="R90" t="str">
            <v>A3</v>
          </cell>
          <cell r="S90" t="str">
            <v>A</v>
          </cell>
          <cell r="T90" t="str">
            <v>STABLE</v>
          </cell>
          <cell r="U90" t="str">
            <v>STABLE</v>
          </cell>
          <cell r="V90" t="str">
            <v>STABLE</v>
          </cell>
          <cell r="X90" t="str">
            <v>BBB+</v>
          </cell>
          <cell r="Y90" t="str">
            <v>A3</v>
          </cell>
          <cell r="Z90" t="str">
            <v>A</v>
          </cell>
          <cell r="AA90" t="str">
            <v>STABLE</v>
          </cell>
          <cell r="AB90" t="str">
            <v>STABLE</v>
          </cell>
          <cell r="AC90" t="str">
            <v>STABLE</v>
          </cell>
          <cell r="AD90">
            <v>0</v>
          </cell>
          <cell r="AE90">
            <v>0</v>
          </cell>
          <cell r="AF90">
            <v>0</v>
          </cell>
          <cell r="AG90">
            <v>0</v>
          </cell>
          <cell r="AH90">
            <v>0</v>
          </cell>
          <cell r="AI90">
            <v>0</v>
          </cell>
          <cell r="AJ90" t="str">
            <v/>
          </cell>
          <cell r="AK90">
            <v>169933284964.38</v>
          </cell>
          <cell r="AL90" t="str">
            <v>USD</v>
          </cell>
          <cell r="AM90">
            <v>1</v>
          </cell>
          <cell r="AN90">
            <v>169.93328496437999</v>
          </cell>
          <cell r="AP90" t="str">
            <v/>
          </cell>
          <cell r="AQ90" t="str">
            <v/>
          </cell>
          <cell r="AR90" t="str">
            <v/>
          </cell>
          <cell r="AS90">
            <v>42340</v>
          </cell>
          <cell r="AT90">
            <v>43601</v>
          </cell>
          <cell r="AU90">
            <v>40892</v>
          </cell>
          <cell r="AV90">
            <v>92.73</v>
          </cell>
          <cell r="AW90">
            <v>91.83</v>
          </cell>
          <cell r="AX90">
            <v>0.98007187193727141</v>
          </cell>
        </row>
        <row r="91">
          <cell r="F91" t="str">
            <v>Bank of America Corp</v>
          </cell>
          <cell r="G91" t="str">
            <v>美國銀行</v>
          </cell>
          <cell r="H91">
            <v>46.16</v>
          </cell>
          <cell r="I91">
            <v>0.32601609999999998</v>
          </cell>
          <cell r="J91">
            <v>0.67611779999999999</v>
          </cell>
          <cell r="K91">
            <v>5.0284399999999998</v>
          </cell>
          <cell r="L91">
            <v>65.175089999999997</v>
          </cell>
          <cell r="M91">
            <v>0</v>
          </cell>
          <cell r="N91">
            <v>-0.61612</v>
          </cell>
          <cell r="O91">
            <v>9.3344100000000001</v>
          </cell>
          <cell r="P91" t="str">
            <v xml:space="preserve"> </v>
          </cell>
          <cell r="Q91" t="str">
            <v>A-</v>
          </cell>
          <cell r="R91" t="str">
            <v>A1</v>
          </cell>
          <cell r="S91" t="str">
            <v>AA-</v>
          </cell>
          <cell r="T91" t="str">
            <v>STABLE</v>
          </cell>
          <cell r="U91" t="str">
            <v>STABLE</v>
          </cell>
          <cell r="V91" t="str">
            <v>STABLE</v>
          </cell>
          <cell r="X91" t="str">
            <v>A-</v>
          </cell>
          <cell r="Y91" t="str">
            <v>A1</v>
          </cell>
          <cell r="Z91" t="str">
            <v>AA-</v>
          </cell>
          <cell r="AA91" t="str">
            <v>STABLE</v>
          </cell>
          <cell r="AB91" t="str">
            <v>STABLE</v>
          </cell>
          <cell r="AC91" t="str">
            <v>STABLE</v>
          </cell>
          <cell r="AD91">
            <v>0</v>
          </cell>
          <cell r="AE91">
            <v>0</v>
          </cell>
          <cell r="AF91">
            <v>0</v>
          </cell>
          <cell r="AG91">
            <v>0</v>
          </cell>
          <cell r="AH91">
            <v>0</v>
          </cell>
          <cell r="AI91">
            <v>0</v>
          </cell>
          <cell r="AJ91" t="str">
            <v/>
          </cell>
          <cell r="AK91">
            <v>341904687921.91986</v>
          </cell>
          <cell r="AL91" t="str">
            <v>USD</v>
          </cell>
          <cell r="AM91">
            <v>1</v>
          </cell>
          <cell r="AN91">
            <v>341.90468792191984</v>
          </cell>
          <cell r="AP91" t="str">
            <v/>
          </cell>
          <cell r="AQ91" t="str">
            <v/>
          </cell>
          <cell r="AR91" t="str">
            <v/>
          </cell>
          <cell r="AS91">
            <v>43061</v>
          </cell>
          <cell r="AT91">
            <v>45049</v>
          </cell>
          <cell r="AU91">
            <v>44354</v>
          </cell>
          <cell r="AV91">
            <v>46.01</v>
          </cell>
          <cell r="AW91">
            <v>45.66</v>
          </cell>
          <cell r="AX91">
            <v>0.76653526062198107</v>
          </cell>
        </row>
        <row r="92">
          <cell r="F92" t="str">
            <v>JPMorgan Chase &amp; Co</v>
          </cell>
          <cell r="G92" t="str">
            <v>摩根大通銀行</v>
          </cell>
          <cell r="H92">
            <v>289.56</v>
          </cell>
          <cell r="I92">
            <v>0.27704669999999998</v>
          </cell>
          <cell r="J92">
            <v>-1.597227</v>
          </cell>
          <cell r="K92">
            <v>20.795960000000001</v>
          </cell>
          <cell r="L92">
            <v>39.645530000000001</v>
          </cell>
          <cell r="M92">
            <v>0</v>
          </cell>
          <cell r="N92">
            <v>-0.25900000000000001</v>
          </cell>
          <cell r="O92">
            <v>-3.6146099999999999</v>
          </cell>
          <cell r="P92" t="str">
            <v xml:space="preserve"> </v>
          </cell>
          <cell r="Q92" t="str">
            <v>A</v>
          </cell>
          <cell r="R92" t="str">
            <v>A1</v>
          </cell>
          <cell r="S92" t="str">
            <v>AA-</v>
          </cell>
          <cell r="T92" t="str">
            <v>STABLE</v>
          </cell>
          <cell r="U92" t="str">
            <v>POS</v>
          </cell>
          <cell r="V92" t="str">
            <v>STABLE</v>
          </cell>
          <cell r="X92" t="str">
            <v>A</v>
          </cell>
          <cell r="Y92" t="str">
            <v>A1</v>
          </cell>
          <cell r="Z92" t="str">
            <v>AA-</v>
          </cell>
          <cell r="AA92" t="str">
            <v>STABLE</v>
          </cell>
          <cell r="AB92" t="str">
            <v>POS</v>
          </cell>
          <cell r="AC92" t="str">
            <v>STABLE</v>
          </cell>
          <cell r="AD92">
            <v>0</v>
          </cell>
          <cell r="AE92">
            <v>0</v>
          </cell>
          <cell r="AF92">
            <v>0</v>
          </cell>
          <cell r="AG92">
            <v>0</v>
          </cell>
          <cell r="AH92">
            <v>0</v>
          </cell>
          <cell r="AI92">
            <v>0</v>
          </cell>
          <cell r="AJ92" t="str">
            <v/>
          </cell>
          <cell r="AK92">
            <v>796218725964.23999</v>
          </cell>
          <cell r="AL92" t="str">
            <v>USD</v>
          </cell>
          <cell r="AM92">
            <v>1</v>
          </cell>
          <cell r="AN92">
            <v>796.21872596423998</v>
          </cell>
          <cell r="AP92" t="str">
            <v/>
          </cell>
          <cell r="AQ92" t="str">
            <v/>
          </cell>
          <cell r="AR92" t="str">
            <v/>
          </cell>
          <cell r="AS92">
            <v>45611</v>
          </cell>
          <cell r="AT92">
            <v>44833</v>
          </cell>
          <cell r="AU92">
            <v>43272</v>
          </cell>
          <cell r="AV92">
            <v>288.76</v>
          </cell>
          <cell r="AW92">
            <v>289.37</v>
          </cell>
          <cell r="AX92">
            <v>-0.21080277844973683</v>
          </cell>
        </row>
        <row r="93">
          <cell r="F93" t="str">
            <v>Wells Fargo &amp; Co</v>
          </cell>
          <cell r="G93" t="str">
            <v>富國銀行</v>
          </cell>
          <cell r="H93">
            <v>77.59</v>
          </cell>
          <cell r="I93">
            <v>-0.33397559999999998</v>
          </cell>
          <cell r="J93">
            <v>1.2889919999999999E-2</v>
          </cell>
          <cell r="K93">
            <v>10.464130000000001</v>
          </cell>
          <cell r="L93" t="str">
            <v xml:space="preserve"> </v>
          </cell>
          <cell r="M93" t="str">
            <v xml:space="preserve"> </v>
          </cell>
          <cell r="N93" t="str">
            <v xml:space="preserve"> </v>
          </cell>
          <cell r="O93" t="str">
            <v xml:space="preserve"> </v>
          </cell>
          <cell r="P93" t="str">
            <v xml:space="preserve"> </v>
          </cell>
          <cell r="Q93" t="str">
            <v>BBB+</v>
          </cell>
          <cell r="R93" t="str">
            <v>A1</v>
          </cell>
          <cell r="S93" t="str">
            <v>A+</v>
          </cell>
          <cell r="T93" t="str">
            <v>POS</v>
          </cell>
          <cell r="U93" t="str">
            <v>STABLE</v>
          </cell>
          <cell r="V93" t="str">
            <v>STABLE</v>
          </cell>
          <cell r="X93" t="str">
            <v>BBB+</v>
          </cell>
          <cell r="Y93" t="str">
            <v>A1</v>
          </cell>
          <cell r="Z93" t="str">
            <v>A+</v>
          </cell>
          <cell r="AA93" t="str">
            <v>POS</v>
          </cell>
          <cell r="AB93" t="str">
            <v>STABLE</v>
          </cell>
          <cell r="AC93" t="str">
            <v>STABLE</v>
          </cell>
          <cell r="AD93">
            <v>0</v>
          </cell>
          <cell r="AE93">
            <v>0</v>
          </cell>
          <cell r="AF93">
            <v>0</v>
          </cell>
          <cell r="AG93">
            <v>0</v>
          </cell>
          <cell r="AH93">
            <v>0</v>
          </cell>
          <cell r="AI93">
            <v>0</v>
          </cell>
          <cell r="AJ93" t="str">
            <v/>
          </cell>
          <cell r="AK93">
            <v>248555003406.31003</v>
          </cell>
          <cell r="AL93" t="str">
            <v>USD</v>
          </cell>
          <cell r="AM93">
            <v>1</v>
          </cell>
          <cell r="AN93">
            <v>248.55500340631002</v>
          </cell>
          <cell r="AP93" t="str">
            <v/>
          </cell>
          <cell r="AQ93" t="str">
            <v/>
          </cell>
          <cell r="AR93" t="str">
            <v/>
          </cell>
          <cell r="AS93">
            <v>44034</v>
          </cell>
          <cell r="AT93">
            <v>44389</v>
          </cell>
          <cell r="AU93">
            <v>43011</v>
          </cell>
          <cell r="AV93">
            <v>77.849999999999994</v>
          </cell>
          <cell r="AW93">
            <v>77.78</v>
          </cell>
          <cell r="AX93">
            <v>8.999742864488347E-2</v>
          </cell>
        </row>
        <row r="94">
          <cell r="F94" t="str">
            <v>Goldman Sachs Group Inc/The</v>
          </cell>
          <cell r="G94" t="str">
            <v>高盛集團</v>
          </cell>
          <cell r="H94">
            <v>719.24</v>
          </cell>
          <cell r="I94">
            <v>-0.28144799999999998</v>
          </cell>
          <cell r="J94">
            <v>-0.93522309999999997</v>
          </cell>
          <cell r="K94">
            <v>25.60511</v>
          </cell>
          <cell r="L94">
            <v>65.175089999999997</v>
          </cell>
          <cell r="M94">
            <v>0</v>
          </cell>
          <cell r="N94">
            <v>-0.61612</v>
          </cell>
          <cell r="O94">
            <v>-4.6579600000000001</v>
          </cell>
          <cell r="P94" t="str">
            <v xml:space="preserve"> </v>
          </cell>
          <cell r="Q94" t="str">
            <v>BBB+</v>
          </cell>
          <cell r="R94" t="str">
            <v>A2</v>
          </cell>
          <cell r="S94" t="str">
            <v>A</v>
          </cell>
          <cell r="T94" t="str">
            <v>STABLE</v>
          </cell>
          <cell r="U94" t="str">
            <v>STABLE</v>
          </cell>
          <cell r="V94" t="str">
            <v>STABLE</v>
          </cell>
          <cell r="X94" t="str">
            <v>BBB+</v>
          </cell>
          <cell r="Y94" t="str">
            <v>A2</v>
          </cell>
          <cell r="Z94" t="str">
            <v>A</v>
          </cell>
          <cell r="AA94" t="str">
            <v>STABLE</v>
          </cell>
          <cell r="AB94" t="str">
            <v>STABLE</v>
          </cell>
          <cell r="AC94" t="str">
            <v>STABLE</v>
          </cell>
          <cell r="AD94">
            <v>0</v>
          </cell>
          <cell r="AE94">
            <v>0</v>
          </cell>
          <cell r="AF94">
            <v>0</v>
          </cell>
          <cell r="AG94">
            <v>0</v>
          </cell>
          <cell r="AH94">
            <v>0</v>
          </cell>
          <cell r="AI94">
            <v>0</v>
          </cell>
          <cell r="AJ94" t="str">
            <v/>
          </cell>
          <cell r="AK94">
            <v>226037718993.16</v>
          </cell>
          <cell r="AL94" t="str">
            <v>USD</v>
          </cell>
          <cell r="AM94">
            <v>1</v>
          </cell>
          <cell r="AN94">
            <v>226.03771899316001</v>
          </cell>
          <cell r="AP94" t="str">
            <v/>
          </cell>
          <cell r="AQ94" t="str">
            <v/>
          </cell>
          <cell r="AR94" t="str">
            <v/>
          </cell>
          <cell r="AS94">
            <v>42340</v>
          </cell>
          <cell r="AT94">
            <v>44223</v>
          </cell>
          <cell r="AU94">
            <v>40892</v>
          </cell>
          <cell r="AV94">
            <v>721.27</v>
          </cell>
          <cell r="AW94">
            <v>709.57</v>
          </cell>
          <cell r="AX94">
            <v>1.6488859450089377</v>
          </cell>
        </row>
        <row r="95">
          <cell r="F95" t="str">
            <v>Morgan Stanley</v>
          </cell>
          <cell r="G95" t="str">
            <v>摩根士丹利</v>
          </cell>
          <cell r="H95">
            <v>143.88</v>
          </cell>
          <cell r="I95">
            <v>0.48889510000000003</v>
          </cell>
          <cell r="J95">
            <v>1.782683</v>
          </cell>
          <cell r="K95">
            <v>14.444800000000001</v>
          </cell>
          <cell r="L95">
            <v>54.320880000000002</v>
          </cell>
          <cell r="M95">
            <v>1.0789999999999999E-2</v>
          </cell>
          <cell r="N95">
            <v>-1.2605200000000001</v>
          </cell>
          <cell r="O95">
            <v>-3.5376699999999999</v>
          </cell>
          <cell r="P95" t="str">
            <v xml:space="preserve"> </v>
          </cell>
          <cell r="Q95" t="str">
            <v>A-</v>
          </cell>
          <cell r="R95" t="str">
            <v>A1</v>
          </cell>
          <cell r="S95" t="str">
            <v>A+</v>
          </cell>
          <cell r="T95" t="str">
            <v>STABLE</v>
          </cell>
          <cell r="U95" t="str">
            <v>STABLE</v>
          </cell>
          <cell r="V95" t="str">
            <v>STABLE</v>
          </cell>
          <cell r="X95" t="str">
            <v>A-</v>
          </cell>
          <cell r="Y95" t="str">
            <v>A1</v>
          </cell>
          <cell r="Z95" t="str">
            <v>A+</v>
          </cell>
          <cell r="AA95" t="str">
            <v>STABLE</v>
          </cell>
          <cell r="AB95" t="str">
            <v>STABLE</v>
          </cell>
          <cell r="AC95" t="str">
            <v>STABLE</v>
          </cell>
          <cell r="AD95">
            <v>0</v>
          </cell>
          <cell r="AE95">
            <v>0</v>
          </cell>
          <cell r="AF95">
            <v>0</v>
          </cell>
          <cell r="AG95">
            <v>0</v>
          </cell>
          <cell r="AH95">
            <v>0</v>
          </cell>
          <cell r="AI95">
            <v>0</v>
          </cell>
          <cell r="AJ95" t="str">
            <v/>
          </cell>
          <cell r="AK95">
            <v>229680788573.27997</v>
          </cell>
          <cell r="AL95" t="str">
            <v>USD</v>
          </cell>
          <cell r="AM95">
            <v>1</v>
          </cell>
          <cell r="AN95">
            <v>229.68078857327995</v>
          </cell>
          <cell r="AP95" t="str">
            <v/>
          </cell>
          <cell r="AQ95" t="str">
            <v/>
          </cell>
          <cell r="AR95" t="str">
            <v/>
          </cell>
          <cell r="AS95">
            <v>44698</v>
          </cell>
          <cell r="AT95">
            <v>44223</v>
          </cell>
          <cell r="AU95">
            <v>44869</v>
          </cell>
          <cell r="AV95">
            <v>143.18</v>
          </cell>
          <cell r="AW95">
            <v>139.09</v>
          </cell>
          <cell r="AX95">
            <v>2.9405420950463723</v>
          </cell>
        </row>
        <row r="96">
          <cell r="F96" t="str">
            <v>BNP Paribas SA</v>
          </cell>
          <cell r="G96" t="str">
            <v>法國巴黎銀行有限責任公司</v>
          </cell>
          <cell r="H96">
            <v>81.55</v>
          </cell>
          <cell r="I96">
            <v>6.1349689999999998E-2</v>
          </cell>
          <cell r="J96">
            <v>3.8853499999999999</v>
          </cell>
          <cell r="K96">
            <v>37.706850000000003</v>
          </cell>
          <cell r="L96">
            <v>41.47963</v>
          </cell>
          <cell r="M96">
            <v>-2.0000000000000001E-4</v>
          </cell>
          <cell r="N96">
            <v>-0.71214</v>
          </cell>
          <cell r="O96">
            <v>-6.4954499999999999</v>
          </cell>
          <cell r="P96" t="str">
            <v xml:space="preserve"> </v>
          </cell>
          <cell r="Q96" t="str">
            <v>A+</v>
          </cell>
          <cell r="R96" t="str">
            <v>A1</v>
          </cell>
          <cell r="S96" t="str">
            <v>A+</v>
          </cell>
          <cell r="T96" t="str">
            <v>STABLE</v>
          </cell>
          <cell r="U96" t="str">
            <v>STABLE</v>
          </cell>
          <cell r="V96" t="str">
            <v>STABLE</v>
          </cell>
          <cell r="X96" t="str">
            <v>A+</v>
          </cell>
          <cell r="Y96" t="str">
            <v>A1</v>
          </cell>
          <cell r="Z96" t="str">
            <v>A+</v>
          </cell>
          <cell r="AA96" t="str">
            <v>STABLE</v>
          </cell>
          <cell r="AB96" t="str">
            <v>STABLE</v>
          </cell>
          <cell r="AC96" t="str">
            <v>STABLE</v>
          </cell>
          <cell r="AD96">
            <v>0</v>
          </cell>
          <cell r="AE96">
            <v>0</v>
          </cell>
          <cell r="AF96">
            <v>0</v>
          </cell>
          <cell r="AG96">
            <v>0</v>
          </cell>
          <cell r="AH96">
            <v>0</v>
          </cell>
          <cell r="AI96">
            <v>0</v>
          </cell>
          <cell r="AJ96" t="str">
            <v/>
          </cell>
          <cell r="AK96">
            <v>92217610220.049988</v>
          </cell>
          <cell r="AL96" t="str">
            <v>EUR</v>
          </cell>
          <cell r="AM96">
            <v>0.86060000000000003</v>
          </cell>
          <cell r="AN96">
            <v>107.15502000935393</v>
          </cell>
          <cell r="AP96" t="str">
            <v/>
          </cell>
          <cell r="AQ96" t="str">
            <v/>
          </cell>
          <cell r="AR96" t="str">
            <v/>
          </cell>
          <cell r="AS96">
            <v>43560</v>
          </cell>
          <cell r="AT96">
            <v>45643</v>
          </cell>
          <cell r="AU96">
            <v>44116</v>
          </cell>
          <cell r="AV96">
            <v>81.5</v>
          </cell>
          <cell r="AW96">
            <v>76.53</v>
          </cell>
          <cell r="AX96">
            <v>6.4941852868156236</v>
          </cell>
        </row>
        <row r="97">
          <cell r="F97" t="str">
            <v>Visa Inc</v>
          </cell>
          <cell r="G97" t="str">
            <v>威士卡</v>
          </cell>
          <cell r="H97">
            <v>335.9</v>
          </cell>
          <cell r="I97">
            <v>-0.26129819999999998</v>
          </cell>
          <cell r="J97">
            <v>-1.826684</v>
          </cell>
          <cell r="K97">
            <v>6.2840119999999997</v>
          </cell>
          <cell r="L97" t="str">
            <v>#N/A N/A CBIN Curncy</v>
          </cell>
          <cell r="M97" t="str">
            <v>#N/A N/A CBIN Curncy</v>
          </cell>
          <cell r="N97" t="str">
            <v>#N/A N/A CBIN Curncy</v>
          </cell>
          <cell r="O97" t="str">
            <v>#N/A N/A CBIN Curncy</v>
          </cell>
          <cell r="P97" t="str">
            <v>Y</v>
          </cell>
          <cell r="Q97" t="str">
            <v>AA-</v>
          </cell>
          <cell r="R97" t="str">
            <v>Aa3</v>
          </cell>
          <cell r="S97" t="str">
            <v>-</v>
          </cell>
          <cell r="T97" t="str">
            <v>STABLE</v>
          </cell>
          <cell r="U97" t="str">
            <v>STABLE</v>
          </cell>
          <cell r="V97" t="str">
            <v xml:space="preserve"> </v>
          </cell>
          <cell r="X97" t="str">
            <v>A+</v>
          </cell>
          <cell r="Y97" t="str">
            <v>A1</v>
          </cell>
          <cell r="Z97" t="str">
            <v>A+</v>
          </cell>
          <cell r="AA97" t="str">
            <v>STABLE</v>
          </cell>
          <cell r="AB97" t="str">
            <v>STABLE</v>
          </cell>
          <cell r="AC97" t="str">
            <v>STABLE</v>
          </cell>
          <cell r="AD97">
            <v>1</v>
          </cell>
          <cell r="AE97">
            <v>1</v>
          </cell>
          <cell r="AF97">
            <v>1</v>
          </cell>
          <cell r="AG97">
            <v>0</v>
          </cell>
          <cell r="AH97">
            <v>0</v>
          </cell>
          <cell r="AI97">
            <v>1</v>
          </cell>
          <cell r="AJ97" t="str">
            <v/>
          </cell>
          <cell r="AK97">
            <v>661577640732.53711</v>
          </cell>
          <cell r="AL97" t="str">
            <v>USD</v>
          </cell>
          <cell r="AM97">
            <v>1</v>
          </cell>
          <cell r="AN97">
            <v>661.57764073253713</v>
          </cell>
          <cell r="AP97" t="str">
            <v/>
          </cell>
          <cell r="AQ97" t="str">
            <v/>
          </cell>
          <cell r="AR97" t="str">
            <v/>
          </cell>
          <cell r="AS97">
            <v>43424</v>
          </cell>
          <cell r="AT97">
            <v>43585</v>
          </cell>
          <cell r="AU97" t="str">
            <v/>
          </cell>
          <cell r="AV97">
            <v>336.78</v>
          </cell>
          <cell r="AW97">
            <v>339.35</v>
          </cell>
          <cell r="AX97">
            <v>-0.75733019006926083</v>
          </cell>
        </row>
        <row r="98">
          <cell r="F98" t="str">
            <v>Mastercard Inc</v>
          </cell>
          <cell r="G98" t="str">
            <v>萬事達卡</v>
          </cell>
          <cell r="H98">
            <v>573.59</v>
          </cell>
          <cell r="I98">
            <v>-0.12710679999999999</v>
          </cell>
          <cell r="J98">
            <v>0.66337900000000005</v>
          </cell>
          <cell r="K98">
            <v>8.9294860000000007</v>
          </cell>
          <cell r="L98" t="str">
            <v>#N/A N/A CBIN Curncy</v>
          </cell>
          <cell r="M98" t="str">
            <v>#N/A N/A CBIN Curncy</v>
          </cell>
          <cell r="N98" t="str">
            <v>#N/A N/A CBIN Curncy</v>
          </cell>
          <cell r="O98" t="str">
            <v>#N/A N/A CBIN Curncy</v>
          </cell>
          <cell r="P98" t="str">
            <v>Y</v>
          </cell>
          <cell r="Q98" t="str">
            <v>A+</v>
          </cell>
          <cell r="R98" t="str">
            <v>WR</v>
          </cell>
          <cell r="S98" t="str">
            <v>-</v>
          </cell>
          <cell r="T98" t="str">
            <v>STABLE</v>
          </cell>
          <cell r="U98" t="str">
            <v>STABLE</v>
          </cell>
          <cell r="V98" t="str">
            <v xml:space="preserve"> </v>
          </cell>
          <cell r="X98" t="str">
            <v>A+</v>
          </cell>
          <cell r="Y98" t="str">
            <v>A1</v>
          </cell>
          <cell r="Z98" t="str">
            <v>A+</v>
          </cell>
          <cell r="AA98" t="str">
            <v>STABLE</v>
          </cell>
          <cell r="AB98" t="str">
            <v>STABLE</v>
          </cell>
          <cell r="AC98" t="str">
            <v>STABLE</v>
          </cell>
          <cell r="AD98">
            <v>0</v>
          </cell>
          <cell r="AE98">
            <v>1</v>
          </cell>
          <cell r="AF98">
            <v>1</v>
          </cell>
          <cell r="AG98">
            <v>0</v>
          </cell>
          <cell r="AH98">
            <v>0</v>
          </cell>
          <cell r="AI98">
            <v>1</v>
          </cell>
          <cell r="AJ98" t="str">
            <v/>
          </cell>
          <cell r="AK98">
            <v>518532149584.82996</v>
          </cell>
          <cell r="AL98" t="str">
            <v>USD</v>
          </cell>
          <cell r="AM98">
            <v>1</v>
          </cell>
          <cell r="AN98">
            <v>518.53214958482999</v>
          </cell>
          <cell r="AP98" t="str">
            <v/>
          </cell>
          <cell r="AQ98" t="str">
            <v/>
          </cell>
          <cell r="AR98" t="str">
            <v/>
          </cell>
          <cell r="AS98">
            <v>43424</v>
          </cell>
          <cell r="AT98">
            <v>41724</v>
          </cell>
          <cell r="AU98" t="str">
            <v/>
          </cell>
          <cell r="AV98">
            <v>574.32000000000005</v>
          </cell>
          <cell r="AW98">
            <v>559.89</v>
          </cell>
          <cell r="AX98">
            <v>2.5772919680651762</v>
          </cell>
        </row>
        <row r="99">
          <cell r="F99" t="str">
            <v>American Express Co</v>
          </cell>
          <cell r="G99" t="str">
            <v>美國運通</v>
          </cell>
          <cell r="H99">
            <v>296.23</v>
          </cell>
          <cell r="I99">
            <v>-0.40345629999999999</v>
          </cell>
          <cell r="J99">
            <v>-0.79038149999999996</v>
          </cell>
          <cell r="K99">
            <v>-0.18868850000000001</v>
          </cell>
          <cell r="L99" t="str">
            <v xml:space="preserve"> </v>
          </cell>
          <cell r="M99" t="str">
            <v xml:space="preserve"> </v>
          </cell>
          <cell r="N99" t="str">
            <v xml:space="preserve"> </v>
          </cell>
          <cell r="O99" t="str">
            <v xml:space="preserve"> </v>
          </cell>
          <cell r="P99" t="str">
            <v>Y</v>
          </cell>
          <cell r="Q99" t="str">
            <v>A-</v>
          </cell>
          <cell r="R99" t="str">
            <v>A2</v>
          </cell>
          <cell r="S99" t="str">
            <v>A</v>
          </cell>
          <cell r="T99" t="str">
            <v>STABLE</v>
          </cell>
          <cell r="U99" t="str">
            <v>STABLE</v>
          </cell>
          <cell r="V99" t="str">
            <v>STABLE</v>
          </cell>
          <cell r="X99" t="str">
            <v>A+</v>
          </cell>
          <cell r="Y99" t="str">
            <v>A1</v>
          </cell>
          <cell r="Z99" t="str">
            <v>A+</v>
          </cell>
          <cell r="AA99" t="str">
            <v>STABLE</v>
          </cell>
          <cell r="AB99" t="str">
            <v>STABLE</v>
          </cell>
          <cell r="AC99" t="str">
            <v>STABLE</v>
          </cell>
          <cell r="AD99">
            <v>1</v>
          </cell>
          <cell r="AE99">
            <v>1</v>
          </cell>
          <cell r="AF99">
            <v>1</v>
          </cell>
          <cell r="AG99">
            <v>0</v>
          </cell>
          <cell r="AH99">
            <v>0</v>
          </cell>
          <cell r="AI99">
            <v>0</v>
          </cell>
          <cell r="AJ99" t="str">
            <v/>
          </cell>
          <cell r="AK99">
            <v>206141192104.20999</v>
          </cell>
          <cell r="AL99" t="str">
            <v>USD</v>
          </cell>
          <cell r="AM99">
            <v>1</v>
          </cell>
          <cell r="AN99">
            <v>206.14119210420998</v>
          </cell>
          <cell r="AP99" t="str">
            <v/>
          </cell>
          <cell r="AQ99" t="str">
            <v/>
          </cell>
          <cell r="AR99" t="str">
            <v/>
          </cell>
          <cell r="AS99">
            <v>45622</v>
          </cell>
          <cell r="AT99">
            <v>44593</v>
          </cell>
          <cell r="AU99">
            <v>42466</v>
          </cell>
          <cell r="AV99">
            <v>297.43</v>
          </cell>
          <cell r="AW99">
            <v>294.27</v>
          </cell>
          <cell r="AX99">
            <v>1.0738437489380637</v>
          </cell>
        </row>
        <row r="100">
          <cell r="F100" t="str">
            <v>Blackstone Inc</v>
          </cell>
          <cell r="G100" t="str">
            <v>黑石公司</v>
          </cell>
          <cell r="H100">
            <v>170.07</v>
          </cell>
          <cell r="I100">
            <v>0.68675629999999999</v>
          </cell>
          <cell r="J100">
            <v>-0.25219940000000002</v>
          </cell>
          <cell r="K100">
            <v>-1.3629500000000001</v>
          </cell>
          <cell r="L100" t="str">
            <v>#N/A N/A CBIN Curncy</v>
          </cell>
          <cell r="M100" t="str">
            <v>#N/A N/A CBIN Curncy</v>
          </cell>
          <cell r="N100" t="str">
            <v>#N/A N/A CBIN Curncy</v>
          </cell>
          <cell r="O100" t="str">
            <v>#N/A N/A CBIN Curncy</v>
          </cell>
          <cell r="P100" t="str">
            <v>Y</v>
          </cell>
          <cell r="Q100" t="str">
            <v>A+</v>
          </cell>
          <cell r="R100" t="str">
            <v/>
          </cell>
          <cell r="S100" t="str">
            <v>A+</v>
          </cell>
          <cell r="T100" t="str">
            <v>STABLE</v>
          </cell>
          <cell r="U100" t="str">
            <v xml:space="preserve"> </v>
          </cell>
          <cell r="V100" t="str">
            <v>STABLE</v>
          </cell>
          <cell r="X100" t="str">
            <v>A+</v>
          </cell>
          <cell r="Y100" t="str">
            <v>A1</v>
          </cell>
          <cell r="Z100" t="str">
            <v>A+</v>
          </cell>
          <cell r="AA100" t="str">
            <v>STABLE</v>
          </cell>
          <cell r="AB100" t="str">
            <v>STABLE</v>
          </cell>
          <cell r="AC100" t="str">
            <v>STABLE</v>
          </cell>
          <cell r="AD100">
            <v>0</v>
          </cell>
          <cell r="AE100">
            <v>1</v>
          </cell>
          <cell r="AF100">
            <v>0</v>
          </cell>
          <cell r="AG100">
            <v>0</v>
          </cell>
          <cell r="AH100">
            <v>1</v>
          </cell>
          <cell r="AI100">
            <v>0</v>
          </cell>
          <cell r="AJ100" t="str">
            <v/>
          </cell>
          <cell r="AK100">
            <v>210074589558.05997</v>
          </cell>
          <cell r="AL100" t="str">
            <v>USD</v>
          </cell>
          <cell r="AM100">
            <v>1</v>
          </cell>
          <cell r="AN100">
            <v>210.07458955805996</v>
          </cell>
          <cell r="AP100" t="str">
            <v/>
          </cell>
          <cell r="AQ100" t="str">
            <v/>
          </cell>
          <cell r="AR100" t="str">
            <v/>
          </cell>
          <cell r="AS100">
            <v>41808</v>
          </cell>
          <cell r="AT100" t="str">
            <v/>
          </cell>
          <cell r="AU100">
            <v>40035</v>
          </cell>
          <cell r="AV100">
            <v>168.91</v>
          </cell>
          <cell r="AW100">
            <v>170.4</v>
          </cell>
          <cell r="AX100">
            <v>-0.87441314553990956</v>
          </cell>
        </row>
        <row r="101">
          <cell r="F101" t="str">
            <v>KKR &amp; Co Inc</v>
          </cell>
          <cell r="G101" t="str">
            <v>科爾伯格-克拉維斯-羅伯茨公司</v>
          </cell>
          <cell r="H101">
            <v>141.57</v>
          </cell>
          <cell r="I101">
            <v>-0.64217290000000005</v>
          </cell>
          <cell r="J101">
            <v>-2.4529730000000001</v>
          </cell>
          <cell r="K101">
            <v>-4.2863930000000003</v>
          </cell>
          <cell r="L101" t="str">
            <v>#N/A N/A CBIN Curncy</v>
          </cell>
          <cell r="M101" t="str">
            <v>#N/A N/A CBIN Curncy</v>
          </cell>
          <cell r="N101" t="str">
            <v>#N/A N/A CBIN Curncy</v>
          </cell>
          <cell r="O101" t="str">
            <v>#N/A N/A CBIN Curncy</v>
          </cell>
          <cell r="P101" t="str">
            <v>Y</v>
          </cell>
          <cell r="Q101" t="str">
            <v>A</v>
          </cell>
          <cell r="R101" t="str">
            <v/>
          </cell>
          <cell r="S101" t="str">
            <v>A</v>
          </cell>
          <cell r="T101" t="str">
            <v>STABLE</v>
          </cell>
          <cell r="U101" t="str">
            <v xml:space="preserve"> </v>
          </cell>
          <cell r="V101" t="str">
            <v>STABLE</v>
          </cell>
          <cell r="X101" t="str">
            <v>A+</v>
          </cell>
          <cell r="Y101" t="str">
            <v>A1</v>
          </cell>
          <cell r="Z101" t="str">
            <v>A+</v>
          </cell>
          <cell r="AA101" t="str">
            <v>STABLE</v>
          </cell>
          <cell r="AB101" t="str">
            <v>STABLE</v>
          </cell>
          <cell r="AC101" t="str">
            <v>STABLE</v>
          </cell>
          <cell r="AD101">
            <v>1</v>
          </cell>
          <cell r="AE101">
            <v>1</v>
          </cell>
          <cell r="AF101">
            <v>1</v>
          </cell>
          <cell r="AG101">
            <v>0</v>
          </cell>
          <cell r="AH101">
            <v>1</v>
          </cell>
          <cell r="AI101">
            <v>0</v>
          </cell>
          <cell r="AJ101" t="str">
            <v/>
          </cell>
          <cell r="AK101">
            <v>126131610998.24998</v>
          </cell>
          <cell r="AL101" t="str">
            <v>USD</v>
          </cell>
          <cell r="AM101">
            <v>1</v>
          </cell>
          <cell r="AN101">
            <v>126.13161099824998</v>
          </cell>
          <cell r="AP101" t="str">
            <v/>
          </cell>
          <cell r="AQ101" t="str">
            <v/>
          </cell>
          <cell r="AR101" t="str">
            <v/>
          </cell>
          <cell r="AS101">
            <v>44230</v>
          </cell>
          <cell r="AT101" t="str">
            <v/>
          </cell>
          <cell r="AU101">
            <v>40399</v>
          </cell>
          <cell r="AV101">
            <v>142.66999999999999</v>
          </cell>
          <cell r="AW101">
            <v>142.55000000000001</v>
          </cell>
          <cell r="AX101">
            <v>8.4180989126614314E-2</v>
          </cell>
        </row>
        <row r="102">
          <cell r="F102" t="str">
            <v>Societe Generale SA</v>
          </cell>
          <cell r="G102" t="str">
            <v>法國興業銀行股份有限公司</v>
          </cell>
          <cell r="H102">
            <v>57.58</v>
          </cell>
          <cell r="I102">
            <v>3.4746350000000002E-2</v>
          </cell>
          <cell r="J102">
            <v>5.0729930000000003</v>
          </cell>
          <cell r="K102">
            <v>112.0029</v>
          </cell>
          <cell r="L102">
            <v>45.563609999999997</v>
          </cell>
          <cell r="M102">
            <v>4.2999999999999999E-4</v>
          </cell>
          <cell r="N102">
            <v>-0.40012999999999999</v>
          </cell>
          <cell r="O102">
            <v>-8.4896700000000003</v>
          </cell>
          <cell r="P102" t="str">
            <v>Y</v>
          </cell>
          <cell r="Q102" t="str">
            <v>A</v>
          </cell>
          <cell r="R102" t="str">
            <v>-</v>
          </cell>
          <cell r="S102" t="str">
            <v>A-</v>
          </cell>
          <cell r="T102" t="str">
            <v>STABLE</v>
          </cell>
          <cell r="U102" t="str">
            <v>STABLE</v>
          </cell>
          <cell r="V102" t="str">
            <v>STABLE</v>
          </cell>
          <cell r="X102" t="str">
            <v>A</v>
          </cell>
          <cell r="Y102" t="str">
            <v>-</v>
          </cell>
          <cell r="Z102" t="str">
            <v>A-</v>
          </cell>
          <cell r="AA102" t="str">
            <v>STABLE</v>
          </cell>
          <cell r="AB102" t="str">
            <v>NEG</v>
          </cell>
          <cell r="AC102" t="str">
            <v>STABLE</v>
          </cell>
          <cell r="AD102">
            <v>0</v>
          </cell>
          <cell r="AE102">
            <v>0</v>
          </cell>
          <cell r="AF102">
            <v>0</v>
          </cell>
          <cell r="AG102">
            <v>0</v>
          </cell>
          <cell r="AH102">
            <v>1</v>
          </cell>
          <cell r="AI102">
            <v>0</v>
          </cell>
          <cell r="AJ102" t="str">
            <v/>
          </cell>
          <cell r="AK102">
            <v>45210683228.659996</v>
          </cell>
          <cell r="AL102" t="str">
            <v>EUR</v>
          </cell>
          <cell r="AM102">
            <v>0.86060000000000003</v>
          </cell>
          <cell r="AN102">
            <v>52.533910328445266</v>
          </cell>
          <cell r="AP102" t="str">
            <v/>
          </cell>
          <cell r="AQ102" t="str">
            <v/>
          </cell>
          <cell r="AR102" t="str">
            <v/>
          </cell>
          <cell r="AS102">
            <v>40931</v>
          </cell>
          <cell r="AT102" t="str">
            <v/>
          </cell>
          <cell r="AU102">
            <v>43979</v>
          </cell>
          <cell r="AV102">
            <v>57.56</v>
          </cell>
          <cell r="AW102">
            <v>53.98</v>
          </cell>
          <cell r="AX102">
            <v>6.632085957762146</v>
          </cell>
        </row>
        <row r="103">
          <cell r="F103" t="str">
            <v>Credit Agricole SA</v>
          </cell>
          <cell r="G103" t="str">
            <v>法國農業信貸銀行</v>
          </cell>
          <cell r="H103">
            <v>17.045000000000002</v>
          </cell>
          <cell r="I103">
            <v>0.7387707</v>
          </cell>
          <cell r="J103">
            <v>6.1663030000000001</v>
          </cell>
          <cell r="K103">
            <v>28.25433</v>
          </cell>
          <cell r="L103">
            <v>37.989879999999999</v>
          </cell>
          <cell r="M103">
            <v>0</v>
          </cell>
          <cell r="N103">
            <v>-0.55037999999999998</v>
          </cell>
          <cell r="O103">
            <v>-6.5935100000000002</v>
          </cell>
          <cell r="P103" t="str">
            <v xml:space="preserve"> </v>
          </cell>
          <cell r="Q103" t="str">
            <v>A+</v>
          </cell>
          <cell r="R103" t="str">
            <v>A1</v>
          </cell>
          <cell r="S103" t="str">
            <v>A+</v>
          </cell>
          <cell r="T103" t="str">
            <v>STABLE</v>
          </cell>
          <cell r="U103" t="str">
            <v>STABLE</v>
          </cell>
          <cell r="V103" t="str">
            <v>STABLE</v>
          </cell>
          <cell r="X103" t="str">
            <v>A+</v>
          </cell>
          <cell r="Y103" t="str">
            <v>A1</v>
          </cell>
          <cell r="Z103" t="str">
            <v>A+</v>
          </cell>
          <cell r="AA103" t="str">
            <v>STABLE</v>
          </cell>
          <cell r="AB103" t="str">
            <v>STABLE</v>
          </cell>
          <cell r="AC103" t="str">
            <v>STABLE</v>
          </cell>
          <cell r="AD103">
            <v>0</v>
          </cell>
          <cell r="AE103">
            <v>0</v>
          </cell>
          <cell r="AF103">
            <v>0</v>
          </cell>
          <cell r="AG103">
            <v>0</v>
          </cell>
          <cell r="AH103">
            <v>0</v>
          </cell>
          <cell r="AI103">
            <v>0</v>
          </cell>
          <cell r="AJ103" t="str">
            <v/>
          </cell>
          <cell r="AK103">
            <v>51576505555.750008</v>
          </cell>
          <cell r="AL103" t="str">
            <v>EUR</v>
          </cell>
          <cell r="AM103">
            <v>0.86060000000000003</v>
          </cell>
          <cell r="AN103">
            <v>59.930868644840814</v>
          </cell>
          <cell r="AP103" t="str">
            <v/>
          </cell>
          <cell r="AQ103" t="str">
            <v/>
          </cell>
          <cell r="AR103" t="str">
            <v/>
          </cell>
          <cell r="AS103">
            <v>43392</v>
          </cell>
          <cell r="AT103">
            <v>45643</v>
          </cell>
          <cell r="AU103">
            <v>42878</v>
          </cell>
          <cell r="AV103">
            <v>16.920000000000002</v>
          </cell>
          <cell r="AW103">
            <v>15.92</v>
          </cell>
          <cell r="AX103">
            <v>6.281407035175901</v>
          </cell>
        </row>
        <row r="104">
          <cell r="F104" t="str">
            <v>Natixis SA</v>
          </cell>
          <cell r="G104" t="str">
            <v>法國外貿銀行股份有限公司</v>
          </cell>
          <cell r="H104" t="str">
            <v>-</v>
          </cell>
          <cell r="I104" t="str">
            <v>-</v>
          </cell>
          <cell r="J104" t="str">
            <v>-</v>
          </cell>
          <cell r="K104" t="str">
            <v>-</v>
          </cell>
          <cell r="L104">
            <v>45.397129999999997</v>
          </cell>
          <cell r="M104">
            <v>0</v>
          </cell>
          <cell r="N104">
            <v>-0.81062999999999996</v>
          </cell>
          <cell r="O104">
            <v>-8.4399800000000003</v>
          </cell>
          <cell r="P104" t="str">
            <v xml:space="preserve"> </v>
          </cell>
          <cell r="Q104" t="str">
            <v>A+</v>
          </cell>
          <cell r="R104" t="str">
            <v>A1</v>
          </cell>
          <cell r="S104" t="str">
            <v>A</v>
          </cell>
          <cell r="T104" t="str">
            <v>STABLE</v>
          </cell>
          <cell r="U104" t="str">
            <v>STABLE</v>
          </cell>
          <cell r="V104" t="str">
            <v>STABLE</v>
          </cell>
          <cell r="X104" t="str">
            <v>A+</v>
          </cell>
          <cell r="Y104" t="str">
            <v>A1</v>
          </cell>
          <cell r="Z104" t="str">
            <v>A</v>
          </cell>
          <cell r="AA104" t="str">
            <v>STABLE</v>
          </cell>
          <cell r="AB104" t="str">
            <v>STABLE</v>
          </cell>
          <cell r="AC104" t="str">
            <v>STABLE</v>
          </cell>
          <cell r="AD104">
            <v>0</v>
          </cell>
          <cell r="AE104">
            <v>0</v>
          </cell>
          <cell r="AF104">
            <v>0</v>
          </cell>
          <cell r="AG104">
            <v>0</v>
          </cell>
          <cell r="AH104">
            <v>0</v>
          </cell>
          <cell r="AI104">
            <v>0</v>
          </cell>
          <cell r="AJ104" t="str">
            <v/>
          </cell>
          <cell r="AK104" t="str">
            <v>#N/A N/A</v>
          </cell>
          <cell r="AL104" t="str">
            <v>EUR</v>
          </cell>
          <cell r="AM104">
            <v>0.86060000000000003</v>
          </cell>
          <cell r="AN104" t="e">
            <v>#VALUE!</v>
          </cell>
          <cell r="AP104" t="str">
            <v/>
          </cell>
          <cell r="AQ104" t="str">
            <v/>
          </cell>
          <cell r="AR104" t="str">
            <v/>
          </cell>
          <cell r="AS104">
            <v>45488</v>
          </cell>
          <cell r="AT104">
            <v>43280</v>
          </cell>
          <cell r="AU104">
            <v>45203</v>
          </cell>
          <cell r="AV104" t="str">
            <v>-</v>
          </cell>
          <cell r="AW104" t="str">
            <v>-</v>
          </cell>
          <cell r="AX104" t="str">
            <v>-</v>
          </cell>
        </row>
        <row r="105">
          <cell r="F105" t="str">
            <v>BPCE SA</v>
          </cell>
          <cell r="G105" t="str">
            <v>BPCE有限責任公司</v>
          </cell>
          <cell r="H105" t="str">
            <v>-</v>
          </cell>
          <cell r="I105" t="str">
            <v>-</v>
          </cell>
          <cell r="J105" t="str">
            <v>-</v>
          </cell>
          <cell r="K105" t="str">
            <v>-</v>
          </cell>
          <cell r="L105">
            <v>45.397129999999997</v>
          </cell>
          <cell r="M105">
            <v>0</v>
          </cell>
          <cell r="N105">
            <v>-0.81062999999999996</v>
          </cell>
          <cell r="O105">
            <v>-8.4399800000000003</v>
          </cell>
          <cell r="P105" t="str">
            <v>Y</v>
          </cell>
          <cell r="Q105" t="str">
            <v>A+</v>
          </cell>
          <cell r="R105" t="str">
            <v>-</v>
          </cell>
          <cell r="S105" t="str">
            <v>A</v>
          </cell>
          <cell r="T105" t="str">
            <v>STABLE</v>
          </cell>
          <cell r="U105" t="str">
            <v>STABLE</v>
          </cell>
          <cell r="V105" t="str">
            <v>STABLE</v>
          </cell>
          <cell r="X105" t="str">
            <v>A-</v>
          </cell>
          <cell r="Y105" t="str">
            <v>-</v>
          </cell>
          <cell r="Z105" t="str">
            <v>A+</v>
          </cell>
          <cell r="AA105" t="str">
            <v>STABLE</v>
          </cell>
          <cell r="AB105" t="str">
            <v>STABLE</v>
          </cell>
          <cell r="AC105" t="str">
            <v>STABLE</v>
          </cell>
          <cell r="AD105">
            <v>1</v>
          </cell>
          <cell r="AE105">
            <v>0</v>
          </cell>
          <cell r="AF105">
            <v>1</v>
          </cell>
          <cell r="AG105">
            <v>0</v>
          </cell>
          <cell r="AH105">
            <v>0</v>
          </cell>
          <cell r="AI105">
            <v>0</v>
          </cell>
          <cell r="AJ105" t="str">
            <v/>
          </cell>
          <cell r="AK105" t="str">
            <v>#N/A N/A</v>
          </cell>
          <cell r="AL105" t="str">
            <v>EUR</v>
          </cell>
          <cell r="AM105">
            <v>0.86060000000000003</v>
          </cell>
          <cell r="AN105" t="e">
            <v>#VALUE!</v>
          </cell>
          <cell r="AP105" t="str">
            <v/>
          </cell>
          <cell r="AQ105" t="str">
            <v/>
          </cell>
          <cell r="AR105" t="str">
            <v/>
          </cell>
          <cell r="AS105">
            <v>45488</v>
          </cell>
          <cell r="AT105" t="str">
            <v/>
          </cell>
          <cell r="AU105">
            <v>45203</v>
          </cell>
          <cell r="AV105" t="str">
            <v>-</v>
          </cell>
          <cell r="AW105" t="str">
            <v>-</v>
          </cell>
          <cell r="AX105" t="str">
            <v>-</v>
          </cell>
        </row>
        <row r="106">
          <cell r="F106" t="str">
            <v>HSBC Holdings PLC</v>
          </cell>
          <cell r="G106" t="str">
            <v>匯豐控股有限公司</v>
          </cell>
          <cell r="H106">
            <v>949.5</v>
          </cell>
          <cell r="I106">
            <v>1.085915</v>
          </cell>
          <cell r="J106">
            <v>2.7375029999999998</v>
          </cell>
          <cell r="K106">
            <v>20.909210000000002</v>
          </cell>
          <cell r="L106">
            <v>45.397129999999997</v>
          </cell>
          <cell r="M106">
            <v>0</v>
          </cell>
          <cell r="N106">
            <v>-0.81062999999999996</v>
          </cell>
          <cell r="O106">
            <v>-6.3006000000000002</v>
          </cell>
          <cell r="P106" t="str">
            <v xml:space="preserve"> </v>
          </cell>
          <cell r="Q106" t="str">
            <v>A-</v>
          </cell>
          <cell r="R106" t="str">
            <v>-</v>
          </cell>
          <cell r="S106" t="str">
            <v>A+</v>
          </cell>
          <cell r="T106" t="str">
            <v>STABLE</v>
          </cell>
          <cell r="U106" t="str">
            <v>STABLE</v>
          </cell>
          <cell r="V106" t="str">
            <v>STABLE</v>
          </cell>
          <cell r="X106" t="str">
            <v>A-</v>
          </cell>
          <cell r="Y106" t="str">
            <v>-</v>
          </cell>
          <cell r="Z106" t="str">
            <v>A+</v>
          </cell>
          <cell r="AA106" t="str">
            <v>STABLE</v>
          </cell>
          <cell r="AB106" t="str">
            <v>STABLE</v>
          </cell>
          <cell r="AC106" t="str">
            <v>STABLE</v>
          </cell>
          <cell r="AD106">
            <v>0</v>
          </cell>
          <cell r="AE106">
            <v>0</v>
          </cell>
          <cell r="AF106">
            <v>0</v>
          </cell>
          <cell r="AG106">
            <v>0</v>
          </cell>
          <cell r="AH106">
            <v>0</v>
          </cell>
          <cell r="AI106">
            <v>0</v>
          </cell>
          <cell r="AJ106" t="str">
            <v/>
          </cell>
          <cell r="AK106">
            <v>165071050984.35001</v>
          </cell>
          <cell r="AL106" t="str">
            <v>GBp</v>
          </cell>
          <cell r="AM106">
            <v>0.74450000000000005</v>
          </cell>
          <cell r="AN106">
            <v>221.72068634566821</v>
          </cell>
          <cell r="AP106" t="str">
            <v/>
          </cell>
          <cell r="AQ106" t="str">
            <v/>
          </cell>
          <cell r="AR106" t="str">
            <v/>
          </cell>
          <cell r="AS106">
            <v>43964</v>
          </cell>
          <cell r="AT106" t="str">
            <v/>
          </cell>
          <cell r="AU106">
            <v>43819</v>
          </cell>
          <cell r="AV106">
            <v>939.3</v>
          </cell>
          <cell r="AW106">
            <v>917.9</v>
          </cell>
          <cell r="AX106">
            <v>2.331408650179756</v>
          </cell>
        </row>
        <row r="107">
          <cell r="F107" t="str">
            <v>Standard Chartered PLC</v>
          </cell>
          <cell r="G107" t="str">
            <v>渣打集團有限公司</v>
          </cell>
          <cell r="H107">
            <v>1395</v>
          </cell>
          <cell r="I107">
            <v>0.54054049999999998</v>
          </cell>
          <cell r="J107">
            <v>1.9364269999999999</v>
          </cell>
          <cell r="K107">
            <v>41.108640000000001</v>
          </cell>
          <cell r="L107">
            <v>53.132980000000003</v>
          </cell>
          <cell r="M107">
            <v>0</v>
          </cell>
          <cell r="N107">
            <v>-1.1157900000000001</v>
          </cell>
          <cell r="O107">
            <v>-7.5985100000000001</v>
          </cell>
          <cell r="P107" t="str">
            <v xml:space="preserve"> </v>
          </cell>
          <cell r="Q107" t="str">
            <v>BBB+</v>
          </cell>
          <cell r="R107" t="str">
            <v>-</v>
          </cell>
          <cell r="S107" t="str">
            <v>A</v>
          </cell>
          <cell r="T107" t="str">
            <v>STABLE</v>
          </cell>
          <cell r="U107" t="str">
            <v>POS</v>
          </cell>
          <cell r="V107" t="str">
            <v>STABLE</v>
          </cell>
          <cell r="X107" t="str">
            <v>BBB+</v>
          </cell>
          <cell r="Y107" t="str">
            <v>-</v>
          </cell>
          <cell r="Z107" t="str">
            <v>A</v>
          </cell>
          <cell r="AA107" t="str">
            <v>STABLE</v>
          </cell>
          <cell r="AB107" t="str">
            <v>POS</v>
          </cell>
          <cell r="AC107" t="str">
            <v>STABLE</v>
          </cell>
          <cell r="AD107">
            <v>0</v>
          </cell>
          <cell r="AE107">
            <v>0</v>
          </cell>
          <cell r="AF107">
            <v>0</v>
          </cell>
          <cell r="AG107">
            <v>0</v>
          </cell>
          <cell r="AH107">
            <v>0</v>
          </cell>
          <cell r="AI107">
            <v>0</v>
          </cell>
          <cell r="AJ107" t="str">
            <v/>
          </cell>
          <cell r="AK107">
            <v>32263200034.200001</v>
          </cell>
          <cell r="AL107" t="str">
            <v>GBp</v>
          </cell>
          <cell r="AM107">
            <v>0.74450000000000005</v>
          </cell>
          <cell r="AN107">
            <v>43.335392927065136</v>
          </cell>
          <cell r="AP107" t="str">
            <v/>
          </cell>
          <cell r="AQ107" t="str">
            <v/>
          </cell>
          <cell r="AR107" t="str">
            <v/>
          </cell>
          <cell r="AS107">
            <v>42460</v>
          </cell>
          <cell r="AT107" t="str">
            <v/>
          </cell>
          <cell r="AU107">
            <v>43363</v>
          </cell>
          <cell r="AV107">
            <v>1387.5</v>
          </cell>
          <cell r="AW107">
            <v>1355</v>
          </cell>
          <cell r="AX107">
            <v>2.3985239852398532</v>
          </cell>
        </row>
        <row r="108">
          <cell r="F108" t="str">
            <v>Barclays PLC</v>
          </cell>
          <cell r="G108" t="str">
            <v>巴克萊集團</v>
          </cell>
          <cell r="H108">
            <v>371</v>
          </cell>
          <cell r="I108">
            <v>0.82891700000000001</v>
          </cell>
          <cell r="J108">
            <v>2.358946</v>
          </cell>
          <cell r="K108">
            <v>38.355400000000003</v>
          </cell>
          <cell r="L108">
            <v>60.056249999999999</v>
          </cell>
          <cell r="M108">
            <v>0</v>
          </cell>
          <cell r="N108">
            <v>-1.45339</v>
          </cell>
          <cell r="O108">
            <v>-4.9120600000000003</v>
          </cell>
          <cell r="P108" t="str">
            <v xml:space="preserve"> </v>
          </cell>
          <cell r="Q108" t="str">
            <v>BBB+</v>
          </cell>
          <cell r="R108" t="str">
            <v>Baa1</v>
          </cell>
          <cell r="S108" t="str">
            <v>A</v>
          </cell>
          <cell r="T108" t="str">
            <v>STABLE</v>
          </cell>
          <cell r="U108" t="str">
            <v>STABLE</v>
          </cell>
          <cell r="V108" t="str">
            <v>STABLE</v>
          </cell>
          <cell r="X108" t="str">
            <v>BBB+</v>
          </cell>
          <cell r="Y108" t="str">
            <v>Baa1</v>
          </cell>
          <cell r="Z108" t="str">
            <v>A</v>
          </cell>
          <cell r="AA108" t="str">
            <v>STABLE</v>
          </cell>
          <cell r="AB108" t="str">
            <v>STABLE</v>
          </cell>
          <cell r="AC108" t="str">
            <v>STABLE</v>
          </cell>
          <cell r="AD108">
            <v>0</v>
          </cell>
          <cell r="AE108">
            <v>0</v>
          </cell>
          <cell r="AF108">
            <v>0</v>
          </cell>
          <cell r="AG108">
            <v>0</v>
          </cell>
          <cell r="AH108">
            <v>0</v>
          </cell>
          <cell r="AI108">
            <v>0</v>
          </cell>
          <cell r="AJ108" t="str">
            <v/>
          </cell>
          <cell r="AK108">
            <v>52305730783.459999</v>
          </cell>
          <cell r="AL108" t="str">
            <v>GBp</v>
          </cell>
          <cell r="AM108">
            <v>0.74450000000000005</v>
          </cell>
          <cell r="AN108">
            <v>70.256186411631958</v>
          </cell>
          <cell r="AP108" t="str">
            <v/>
          </cell>
          <cell r="AQ108" t="str">
            <v/>
          </cell>
          <cell r="AR108" t="str">
            <v/>
          </cell>
          <cell r="AS108">
            <v>45065</v>
          </cell>
          <cell r="AT108">
            <v>44995</v>
          </cell>
          <cell r="AU108">
            <v>44116</v>
          </cell>
          <cell r="AV108">
            <v>367.95</v>
          </cell>
          <cell r="AW108">
            <v>356.65</v>
          </cell>
          <cell r="AX108">
            <v>3.1683723538483033</v>
          </cell>
        </row>
        <row r="109">
          <cell r="F109" t="str">
            <v>NatWest Group PLC</v>
          </cell>
          <cell r="G109" t="str">
            <v>國民西敏集團公開有限公司</v>
          </cell>
          <cell r="H109">
            <v>533</v>
          </cell>
          <cell r="I109">
            <v>1.951033</v>
          </cell>
          <cell r="J109">
            <v>0.98522169999999998</v>
          </cell>
          <cell r="K109">
            <v>32.554090000000002</v>
          </cell>
          <cell r="L109">
            <v>45.397129999999997</v>
          </cell>
          <cell r="M109">
            <v>0</v>
          </cell>
          <cell r="N109">
            <v>-0.81062999999999996</v>
          </cell>
          <cell r="O109">
            <v>-11.829650000000001</v>
          </cell>
          <cell r="P109" t="str">
            <v xml:space="preserve"> </v>
          </cell>
          <cell r="Q109" t="str">
            <v>BBB+</v>
          </cell>
          <cell r="R109" t="str">
            <v>-</v>
          </cell>
          <cell r="S109" t="str">
            <v>A+</v>
          </cell>
          <cell r="T109" t="str">
            <v>STABLE</v>
          </cell>
          <cell r="U109" t="str">
            <v>STABLE</v>
          </cell>
          <cell r="V109" t="str">
            <v>STABLE</v>
          </cell>
          <cell r="X109" t="str">
            <v>BBB+</v>
          </cell>
          <cell r="Y109" t="str">
            <v>-</v>
          </cell>
          <cell r="Z109" t="str">
            <v>A+</v>
          </cell>
          <cell r="AA109" t="str">
            <v>STABLE</v>
          </cell>
          <cell r="AB109" t="str">
            <v>STABLE</v>
          </cell>
          <cell r="AC109" t="str">
            <v>STABLE</v>
          </cell>
          <cell r="AD109">
            <v>0</v>
          </cell>
          <cell r="AE109">
            <v>0</v>
          </cell>
          <cell r="AF109">
            <v>0</v>
          </cell>
          <cell r="AG109">
            <v>0</v>
          </cell>
          <cell r="AH109">
            <v>0</v>
          </cell>
          <cell r="AI109">
            <v>0</v>
          </cell>
          <cell r="AJ109" t="str">
            <v/>
          </cell>
          <cell r="AK109">
            <v>43097148785.98999</v>
          </cell>
          <cell r="AL109" t="str">
            <v>GBp</v>
          </cell>
          <cell r="AM109">
            <v>0.74450000000000005</v>
          </cell>
          <cell r="AN109">
            <v>57.887372445923425</v>
          </cell>
          <cell r="AP109" t="str">
            <v/>
          </cell>
          <cell r="AQ109" t="str">
            <v/>
          </cell>
          <cell r="AR109" t="str">
            <v/>
          </cell>
          <cell r="AS109">
            <v>45028</v>
          </cell>
          <cell r="AT109" t="str">
            <v/>
          </cell>
          <cell r="AU109">
            <v>45833</v>
          </cell>
          <cell r="AV109">
            <v>522.79999999999995</v>
          </cell>
          <cell r="AW109">
            <v>511.6</v>
          </cell>
          <cell r="AX109">
            <v>2.1892103205629176</v>
          </cell>
        </row>
        <row r="110">
          <cell r="F110" t="str">
            <v>Lloyds Banking Group PLC</v>
          </cell>
          <cell r="G110" t="str">
            <v>勞埃德銀行集團</v>
          </cell>
          <cell r="H110">
            <v>82.44</v>
          </cell>
          <cell r="I110">
            <v>1.8532249999999999</v>
          </cell>
          <cell r="J110">
            <v>-0.1453488</v>
          </cell>
          <cell r="K110">
            <v>50.49288</v>
          </cell>
          <cell r="L110">
            <v>45.397129999999997</v>
          </cell>
          <cell r="M110">
            <v>0</v>
          </cell>
          <cell r="N110">
            <v>-0.81062999999999996</v>
          </cell>
          <cell r="O110">
            <v>-14.04039</v>
          </cell>
          <cell r="P110" t="str">
            <v xml:space="preserve"> </v>
          </cell>
          <cell r="Q110" t="str">
            <v>BBB+</v>
          </cell>
          <cell r="R110" t="str">
            <v>-</v>
          </cell>
          <cell r="S110" t="str">
            <v>A+</v>
          </cell>
          <cell r="T110" t="str">
            <v>STABLE</v>
          </cell>
          <cell r="U110" t="str">
            <v>STABLE</v>
          </cell>
          <cell r="V110" t="str">
            <v>STABLE</v>
          </cell>
          <cell r="X110" t="str">
            <v>BBB+</v>
          </cell>
          <cell r="Y110" t="str">
            <v>-</v>
          </cell>
          <cell r="Z110" t="str">
            <v>A+</v>
          </cell>
          <cell r="AA110" t="str">
            <v>STABLE</v>
          </cell>
          <cell r="AB110" t="str">
            <v>STABLE</v>
          </cell>
          <cell r="AC110" t="str">
            <v>STABLE</v>
          </cell>
          <cell r="AD110">
            <v>0</v>
          </cell>
          <cell r="AE110">
            <v>0</v>
          </cell>
          <cell r="AF110">
            <v>0</v>
          </cell>
          <cell r="AG110">
            <v>0</v>
          </cell>
          <cell r="AH110">
            <v>0</v>
          </cell>
          <cell r="AI110">
            <v>0</v>
          </cell>
          <cell r="AJ110" t="str">
            <v/>
          </cell>
          <cell r="AK110">
            <v>49271540387.198402</v>
          </cell>
          <cell r="AL110" t="str">
            <v>GBp</v>
          </cell>
          <cell r="AM110">
            <v>0.74450000000000005</v>
          </cell>
          <cell r="AN110">
            <v>66.180712407251036</v>
          </cell>
          <cell r="AP110" t="str">
            <v/>
          </cell>
          <cell r="AQ110" t="str">
            <v/>
          </cell>
          <cell r="AR110" t="str">
            <v/>
          </cell>
          <cell r="AS110">
            <v>42164</v>
          </cell>
          <cell r="AT110" t="str">
            <v/>
          </cell>
          <cell r="AU110">
            <v>45617</v>
          </cell>
          <cell r="AV110">
            <v>80.94</v>
          </cell>
          <cell r="AW110">
            <v>75.739999999999995</v>
          </cell>
          <cell r="AX110">
            <v>6.8655928175336722</v>
          </cell>
        </row>
        <row r="111">
          <cell r="F111" t="str">
            <v>Nordea Bank Abp</v>
          </cell>
          <cell r="G111" t="str">
            <v>北歐聯合銀行股份公司</v>
          </cell>
          <cell r="H111">
            <v>13.14</v>
          </cell>
          <cell r="I111">
            <v>-0.1140251</v>
          </cell>
          <cell r="J111">
            <v>2.4162119999999998</v>
          </cell>
          <cell r="K111">
            <v>25.142859999999999</v>
          </cell>
          <cell r="L111">
            <v>45.397129999999997</v>
          </cell>
          <cell r="M111">
            <v>0</v>
          </cell>
          <cell r="N111">
            <v>-0.81062999999999996</v>
          </cell>
          <cell r="O111">
            <v>-8.4399800000000003</v>
          </cell>
          <cell r="P111" t="str">
            <v>Y</v>
          </cell>
          <cell r="Q111" t="str">
            <v>AA-</v>
          </cell>
          <cell r="R111" t="str">
            <v>-</v>
          </cell>
          <cell r="S111" t="str">
            <v>AA-</v>
          </cell>
          <cell r="T111" t="str">
            <v>STABLE</v>
          </cell>
          <cell r="U111" t="str">
            <v>POS</v>
          </cell>
          <cell r="V111" t="str">
            <v>STABLE</v>
          </cell>
          <cell r="X111" t="str">
            <v>BBB+</v>
          </cell>
          <cell r="Y111" t="str">
            <v>-</v>
          </cell>
          <cell r="Z111" t="str">
            <v>A+</v>
          </cell>
          <cell r="AA111" t="str">
            <v>STABLE</v>
          </cell>
          <cell r="AB111" t="str">
            <v>STABLE</v>
          </cell>
          <cell r="AC111" t="str">
            <v>STABLE</v>
          </cell>
          <cell r="AD111">
            <v>1</v>
          </cell>
          <cell r="AE111">
            <v>0</v>
          </cell>
          <cell r="AF111">
            <v>1</v>
          </cell>
          <cell r="AG111">
            <v>0</v>
          </cell>
          <cell r="AH111">
            <v>1</v>
          </cell>
          <cell r="AI111">
            <v>0</v>
          </cell>
          <cell r="AJ111" t="str">
            <v/>
          </cell>
          <cell r="AK111">
            <v>45518169300.480003</v>
          </cell>
          <cell r="AL111" t="str">
            <v>EUR</v>
          </cell>
          <cell r="AM111">
            <v>0.86060000000000003</v>
          </cell>
          <cell r="AN111">
            <v>52.891202998466184</v>
          </cell>
          <cell r="AP111" t="str">
            <v/>
          </cell>
          <cell r="AQ111" t="str">
            <v/>
          </cell>
          <cell r="AR111" t="str">
            <v/>
          </cell>
          <cell r="AS111">
            <v>43374</v>
          </cell>
          <cell r="AT111" t="str">
            <v/>
          </cell>
          <cell r="AU111">
            <v>44092</v>
          </cell>
          <cell r="AV111">
            <v>13.154999999999999</v>
          </cell>
          <cell r="AW111">
            <v>12.63</v>
          </cell>
          <cell r="AX111">
            <v>4.1567695961995055</v>
          </cell>
        </row>
        <row r="112">
          <cell r="F112" t="str">
            <v>DNB Bank ASA</v>
          </cell>
          <cell r="G112" t="str">
            <v>DNB銀行公司</v>
          </cell>
          <cell r="H112">
            <v>266.39999999999998</v>
          </cell>
          <cell r="I112">
            <v>0.26345499999999999</v>
          </cell>
          <cell r="J112">
            <v>0.98559509999999995</v>
          </cell>
          <cell r="K112">
            <v>17.408550000000002</v>
          </cell>
          <cell r="L112">
            <v>45.397129999999997</v>
          </cell>
          <cell r="M112">
            <v>0</v>
          </cell>
          <cell r="N112">
            <v>-0.81062999999999996</v>
          </cell>
          <cell r="O112">
            <v>-8.4399800000000003</v>
          </cell>
          <cell r="P112" t="str">
            <v>Y</v>
          </cell>
          <cell r="Q112" t="str">
            <v>AA-</v>
          </cell>
          <cell r="R112" t="str">
            <v>-</v>
          </cell>
          <cell r="S112" t="str">
            <v>WD</v>
          </cell>
          <cell r="T112" t="str">
            <v>STABLE</v>
          </cell>
          <cell r="U112" t="str">
            <v>STABLE</v>
          </cell>
          <cell r="V112" t="str">
            <v xml:space="preserve"> </v>
          </cell>
          <cell r="X112" t="str">
            <v>BBB+</v>
          </cell>
          <cell r="Y112" t="str">
            <v>-</v>
          </cell>
          <cell r="Z112" t="str">
            <v>A+</v>
          </cell>
          <cell r="AA112" t="str">
            <v>STABLE</v>
          </cell>
          <cell r="AB112" t="str">
            <v>STABLE</v>
          </cell>
          <cell r="AC112" t="str">
            <v>STABLE</v>
          </cell>
          <cell r="AD112">
            <v>1</v>
          </cell>
          <cell r="AE112">
            <v>0</v>
          </cell>
          <cell r="AF112">
            <v>1</v>
          </cell>
          <cell r="AG112">
            <v>0</v>
          </cell>
          <cell r="AH112">
            <v>0</v>
          </cell>
          <cell r="AI112">
            <v>1</v>
          </cell>
          <cell r="AJ112" t="str">
            <v/>
          </cell>
          <cell r="AK112">
            <v>393633968003.99994</v>
          </cell>
          <cell r="AL112" t="str">
            <v>NOK</v>
          </cell>
          <cell r="AM112">
            <v>10.225199999999999</v>
          </cell>
          <cell r="AN112">
            <v>38.496456597817151</v>
          </cell>
          <cell r="AP112" t="str">
            <v/>
          </cell>
          <cell r="AQ112" t="str">
            <v/>
          </cell>
          <cell r="AR112" t="str">
            <v/>
          </cell>
          <cell r="AS112">
            <v>43487</v>
          </cell>
          <cell r="AT112" t="str">
            <v/>
          </cell>
          <cell r="AU112">
            <v>41656</v>
          </cell>
          <cell r="AV112">
            <v>265.7</v>
          </cell>
          <cell r="AW112">
            <v>257.7</v>
          </cell>
          <cell r="AX112">
            <v>3.1043849437330184</v>
          </cell>
        </row>
        <row r="113">
          <cell r="F113" t="str">
            <v>Deutsche Bank AG</v>
          </cell>
          <cell r="G113" t="str">
            <v>德意志銀行</v>
          </cell>
          <cell r="H113">
            <v>31.145</v>
          </cell>
          <cell r="I113">
            <v>8.033419E-2</v>
          </cell>
          <cell r="J113">
            <v>6.8989190000000002</v>
          </cell>
          <cell r="K113">
            <v>87.169479999999993</v>
          </cell>
          <cell r="L113">
            <v>51.527630000000002</v>
          </cell>
          <cell r="M113">
            <v>1.47E-3</v>
          </cell>
          <cell r="N113">
            <v>-0.84719</v>
          </cell>
          <cell r="O113">
            <v>-10.11913</v>
          </cell>
          <cell r="P113" t="str">
            <v xml:space="preserve"> </v>
          </cell>
          <cell r="Q113" t="str">
            <v>A</v>
          </cell>
          <cell r="R113" t="str">
            <v>A1</v>
          </cell>
          <cell r="S113" t="str">
            <v>A-</v>
          </cell>
          <cell r="T113" t="str">
            <v>STABLE</v>
          </cell>
          <cell r="U113" t="str">
            <v>STABLE</v>
          </cell>
          <cell r="V113" t="str">
            <v>STABLE</v>
          </cell>
          <cell r="X113" t="str">
            <v>A</v>
          </cell>
          <cell r="Y113" t="str">
            <v>A1</v>
          </cell>
          <cell r="Z113" t="str">
            <v>A-</v>
          </cell>
          <cell r="AA113" t="str">
            <v>STABLE</v>
          </cell>
          <cell r="AB113" t="str">
            <v>STABLE</v>
          </cell>
          <cell r="AC113" t="str">
            <v>STABLE</v>
          </cell>
          <cell r="AD113">
            <v>0</v>
          </cell>
          <cell r="AE113">
            <v>0</v>
          </cell>
          <cell r="AF113">
            <v>0</v>
          </cell>
          <cell r="AG113">
            <v>0</v>
          </cell>
          <cell r="AH113">
            <v>0</v>
          </cell>
          <cell r="AI113">
            <v>0</v>
          </cell>
          <cell r="AJ113" t="str">
            <v/>
          </cell>
          <cell r="AK113">
            <v>60678336103.324997</v>
          </cell>
          <cell r="AL113" t="str">
            <v>EUR</v>
          </cell>
          <cell r="AM113">
            <v>0.86060000000000003</v>
          </cell>
          <cell r="AN113">
            <v>70.507013831425752</v>
          </cell>
          <cell r="AP113" t="str">
            <v/>
          </cell>
          <cell r="AQ113" t="str">
            <v/>
          </cell>
          <cell r="AR113" t="str">
            <v/>
          </cell>
          <cell r="AS113">
            <v>45268</v>
          </cell>
          <cell r="AT113">
            <v>44846</v>
          </cell>
          <cell r="AU113">
            <v>45110</v>
          </cell>
          <cell r="AV113">
            <v>31.12</v>
          </cell>
          <cell r="AW113">
            <v>28.13</v>
          </cell>
          <cell r="AX113">
            <v>10.62922147173837</v>
          </cell>
        </row>
        <row r="114">
          <cell r="F114" t="str">
            <v>Commerzbank AG</v>
          </cell>
          <cell r="G114" t="str">
            <v>德國商業銀行</v>
          </cell>
          <cell r="H114">
            <v>35.75</v>
          </cell>
          <cell r="I114">
            <v>3.5331600000000001</v>
          </cell>
          <cell r="J114">
            <v>7.5187970000000002</v>
          </cell>
          <cell r="K114">
            <v>127.345</v>
          </cell>
          <cell r="L114">
            <v>41.518300000000004</v>
          </cell>
          <cell r="M114">
            <v>0</v>
          </cell>
          <cell r="N114">
            <v>-1.5624499999999999</v>
          </cell>
          <cell r="O114">
            <v>-11.448700000000001</v>
          </cell>
          <cell r="P114" t="str">
            <v xml:space="preserve"> </v>
          </cell>
          <cell r="Q114" t="str">
            <v>A</v>
          </cell>
          <cell r="R114" t="str">
            <v>A1</v>
          </cell>
          <cell r="S114" t="str">
            <v>WD</v>
          </cell>
          <cell r="T114" t="str">
            <v>STABLE</v>
          </cell>
          <cell r="U114" t="str">
            <v>STABLE</v>
          </cell>
          <cell r="V114" t="str">
            <v xml:space="preserve"> </v>
          </cell>
          <cell r="X114" t="str">
            <v>A</v>
          </cell>
          <cell r="Y114" t="str">
            <v>A1</v>
          </cell>
          <cell r="Z114" t="str">
            <v>WD</v>
          </cell>
          <cell r="AA114" t="str">
            <v>STABLE</v>
          </cell>
          <cell r="AB114" t="str">
            <v>STABLE</v>
          </cell>
          <cell r="AC114" t="str">
            <v xml:space="preserve"> </v>
          </cell>
          <cell r="AD114">
            <v>0</v>
          </cell>
          <cell r="AE114">
            <v>0</v>
          </cell>
          <cell r="AF114">
            <v>0</v>
          </cell>
          <cell r="AG114">
            <v>0</v>
          </cell>
          <cell r="AH114">
            <v>0</v>
          </cell>
          <cell r="AI114">
            <v>0</v>
          </cell>
          <cell r="AJ114" t="str">
            <v/>
          </cell>
          <cell r="AK114">
            <v>40307988971.25</v>
          </cell>
          <cell r="AL114" t="str">
            <v>EUR</v>
          </cell>
          <cell r="AM114">
            <v>0.86060000000000003</v>
          </cell>
          <cell r="AN114">
            <v>46.837077586858001</v>
          </cell>
          <cell r="AP114" t="str">
            <v/>
          </cell>
          <cell r="AQ114" t="str">
            <v/>
          </cell>
          <cell r="AR114" t="str">
            <v/>
          </cell>
          <cell r="AS114">
            <v>45511</v>
          </cell>
          <cell r="AT114">
            <v>45841</v>
          </cell>
          <cell r="AU114">
            <v>44259</v>
          </cell>
          <cell r="AV114">
            <v>34.53</v>
          </cell>
          <cell r="AW114">
            <v>31.75</v>
          </cell>
          <cell r="AX114">
            <v>8.7559055118110241</v>
          </cell>
        </row>
        <row r="115">
          <cell r="F115" t="str">
            <v>ING Groep NV</v>
          </cell>
          <cell r="G115" t="str">
            <v>荷蘭國際集團</v>
          </cell>
          <cell r="H115">
            <v>20.76</v>
          </cell>
          <cell r="I115">
            <v>1.2189179999999999</v>
          </cell>
          <cell r="J115">
            <v>6.5161619999999996</v>
          </cell>
          <cell r="K115">
            <v>38.668529999999997</v>
          </cell>
          <cell r="L115">
            <v>45.397129999999997</v>
          </cell>
          <cell r="M115">
            <v>0</v>
          </cell>
          <cell r="N115">
            <v>-0.81062999999999996</v>
          </cell>
          <cell r="O115">
            <v>-4.42692</v>
          </cell>
          <cell r="P115" t="str">
            <v xml:space="preserve"> </v>
          </cell>
          <cell r="Q115" t="str">
            <v>A-</v>
          </cell>
          <cell r="R115" t="str">
            <v>-</v>
          </cell>
          <cell r="S115" t="str">
            <v>A+</v>
          </cell>
          <cell r="T115" t="str">
            <v>STABLE</v>
          </cell>
          <cell r="U115" t="str">
            <v>STABLE</v>
          </cell>
          <cell r="V115" t="str">
            <v>STABLE</v>
          </cell>
          <cell r="X115" t="str">
            <v>A-</v>
          </cell>
          <cell r="Y115" t="str">
            <v>-</v>
          </cell>
          <cell r="Z115" t="str">
            <v>A+</v>
          </cell>
          <cell r="AA115" t="str">
            <v>STABLE</v>
          </cell>
          <cell r="AB115" t="str">
            <v>STABLE</v>
          </cell>
          <cell r="AC115" t="str">
            <v>STABLE</v>
          </cell>
          <cell r="AD115">
            <v>0</v>
          </cell>
          <cell r="AE115">
            <v>0</v>
          </cell>
          <cell r="AF115">
            <v>0</v>
          </cell>
          <cell r="AG115">
            <v>0</v>
          </cell>
          <cell r="AH115">
            <v>0</v>
          </cell>
          <cell r="AI115">
            <v>0</v>
          </cell>
          <cell r="AJ115" t="str">
            <v/>
          </cell>
          <cell r="AK115">
            <v>62727229939.680008</v>
          </cell>
          <cell r="AL115" t="str">
            <v>EUR</v>
          </cell>
          <cell r="AM115">
            <v>0.86060000000000003</v>
          </cell>
          <cell r="AN115">
            <v>72.887787519962828</v>
          </cell>
          <cell r="AP115" t="str">
            <v/>
          </cell>
          <cell r="AQ115" t="str">
            <v/>
          </cell>
          <cell r="AR115" t="str">
            <v/>
          </cell>
          <cell r="AS115">
            <v>41610</v>
          </cell>
          <cell r="AT115" t="str">
            <v/>
          </cell>
          <cell r="AU115">
            <v>44089</v>
          </cell>
          <cell r="AV115">
            <v>20.51</v>
          </cell>
          <cell r="AW115">
            <v>19.574000000000002</v>
          </cell>
          <cell r="AX115">
            <v>4.7818534791049361</v>
          </cell>
        </row>
        <row r="116">
          <cell r="F116" t="str">
            <v>ABN AMRO Bank NV</v>
          </cell>
          <cell r="G116" t="str">
            <v>荷蘭銀行公眾有限公司</v>
          </cell>
          <cell r="H116">
            <v>26.03</v>
          </cell>
          <cell r="I116">
            <v>1.0873790000000001</v>
          </cell>
          <cell r="J116">
            <v>3.9536739999999999</v>
          </cell>
          <cell r="K116">
            <v>74.815309999999997</v>
          </cell>
          <cell r="L116">
            <v>45.397129999999997</v>
          </cell>
          <cell r="M116">
            <v>0</v>
          </cell>
          <cell r="N116">
            <v>-0.81062999999999996</v>
          </cell>
          <cell r="O116">
            <v>-8.4399800000000003</v>
          </cell>
          <cell r="P116" t="str">
            <v xml:space="preserve"> </v>
          </cell>
          <cell r="Q116" t="str">
            <v>A</v>
          </cell>
          <cell r="R116" t="str">
            <v>Aa3</v>
          </cell>
          <cell r="S116" t="str">
            <v>A</v>
          </cell>
          <cell r="T116" t="str">
            <v>STABLE</v>
          </cell>
          <cell r="U116" t="str">
            <v>STABLE</v>
          </cell>
          <cell r="V116" t="str">
            <v>STABLE</v>
          </cell>
          <cell r="X116" t="str">
            <v>A</v>
          </cell>
          <cell r="Y116" t="str">
            <v>Aa3</v>
          </cell>
          <cell r="Z116" t="str">
            <v>A</v>
          </cell>
          <cell r="AA116" t="str">
            <v>STABLE</v>
          </cell>
          <cell r="AB116" t="str">
            <v>STABLE</v>
          </cell>
          <cell r="AC116" t="str">
            <v>STABLE</v>
          </cell>
          <cell r="AD116">
            <v>0</v>
          </cell>
          <cell r="AE116">
            <v>0</v>
          </cell>
          <cell r="AF116">
            <v>0</v>
          </cell>
          <cell r="AG116">
            <v>0</v>
          </cell>
          <cell r="AH116">
            <v>0</v>
          </cell>
          <cell r="AI116">
            <v>0</v>
          </cell>
          <cell r="AJ116" t="str">
            <v/>
          </cell>
          <cell r="AK116">
            <v>21684254172.980007</v>
          </cell>
          <cell r="AL116" t="str">
            <v>EUR</v>
          </cell>
          <cell r="AM116">
            <v>0.86060000000000003</v>
          </cell>
          <cell r="AN116">
            <v>25.196669966279348</v>
          </cell>
          <cell r="AP116" t="str">
            <v/>
          </cell>
          <cell r="AQ116" t="str">
            <v/>
          </cell>
          <cell r="AR116" t="str">
            <v/>
          </cell>
          <cell r="AS116">
            <v>41229</v>
          </cell>
          <cell r="AT116">
            <v>45259</v>
          </cell>
          <cell r="AU116">
            <v>44089</v>
          </cell>
          <cell r="AV116">
            <v>25.75</v>
          </cell>
          <cell r="AW116">
            <v>24.65</v>
          </cell>
          <cell r="AX116">
            <v>4.4624746450304231</v>
          </cell>
        </row>
        <row r="117">
          <cell r="F117" t="str">
            <v>Cooperatieve Rabobank UA</v>
          </cell>
          <cell r="G117" t="str">
            <v>荷蘭合作銀行</v>
          </cell>
          <cell r="H117" t="str">
            <v>-</v>
          </cell>
          <cell r="I117" t="str">
            <v>-</v>
          </cell>
          <cell r="J117" t="str">
            <v>-</v>
          </cell>
          <cell r="K117" t="str">
            <v>-</v>
          </cell>
          <cell r="L117">
            <v>45.397129999999997</v>
          </cell>
          <cell r="M117">
            <v>0</v>
          </cell>
          <cell r="N117">
            <v>-0.81062999999999996</v>
          </cell>
          <cell r="O117">
            <v>17.97756</v>
          </cell>
          <cell r="P117" t="str">
            <v xml:space="preserve"> </v>
          </cell>
          <cell r="Q117" t="str">
            <v>A+</v>
          </cell>
          <cell r="R117" t="str">
            <v>Aa2</v>
          </cell>
          <cell r="S117" t="str">
            <v>A+</v>
          </cell>
          <cell r="T117" t="str">
            <v>STABLE</v>
          </cell>
          <cell r="U117" t="str">
            <v>STABLE</v>
          </cell>
          <cell r="V117" t="str">
            <v>STABLE</v>
          </cell>
          <cell r="X117" t="str">
            <v>A+</v>
          </cell>
          <cell r="Y117" t="str">
            <v>Aa2</v>
          </cell>
          <cell r="Z117" t="str">
            <v>A+</v>
          </cell>
          <cell r="AA117" t="str">
            <v>STABLE</v>
          </cell>
          <cell r="AB117" t="str">
            <v>STABLE</v>
          </cell>
          <cell r="AC117" t="str">
            <v>STABLE</v>
          </cell>
          <cell r="AD117">
            <v>0</v>
          </cell>
          <cell r="AE117">
            <v>0</v>
          </cell>
          <cell r="AF117">
            <v>0</v>
          </cell>
          <cell r="AG117">
            <v>0</v>
          </cell>
          <cell r="AH117">
            <v>0</v>
          </cell>
          <cell r="AI117">
            <v>0</v>
          </cell>
          <cell r="AJ117" t="str">
            <v/>
          </cell>
          <cell r="AK117" t="str">
            <v>#N/A N/A</v>
          </cell>
          <cell r="AL117" t="str">
            <v>EUR</v>
          </cell>
          <cell r="AM117">
            <v>0.86060000000000003</v>
          </cell>
          <cell r="AN117" t="e">
            <v>#VALUE!</v>
          </cell>
          <cell r="AP117" t="str">
            <v/>
          </cell>
          <cell r="AQ117" t="str">
            <v/>
          </cell>
          <cell r="AR117" t="str">
            <v/>
          </cell>
          <cell r="AS117">
            <v>41947</v>
          </cell>
          <cell r="AT117">
            <v>44390</v>
          </cell>
          <cell r="AU117">
            <v>44089</v>
          </cell>
          <cell r="AV117" t="str">
            <v>-</v>
          </cell>
          <cell r="AW117" t="str">
            <v>-</v>
          </cell>
          <cell r="AX117" t="str">
            <v>-</v>
          </cell>
        </row>
        <row r="118">
          <cell r="F118" t="str">
            <v>UBS Group AG</v>
          </cell>
          <cell r="G118" t="str">
            <v>瑞銀集團公司</v>
          </cell>
          <cell r="H118">
            <v>31.91</v>
          </cell>
          <cell r="I118">
            <v>-9.3926109999999993E-2</v>
          </cell>
          <cell r="J118">
            <v>5.5923230000000004</v>
          </cell>
          <cell r="K118">
            <v>16.903230000000001</v>
          </cell>
          <cell r="L118">
            <v>45.397129999999997</v>
          </cell>
          <cell r="M118">
            <v>0</v>
          </cell>
          <cell r="N118">
            <v>-0.81062999999999996</v>
          </cell>
          <cell r="O118">
            <v>-11.2836</v>
          </cell>
          <cell r="P118" t="str">
            <v xml:space="preserve"> </v>
          </cell>
          <cell r="Q118" t="str">
            <v>A-</v>
          </cell>
          <cell r="R118" t="str">
            <v>-</v>
          </cell>
          <cell r="S118" t="str">
            <v>A</v>
          </cell>
          <cell r="T118" t="str">
            <v>STABLE</v>
          </cell>
          <cell r="U118" t="str">
            <v>STABLE</v>
          </cell>
          <cell r="V118" t="str">
            <v>POS</v>
          </cell>
          <cell r="X118" t="str">
            <v>A-</v>
          </cell>
          <cell r="Y118" t="str">
            <v>-</v>
          </cell>
          <cell r="Z118" t="str">
            <v>A</v>
          </cell>
          <cell r="AA118" t="str">
            <v>STABLE</v>
          </cell>
          <cell r="AB118" t="str">
            <v>STABLE</v>
          </cell>
          <cell r="AC118" t="str">
            <v>POS</v>
          </cell>
          <cell r="AD118">
            <v>0</v>
          </cell>
          <cell r="AE118">
            <v>0</v>
          </cell>
          <cell r="AF118">
            <v>0</v>
          </cell>
          <cell r="AG118">
            <v>0</v>
          </cell>
          <cell r="AH118">
            <v>0</v>
          </cell>
          <cell r="AI118">
            <v>0</v>
          </cell>
          <cell r="AJ118" t="str">
            <v/>
          </cell>
          <cell r="AK118">
            <v>106629872493.73999</v>
          </cell>
          <cell r="AL118" t="str">
            <v>CHF</v>
          </cell>
          <cell r="AM118">
            <v>0.81110000000000004</v>
          </cell>
          <cell r="AN118">
            <v>131.46328750306989</v>
          </cell>
          <cell r="AP118" t="str">
            <v/>
          </cell>
          <cell r="AQ118" t="str">
            <v/>
          </cell>
          <cell r="AR118" t="str">
            <v/>
          </cell>
          <cell r="AS118">
            <v>42527</v>
          </cell>
          <cell r="AT118" t="str">
            <v/>
          </cell>
          <cell r="AU118">
            <v>45089</v>
          </cell>
          <cell r="AV118">
            <v>31.94</v>
          </cell>
          <cell r="AW118" t="str">
            <v>-</v>
          </cell>
          <cell r="AX118" t="str">
            <v>-</v>
          </cell>
        </row>
        <row r="119">
          <cell r="F119" t="str">
            <v>Banco Santander SA</v>
          </cell>
          <cell r="G119" t="str">
            <v>西班牙國際銀行</v>
          </cell>
          <cell r="H119">
            <v>8</v>
          </cell>
          <cell r="I119">
            <v>0.56568200000000002</v>
          </cell>
          <cell r="J119">
            <v>6.9518719999999998</v>
          </cell>
          <cell r="K119">
            <v>79.191400000000002</v>
          </cell>
          <cell r="L119">
            <v>40.023780000000002</v>
          </cell>
          <cell r="M119">
            <v>1.0000000003174137E-5</v>
          </cell>
          <cell r="N119">
            <v>-0.71364000000000005</v>
          </cell>
          <cell r="O119">
            <v>-7.9233000000000002</v>
          </cell>
          <cell r="P119" t="str">
            <v xml:space="preserve"> </v>
          </cell>
          <cell r="Q119" t="str">
            <v>A+</v>
          </cell>
          <cell r="R119" t="str">
            <v>A2</v>
          </cell>
          <cell r="S119" t="str">
            <v>A</v>
          </cell>
          <cell r="T119" t="str">
            <v>STABLE</v>
          </cell>
          <cell r="U119" t="str">
            <v>POS</v>
          </cell>
          <cell r="V119" t="str">
            <v>STABLE</v>
          </cell>
          <cell r="X119" t="str">
            <v>A+</v>
          </cell>
          <cell r="Y119" t="str">
            <v>A2</v>
          </cell>
          <cell r="Z119" t="str">
            <v>A</v>
          </cell>
          <cell r="AA119" t="str">
            <v>STABLE</v>
          </cell>
          <cell r="AB119" t="str">
            <v>POS</v>
          </cell>
          <cell r="AC119" t="str">
            <v>STABLE</v>
          </cell>
          <cell r="AD119">
            <v>0</v>
          </cell>
          <cell r="AE119">
            <v>0</v>
          </cell>
          <cell r="AF119">
            <v>0</v>
          </cell>
          <cell r="AG119">
            <v>0</v>
          </cell>
          <cell r="AH119">
            <v>0</v>
          </cell>
          <cell r="AI119">
            <v>0</v>
          </cell>
          <cell r="AJ119" t="str">
            <v/>
          </cell>
          <cell r="AK119">
            <v>119082602976</v>
          </cell>
          <cell r="AL119" t="str">
            <v>EUR</v>
          </cell>
          <cell r="AM119">
            <v>0.86060000000000003</v>
          </cell>
          <cell r="AN119">
            <v>138.37160466651173</v>
          </cell>
          <cell r="AP119" t="str">
            <v/>
          </cell>
          <cell r="AQ119" t="str">
            <v/>
          </cell>
          <cell r="AR119" t="str">
            <v/>
          </cell>
          <cell r="AS119">
            <v>44546</v>
          </cell>
          <cell r="AT119">
            <v>43207</v>
          </cell>
          <cell r="AU119">
            <v>45699</v>
          </cell>
          <cell r="AV119">
            <v>7.9550000000000001</v>
          </cell>
          <cell r="AW119">
            <v>7.1950000000000003</v>
          </cell>
          <cell r="AX119">
            <v>10.56289089645588</v>
          </cell>
        </row>
        <row r="120">
          <cell r="F120" t="str">
            <v>Banco Bilbao Vizcaya Argentari</v>
          </cell>
          <cell r="G120" t="str">
            <v>畢爾巴鄂比斯開銀行</v>
          </cell>
          <cell r="H120">
            <v>16.059999999999999</v>
          </cell>
          <cell r="I120">
            <v>0.75282309999999997</v>
          </cell>
          <cell r="J120">
            <v>8.5135140000000007</v>
          </cell>
          <cell r="K120">
            <v>69.911140000000003</v>
          </cell>
          <cell r="L120">
            <v>41.066699999999997</v>
          </cell>
          <cell r="M120">
            <v>-1.5E-3</v>
          </cell>
          <cell r="N120">
            <v>-0.69371000000000005</v>
          </cell>
          <cell r="O120">
            <v>-5.9353800000000003</v>
          </cell>
          <cell r="P120" t="str">
            <v xml:space="preserve"> </v>
          </cell>
          <cell r="Q120" t="str">
            <v>A</v>
          </cell>
          <cell r="R120" t="str">
            <v>A3 *+</v>
          </cell>
          <cell r="S120" t="str">
            <v>BBB+ *+</v>
          </cell>
          <cell r="T120" t="str">
            <v>STABLE</v>
          </cell>
          <cell r="U120" t="str">
            <v xml:space="preserve"> </v>
          </cell>
          <cell r="V120" t="str">
            <v xml:space="preserve"> </v>
          </cell>
          <cell r="X120" t="str">
            <v>A</v>
          </cell>
          <cell r="Y120" t="str">
            <v>A3 *+</v>
          </cell>
          <cell r="Z120" t="str">
            <v>BBB+ *+</v>
          </cell>
          <cell r="AA120" t="str">
            <v>STABLE</v>
          </cell>
          <cell r="AB120" t="str">
            <v xml:space="preserve"> </v>
          </cell>
          <cell r="AC120" t="str">
            <v xml:space="preserve"> </v>
          </cell>
          <cell r="AD120">
            <v>0</v>
          </cell>
          <cell r="AE120">
            <v>0</v>
          </cell>
          <cell r="AF120">
            <v>0</v>
          </cell>
          <cell r="AG120">
            <v>0</v>
          </cell>
          <cell r="AH120">
            <v>0</v>
          </cell>
          <cell r="AI120">
            <v>0</v>
          </cell>
          <cell r="AJ120" t="str">
            <v/>
          </cell>
          <cell r="AK120">
            <v>92558364567.899994</v>
          </cell>
          <cell r="AL120" t="str">
            <v>EUR</v>
          </cell>
          <cell r="AM120">
            <v>0.86060000000000003</v>
          </cell>
          <cell r="AN120">
            <v>107.55096975122007</v>
          </cell>
          <cell r="AP120" t="str">
            <v/>
          </cell>
          <cell r="AQ120" t="str">
            <v/>
          </cell>
          <cell r="AR120" t="str">
            <v/>
          </cell>
          <cell r="AS120">
            <v>44546</v>
          </cell>
          <cell r="AT120">
            <v>45733</v>
          </cell>
          <cell r="AU120">
            <v>45785</v>
          </cell>
          <cell r="AV120">
            <v>15.94</v>
          </cell>
          <cell r="AW120">
            <v>14.355</v>
          </cell>
          <cell r="AX120">
            <v>11.041448972483447</v>
          </cell>
        </row>
        <row r="121">
          <cell r="F121" t="str">
            <v>UniCredit SpA</v>
          </cell>
          <cell r="G121" t="str">
            <v>裕信銀行</v>
          </cell>
          <cell r="H121">
            <v>67.349999999999994</v>
          </cell>
          <cell r="I121">
            <v>-0.26654820000000001</v>
          </cell>
          <cell r="J121">
            <v>4.4509930000000004</v>
          </cell>
          <cell r="K121">
            <v>74.821539999999999</v>
          </cell>
          <cell r="L121">
            <v>42.513280000000002</v>
          </cell>
          <cell r="M121">
            <v>-1.9300000000000001E-3</v>
          </cell>
          <cell r="N121">
            <v>-2.0943900000000002</v>
          </cell>
          <cell r="O121">
            <v>-9.5862200000000009</v>
          </cell>
          <cell r="P121" t="str">
            <v xml:space="preserve"> </v>
          </cell>
          <cell r="Q121" t="str">
            <v>BBB+</v>
          </cell>
          <cell r="R121" t="str">
            <v>-</v>
          </cell>
          <cell r="S121" t="str">
            <v>BBB+</v>
          </cell>
          <cell r="T121" t="str">
            <v>POS</v>
          </cell>
          <cell r="U121" t="str">
            <v>POS</v>
          </cell>
          <cell r="V121" t="str">
            <v>POS</v>
          </cell>
          <cell r="X121" t="str">
            <v>BBB+</v>
          </cell>
          <cell r="Y121" t="str">
            <v>-</v>
          </cell>
          <cell r="Z121" t="str">
            <v>BBB+</v>
          </cell>
          <cell r="AA121" t="str">
            <v>POS</v>
          </cell>
          <cell r="AB121" t="str">
            <v>POS</v>
          </cell>
          <cell r="AC121" t="str">
            <v>POS</v>
          </cell>
          <cell r="AD121">
            <v>0</v>
          </cell>
          <cell r="AE121">
            <v>0</v>
          </cell>
          <cell r="AF121">
            <v>0</v>
          </cell>
          <cell r="AG121">
            <v>0</v>
          </cell>
          <cell r="AH121">
            <v>0</v>
          </cell>
          <cell r="AI121">
            <v>0</v>
          </cell>
          <cell r="AJ121" t="str">
            <v/>
          </cell>
          <cell r="AK121">
            <v>104909423103.59999</v>
          </cell>
          <cell r="AL121" t="str">
            <v>EUR</v>
          </cell>
          <cell r="AM121">
            <v>0.86060000000000003</v>
          </cell>
          <cell r="AN121">
            <v>121.90265292075294</v>
          </cell>
          <cell r="AP121" t="str">
            <v/>
          </cell>
          <cell r="AQ121" t="str">
            <v/>
          </cell>
          <cell r="AR121" t="str">
            <v/>
          </cell>
          <cell r="AS121">
            <v>45765</v>
          </cell>
          <cell r="AT121" t="str">
            <v/>
          </cell>
          <cell r="AU121">
            <v>45596</v>
          </cell>
          <cell r="AV121">
            <v>67.53</v>
          </cell>
          <cell r="AW121">
            <v>62.21</v>
          </cell>
          <cell r="AX121">
            <v>8.5516797942452918</v>
          </cell>
        </row>
        <row r="122">
          <cell r="F122" t="str">
            <v>Intesa Sanpaolo SpA</v>
          </cell>
          <cell r="G122" t="str">
            <v>聯合聖保羅銀行</v>
          </cell>
          <cell r="H122">
            <v>5.3250000000000002</v>
          </cell>
          <cell r="I122">
            <v>-0.20614689999999999</v>
          </cell>
          <cell r="J122">
            <v>3.1576909999999998</v>
          </cell>
          <cell r="K122">
            <v>37.846240000000002</v>
          </cell>
          <cell r="L122">
            <v>39.325000000000003</v>
          </cell>
          <cell r="M122">
            <v>0</v>
          </cell>
          <cell r="N122">
            <v>-2.17591</v>
          </cell>
          <cell r="O122">
            <v>-14.5991</v>
          </cell>
          <cell r="P122" t="str">
            <v xml:space="preserve"> </v>
          </cell>
          <cell r="Q122" t="str">
            <v>BBB+</v>
          </cell>
          <cell r="R122" t="str">
            <v>Baa1</v>
          </cell>
          <cell r="S122" t="str">
            <v>BBB</v>
          </cell>
          <cell r="T122" t="str">
            <v>STABLE</v>
          </cell>
          <cell r="U122" t="str">
            <v>POS</v>
          </cell>
          <cell r="V122" t="str">
            <v>POS</v>
          </cell>
          <cell r="X122" t="str">
            <v>BBB+</v>
          </cell>
          <cell r="Y122" t="str">
            <v>Baa1</v>
          </cell>
          <cell r="Z122" t="str">
            <v>BBB</v>
          </cell>
          <cell r="AA122" t="str">
            <v>STABLE</v>
          </cell>
          <cell r="AB122" t="str">
            <v>POS</v>
          </cell>
          <cell r="AC122" t="str">
            <v>POS</v>
          </cell>
          <cell r="AD122">
            <v>0</v>
          </cell>
          <cell r="AE122">
            <v>0</v>
          </cell>
          <cell r="AF122">
            <v>0</v>
          </cell>
          <cell r="AG122">
            <v>0</v>
          </cell>
          <cell r="AH122">
            <v>0</v>
          </cell>
          <cell r="AI122">
            <v>0</v>
          </cell>
          <cell r="AJ122" t="str">
            <v/>
          </cell>
          <cell r="AK122">
            <v>94804545417.825012</v>
          </cell>
          <cell r="AL122" t="str">
            <v>EUR</v>
          </cell>
          <cell r="AM122">
            <v>0.86060000000000003</v>
          </cell>
          <cell r="AN122">
            <v>110.16098700653615</v>
          </cell>
          <cell r="AP122" t="str">
            <v/>
          </cell>
          <cell r="AQ122" t="str">
            <v/>
          </cell>
          <cell r="AR122" t="str">
            <v/>
          </cell>
          <cell r="AS122">
            <v>45765</v>
          </cell>
          <cell r="AT122">
            <v>42177</v>
          </cell>
          <cell r="AU122">
            <v>44547</v>
          </cell>
          <cell r="AV122">
            <v>5.3360000000000003</v>
          </cell>
          <cell r="AW122">
            <v>5</v>
          </cell>
          <cell r="AX122">
            <v>6.7200000000000149</v>
          </cell>
        </row>
        <row r="123">
          <cell r="F123" t="str">
            <v>ANZ Group Holdings Ltd</v>
          </cell>
          <cell r="G123" t="str">
            <v>澳盛銀行集團控股有限公司</v>
          </cell>
          <cell r="H123">
            <v>31.98</v>
          </cell>
          <cell r="I123">
            <v>2.3687580000000001</v>
          </cell>
          <cell r="J123">
            <v>3.7301329999999999</v>
          </cell>
          <cell r="K123">
            <v>12.088290000000001</v>
          </cell>
          <cell r="L123">
            <v>30.61872</v>
          </cell>
          <cell r="M123">
            <v>0</v>
          </cell>
          <cell r="N123">
            <v>0.23916999999999999</v>
          </cell>
          <cell r="O123">
            <v>8.8389600000000002</v>
          </cell>
          <cell r="P123" t="str">
            <v xml:space="preserve"> </v>
          </cell>
          <cell r="Q123" t="str">
            <v>-</v>
          </cell>
          <cell r="R123" t="str">
            <v>-</v>
          </cell>
          <cell r="S123" t="str">
            <v>-</v>
          </cell>
          <cell r="T123" t="str">
            <v xml:space="preserve"> </v>
          </cell>
          <cell r="U123" t="str">
            <v xml:space="preserve"> </v>
          </cell>
          <cell r="V123" t="str">
            <v xml:space="preserve"> </v>
          </cell>
          <cell r="X123" t="str">
            <v>-</v>
          </cell>
          <cell r="Y123" t="str">
            <v>-</v>
          </cell>
          <cell r="Z123" t="str">
            <v>-</v>
          </cell>
          <cell r="AA123" t="str">
            <v xml:space="preserve"> </v>
          </cell>
          <cell r="AB123" t="str">
            <v xml:space="preserve"> </v>
          </cell>
          <cell r="AC123" t="str">
            <v xml:space="preserve"> </v>
          </cell>
          <cell r="AD123">
            <v>0</v>
          </cell>
          <cell r="AE123">
            <v>0</v>
          </cell>
          <cell r="AF123">
            <v>0</v>
          </cell>
          <cell r="AG123">
            <v>0</v>
          </cell>
          <cell r="AH123">
            <v>0</v>
          </cell>
          <cell r="AI123">
            <v>0</v>
          </cell>
          <cell r="AJ123" t="str">
            <v/>
          </cell>
          <cell r="AK123">
            <v>95442810558.200012</v>
          </cell>
          <cell r="AL123" t="str">
            <v>AUD</v>
          </cell>
          <cell r="AM123">
            <v>1.5344</v>
          </cell>
          <cell r="AN123">
            <v>62.202040249087602</v>
          </cell>
          <cell r="AP123" t="str">
            <v/>
          </cell>
          <cell r="AQ123" t="str">
            <v/>
          </cell>
          <cell r="AR123" t="str">
            <v/>
          </cell>
          <cell r="AS123" t="str">
            <v/>
          </cell>
          <cell r="AT123" t="str">
            <v/>
          </cell>
          <cell r="AU123" t="str">
            <v/>
          </cell>
          <cell r="AV123">
            <v>30.88</v>
          </cell>
          <cell r="AW123">
            <v>30.87</v>
          </cell>
          <cell r="AX123">
            <v>3.2393909944916643E-2</v>
          </cell>
        </row>
        <row r="124">
          <cell r="F124" t="str">
            <v>Commonwealth Bank of Australia</v>
          </cell>
          <cell r="G124" t="str">
            <v>澳洲聯邦銀行</v>
          </cell>
          <cell r="H124">
            <v>179.85</v>
          </cell>
          <cell r="I124">
            <v>0.69988799999999995</v>
          </cell>
          <cell r="J124">
            <v>1.41536</v>
          </cell>
          <cell r="K124">
            <v>17.350729999999999</v>
          </cell>
          <cell r="L124">
            <v>31.694520000000001</v>
          </cell>
          <cell r="M124">
            <v>0</v>
          </cell>
          <cell r="N124">
            <v>8.9609999999999995E-2</v>
          </cell>
          <cell r="O124">
            <v>9.4395399999999992</v>
          </cell>
          <cell r="P124" t="str">
            <v xml:space="preserve"> </v>
          </cell>
          <cell r="Q124" t="str">
            <v>AA-</v>
          </cell>
          <cell r="R124" t="str">
            <v>-</v>
          </cell>
          <cell r="S124" t="str">
            <v>AA-</v>
          </cell>
          <cell r="T124" t="str">
            <v>STABLE</v>
          </cell>
          <cell r="U124" t="str">
            <v>STABLE</v>
          </cell>
          <cell r="V124" t="str">
            <v>POS</v>
          </cell>
          <cell r="X124" t="str">
            <v>AA-</v>
          </cell>
          <cell r="Y124" t="str">
            <v>-</v>
          </cell>
          <cell r="Z124" t="str">
            <v>AA-</v>
          </cell>
          <cell r="AA124" t="str">
            <v>STABLE</v>
          </cell>
          <cell r="AB124" t="str">
            <v>STABLE</v>
          </cell>
          <cell r="AC124" t="str">
            <v>POS</v>
          </cell>
          <cell r="AD124">
            <v>0</v>
          </cell>
          <cell r="AE124">
            <v>0</v>
          </cell>
          <cell r="AF124">
            <v>0</v>
          </cell>
          <cell r="AG124">
            <v>0</v>
          </cell>
          <cell r="AH124">
            <v>0</v>
          </cell>
          <cell r="AI124">
            <v>0</v>
          </cell>
          <cell r="AJ124" t="str">
            <v/>
          </cell>
          <cell r="AK124">
            <v>300955470462.72003</v>
          </cell>
          <cell r="AL124" t="str">
            <v>AUD</v>
          </cell>
          <cell r="AM124">
            <v>1.5344</v>
          </cell>
          <cell r="AN124">
            <v>196.13886239749741</v>
          </cell>
          <cell r="AP124" t="str">
            <v/>
          </cell>
          <cell r="AQ124" t="str">
            <v/>
          </cell>
          <cell r="AR124" t="str">
            <v/>
          </cell>
          <cell r="AS124">
            <v>40878</v>
          </cell>
          <cell r="AT124" t="str">
            <v/>
          </cell>
          <cell r="AU124">
            <v>45438</v>
          </cell>
          <cell r="AV124">
            <v>176.61</v>
          </cell>
          <cell r="AW124">
            <v>175.06</v>
          </cell>
          <cell r="AX124">
            <v>0.88541071632584067</v>
          </cell>
        </row>
        <row r="125">
          <cell r="F125" t="str">
            <v>National Australia Bank Ltd</v>
          </cell>
          <cell r="G125" t="str">
            <v>澳洲國民銀行有限公司</v>
          </cell>
          <cell r="H125">
            <v>38.97</v>
          </cell>
          <cell r="I125">
            <v>0.38639879999999999</v>
          </cell>
          <cell r="J125">
            <v>0.43814429999999999</v>
          </cell>
          <cell r="K125">
            <v>5.0404359999999997</v>
          </cell>
          <cell r="L125">
            <v>31.791689999999999</v>
          </cell>
          <cell r="M125">
            <v>0</v>
          </cell>
          <cell r="N125">
            <v>0.75041999999999998</v>
          </cell>
          <cell r="O125">
            <v>10.310180000000001</v>
          </cell>
          <cell r="P125" t="str">
            <v xml:space="preserve"> </v>
          </cell>
          <cell r="Q125" t="str">
            <v>AA-</v>
          </cell>
          <cell r="R125" t="str">
            <v>-</v>
          </cell>
          <cell r="S125" t="str">
            <v>AA-</v>
          </cell>
          <cell r="T125" t="str">
            <v>STABLE</v>
          </cell>
          <cell r="U125" t="str">
            <v>STABLE</v>
          </cell>
          <cell r="V125" t="str">
            <v>STABLE</v>
          </cell>
          <cell r="X125" t="str">
            <v>AA-</v>
          </cell>
          <cell r="Y125" t="str">
            <v>-</v>
          </cell>
          <cell r="Z125" t="str">
            <v>AA-</v>
          </cell>
          <cell r="AA125" t="str">
            <v>STABLE</v>
          </cell>
          <cell r="AB125" t="str">
            <v>STABLE</v>
          </cell>
          <cell r="AC125" t="str">
            <v>STABLE</v>
          </cell>
          <cell r="AD125">
            <v>0</v>
          </cell>
          <cell r="AE125">
            <v>0</v>
          </cell>
          <cell r="AF125">
            <v>0</v>
          </cell>
          <cell r="AG125">
            <v>0</v>
          </cell>
          <cell r="AH125">
            <v>0</v>
          </cell>
          <cell r="AI125">
            <v>0</v>
          </cell>
          <cell r="AJ125" t="str">
            <v/>
          </cell>
          <cell r="AK125">
            <v>119366372160.36</v>
          </cell>
          <cell r="AL125" t="str">
            <v>AUD</v>
          </cell>
          <cell r="AM125">
            <v>1.5344</v>
          </cell>
          <cell r="AN125">
            <v>77.793516788555792</v>
          </cell>
          <cell r="AP125" t="str">
            <v/>
          </cell>
          <cell r="AQ125" t="str">
            <v/>
          </cell>
          <cell r="AR125" t="str">
            <v/>
          </cell>
          <cell r="AS125">
            <v>40878</v>
          </cell>
          <cell r="AT125" t="str">
            <v/>
          </cell>
          <cell r="AU125">
            <v>45438</v>
          </cell>
          <cell r="AV125">
            <v>38.49</v>
          </cell>
          <cell r="AW125">
            <v>38.44</v>
          </cell>
          <cell r="AX125">
            <v>0.13007284079085135</v>
          </cell>
        </row>
        <row r="126">
          <cell r="F126" t="str">
            <v>Westpac Banking Corp</v>
          </cell>
          <cell r="G126" t="str">
            <v>西太平洋銀行公司</v>
          </cell>
          <cell r="H126">
            <v>34.44</v>
          </cell>
          <cell r="I126">
            <v>0.37889830000000002</v>
          </cell>
          <cell r="J126">
            <v>2.317291</v>
          </cell>
          <cell r="K126">
            <v>6.5748769999999999</v>
          </cell>
          <cell r="L126">
            <v>45.397129999999997</v>
          </cell>
          <cell r="M126">
            <v>0</v>
          </cell>
          <cell r="N126">
            <v>-0.81062999999999996</v>
          </cell>
          <cell r="O126">
            <v>-8.4399800000000003</v>
          </cell>
          <cell r="P126" t="str">
            <v xml:space="preserve"> </v>
          </cell>
          <cell r="Q126" t="str">
            <v>AA-</v>
          </cell>
          <cell r="R126" t="str">
            <v>Aa2</v>
          </cell>
          <cell r="S126" t="str">
            <v>AA-</v>
          </cell>
          <cell r="T126" t="str">
            <v>STABLE</v>
          </cell>
          <cell r="U126" t="str">
            <v>STABLE</v>
          </cell>
          <cell r="V126" t="str">
            <v>STABLE</v>
          </cell>
          <cell r="X126" t="str">
            <v>AA-</v>
          </cell>
          <cell r="Y126" t="str">
            <v>Aa2</v>
          </cell>
          <cell r="Z126" t="str">
            <v>AA-</v>
          </cell>
          <cell r="AA126" t="str">
            <v>STABLE</v>
          </cell>
          <cell r="AB126" t="str">
            <v>STABLE</v>
          </cell>
          <cell r="AC126" t="str">
            <v>STABLE</v>
          </cell>
          <cell r="AD126">
            <v>0</v>
          </cell>
          <cell r="AE126">
            <v>0</v>
          </cell>
          <cell r="AF126">
            <v>0</v>
          </cell>
          <cell r="AG126">
            <v>0</v>
          </cell>
          <cell r="AH126">
            <v>0</v>
          </cell>
          <cell r="AI126">
            <v>0</v>
          </cell>
          <cell r="AJ126" t="str">
            <v/>
          </cell>
          <cell r="AK126">
            <v>117814069590.72499</v>
          </cell>
          <cell r="AL126" t="str">
            <v>AUD</v>
          </cell>
          <cell r="AM126">
            <v>1.5344</v>
          </cell>
          <cell r="AN126">
            <v>76.781849316165918</v>
          </cell>
          <cell r="AP126" t="str">
            <v/>
          </cell>
          <cell r="AQ126" t="str">
            <v/>
          </cell>
          <cell r="AR126" t="str">
            <v/>
          </cell>
          <cell r="AS126">
            <v>40878</v>
          </cell>
          <cell r="AT126">
            <v>45357</v>
          </cell>
          <cell r="AU126">
            <v>45438</v>
          </cell>
          <cell r="AV126">
            <v>33.659999999999997</v>
          </cell>
          <cell r="AW126">
            <v>33.450000000000003</v>
          </cell>
          <cell r="AX126">
            <v>0.62780269058293481</v>
          </cell>
        </row>
        <row r="127">
          <cell r="F127" t="str">
            <v>Macquarie Group Ltd</v>
          </cell>
          <cell r="G127" t="str">
            <v>麥格理集團有限公司</v>
          </cell>
          <cell r="H127">
            <v>212.43</v>
          </cell>
          <cell r="I127">
            <v>-0.49184939999999999</v>
          </cell>
          <cell r="J127">
            <v>-1.2366919999999999</v>
          </cell>
          <cell r="K127">
            <v>-4.1777550000000003</v>
          </cell>
          <cell r="L127">
            <v>45.397129999999997</v>
          </cell>
          <cell r="M127">
            <v>0</v>
          </cell>
          <cell r="N127">
            <v>-0.81062999999999996</v>
          </cell>
          <cell r="O127">
            <v>-8.4399800000000003</v>
          </cell>
          <cell r="P127" t="str">
            <v xml:space="preserve"> </v>
          </cell>
          <cell r="Q127" t="str">
            <v>BBB+</v>
          </cell>
          <cell r="R127" t="str">
            <v>-</v>
          </cell>
          <cell r="S127" t="str">
            <v>A</v>
          </cell>
          <cell r="T127" t="str">
            <v>STABLE</v>
          </cell>
          <cell r="U127" t="str">
            <v>STABLE</v>
          </cell>
          <cell r="V127" t="str">
            <v>STABLE</v>
          </cell>
          <cell r="X127" t="str">
            <v>BBB+</v>
          </cell>
          <cell r="Y127" t="str">
            <v>-</v>
          </cell>
          <cell r="Z127" t="str">
            <v>A</v>
          </cell>
          <cell r="AA127" t="str">
            <v>STABLE</v>
          </cell>
          <cell r="AB127" t="str">
            <v>STABLE</v>
          </cell>
          <cell r="AC127" t="str">
            <v>STABLE</v>
          </cell>
          <cell r="AD127">
            <v>0</v>
          </cell>
          <cell r="AE127">
            <v>0</v>
          </cell>
          <cell r="AF127">
            <v>0</v>
          </cell>
          <cell r="AG127">
            <v>0</v>
          </cell>
          <cell r="AH127">
            <v>0</v>
          </cell>
          <cell r="AI127">
            <v>0</v>
          </cell>
          <cell r="AJ127" t="str">
            <v/>
          </cell>
          <cell r="AK127">
            <v>80970774358.759995</v>
          </cell>
          <cell r="AL127" t="str">
            <v>AUD</v>
          </cell>
          <cell r="AM127">
            <v>1.5344</v>
          </cell>
          <cell r="AN127">
            <v>52.770316969994781</v>
          </cell>
          <cell r="AP127" t="str">
            <v/>
          </cell>
          <cell r="AQ127" t="str">
            <v/>
          </cell>
          <cell r="AR127" t="str">
            <v/>
          </cell>
          <cell r="AS127">
            <v>43810</v>
          </cell>
          <cell r="AT127" t="str">
            <v/>
          </cell>
          <cell r="AU127">
            <v>44844</v>
          </cell>
          <cell r="AV127">
            <v>214.2</v>
          </cell>
          <cell r="AW127">
            <v>213.78</v>
          </cell>
          <cell r="AX127">
            <v>0.19646365422396617</v>
          </cell>
        </row>
        <row r="128">
          <cell r="F128" t="str">
            <v>Royal Bank of Canada</v>
          </cell>
          <cell r="G128" t="str">
            <v>加拿大皇家銀行</v>
          </cell>
          <cell r="H128">
            <v>184.01</v>
          </cell>
          <cell r="I128">
            <v>0.89927069999999998</v>
          </cell>
          <cell r="J128">
            <v>3.6792880000000001</v>
          </cell>
          <cell r="K128">
            <v>6.1677780000000002</v>
          </cell>
          <cell r="L128">
            <v>65.175089999999997</v>
          </cell>
          <cell r="M128">
            <v>0</v>
          </cell>
          <cell r="N128">
            <v>-0.61612</v>
          </cell>
          <cell r="O128">
            <v>-4.6579600000000001</v>
          </cell>
          <cell r="P128" t="str">
            <v xml:space="preserve"> </v>
          </cell>
          <cell r="Q128" t="str">
            <v>AA-</v>
          </cell>
          <cell r="R128" t="str">
            <v>A1</v>
          </cell>
          <cell r="S128" t="str">
            <v>AA-</v>
          </cell>
          <cell r="T128" t="str">
            <v>STABLE</v>
          </cell>
          <cell r="U128" t="str">
            <v>STABLE</v>
          </cell>
          <cell r="V128" t="str">
            <v>STABLE</v>
          </cell>
          <cell r="X128" t="str">
            <v>AA-</v>
          </cell>
          <cell r="Y128" t="str">
            <v>A1</v>
          </cell>
          <cell r="Z128" t="str">
            <v>AA-</v>
          </cell>
          <cell r="AA128" t="str">
            <v>STABLE</v>
          </cell>
          <cell r="AB128" t="str">
            <v>STABLE</v>
          </cell>
          <cell r="AC128" t="str">
            <v>STABLE</v>
          </cell>
          <cell r="AD128">
            <v>0</v>
          </cell>
          <cell r="AE128">
            <v>0</v>
          </cell>
          <cell r="AF128">
            <v>0</v>
          </cell>
          <cell r="AG128">
            <v>0</v>
          </cell>
          <cell r="AH128">
            <v>0</v>
          </cell>
          <cell r="AI128">
            <v>0</v>
          </cell>
          <cell r="AJ128" t="str">
            <v/>
          </cell>
          <cell r="AK128">
            <v>258680349542.63</v>
          </cell>
          <cell r="AL128" t="str">
            <v>CAD</v>
          </cell>
          <cell r="AM128">
            <v>1.3774999999999999</v>
          </cell>
          <cell r="AN128">
            <v>187.78972743566607</v>
          </cell>
          <cell r="AP128" t="str">
            <v/>
          </cell>
          <cell r="AQ128" t="str">
            <v/>
          </cell>
          <cell r="AR128" t="str">
            <v/>
          </cell>
          <cell r="AS128">
            <v>34653</v>
          </cell>
          <cell r="AT128">
            <v>44588</v>
          </cell>
          <cell r="AU128">
            <v>44392</v>
          </cell>
          <cell r="AV128">
            <v>182.37</v>
          </cell>
          <cell r="AW128">
            <v>177.48</v>
          </cell>
          <cell r="AX128">
            <v>2.7552400270453026</v>
          </cell>
        </row>
        <row r="129">
          <cell r="F129" t="str">
            <v>Toronto-Dominion Bank/The</v>
          </cell>
          <cell r="G129" t="str">
            <v>多倫多道明銀行</v>
          </cell>
          <cell r="H129">
            <v>100.78</v>
          </cell>
          <cell r="I129">
            <v>1.9849149999999999E-2</v>
          </cell>
          <cell r="J129">
            <v>0.68937959999999998</v>
          </cell>
          <cell r="K129">
            <v>31.721340000000001</v>
          </cell>
          <cell r="L129">
            <v>65.175089999999997</v>
          </cell>
          <cell r="M129">
            <v>0</v>
          </cell>
          <cell r="N129">
            <v>-0.61612</v>
          </cell>
          <cell r="O129">
            <v>-4.6579600000000001</v>
          </cell>
          <cell r="P129" t="str">
            <v xml:space="preserve"> </v>
          </cell>
          <cell r="Q129" t="str">
            <v>A+</v>
          </cell>
          <cell r="R129" t="str">
            <v>A2</v>
          </cell>
          <cell r="S129" t="str">
            <v>AA-</v>
          </cell>
          <cell r="T129" t="str">
            <v>STABLE</v>
          </cell>
          <cell r="U129" t="str">
            <v>STABLE</v>
          </cell>
          <cell r="V129" t="str">
            <v>NEG</v>
          </cell>
          <cell r="X129" t="str">
            <v>A+</v>
          </cell>
          <cell r="Y129" t="str">
            <v>A2</v>
          </cell>
          <cell r="Z129" t="str">
            <v>AA-</v>
          </cell>
          <cell r="AA129" t="str">
            <v>STABLE</v>
          </cell>
          <cell r="AB129" t="str">
            <v>STABLE</v>
          </cell>
          <cell r="AC129" t="str">
            <v>NEG</v>
          </cell>
          <cell r="AD129">
            <v>0</v>
          </cell>
          <cell r="AE129">
            <v>0</v>
          </cell>
          <cell r="AF129">
            <v>0</v>
          </cell>
          <cell r="AG129">
            <v>0</v>
          </cell>
          <cell r="AH129">
            <v>0</v>
          </cell>
          <cell r="AI129">
            <v>0</v>
          </cell>
          <cell r="AJ129" t="str">
            <v/>
          </cell>
          <cell r="AK129">
            <v>172855428713.70001</v>
          </cell>
          <cell r="AL129" t="str">
            <v>CAD</v>
          </cell>
          <cell r="AM129">
            <v>1.3774999999999999</v>
          </cell>
          <cell r="AN129">
            <v>125.48488472863886</v>
          </cell>
          <cell r="AP129" t="str">
            <v/>
          </cell>
          <cell r="AQ129" t="str">
            <v/>
          </cell>
          <cell r="AR129" t="str">
            <v/>
          </cell>
          <cell r="AS129">
            <v>45580</v>
          </cell>
          <cell r="AT129">
            <v>45588</v>
          </cell>
          <cell r="AU129">
            <v>37435</v>
          </cell>
          <cell r="AV129">
            <v>100.76</v>
          </cell>
          <cell r="AW129">
            <v>100.09</v>
          </cell>
          <cell r="AX129">
            <v>0.66939754221200243</v>
          </cell>
        </row>
        <row r="130">
          <cell r="F130" t="str">
            <v>Mitsubishi UFJ Financial Group</v>
          </cell>
          <cell r="G130" t="str">
            <v>三菱UFJ金融集團公司</v>
          </cell>
          <cell r="H130">
            <v>2207</v>
          </cell>
          <cell r="I130">
            <v>3.6393520000000001</v>
          </cell>
          <cell r="J130">
            <v>7.8163169999999997</v>
          </cell>
          <cell r="K130">
            <v>19.52871</v>
          </cell>
          <cell r="L130">
            <v>42.825150000000001</v>
          </cell>
          <cell r="M130">
            <v>0</v>
          </cell>
          <cell r="N130">
            <v>0.36657000000000001</v>
          </cell>
          <cell r="O130">
            <v>2.1902699999999999</v>
          </cell>
          <cell r="P130" t="str">
            <v xml:space="preserve"> </v>
          </cell>
          <cell r="Q130" t="str">
            <v>A-</v>
          </cell>
          <cell r="R130" t="str">
            <v>-</v>
          </cell>
          <cell r="S130" t="str">
            <v>A-</v>
          </cell>
          <cell r="T130" t="str">
            <v>STABLE</v>
          </cell>
          <cell r="U130" t="str">
            <v>STABLE</v>
          </cell>
          <cell r="V130" t="str">
            <v>STABLE</v>
          </cell>
          <cell r="X130" t="str">
            <v>A-</v>
          </cell>
          <cell r="Y130" t="str">
            <v>-</v>
          </cell>
          <cell r="Z130" t="str">
            <v>A-</v>
          </cell>
          <cell r="AA130" t="str">
            <v>STABLE</v>
          </cell>
          <cell r="AB130" t="str">
            <v>STABLE</v>
          </cell>
          <cell r="AC130" t="str">
            <v>STABLE</v>
          </cell>
          <cell r="AD130">
            <v>0</v>
          </cell>
          <cell r="AE130">
            <v>0</v>
          </cell>
          <cell r="AF130">
            <v>0</v>
          </cell>
          <cell r="AG130">
            <v>0</v>
          </cell>
          <cell r="AH130">
            <v>0</v>
          </cell>
          <cell r="AI130">
            <v>0</v>
          </cell>
          <cell r="AJ130" t="str">
            <v/>
          </cell>
          <cell r="AK130">
            <v>26627404144980.004</v>
          </cell>
          <cell r="AL130" t="str">
            <v>JPY</v>
          </cell>
          <cell r="AM130">
            <v>148.27000000000001</v>
          </cell>
          <cell r="AN130">
            <v>179.58726745113646</v>
          </cell>
          <cell r="AP130" t="str">
            <v/>
          </cell>
          <cell r="AQ130" t="str">
            <v/>
          </cell>
          <cell r="AR130" t="str">
            <v/>
          </cell>
          <cell r="AS130">
            <v>43068</v>
          </cell>
          <cell r="AT130" t="str">
            <v/>
          </cell>
          <cell r="AU130">
            <v>43929</v>
          </cell>
          <cell r="AV130">
            <v>2129.5</v>
          </cell>
          <cell r="AW130">
            <v>2127</v>
          </cell>
          <cell r="AX130">
            <v>0.11753643629526245</v>
          </cell>
        </row>
        <row r="131">
          <cell r="F131" t="str">
            <v>Sumitomo Mitsui Financial Grou</v>
          </cell>
          <cell r="G131" t="str">
            <v>三井住友金融集團公司</v>
          </cell>
          <cell r="H131">
            <v>3964</v>
          </cell>
          <cell r="I131">
            <v>2.9343029999999999</v>
          </cell>
          <cell r="J131">
            <v>6.731287</v>
          </cell>
          <cell r="K131">
            <v>5.3400639999999999</v>
          </cell>
          <cell r="L131">
            <v>42.825150000000001</v>
          </cell>
          <cell r="M131">
            <v>0</v>
          </cell>
          <cell r="N131">
            <v>0.36657000000000001</v>
          </cell>
          <cell r="O131">
            <v>2.1902699999999999</v>
          </cell>
          <cell r="P131" t="str">
            <v xml:space="preserve"> </v>
          </cell>
          <cell r="Q131" t="str">
            <v>A-</v>
          </cell>
          <cell r="R131" t="str">
            <v>-</v>
          </cell>
          <cell r="S131" t="str">
            <v>A-</v>
          </cell>
          <cell r="T131" t="str">
            <v>STABLE</v>
          </cell>
          <cell r="U131" t="str">
            <v>STABLE</v>
          </cell>
          <cell r="V131" t="str">
            <v>STABLE</v>
          </cell>
          <cell r="X131" t="str">
            <v>A-</v>
          </cell>
          <cell r="Y131" t="str">
            <v>-</v>
          </cell>
          <cell r="Z131" t="str">
            <v>A-</v>
          </cell>
          <cell r="AA131" t="str">
            <v>STABLE</v>
          </cell>
          <cell r="AB131" t="str">
            <v>STABLE</v>
          </cell>
          <cell r="AC131" t="str">
            <v>STABLE</v>
          </cell>
          <cell r="AD131">
            <v>0</v>
          </cell>
          <cell r="AE131">
            <v>0</v>
          </cell>
          <cell r="AF131">
            <v>0</v>
          </cell>
          <cell r="AG131">
            <v>0</v>
          </cell>
          <cell r="AH131">
            <v>0</v>
          </cell>
          <cell r="AI131">
            <v>0</v>
          </cell>
          <cell r="AJ131" t="str">
            <v/>
          </cell>
          <cell r="AK131">
            <v>15403861404100.002</v>
          </cell>
          <cell r="AL131" t="str">
            <v>JPY</v>
          </cell>
          <cell r="AM131">
            <v>148.27000000000001</v>
          </cell>
          <cell r="AN131">
            <v>103.89061444729211</v>
          </cell>
          <cell r="AP131" t="str">
            <v/>
          </cell>
          <cell r="AQ131" t="str">
            <v/>
          </cell>
          <cell r="AR131" t="str">
            <v/>
          </cell>
          <cell r="AS131">
            <v>42264</v>
          </cell>
          <cell r="AT131" t="str">
            <v/>
          </cell>
          <cell r="AU131">
            <v>44903</v>
          </cell>
          <cell r="AV131">
            <v>3851</v>
          </cell>
          <cell r="AW131">
            <v>3823</v>
          </cell>
          <cell r="AX131">
            <v>0.73240910279885885</v>
          </cell>
        </row>
        <row r="132">
          <cell r="F132" t="str">
            <v>Mizuho Financial Group Inc</v>
          </cell>
          <cell r="G132" t="str">
            <v>瑞穗金融集團</v>
          </cell>
          <cell r="H132">
            <v>4722</v>
          </cell>
          <cell r="I132">
            <v>3.8030339999999998</v>
          </cell>
          <cell r="J132">
            <v>9.8650540000000007</v>
          </cell>
          <cell r="K132">
            <v>21.89517</v>
          </cell>
          <cell r="L132">
            <v>42.825150000000001</v>
          </cell>
          <cell r="M132">
            <v>0</v>
          </cell>
          <cell r="N132">
            <v>0.36657000000000001</v>
          </cell>
          <cell r="O132">
            <v>2.1902699999999999</v>
          </cell>
          <cell r="P132" t="str">
            <v xml:space="preserve"> </v>
          </cell>
          <cell r="Q132" t="str">
            <v>A-</v>
          </cell>
          <cell r="R132" t="str">
            <v>-</v>
          </cell>
          <cell r="S132" t="str">
            <v>A-</v>
          </cell>
          <cell r="T132" t="str">
            <v>STABLE</v>
          </cell>
          <cell r="U132" t="str">
            <v>STABLE</v>
          </cell>
          <cell r="V132" t="str">
            <v>STABLE</v>
          </cell>
          <cell r="X132" t="str">
            <v>A-</v>
          </cell>
          <cell r="Y132" t="str">
            <v>-</v>
          </cell>
          <cell r="Z132" t="str">
            <v>A-</v>
          </cell>
          <cell r="AA132" t="str">
            <v>STABLE</v>
          </cell>
          <cell r="AB132" t="str">
            <v>STABLE</v>
          </cell>
          <cell r="AC132" t="str">
            <v>STABLE</v>
          </cell>
          <cell r="AD132">
            <v>0</v>
          </cell>
          <cell r="AE132">
            <v>0</v>
          </cell>
          <cell r="AF132">
            <v>0</v>
          </cell>
          <cell r="AG132">
            <v>0</v>
          </cell>
          <cell r="AH132">
            <v>0</v>
          </cell>
          <cell r="AI132">
            <v>0</v>
          </cell>
          <cell r="AJ132" t="str">
            <v/>
          </cell>
          <cell r="AK132">
            <v>11867450545474</v>
          </cell>
          <cell r="AL132" t="str">
            <v>JPY</v>
          </cell>
          <cell r="AM132">
            <v>148.27000000000001</v>
          </cell>
          <cell r="AN132">
            <v>80.039458727146425</v>
          </cell>
          <cell r="AP132" t="str">
            <v/>
          </cell>
          <cell r="AQ132" t="str">
            <v/>
          </cell>
          <cell r="AR132" t="str">
            <v/>
          </cell>
          <cell r="AS132">
            <v>42264</v>
          </cell>
          <cell r="AT132" t="str">
            <v/>
          </cell>
          <cell r="AU132">
            <v>41110</v>
          </cell>
          <cell r="AV132">
            <v>4549</v>
          </cell>
          <cell r="AW132">
            <v>4452</v>
          </cell>
          <cell r="AX132">
            <v>2.1787960467205769</v>
          </cell>
        </row>
        <row r="133">
          <cell r="F133" t="str">
            <v>Bangkok Bank PCL</v>
          </cell>
          <cell r="G133" t="str">
            <v>盤谷銀行</v>
          </cell>
          <cell r="H133">
            <v>155</v>
          </cell>
          <cell r="I133">
            <v>1.6393439999999999</v>
          </cell>
          <cell r="J133">
            <v>4.3771040000000001</v>
          </cell>
          <cell r="K133">
            <v>2.6490070000000001</v>
          </cell>
          <cell r="L133">
            <v>46.614600000000003</v>
          </cell>
          <cell r="M133">
            <v>0</v>
          </cell>
          <cell r="N133">
            <v>-0.43862000000000001</v>
          </cell>
          <cell r="O133">
            <v>9.5084900000000001</v>
          </cell>
          <cell r="P133" t="str">
            <v xml:space="preserve"> </v>
          </cell>
          <cell r="Q133" t="str">
            <v>BBB+</v>
          </cell>
          <cell r="R133" t="str">
            <v>-</v>
          </cell>
          <cell r="S133" t="str">
            <v>BBB</v>
          </cell>
          <cell r="T133" t="str">
            <v>STABLE</v>
          </cell>
          <cell r="U133" t="str">
            <v>NEG</v>
          </cell>
          <cell r="V133" t="str">
            <v>STABLE</v>
          </cell>
          <cell r="X133" t="str">
            <v>BBB+</v>
          </cell>
          <cell r="Y133" t="str">
            <v>-</v>
          </cell>
          <cell r="Z133" t="str">
            <v>BBB</v>
          </cell>
          <cell r="AA133" t="str">
            <v>STABLE</v>
          </cell>
          <cell r="AB133" t="str">
            <v>NEG</v>
          </cell>
          <cell r="AC133" t="str">
            <v>STABLE</v>
          </cell>
          <cell r="AD133">
            <v>0</v>
          </cell>
          <cell r="AE133">
            <v>0</v>
          </cell>
          <cell r="AF133">
            <v>0</v>
          </cell>
          <cell r="AG133">
            <v>0</v>
          </cell>
          <cell r="AH133">
            <v>0</v>
          </cell>
          <cell r="AI133">
            <v>0</v>
          </cell>
          <cell r="AJ133" t="str">
            <v/>
          </cell>
          <cell r="AK133">
            <v>295870648569.99994</v>
          </cell>
          <cell r="AL133" t="str">
            <v>THB</v>
          </cell>
          <cell r="AM133">
            <v>32.332999999999998</v>
          </cell>
          <cell r="AN133">
            <v>9.1507329530201318</v>
          </cell>
          <cell r="AP133" t="str">
            <v/>
          </cell>
          <cell r="AQ133" t="str">
            <v/>
          </cell>
          <cell r="AR133" t="str">
            <v/>
          </cell>
          <cell r="AS133">
            <v>39022</v>
          </cell>
          <cell r="AT133" t="str">
            <v/>
          </cell>
          <cell r="AU133">
            <v>43923</v>
          </cell>
          <cell r="AV133">
            <v>155</v>
          </cell>
          <cell r="AW133">
            <v>148.5</v>
          </cell>
          <cell r="AX133">
            <v>4.3771043771043683</v>
          </cell>
        </row>
        <row r="134">
          <cell r="F134" t="str">
            <v>Emirates NBD Bank PJSC</v>
          </cell>
          <cell r="G134" t="str">
            <v>Emirates NBD Bank PJSC</v>
          </cell>
          <cell r="H134" t="str">
            <v>-</v>
          </cell>
          <cell r="I134" t="str">
            <v>-</v>
          </cell>
          <cell r="J134" t="str">
            <v>-</v>
          </cell>
          <cell r="K134" t="str">
            <v>-</v>
          </cell>
          <cell r="L134">
            <v>51.37914</v>
          </cell>
          <cell r="M134">
            <v>0</v>
          </cell>
          <cell r="N134">
            <v>-0.10264</v>
          </cell>
          <cell r="O134">
            <v>0.65073999999999999</v>
          </cell>
          <cell r="P134" t="str">
            <v xml:space="preserve"> </v>
          </cell>
          <cell r="Q134" t="str">
            <v>-</v>
          </cell>
          <cell r="R134" t="str">
            <v>-</v>
          </cell>
          <cell r="S134" t="str">
            <v>A+</v>
          </cell>
          <cell r="T134" t="str">
            <v xml:space="preserve"> </v>
          </cell>
          <cell r="U134" t="str">
            <v>STABLE</v>
          </cell>
          <cell r="V134" t="str">
            <v>STABLE</v>
          </cell>
          <cell r="X134" t="str">
            <v>-</v>
          </cell>
          <cell r="Y134" t="str">
            <v>-</v>
          </cell>
          <cell r="Z134" t="str">
            <v>A+</v>
          </cell>
          <cell r="AA134" t="str">
            <v xml:space="preserve"> </v>
          </cell>
          <cell r="AB134" t="str">
            <v>STABLE</v>
          </cell>
          <cell r="AC134" t="str">
            <v>STABLE</v>
          </cell>
          <cell r="AD134">
            <v>0</v>
          </cell>
          <cell r="AE134">
            <v>0</v>
          </cell>
          <cell r="AF134">
            <v>0</v>
          </cell>
          <cell r="AG134">
            <v>0</v>
          </cell>
          <cell r="AH134">
            <v>0</v>
          </cell>
          <cell r="AI134">
            <v>0</v>
          </cell>
          <cell r="AJ134" t="str">
            <v/>
          </cell>
          <cell r="AK134" t="str">
            <v>#N/A N/A</v>
          </cell>
          <cell r="AL134" t="str">
            <v>AED</v>
          </cell>
          <cell r="AM134">
            <v>3.673</v>
          </cell>
          <cell r="AN134" t="e">
            <v>#VALUE!</v>
          </cell>
          <cell r="AP134" t="str">
            <v/>
          </cell>
          <cell r="AQ134" t="str">
            <v/>
          </cell>
          <cell r="AR134" t="str">
            <v/>
          </cell>
          <cell r="AS134" t="str">
            <v/>
          </cell>
          <cell r="AT134" t="str">
            <v/>
          </cell>
          <cell r="AU134">
            <v>40140</v>
          </cell>
          <cell r="AV134" t="str">
            <v>-</v>
          </cell>
          <cell r="AW134" t="str">
            <v>-</v>
          </cell>
          <cell r="AX134" t="str">
            <v>-</v>
          </cell>
        </row>
        <row r="135">
          <cell r="F135" t="str">
            <v>Abu Dhabi Commercial Bank PJSC</v>
          </cell>
          <cell r="G135" t="str">
            <v>阿布達比商業銀行公開合股公司</v>
          </cell>
          <cell r="H135">
            <v>15.9</v>
          </cell>
          <cell r="I135">
            <v>0.63291140000000001</v>
          </cell>
          <cell r="J135">
            <v>1.7925739999999999</v>
          </cell>
          <cell r="K135">
            <v>52.591169999999998</v>
          </cell>
          <cell r="L135">
            <v>51.37914</v>
          </cell>
          <cell r="M135">
            <v>0</v>
          </cell>
          <cell r="N135">
            <v>-0.10264</v>
          </cell>
          <cell r="O135">
            <v>0.65073999999999999</v>
          </cell>
          <cell r="P135" t="str">
            <v xml:space="preserve"> </v>
          </cell>
          <cell r="Q135" t="str">
            <v>A+</v>
          </cell>
          <cell r="R135" t="str">
            <v>-</v>
          </cell>
          <cell r="S135" t="str">
            <v>A+</v>
          </cell>
          <cell r="T135" t="str">
            <v>STABLE</v>
          </cell>
          <cell r="U135" t="str">
            <v>STABLE</v>
          </cell>
          <cell r="V135" t="str">
            <v>STABLE</v>
          </cell>
          <cell r="X135" t="str">
            <v>A+</v>
          </cell>
          <cell r="Y135" t="str">
            <v>-</v>
          </cell>
          <cell r="Z135" t="str">
            <v>A+</v>
          </cell>
          <cell r="AA135" t="str">
            <v>STABLE</v>
          </cell>
          <cell r="AB135" t="str">
            <v>STABLE</v>
          </cell>
          <cell r="AC135" t="str">
            <v>STABLE</v>
          </cell>
          <cell r="AD135">
            <v>0</v>
          </cell>
          <cell r="AE135">
            <v>0</v>
          </cell>
          <cell r="AF135">
            <v>0</v>
          </cell>
          <cell r="AG135">
            <v>0</v>
          </cell>
          <cell r="AH135">
            <v>0</v>
          </cell>
          <cell r="AI135">
            <v>0</v>
          </cell>
          <cell r="AJ135" t="str">
            <v/>
          </cell>
          <cell r="AK135">
            <v>116387157459.00002</v>
          </cell>
          <cell r="AL135" t="str">
            <v>AED</v>
          </cell>
          <cell r="AM135">
            <v>3.673</v>
          </cell>
          <cell r="AN135">
            <v>31.687219564116532</v>
          </cell>
          <cell r="AP135" t="str">
            <v/>
          </cell>
          <cell r="AQ135" t="str">
            <v/>
          </cell>
          <cell r="AR135" t="str">
            <v/>
          </cell>
          <cell r="AS135">
            <v>45730</v>
          </cell>
          <cell r="AT135" t="str">
            <v/>
          </cell>
          <cell r="AU135">
            <v>40696</v>
          </cell>
          <cell r="AV135">
            <v>15.8</v>
          </cell>
          <cell r="AW135">
            <v>15.72</v>
          </cell>
          <cell r="AX135">
            <v>0.50890585241729624</v>
          </cell>
        </row>
        <row r="136">
          <cell r="F136" t="str">
            <v>First Abu Dhabi Bank PJSC</v>
          </cell>
          <cell r="G136" t="str">
            <v>第一阿布達比銀行公司</v>
          </cell>
          <cell r="H136">
            <v>18</v>
          </cell>
          <cell r="I136">
            <v>0.33444819999999997</v>
          </cell>
          <cell r="J136">
            <v>2.389078</v>
          </cell>
          <cell r="K136">
            <v>31.004370000000002</v>
          </cell>
          <cell r="L136">
            <v>51.37914</v>
          </cell>
          <cell r="M136">
            <v>0</v>
          </cell>
          <cell r="N136">
            <v>-0.10264</v>
          </cell>
          <cell r="O136">
            <v>0.65073999999999999</v>
          </cell>
          <cell r="P136" t="str">
            <v xml:space="preserve"> </v>
          </cell>
          <cell r="Q136" t="str">
            <v>AA-</v>
          </cell>
          <cell r="R136" t="str">
            <v>-</v>
          </cell>
          <cell r="S136" t="str">
            <v>AA-</v>
          </cell>
          <cell r="T136" t="str">
            <v>STABLE</v>
          </cell>
          <cell r="U136" t="str">
            <v>STABLE</v>
          </cell>
          <cell r="V136" t="str">
            <v>STABLE</v>
          </cell>
          <cell r="X136" t="str">
            <v>AA-</v>
          </cell>
          <cell r="Y136" t="str">
            <v>-</v>
          </cell>
          <cell r="Z136" t="str">
            <v>AA-</v>
          </cell>
          <cell r="AA136" t="str">
            <v>STABLE</v>
          </cell>
          <cell r="AB136" t="str">
            <v>STABLE</v>
          </cell>
          <cell r="AC136" t="str">
            <v>STABLE</v>
          </cell>
          <cell r="AD136">
            <v>0</v>
          </cell>
          <cell r="AE136">
            <v>0</v>
          </cell>
          <cell r="AF136">
            <v>0</v>
          </cell>
          <cell r="AG136">
            <v>0</v>
          </cell>
          <cell r="AH136">
            <v>0</v>
          </cell>
          <cell r="AI136">
            <v>0</v>
          </cell>
          <cell r="AJ136" t="str">
            <v/>
          </cell>
          <cell r="AK136">
            <v>198857786400</v>
          </cell>
          <cell r="AL136" t="str">
            <v>AED</v>
          </cell>
          <cell r="AM136">
            <v>3.673</v>
          </cell>
          <cell r="AN136">
            <v>54.140426463381431</v>
          </cell>
          <cell r="AP136" t="str">
            <v/>
          </cell>
          <cell r="AQ136" t="str">
            <v/>
          </cell>
          <cell r="AR136" t="str">
            <v/>
          </cell>
          <cell r="AS136">
            <v>42828</v>
          </cell>
          <cell r="AT136" t="str">
            <v/>
          </cell>
          <cell r="AU136">
            <v>39272</v>
          </cell>
          <cell r="AV136">
            <v>17.940000000000001</v>
          </cell>
          <cell r="AW136">
            <v>17.7</v>
          </cell>
          <cell r="AX136">
            <v>1.3559322033898313</v>
          </cell>
        </row>
        <row r="137">
          <cell r="F137" t="str">
            <v>Turkiye Halk Bankasi AS</v>
          </cell>
          <cell r="G137" t="str">
            <v>Turkiye Halk Bankasi AS</v>
          </cell>
          <cell r="H137">
            <v>27.5</v>
          </cell>
          <cell r="I137">
            <v>-0.86517659999999996</v>
          </cell>
          <cell r="J137">
            <v>-1.785714</v>
          </cell>
          <cell r="K137">
            <v>69.753079999999997</v>
          </cell>
          <cell r="L137">
            <v>64.288340000000005</v>
          </cell>
          <cell r="M137">
            <v>0</v>
          </cell>
          <cell r="N137">
            <v>-0.86172000000000004</v>
          </cell>
          <cell r="O137">
            <v>-32.398359999999997</v>
          </cell>
          <cell r="P137" t="str">
            <v>Y</v>
          </cell>
          <cell r="Q137" t="str">
            <v>-</v>
          </cell>
          <cell r="R137" t="str">
            <v>-</v>
          </cell>
          <cell r="S137" t="str">
            <v>B+</v>
          </cell>
          <cell r="T137" t="str">
            <v xml:space="preserve"> </v>
          </cell>
          <cell r="U137" t="str">
            <v>STABLE</v>
          </cell>
          <cell r="V137" t="str">
            <v>STABLE</v>
          </cell>
          <cell r="X137" t="str">
            <v>-</v>
          </cell>
          <cell r="Y137" t="str">
            <v>-</v>
          </cell>
          <cell r="Z137" t="str">
            <v>B+</v>
          </cell>
          <cell r="AA137" t="str">
            <v xml:space="preserve"> </v>
          </cell>
          <cell r="AB137" t="str">
            <v>POS</v>
          </cell>
          <cell r="AC137" t="str">
            <v>STABLE</v>
          </cell>
          <cell r="AD137">
            <v>0</v>
          </cell>
          <cell r="AE137">
            <v>0</v>
          </cell>
          <cell r="AF137">
            <v>0</v>
          </cell>
          <cell r="AG137">
            <v>0</v>
          </cell>
          <cell r="AH137">
            <v>1</v>
          </cell>
          <cell r="AI137">
            <v>0</v>
          </cell>
          <cell r="AJ137" t="str">
            <v/>
          </cell>
          <cell r="AK137">
            <v>197581396155</v>
          </cell>
          <cell r="AL137" t="str">
            <v>TRY</v>
          </cell>
          <cell r="AM137">
            <v>40.718600000000002</v>
          </cell>
          <cell r="AN137">
            <v>4.852362216652832</v>
          </cell>
          <cell r="AP137" t="str">
            <v/>
          </cell>
          <cell r="AQ137" t="str">
            <v/>
          </cell>
          <cell r="AR137" t="str">
            <v/>
          </cell>
          <cell r="AS137" t="str">
            <v/>
          </cell>
          <cell r="AT137" t="str">
            <v/>
          </cell>
          <cell r="AU137">
            <v>45826</v>
          </cell>
          <cell r="AV137">
            <v>27.74</v>
          </cell>
          <cell r="AW137">
            <v>28.18</v>
          </cell>
          <cell r="AX137">
            <v>-1.5613910574875822</v>
          </cell>
        </row>
        <row r="138">
          <cell r="F138" t="str">
            <v>M&amp;G PLC</v>
          </cell>
          <cell r="G138" t="str">
            <v>M&amp;G公開有限公司</v>
          </cell>
          <cell r="H138">
            <v>263.60000000000002</v>
          </cell>
          <cell r="I138">
            <v>1.423624</v>
          </cell>
          <cell r="J138">
            <v>1.462664</v>
          </cell>
          <cell r="K138">
            <v>33.232239999999997</v>
          </cell>
          <cell r="L138">
            <v>55.930810000000001</v>
          </cell>
          <cell r="M138">
            <v>0</v>
          </cell>
          <cell r="N138">
            <v>3.7100000000000002E-3</v>
          </cell>
          <cell r="O138">
            <v>-9.8523899999999998</v>
          </cell>
          <cell r="P138" t="str">
            <v xml:space="preserve"> </v>
          </cell>
          <cell r="Q138" t="str">
            <v>A</v>
          </cell>
          <cell r="R138" t="str">
            <v>A3</v>
          </cell>
          <cell r="S138" t="str">
            <v>A+</v>
          </cell>
          <cell r="T138" t="str">
            <v>STABLE</v>
          </cell>
          <cell r="U138" t="str">
            <v>STABLE</v>
          </cell>
          <cell r="V138" t="str">
            <v>STABLE</v>
          </cell>
          <cell r="X138" t="str">
            <v>A</v>
          </cell>
          <cell r="Y138" t="str">
            <v>A3</v>
          </cell>
          <cell r="Z138" t="str">
            <v>A+</v>
          </cell>
          <cell r="AA138" t="str">
            <v>STABLE</v>
          </cell>
          <cell r="AB138" t="str">
            <v>STABLE</v>
          </cell>
          <cell r="AC138" t="str">
            <v>STABLE</v>
          </cell>
          <cell r="AD138">
            <v>0</v>
          </cell>
          <cell r="AE138">
            <v>0</v>
          </cell>
          <cell r="AF138">
            <v>0</v>
          </cell>
          <cell r="AG138">
            <v>0</v>
          </cell>
          <cell r="AH138">
            <v>0</v>
          </cell>
          <cell r="AI138">
            <v>0</v>
          </cell>
          <cell r="AJ138" t="str">
            <v/>
          </cell>
          <cell r="AK138">
            <v>6339351516.7919998</v>
          </cell>
          <cell r="AL138" t="str">
            <v>GBp</v>
          </cell>
          <cell r="AM138">
            <v>0.74450000000000005</v>
          </cell>
          <cell r="AN138">
            <v>8.5149113724539944</v>
          </cell>
          <cell r="AP138" t="str">
            <v/>
          </cell>
          <cell r="AQ138" t="str">
            <v/>
          </cell>
          <cell r="AR138" t="str">
            <v/>
          </cell>
          <cell r="AS138">
            <v>44067</v>
          </cell>
          <cell r="AT138">
            <v>45852</v>
          </cell>
          <cell r="AU138">
            <v>43745</v>
          </cell>
          <cell r="AV138">
            <v>259.89999999999998</v>
          </cell>
          <cell r="AW138">
            <v>256.5</v>
          </cell>
          <cell r="AX138">
            <v>1.325536062378152</v>
          </cell>
        </row>
        <row r="139">
          <cell r="F139" t="str">
            <v>Prudential PLC</v>
          </cell>
          <cell r="G139" t="str">
            <v>保誠有限公司</v>
          </cell>
          <cell r="H139">
            <v>968.8</v>
          </cell>
          <cell r="I139">
            <v>0.66500420000000005</v>
          </cell>
          <cell r="J139">
            <v>1.9360269999999999</v>
          </cell>
          <cell r="K139">
            <v>52.087910000000001</v>
          </cell>
          <cell r="L139">
            <v>45.397129999999997</v>
          </cell>
          <cell r="M139">
            <v>0</v>
          </cell>
          <cell r="N139">
            <v>-0.81062999999999996</v>
          </cell>
          <cell r="O139">
            <v>-12.69871</v>
          </cell>
          <cell r="P139" t="str">
            <v xml:space="preserve"> </v>
          </cell>
          <cell r="Q139" t="str">
            <v>A</v>
          </cell>
          <cell r="R139" t="str">
            <v>A2</v>
          </cell>
          <cell r="S139" t="str">
            <v>A</v>
          </cell>
          <cell r="T139" t="str">
            <v>STABLE</v>
          </cell>
          <cell r="U139" t="str">
            <v>STABLE</v>
          </cell>
          <cell r="V139" t="str">
            <v>STABLE</v>
          </cell>
          <cell r="X139" t="str">
            <v>A</v>
          </cell>
          <cell r="Y139" t="str">
            <v>A2</v>
          </cell>
          <cell r="Z139" t="str">
            <v>A</v>
          </cell>
          <cell r="AA139" t="str">
            <v>STABLE</v>
          </cell>
          <cell r="AB139" t="str">
            <v>STABLE</v>
          </cell>
          <cell r="AC139" t="str">
            <v>STABLE</v>
          </cell>
          <cell r="AD139">
            <v>0</v>
          </cell>
          <cell r="AE139">
            <v>0</v>
          </cell>
          <cell r="AF139">
            <v>0</v>
          </cell>
          <cell r="AG139">
            <v>0</v>
          </cell>
          <cell r="AH139">
            <v>0</v>
          </cell>
          <cell r="AI139">
            <v>0</v>
          </cell>
          <cell r="AJ139" t="str">
            <v/>
          </cell>
          <cell r="AK139">
            <v>24954874985.824001</v>
          </cell>
          <cell r="AL139" t="str">
            <v>GBp</v>
          </cell>
          <cell r="AM139">
            <v>0.74450000000000005</v>
          </cell>
          <cell r="AN139">
            <v>33.51897244570047</v>
          </cell>
          <cell r="AP139" t="str">
            <v/>
          </cell>
          <cell r="AQ139" t="str">
            <v/>
          </cell>
          <cell r="AR139" t="str">
            <v/>
          </cell>
          <cell r="AS139">
            <v>43174</v>
          </cell>
          <cell r="AT139">
            <v>45268</v>
          </cell>
          <cell r="AU139">
            <v>43173</v>
          </cell>
          <cell r="AV139">
            <v>962.4</v>
          </cell>
          <cell r="AW139">
            <v>936.6</v>
          </cell>
          <cell r="AX139">
            <v>2.754644458680322</v>
          </cell>
        </row>
        <row r="140">
          <cell r="F140" t="str">
            <v>Prudential Financial Inc</v>
          </cell>
          <cell r="G140" t="str">
            <v>保德信金融</v>
          </cell>
          <cell r="H140">
            <v>103.26</v>
          </cell>
          <cell r="I140">
            <v>-3.872217E-2</v>
          </cell>
          <cell r="J140">
            <v>1.503981</v>
          </cell>
          <cell r="K140">
            <v>-12.882809999999999</v>
          </cell>
          <cell r="L140">
            <v>58.288649999999997</v>
          </cell>
          <cell r="M140">
            <v>0</v>
          </cell>
          <cell r="N140">
            <v>0.61512</v>
          </cell>
          <cell r="O140">
            <v>-3.9460000000000002</v>
          </cell>
          <cell r="P140" t="str">
            <v xml:space="preserve"> </v>
          </cell>
          <cell r="Q140" t="str">
            <v>NR</v>
          </cell>
          <cell r="R140" t="str">
            <v>A3</v>
          </cell>
          <cell r="S140" t="str">
            <v>A</v>
          </cell>
          <cell r="T140" t="str">
            <v>STABLE</v>
          </cell>
          <cell r="U140" t="str">
            <v>STABLE</v>
          </cell>
          <cell r="V140" t="str">
            <v>STABLE</v>
          </cell>
          <cell r="X140" t="str">
            <v>NR</v>
          </cell>
          <cell r="Y140" t="str">
            <v>A3</v>
          </cell>
          <cell r="Z140" t="str">
            <v>A</v>
          </cell>
          <cell r="AA140" t="str">
            <v>STABLE</v>
          </cell>
          <cell r="AB140" t="str">
            <v>STABLE</v>
          </cell>
          <cell r="AC140" t="str">
            <v>STABLE</v>
          </cell>
          <cell r="AD140">
            <v>0</v>
          </cell>
          <cell r="AE140">
            <v>0</v>
          </cell>
          <cell r="AF140">
            <v>0</v>
          </cell>
          <cell r="AG140">
            <v>0</v>
          </cell>
          <cell r="AH140">
            <v>0</v>
          </cell>
          <cell r="AI140">
            <v>0</v>
          </cell>
          <cell r="AJ140" t="str">
            <v/>
          </cell>
          <cell r="AK140">
            <v>36347520000.000008</v>
          </cell>
          <cell r="AL140" t="str">
            <v>USD</v>
          </cell>
          <cell r="AM140">
            <v>1</v>
          </cell>
          <cell r="AN140">
            <v>36.34752000000001</v>
          </cell>
          <cell r="AP140" t="str">
            <v/>
          </cell>
          <cell r="AQ140" t="str">
            <v/>
          </cell>
          <cell r="AR140" t="str">
            <v/>
          </cell>
          <cell r="AS140">
            <v>45338</v>
          </cell>
          <cell r="AT140">
            <v>45819</v>
          </cell>
          <cell r="AU140">
            <v>42689</v>
          </cell>
          <cell r="AV140">
            <v>103.3</v>
          </cell>
          <cell r="AW140">
            <v>100.71</v>
          </cell>
          <cell r="AX140">
            <v>2.5717406414457411</v>
          </cell>
        </row>
        <row r="141">
          <cell r="F141" t="str">
            <v>Nippon Life Insurance Co</v>
          </cell>
          <cell r="G141" t="str">
            <v>日本生命保險公司</v>
          </cell>
          <cell r="H141" t="str">
            <v>-</v>
          </cell>
          <cell r="I141" t="str">
            <v>-</v>
          </cell>
          <cell r="J141" t="str">
            <v>-</v>
          </cell>
          <cell r="K141" t="str">
            <v>-</v>
          </cell>
          <cell r="L141" t="str">
            <v>#N/A N/A BEST Curncy</v>
          </cell>
          <cell r="M141" t="str">
            <v>#N/A N/A BEST Curncy</v>
          </cell>
          <cell r="N141" t="str">
            <v>#N/A N/A BEST Curncy</v>
          </cell>
          <cell r="O141" t="str">
            <v>#N/A N/A BEST Curncy</v>
          </cell>
          <cell r="P141" t="str">
            <v xml:space="preserve"> </v>
          </cell>
          <cell r="Q141" t="str">
            <v>A+</v>
          </cell>
          <cell r="R141" t="str">
            <v>A1</v>
          </cell>
          <cell r="S141" t="str">
            <v>Au</v>
          </cell>
          <cell r="T141" t="str">
            <v>STABLE</v>
          </cell>
          <cell r="U141" t="str">
            <v>STABLE</v>
          </cell>
          <cell r="V141" t="str">
            <v>POS</v>
          </cell>
          <cell r="X141" t="str">
            <v>A+</v>
          </cell>
          <cell r="Y141" t="str">
            <v>A1</v>
          </cell>
          <cell r="Z141" t="str">
            <v>Au</v>
          </cell>
          <cell r="AA141" t="str">
            <v>STABLE</v>
          </cell>
          <cell r="AB141" t="str">
            <v>STABLE</v>
          </cell>
          <cell r="AC141" t="str">
            <v>POS</v>
          </cell>
          <cell r="AD141">
            <v>0</v>
          </cell>
          <cell r="AE141">
            <v>0</v>
          </cell>
          <cell r="AF141">
            <v>0</v>
          </cell>
          <cell r="AG141">
            <v>0</v>
          </cell>
          <cell r="AH141">
            <v>0</v>
          </cell>
          <cell r="AI141">
            <v>0</v>
          </cell>
          <cell r="AJ141" t="str">
            <v/>
          </cell>
          <cell r="AK141" t="str">
            <v>#N/A N/A</v>
          </cell>
          <cell r="AL141" t="str">
            <v>JPY</v>
          </cell>
          <cell r="AM141">
            <v>148.27000000000001</v>
          </cell>
          <cell r="AN141" t="e">
            <v>#VALUE!</v>
          </cell>
          <cell r="AP141" t="str">
            <v/>
          </cell>
          <cell r="AQ141" t="str">
            <v/>
          </cell>
          <cell r="AR141" t="str">
            <v/>
          </cell>
          <cell r="AS141">
            <v>40844</v>
          </cell>
          <cell r="AT141">
            <v>45637</v>
          </cell>
          <cell r="AU141">
            <v>42122</v>
          </cell>
          <cell r="AV141" t="str">
            <v>-</v>
          </cell>
          <cell r="AW141" t="str">
            <v>-</v>
          </cell>
          <cell r="AX141" t="str">
            <v>-</v>
          </cell>
        </row>
        <row r="142">
          <cell r="F142" t="str">
            <v>AIA Group Ltd</v>
          </cell>
          <cell r="G142" t="str">
            <v>友邦保險控股有限公司</v>
          </cell>
          <cell r="H142">
            <v>73.8</v>
          </cell>
          <cell r="I142">
            <v>0.27173910000000001</v>
          </cell>
          <cell r="J142">
            <v>0.40816330000000001</v>
          </cell>
          <cell r="K142">
            <v>31.083480000000002</v>
          </cell>
          <cell r="L142">
            <v>51.37914</v>
          </cell>
          <cell r="M142">
            <v>0</v>
          </cell>
          <cell r="N142">
            <v>-0.10264</v>
          </cell>
          <cell r="O142">
            <v>0.65073999999999999</v>
          </cell>
          <cell r="P142" t="str">
            <v xml:space="preserve"> </v>
          </cell>
          <cell r="Q142" t="str">
            <v>A+</v>
          </cell>
          <cell r="R142" t="str">
            <v>A1</v>
          </cell>
          <cell r="S142" t="str">
            <v>AA-</v>
          </cell>
          <cell r="T142" t="str">
            <v>POS</v>
          </cell>
          <cell r="U142" t="str">
            <v>STABLE</v>
          </cell>
          <cell r="V142" t="str">
            <v>STABLE</v>
          </cell>
          <cell r="X142" t="str">
            <v>A+</v>
          </cell>
          <cell r="Y142" t="str">
            <v>A1</v>
          </cell>
          <cell r="Z142" t="str">
            <v>AA-</v>
          </cell>
          <cell r="AA142" t="str">
            <v>POS</v>
          </cell>
          <cell r="AB142" t="str">
            <v>STABLE</v>
          </cell>
          <cell r="AC142" t="str">
            <v>STABLE</v>
          </cell>
          <cell r="AD142">
            <v>0</v>
          </cell>
          <cell r="AE142">
            <v>0</v>
          </cell>
          <cell r="AF142">
            <v>0</v>
          </cell>
          <cell r="AG142">
            <v>0</v>
          </cell>
          <cell r="AH142">
            <v>0</v>
          </cell>
          <cell r="AI142">
            <v>0</v>
          </cell>
          <cell r="AJ142" t="str">
            <v/>
          </cell>
          <cell r="AK142">
            <v>775227196949.3999</v>
          </cell>
          <cell r="AL142" t="str">
            <v>HKD</v>
          </cell>
          <cell r="AM142">
            <v>7.8498999999999999</v>
          </cell>
          <cell r="AN142">
            <v>98.756314978458306</v>
          </cell>
          <cell r="AP142" t="str">
            <v/>
          </cell>
          <cell r="AQ142" t="str">
            <v/>
          </cell>
          <cell r="AR142" t="str">
            <v/>
          </cell>
          <cell r="AS142">
            <v>44284</v>
          </cell>
          <cell r="AT142">
            <v>45805</v>
          </cell>
          <cell r="AU142">
            <v>43062</v>
          </cell>
          <cell r="AV142">
            <v>73.599999999999994</v>
          </cell>
          <cell r="AW142">
            <v>71.349999999999994</v>
          </cell>
          <cell r="AX142">
            <v>3.153468815697269</v>
          </cell>
        </row>
        <row r="143">
          <cell r="F143" t="str">
            <v>Danske Bank A/S</v>
          </cell>
          <cell r="G143" t="str">
            <v>丹斯克銀行股份有限公司</v>
          </cell>
          <cell r="H143">
            <v>266.60000000000002</v>
          </cell>
          <cell r="I143">
            <v>0.60377360000000002</v>
          </cell>
          <cell r="J143">
            <v>2.4990389999999998</v>
          </cell>
          <cell r="K143">
            <v>33.940350000000002</v>
          </cell>
          <cell r="L143">
            <v>45.397129999999997</v>
          </cell>
          <cell r="M143">
            <v>0</v>
          </cell>
          <cell r="N143">
            <v>-0.81062999999999996</v>
          </cell>
          <cell r="O143">
            <v>2.4239000000000002</v>
          </cell>
          <cell r="P143" t="str">
            <v xml:space="preserve"> </v>
          </cell>
          <cell r="Q143" t="str">
            <v>A+</v>
          </cell>
          <cell r="R143" t="str">
            <v>A1</v>
          </cell>
          <cell r="S143" t="str">
            <v>A+</v>
          </cell>
          <cell r="T143" t="str">
            <v>STABLE</v>
          </cell>
          <cell r="U143" t="str">
            <v>STABLE</v>
          </cell>
          <cell r="V143" t="str">
            <v>STABLE</v>
          </cell>
          <cell r="X143" t="str">
            <v>A+</v>
          </cell>
          <cell r="Y143" t="str">
            <v>A1</v>
          </cell>
          <cell r="Z143" t="str">
            <v>A+</v>
          </cell>
          <cell r="AA143" t="str">
            <v>STABLE</v>
          </cell>
          <cell r="AB143" t="str">
            <v>STABLE</v>
          </cell>
          <cell r="AC143" t="str">
            <v>STABLE</v>
          </cell>
          <cell r="AD143">
            <v>0</v>
          </cell>
          <cell r="AE143">
            <v>0</v>
          </cell>
          <cell r="AF143">
            <v>0</v>
          </cell>
          <cell r="AG143">
            <v>0</v>
          </cell>
          <cell r="AH143">
            <v>0</v>
          </cell>
          <cell r="AI143">
            <v>0</v>
          </cell>
          <cell r="AJ143" t="str">
            <v/>
          </cell>
          <cell r="AK143">
            <v>222609700324.99997</v>
          </cell>
          <cell r="AL143" t="str">
            <v>DKK</v>
          </cell>
          <cell r="AM143">
            <v>6.4225000000000003</v>
          </cell>
          <cell r="AN143">
            <v>34.660910910860252</v>
          </cell>
          <cell r="AP143" t="str">
            <v/>
          </cell>
          <cell r="AQ143" t="str">
            <v/>
          </cell>
          <cell r="AR143" t="str">
            <v/>
          </cell>
          <cell r="AS143">
            <v>44546</v>
          </cell>
          <cell r="AT143" t="str">
            <v/>
          </cell>
          <cell r="AU143">
            <v>45184</v>
          </cell>
          <cell r="AV143">
            <v>265</v>
          </cell>
          <cell r="AW143">
            <v>254.9</v>
          </cell>
          <cell r="AX143">
            <v>3.9623381718320916</v>
          </cell>
        </row>
        <row r="144">
          <cell r="F144" t="str">
            <v>Citadel LP</v>
          </cell>
          <cell r="G144" t="str">
            <v>城堡有限合夥</v>
          </cell>
          <cell r="H144" t="str">
            <v>-</v>
          </cell>
          <cell r="I144" t="str">
            <v>-</v>
          </cell>
          <cell r="J144" t="str">
            <v>-</v>
          </cell>
          <cell r="K144" t="str">
            <v>-</v>
          </cell>
          <cell r="L144" t="str">
            <v>#N/A N/A BEST Curncy</v>
          </cell>
          <cell r="M144" t="str">
            <v>#N/A N/A BEST Curncy</v>
          </cell>
          <cell r="N144" t="str">
            <v>#N/A N/A BEST Curncy</v>
          </cell>
          <cell r="O144" t="str">
            <v>#N/A N/A BEST Curncy</v>
          </cell>
          <cell r="P144" t="str">
            <v xml:space="preserve"> </v>
          </cell>
          <cell r="Q144" t="str">
            <v>BBB</v>
          </cell>
          <cell r="R144" t="str">
            <v>Baa2</v>
          </cell>
          <cell r="S144" t="str">
            <v>-</v>
          </cell>
          <cell r="T144" t="str">
            <v>STABLE</v>
          </cell>
          <cell r="U144" t="str">
            <v>STABLE</v>
          </cell>
          <cell r="V144" t="str">
            <v xml:space="preserve"> </v>
          </cell>
          <cell r="X144" t="str">
            <v>BBB</v>
          </cell>
          <cell r="Y144" t="str">
            <v>Baa2</v>
          </cell>
          <cell r="Z144" t="str">
            <v>-</v>
          </cell>
          <cell r="AA144" t="str">
            <v>STABLE</v>
          </cell>
          <cell r="AB144" t="str">
            <v>STABLE</v>
          </cell>
          <cell r="AC144" t="str">
            <v xml:space="preserve"> </v>
          </cell>
          <cell r="AD144">
            <v>0</v>
          </cell>
          <cell r="AE144">
            <v>0</v>
          </cell>
          <cell r="AF144">
            <v>0</v>
          </cell>
          <cell r="AG144">
            <v>0</v>
          </cell>
          <cell r="AH144">
            <v>0</v>
          </cell>
          <cell r="AI144">
            <v>0</v>
          </cell>
          <cell r="AJ144" t="str">
            <v/>
          </cell>
          <cell r="AK144" t="str">
            <v>#N/A N/A</v>
          </cell>
          <cell r="AL144" t="str">
            <v>USD</v>
          </cell>
          <cell r="AM144">
            <v>1</v>
          </cell>
          <cell r="AN144" t="e">
            <v>#VALUE!</v>
          </cell>
          <cell r="AP144" t="str">
            <v/>
          </cell>
          <cell r="AQ144" t="str">
            <v/>
          </cell>
          <cell r="AR144" t="str">
            <v/>
          </cell>
          <cell r="AS144">
            <v>43049</v>
          </cell>
          <cell r="AT144">
            <v>45673</v>
          </cell>
          <cell r="AU144" t="str">
            <v/>
          </cell>
          <cell r="AV144" t="str">
            <v>-</v>
          </cell>
          <cell r="AW144" t="str">
            <v>-</v>
          </cell>
          <cell r="AX144" t="str">
            <v>-</v>
          </cell>
        </row>
        <row r="145">
          <cell r="F145" t="str">
            <v>Fubon Financial Holding Co Ltd</v>
          </cell>
          <cell r="G145" t="str">
            <v>富邦金融控股股份有限公司</v>
          </cell>
          <cell r="H145">
            <v>86.9</v>
          </cell>
          <cell r="I145">
            <v>0.81206500000000004</v>
          </cell>
          <cell r="J145">
            <v>3.4523809999999999</v>
          </cell>
          <cell r="K145">
            <v>-3.7652299999999999</v>
          </cell>
          <cell r="L145">
            <v>51.37914</v>
          </cell>
          <cell r="M145">
            <v>0</v>
          </cell>
          <cell r="N145">
            <v>-0.10264</v>
          </cell>
          <cell r="O145">
            <v>0.65073999999999999</v>
          </cell>
          <cell r="P145" t="str">
            <v xml:space="preserve"> </v>
          </cell>
          <cell r="Q145" t="str">
            <v>BBB+</v>
          </cell>
          <cell r="R145" t="str">
            <v>Baa1</v>
          </cell>
          <cell r="S145" t="str">
            <v>-</v>
          </cell>
          <cell r="T145" t="str">
            <v>STABLE</v>
          </cell>
          <cell r="U145" t="str">
            <v>STABLE</v>
          </cell>
          <cell r="V145" t="str">
            <v xml:space="preserve"> </v>
          </cell>
          <cell r="X145" t="str">
            <v>BBB+</v>
          </cell>
          <cell r="Y145" t="str">
            <v>Baa1</v>
          </cell>
          <cell r="Z145" t="str">
            <v>-</v>
          </cell>
          <cell r="AA145" t="str">
            <v>STABLE</v>
          </cell>
          <cell r="AB145" t="str">
            <v>STABLE</v>
          </cell>
          <cell r="AC145" t="str">
            <v xml:space="preserve"> </v>
          </cell>
          <cell r="AD145">
            <v>0</v>
          </cell>
          <cell r="AE145">
            <v>0</v>
          </cell>
          <cell r="AF145">
            <v>0</v>
          </cell>
          <cell r="AG145">
            <v>0</v>
          </cell>
          <cell r="AH145">
            <v>0</v>
          </cell>
          <cell r="AI145">
            <v>0</v>
          </cell>
          <cell r="AJ145" t="str">
            <v/>
          </cell>
          <cell r="AK145">
            <v>1187551233557.5352</v>
          </cell>
          <cell r="AL145" t="str">
            <v>TWD</v>
          </cell>
          <cell r="AM145">
            <v>29.920999999999999</v>
          </cell>
          <cell r="AN145">
            <v>39.689556951891149</v>
          </cell>
          <cell r="AP145" t="str">
            <v/>
          </cell>
          <cell r="AQ145" t="str">
            <v/>
          </cell>
          <cell r="AR145" t="str">
            <v/>
          </cell>
          <cell r="AS145">
            <v>39798</v>
          </cell>
          <cell r="AT145">
            <v>45832</v>
          </cell>
          <cell r="AU145" t="str">
            <v/>
          </cell>
          <cell r="AV145">
            <v>85.2</v>
          </cell>
          <cell r="AW145">
            <v>82.6</v>
          </cell>
          <cell r="AX145">
            <v>3.14769975786926</v>
          </cell>
        </row>
        <row r="146">
          <cell r="F146" t="str">
            <v>Berkshire Hathaway Inc</v>
          </cell>
          <cell r="G146" t="str">
            <v>波克夏海瑟威公司</v>
          </cell>
          <cell r="H146">
            <v>698440</v>
          </cell>
          <cell r="I146">
            <v>5.7288970000000002E-2</v>
          </cell>
          <cell r="J146">
            <v>0.84319949999999999</v>
          </cell>
          <cell r="K146">
            <v>2.5729890000000002</v>
          </cell>
          <cell r="L146">
            <v>65.175089999999997</v>
          </cell>
          <cell r="M146">
            <v>0</v>
          </cell>
          <cell r="N146">
            <v>-0.61612</v>
          </cell>
          <cell r="O146">
            <v>-4.6579600000000001</v>
          </cell>
          <cell r="P146" t="str">
            <v xml:space="preserve"> </v>
          </cell>
          <cell r="Q146" t="str">
            <v>AA</v>
          </cell>
          <cell r="R146" t="str">
            <v>Aa2</v>
          </cell>
          <cell r="S146" t="str">
            <v>AA-u</v>
          </cell>
          <cell r="T146" t="str">
            <v>STABLE</v>
          </cell>
          <cell r="U146" t="str">
            <v>STABLE</v>
          </cell>
          <cell r="V146" t="str">
            <v>STABLE</v>
          </cell>
          <cell r="X146" t="str">
            <v>AA</v>
          </cell>
          <cell r="Y146" t="str">
            <v>Aa2</v>
          </cell>
          <cell r="Z146" t="str">
            <v>AA-u</v>
          </cell>
          <cell r="AA146" t="str">
            <v>STABLE</v>
          </cell>
          <cell r="AB146" t="str">
            <v>STABLE</v>
          </cell>
          <cell r="AC146" t="str">
            <v>STABLE</v>
          </cell>
          <cell r="AD146">
            <v>0</v>
          </cell>
          <cell r="AE146">
            <v>0</v>
          </cell>
          <cell r="AF146">
            <v>0</v>
          </cell>
          <cell r="AG146">
            <v>0</v>
          </cell>
          <cell r="AH146">
            <v>0</v>
          </cell>
          <cell r="AI146">
            <v>0</v>
          </cell>
          <cell r="AJ146" t="str">
            <v/>
          </cell>
          <cell r="AK146">
            <v>1003276673732.47</v>
          </cell>
          <cell r="AL146" t="str">
            <v>USD</v>
          </cell>
          <cell r="AM146">
            <v>1</v>
          </cell>
          <cell r="AN146">
            <v>1003.2766737324699</v>
          </cell>
          <cell r="AP146" t="str">
            <v/>
          </cell>
          <cell r="AQ146" t="str">
            <v/>
          </cell>
          <cell r="AR146" t="str">
            <v/>
          </cell>
          <cell r="AS146">
            <v>42969</v>
          </cell>
          <cell r="AT146">
            <v>45799</v>
          </cell>
          <cell r="AU146">
            <v>40219</v>
          </cell>
          <cell r="AV146">
            <v>698040.1</v>
          </cell>
          <cell r="AW146">
            <v>711480</v>
          </cell>
          <cell r="AX146">
            <v>-1.8890060156293909</v>
          </cell>
        </row>
        <row r="147">
          <cell r="F147" t="str">
            <v>Swiss Re AG</v>
          </cell>
          <cell r="G147" t="str">
            <v>瑞士再保險公司</v>
          </cell>
          <cell r="H147">
            <v>150.80000000000001</v>
          </cell>
          <cell r="I147">
            <v>0.73480290000000004</v>
          </cell>
          <cell r="J147">
            <v>1.8230930000000001</v>
          </cell>
          <cell r="K147">
            <v>14.939030000000001</v>
          </cell>
          <cell r="L147">
            <v>45.397129999999997</v>
          </cell>
          <cell r="M147">
            <v>0</v>
          </cell>
          <cell r="N147">
            <v>-0.81062999999999996</v>
          </cell>
          <cell r="O147">
            <v>-8.4399800000000003</v>
          </cell>
          <cell r="P147" t="str">
            <v xml:space="preserve"> </v>
          </cell>
          <cell r="Q147" t="str">
            <v>A</v>
          </cell>
          <cell r="R147" t="str">
            <v>(P)A2</v>
          </cell>
          <cell r="S147" t="str">
            <v>Au</v>
          </cell>
          <cell r="T147" t="str">
            <v>STABLE</v>
          </cell>
          <cell r="U147" t="str">
            <v>STABLE</v>
          </cell>
          <cell r="V147" t="str">
            <v>STABLE</v>
          </cell>
          <cell r="X147" t="str">
            <v>A</v>
          </cell>
          <cell r="Y147" t="str">
            <v>(P)A2</v>
          </cell>
          <cell r="Z147" t="str">
            <v>Au</v>
          </cell>
          <cell r="AA147" t="str">
            <v>STABLE</v>
          </cell>
          <cell r="AB147" t="str">
            <v>STABLE</v>
          </cell>
          <cell r="AC147" t="str">
            <v>STABLE</v>
          </cell>
          <cell r="AD147">
            <v>0</v>
          </cell>
          <cell r="AE147">
            <v>0</v>
          </cell>
          <cell r="AF147">
            <v>0</v>
          </cell>
          <cell r="AG147">
            <v>0</v>
          </cell>
          <cell r="AH147">
            <v>0</v>
          </cell>
          <cell r="AI147">
            <v>0</v>
          </cell>
          <cell r="AJ147" t="str">
            <v/>
          </cell>
          <cell r="AK147">
            <v>45053265868.000015</v>
          </cell>
          <cell r="AL147" t="str">
            <v>CHF</v>
          </cell>
          <cell r="AM147">
            <v>0.81110000000000004</v>
          </cell>
          <cell r="AN147">
            <v>55.545883205523374</v>
          </cell>
          <cell r="AP147" t="str">
            <v/>
          </cell>
          <cell r="AQ147" t="str">
            <v/>
          </cell>
          <cell r="AR147" t="str">
            <v/>
          </cell>
          <cell r="AS147">
            <v>42307</v>
          </cell>
          <cell r="AT147">
            <v>45616</v>
          </cell>
          <cell r="AU147">
            <v>45614</v>
          </cell>
          <cell r="AV147">
            <v>149.69999999999999</v>
          </cell>
          <cell r="AW147" t="str">
            <v>-</v>
          </cell>
          <cell r="AX147" t="str">
            <v>-</v>
          </cell>
        </row>
        <row r="148">
          <cell r="F148" t="str">
            <v>Skandinaviska Enskilda Banken</v>
          </cell>
          <cell r="G148" t="str">
            <v>北歐斯安銀行</v>
          </cell>
          <cell r="H148">
            <v>176.4</v>
          </cell>
          <cell r="I148">
            <v>0.65620540000000005</v>
          </cell>
          <cell r="J148">
            <v>2.5283350000000002</v>
          </cell>
          <cell r="K148">
            <v>18.735040000000001</v>
          </cell>
          <cell r="L148">
            <v>45.397129999999997</v>
          </cell>
          <cell r="M148">
            <v>0</v>
          </cell>
          <cell r="N148">
            <v>-0.81062999999999996</v>
          </cell>
          <cell r="O148">
            <v>-8.4399800000000003</v>
          </cell>
          <cell r="P148" t="str">
            <v xml:space="preserve"> </v>
          </cell>
          <cell r="Q148" t="str">
            <v>A+</v>
          </cell>
          <cell r="R148" t="str">
            <v>Aa3</v>
          </cell>
          <cell r="S148" t="str">
            <v>AA-</v>
          </cell>
          <cell r="T148" t="str">
            <v>POS</v>
          </cell>
          <cell r="U148" t="str">
            <v>POS</v>
          </cell>
          <cell r="V148" t="str">
            <v>STABLE</v>
          </cell>
          <cell r="X148" t="str">
            <v>A+</v>
          </cell>
          <cell r="Y148" t="str">
            <v>Aa3</v>
          </cell>
          <cell r="Z148" t="str">
            <v>AA-</v>
          </cell>
          <cell r="AA148" t="str">
            <v>POS</v>
          </cell>
          <cell r="AB148" t="str">
            <v>POS</v>
          </cell>
          <cell r="AC148" t="str">
            <v>STABLE</v>
          </cell>
          <cell r="AD148">
            <v>0</v>
          </cell>
          <cell r="AE148">
            <v>0</v>
          </cell>
          <cell r="AF148">
            <v>0</v>
          </cell>
          <cell r="AG148">
            <v>0</v>
          </cell>
          <cell r="AH148">
            <v>0</v>
          </cell>
          <cell r="AI148">
            <v>0</v>
          </cell>
          <cell r="AJ148" t="str">
            <v/>
          </cell>
          <cell r="AK148">
            <v>360380139429.60004</v>
          </cell>
          <cell r="AL148" t="str">
            <v>SEK</v>
          </cell>
          <cell r="AM148">
            <v>9.6365999999999996</v>
          </cell>
          <cell r="AN148">
            <v>37.397021711973103</v>
          </cell>
          <cell r="AP148" t="str">
            <v/>
          </cell>
          <cell r="AQ148" t="str">
            <v/>
          </cell>
          <cell r="AR148" t="str">
            <v/>
          </cell>
          <cell r="AS148">
            <v>40878</v>
          </cell>
          <cell r="AT148" t="str">
            <v/>
          </cell>
          <cell r="AU148">
            <v>44092</v>
          </cell>
          <cell r="AV148">
            <v>175.25</v>
          </cell>
          <cell r="AW148">
            <v>168.9</v>
          </cell>
          <cell r="AX148">
            <v>3.7596210775606931</v>
          </cell>
        </row>
        <row r="149">
          <cell r="F149" t="str">
            <v>Dai-ichi Life Holdings Inc</v>
          </cell>
          <cell r="G149" t="str">
            <v>第一生命控股公司</v>
          </cell>
          <cell r="H149">
            <v>1193.5</v>
          </cell>
          <cell r="I149">
            <v>-1.4043779999999999</v>
          </cell>
          <cell r="J149">
            <v>1.186944</v>
          </cell>
          <cell r="K149">
            <v>12.727270000000001</v>
          </cell>
          <cell r="L149">
            <v>42.825150000000001</v>
          </cell>
          <cell r="M149">
            <v>0</v>
          </cell>
          <cell r="N149">
            <v>0.36657000000000001</v>
          </cell>
          <cell r="O149">
            <v>2.1902699999999999</v>
          </cell>
          <cell r="P149" t="str">
            <v xml:space="preserve"> </v>
          </cell>
          <cell r="Q149" t="str">
            <v>-</v>
          </cell>
          <cell r="R149" t="str">
            <v>-</v>
          </cell>
          <cell r="S149" t="str">
            <v>-</v>
          </cell>
          <cell r="T149" t="str">
            <v xml:space="preserve"> </v>
          </cell>
          <cell r="U149" t="str">
            <v xml:space="preserve"> </v>
          </cell>
          <cell r="V149" t="str">
            <v xml:space="preserve"> </v>
          </cell>
          <cell r="X149" t="str">
            <v>-</v>
          </cell>
          <cell r="Y149" t="str">
            <v>-</v>
          </cell>
          <cell r="Z149" t="str">
            <v>-</v>
          </cell>
          <cell r="AA149" t="str">
            <v xml:space="preserve"> </v>
          </cell>
          <cell r="AB149" t="str">
            <v xml:space="preserve"> </v>
          </cell>
          <cell r="AC149" t="str">
            <v xml:space="preserve"> </v>
          </cell>
          <cell r="AD149">
            <v>0</v>
          </cell>
          <cell r="AE149">
            <v>0</v>
          </cell>
          <cell r="AF149">
            <v>0</v>
          </cell>
          <cell r="AG149">
            <v>0</v>
          </cell>
          <cell r="AH149">
            <v>0</v>
          </cell>
          <cell r="AI149">
            <v>0</v>
          </cell>
          <cell r="AJ149" t="str">
            <v/>
          </cell>
          <cell r="AK149">
            <v>4416858492200</v>
          </cell>
          <cell r="AL149" t="str">
            <v>JPY</v>
          </cell>
          <cell r="AM149">
            <v>148.27000000000001</v>
          </cell>
          <cell r="AN149">
            <v>29.789293128751599</v>
          </cell>
          <cell r="AP149" t="str">
            <v/>
          </cell>
          <cell r="AQ149" t="str">
            <v/>
          </cell>
          <cell r="AR149" t="str">
            <v/>
          </cell>
          <cell r="AS149" t="str">
            <v/>
          </cell>
          <cell r="AT149" t="str">
            <v/>
          </cell>
          <cell r="AU149" t="str">
            <v/>
          </cell>
          <cell r="AV149">
            <v>1210.5</v>
          </cell>
          <cell r="AW149">
            <v>1213.5</v>
          </cell>
          <cell r="AX149">
            <v>-0.24721878862793423</v>
          </cell>
        </row>
        <row r="150">
          <cell r="F150" t="str">
            <v>Republic of Indonesia</v>
          </cell>
          <cell r="G150" t="str">
            <v>印尼共和國</v>
          </cell>
          <cell r="H150">
            <v>16289</v>
          </cell>
          <cell r="I150">
            <v>-9.2100000000000001E-2</v>
          </cell>
          <cell r="J150">
            <v>0.56479999999999997</v>
          </cell>
          <cell r="K150">
            <v>-1.1479999999999999</v>
          </cell>
          <cell r="L150">
            <v>73.859219999999993</v>
          </cell>
          <cell r="M150">
            <v>-6.3200000000000006E-2</v>
          </cell>
          <cell r="N150">
            <v>-0.51719999999999999</v>
          </cell>
          <cell r="O150">
            <v>-5.0281099999999999</v>
          </cell>
          <cell r="P150" t="str">
            <v xml:space="preserve"> </v>
          </cell>
          <cell r="Q150" t="str">
            <v>BBB</v>
          </cell>
          <cell r="R150" t="str">
            <v>Baa2</v>
          </cell>
          <cell r="S150" t="str">
            <v>BBB</v>
          </cell>
          <cell r="T150" t="str">
            <v>STABLE</v>
          </cell>
          <cell r="U150" t="str">
            <v>STABLE</v>
          </cell>
          <cell r="V150" t="str">
            <v>STABLE</v>
          </cell>
          <cell r="X150" t="str">
            <v>BBB</v>
          </cell>
          <cell r="Y150" t="str">
            <v>Baa2</v>
          </cell>
          <cell r="Z150" t="str">
            <v>BBB</v>
          </cell>
          <cell r="AA150" t="str">
            <v>STABLE</v>
          </cell>
          <cell r="AB150" t="str">
            <v>STABLE</v>
          </cell>
          <cell r="AC150" t="str">
            <v>STABLE</v>
          </cell>
          <cell r="AD150">
            <v>0</v>
          </cell>
          <cell r="AE150">
            <v>0</v>
          </cell>
          <cell r="AF150">
            <v>0</v>
          </cell>
          <cell r="AG150">
            <v>0</v>
          </cell>
          <cell r="AH150">
            <v>0</v>
          </cell>
          <cell r="AI150">
            <v>0</v>
          </cell>
          <cell r="AJ150" t="str">
            <v/>
          </cell>
          <cell r="AK150" t="str">
            <v>#N/A N/A</v>
          </cell>
          <cell r="AL150" t="str">
            <v>IDR</v>
          </cell>
          <cell r="AM150">
            <v>16288</v>
          </cell>
          <cell r="AN150" t="e">
            <v>#VALUE!</v>
          </cell>
          <cell r="AP150" t="str">
            <v/>
          </cell>
          <cell r="AQ150" t="str">
            <v/>
          </cell>
          <cell r="AR150" t="str">
            <v/>
          </cell>
          <cell r="AS150">
            <v>43616</v>
          </cell>
          <cell r="AT150">
            <v>45398</v>
          </cell>
          <cell r="AU150">
            <v>43089</v>
          </cell>
          <cell r="AV150">
            <v>16291</v>
          </cell>
          <cell r="AW150">
            <v>16493</v>
          </cell>
          <cell r="AX150">
            <v>-1.2247620202510134</v>
          </cell>
        </row>
        <row r="151">
          <cell r="F151" t="str">
            <v>Japan</v>
          </cell>
          <cell r="G151" t="str">
            <v>日本</v>
          </cell>
          <cell r="H151">
            <v>148.27000000000001</v>
          </cell>
          <cell r="I151">
            <v>-8.09E-2</v>
          </cell>
          <cell r="J151">
            <v>-0.43840000000000001</v>
          </cell>
          <cell r="K151">
            <v>6.0228000000000002</v>
          </cell>
          <cell r="L151">
            <v>20.427669999999999</v>
          </cell>
          <cell r="M151">
            <v>2.5999999999999998E-4</v>
          </cell>
          <cell r="N151">
            <v>-0.27698</v>
          </cell>
          <cell r="O151">
            <v>0.59853999999999996</v>
          </cell>
          <cell r="P151" t="str">
            <v xml:space="preserve"> </v>
          </cell>
          <cell r="Q151" t="str">
            <v>A+u</v>
          </cell>
          <cell r="R151" t="str">
            <v>A1</v>
          </cell>
          <cell r="S151" t="str">
            <v>Au</v>
          </cell>
          <cell r="T151" t="str">
            <v>STABLE</v>
          </cell>
          <cell r="U151" t="str">
            <v>STABLE</v>
          </cell>
          <cell r="V151" t="str">
            <v>STABLE</v>
          </cell>
          <cell r="X151" t="str">
            <v>A+u</v>
          </cell>
          <cell r="Y151" t="str">
            <v>A1</v>
          </cell>
          <cell r="Z151" t="str">
            <v>Au</v>
          </cell>
          <cell r="AA151" t="str">
            <v>STABLE</v>
          </cell>
          <cell r="AB151" t="str">
            <v>STABLE</v>
          </cell>
          <cell r="AC151" t="str">
            <v>STABLE</v>
          </cell>
          <cell r="AD151">
            <v>0</v>
          </cell>
          <cell r="AE151">
            <v>0</v>
          </cell>
          <cell r="AF151">
            <v>0</v>
          </cell>
          <cell r="AG151">
            <v>0</v>
          </cell>
          <cell r="AH151">
            <v>0</v>
          </cell>
          <cell r="AI151">
            <v>0</v>
          </cell>
          <cell r="AJ151" t="str">
            <v/>
          </cell>
          <cell r="AK151" t="str">
            <v>#N/A N/A</v>
          </cell>
          <cell r="AL151" t="str">
            <v>JPY</v>
          </cell>
          <cell r="AM151">
            <v>148.27000000000001</v>
          </cell>
          <cell r="AN151" t="e">
            <v>#VALUE!</v>
          </cell>
          <cell r="AP151" t="str">
            <v/>
          </cell>
          <cell r="AQ151" t="str">
            <v/>
          </cell>
          <cell r="AR151" t="str">
            <v/>
          </cell>
          <cell r="AS151">
            <v>42263</v>
          </cell>
          <cell r="AT151">
            <v>45238</v>
          </cell>
          <cell r="AU151">
            <v>42121</v>
          </cell>
          <cell r="AV151">
            <v>147.74</v>
          </cell>
          <cell r="AW151">
            <v>147.4</v>
          </cell>
          <cell r="AX151">
            <v>0.23066485753053811</v>
          </cell>
        </row>
        <row r="152">
          <cell r="F152" t="str">
            <v>Republic of Chile</v>
          </cell>
          <cell r="G152" t="str">
            <v>智利共和國</v>
          </cell>
          <cell r="H152">
            <v>969.7</v>
          </cell>
          <cell r="I152">
            <v>-0.3826</v>
          </cell>
          <cell r="J152">
            <v>-0.37230000000000002</v>
          </cell>
          <cell r="K152">
            <v>2.7627000000000002</v>
          </cell>
          <cell r="L152">
            <v>53.078769999999999</v>
          </cell>
          <cell r="M152">
            <v>9.3390000000000001E-2</v>
          </cell>
          <cell r="N152">
            <v>-2.93676</v>
          </cell>
          <cell r="O152">
            <v>-9.8283699999999996</v>
          </cell>
          <cell r="P152" t="str">
            <v xml:space="preserve"> </v>
          </cell>
          <cell r="Q152" t="str">
            <v>A</v>
          </cell>
          <cell r="R152" t="str">
            <v>A2</v>
          </cell>
          <cell r="S152" t="str">
            <v>A-</v>
          </cell>
          <cell r="T152" t="str">
            <v>STABLE</v>
          </cell>
          <cell r="U152" t="str">
            <v>STABLE</v>
          </cell>
          <cell r="V152" t="str">
            <v>STABLE</v>
          </cell>
          <cell r="X152" t="str">
            <v>A</v>
          </cell>
          <cell r="Y152" t="str">
            <v>A2</v>
          </cell>
          <cell r="Z152" t="str">
            <v>A-</v>
          </cell>
          <cell r="AA152" t="str">
            <v>STABLE</v>
          </cell>
          <cell r="AB152" t="str">
            <v>STABLE</v>
          </cell>
          <cell r="AC152" t="str">
            <v>STABLE</v>
          </cell>
          <cell r="AD152">
            <v>0</v>
          </cell>
          <cell r="AE152">
            <v>0</v>
          </cell>
          <cell r="AF152">
            <v>0</v>
          </cell>
          <cell r="AG152">
            <v>0</v>
          </cell>
          <cell r="AH152">
            <v>0</v>
          </cell>
          <cell r="AI152">
            <v>0</v>
          </cell>
          <cell r="AJ152" t="str">
            <v/>
          </cell>
          <cell r="AK152" t="str">
            <v>#N/A N/A</v>
          </cell>
          <cell r="AL152" t="str">
            <v>CLP</v>
          </cell>
          <cell r="AM152">
            <v>969.85</v>
          </cell>
          <cell r="AN152" t="e">
            <v>#VALUE!</v>
          </cell>
          <cell r="AP152" t="str">
            <v/>
          </cell>
          <cell r="AQ152" t="str">
            <v/>
          </cell>
          <cell r="AR152" t="str">
            <v/>
          </cell>
          <cell r="AS152">
            <v>44279</v>
          </cell>
          <cell r="AT152">
            <v>45463</v>
          </cell>
          <cell r="AU152">
            <v>44119</v>
          </cell>
          <cell r="AV152">
            <v>965.99</v>
          </cell>
          <cell r="AW152">
            <v>969.33</v>
          </cell>
          <cell r="AX152">
            <v>-0.34456789741368343</v>
          </cell>
        </row>
        <row r="153">
          <cell r="F153" t="str">
            <v>United Mexican States</v>
          </cell>
          <cell r="G153" t="str">
            <v>墨西哥合眾國</v>
          </cell>
          <cell r="H153">
            <v>18.673400000000001</v>
          </cell>
          <cell r="I153">
            <v>-3.6400000000000002E-2</v>
          </cell>
          <cell r="J153">
            <v>0.36680000000000001</v>
          </cell>
          <cell r="K153">
            <v>11.5335</v>
          </cell>
          <cell r="L153">
            <v>101.4281</v>
          </cell>
          <cell r="M153">
            <v>-0.19919999999999999</v>
          </cell>
          <cell r="N153">
            <v>-7.4371999999999998</v>
          </cell>
          <cell r="O153">
            <v>-39.810200000000002</v>
          </cell>
          <cell r="P153" t="str">
            <v xml:space="preserve"> </v>
          </cell>
          <cell r="Q153" t="str">
            <v>BBB</v>
          </cell>
          <cell r="R153" t="str">
            <v>Baa2</v>
          </cell>
          <cell r="S153" t="str">
            <v>BBB-</v>
          </cell>
          <cell r="T153" t="str">
            <v>STABLE</v>
          </cell>
          <cell r="U153" t="str">
            <v>NEG</v>
          </cell>
          <cell r="V153" t="str">
            <v>STABLE</v>
          </cell>
          <cell r="X153" t="str">
            <v>BBB</v>
          </cell>
          <cell r="Y153" t="str">
            <v>Baa2</v>
          </cell>
          <cell r="Z153" t="str">
            <v>BBB-</v>
          </cell>
          <cell r="AA153" t="str">
            <v>STABLE</v>
          </cell>
          <cell r="AB153" t="str">
            <v>NEG</v>
          </cell>
          <cell r="AC153" t="str">
            <v>STABLE</v>
          </cell>
          <cell r="AD153">
            <v>0</v>
          </cell>
          <cell r="AE153">
            <v>0</v>
          </cell>
          <cell r="AF153">
            <v>0</v>
          </cell>
          <cell r="AG153">
            <v>0</v>
          </cell>
          <cell r="AH153">
            <v>0</v>
          </cell>
          <cell r="AI153">
            <v>0</v>
          </cell>
          <cell r="AJ153" t="str">
            <v/>
          </cell>
          <cell r="AK153" t="str">
            <v>#N/A N/A</v>
          </cell>
          <cell r="AL153" t="str">
            <v>MXN</v>
          </cell>
          <cell r="AM153">
            <v>18.673500000000001</v>
          </cell>
          <cell r="AN153" t="e">
            <v>#VALUE!</v>
          </cell>
          <cell r="AP153" t="str">
            <v/>
          </cell>
          <cell r="AQ153" t="str">
            <v/>
          </cell>
          <cell r="AR153" t="str">
            <v/>
          </cell>
          <cell r="AS153">
            <v>43916</v>
          </cell>
          <cell r="AT153">
            <v>45610</v>
          </cell>
          <cell r="AU153">
            <v>43936</v>
          </cell>
          <cell r="AV153">
            <v>18.573499999999999</v>
          </cell>
          <cell r="AW153">
            <v>18.859500000000001</v>
          </cell>
          <cell r="AX153">
            <v>-1.5164771070282912</v>
          </cell>
        </row>
        <row r="154">
          <cell r="F154" t="str">
            <v>Republic of Korea</v>
          </cell>
          <cell r="G154" t="str">
            <v>大韓民國</v>
          </cell>
          <cell r="H154">
            <v>1389.44</v>
          </cell>
          <cell r="I154">
            <v>0.1497</v>
          </cell>
          <cell r="J154">
            <v>-0.26490000000000002</v>
          </cell>
          <cell r="K154">
            <v>6.4161999999999999</v>
          </cell>
          <cell r="L154">
            <v>21.721620000000001</v>
          </cell>
          <cell r="M154">
            <v>-8.8220000000000007E-2</v>
          </cell>
          <cell r="N154">
            <v>-0.59284999999999999</v>
          </cell>
          <cell r="O154">
            <v>-15.775309999999999</v>
          </cell>
          <cell r="P154" t="str">
            <v xml:space="preserve"> </v>
          </cell>
          <cell r="Q154" t="str">
            <v>AA</v>
          </cell>
          <cell r="R154" t="str">
            <v>Aa2</v>
          </cell>
          <cell r="S154" t="str">
            <v>AA-</v>
          </cell>
          <cell r="T154" t="str">
            <v>STABLE</v>
          </cell>
          <cell r="U154" t="str">
            <v>STABLE</v>
          </cell>
          <cell r="V154" t="str">
            <v>STABLE</v>
          </cell>
          <cell r="X154" t="str">
            <v>AA</v>
          </cell>
          <cell r="Y154" t="str">
            <v>Aa2</v>
          </cell>
          <cell r="Z154" t="str">
            <v>AA-</v>
          </cell>
          <cell r="AA154" t="str">
            <v>STABLE</v>
          </cell>
          <cell r="AB154" t="str">
            <v>STABLE</v>
          </cell>
          <cell r="AC154" t="str">
            <v>STABLE</v>
          </cell>
          <cell r="AD154">
            <v>0</v>
          </cell>
          <cell r="AE154">
            <v>0</v>
          </cell>
          <cell r="AF154">
            <v>0</v>
          </cell>
          <cell r="AG154">
            <v>0</v>
          </cell>
          <cell r="AH154">
            <v>0</v>
          </cell>
          <cell r="AI154">
            <v>0</v>
          </cell>
          <cell r="AJ154" t="str">
            <v/>
          </cell>
          <cell r="AK154" t="str">
            <v>#N/A N/A</v>
          </cell>
          <cell r="AL154" t="str">
            <v>KRW</v>
          </cell>
          <cell r="AM154">
            <v>1389.5</v>
          </cell>
          <cell r="AN154" t="e">
            <v>#VALUE!</v>
          </cell>
          <cell r="AP154" t="str">
            <v/>
          </cell>
          <cell r="AQ154" t="str">
            <v/>
          </cell>
          <cell r="AR154" t="str">
            <v/>
          </cell>
          <cell r="AS154">
            <v>42589</v>
          </cell>
          <cell r="AT154">
            <v>45421</v>
          </cell>
          <cell r="AU154">
            <v>41158</v>
          </cell>
          <cell r="AV154">
            <v>1388.77</v>
          </cell>
          <cell r="AW154">
            <v>1389.47</v>
          </cell>
          <cell r="AX154">
            <v>-5.0378921459259818E-2</v>
          </cell>
        </row>
        <row r="155">
          <cell r="F155" t="str">
            <v>Kingdom of Saudi Arabia</v>
          </cell>
          <cell r="G155" t="str">
            <v>沙烏地阿拉伯王國</v>
          </cell>
          <cell r="H155">
            <v>3.7530000000000001</v>
          </cell>
          <cell r="I155">
            <v>-2.7000000000000001E-3</v>
          </cell>
          <cell r="J155">
            <v>-2.1299999999999999E-2</v>
          </cell>
          <cell r="K155">
            <v>6.93E-2</v>
          </cell>
          <cell r="L155">
            <v>61.24089</v>
          </cell>
          <cell r="M155">
            <v>0.12064999999999999</v>
          </cell>
          <cell r="N155">
            <v>2.5628500000000001</v>
          </cell>
          <cell r="O155">
            <v>-3.48732</v>
          </cell>
          <cell r="P155" t="str">
            <v xml:space="preserve"> </v>
          </cell>
          <cell r="Q155" t="str">
            <v>A+u</v>
          </cell>
          <cell r="R155" t="str">
            <v>Aa3</v>
          </cell>
          <cell r="S155" t="str">
            <v>A+</v>
          </cell>
          <cell r="T155" t="str">
            <v>STABLE</v>
          </cell>
          <cell r="U155" t="str">
            <v>STABLE</v>
          </cell>
          <cell r="V155" t="str">
            <v>STABLE</v>
          </cell>
          <cell r="X155" t="str">
            <v>A+u</v>
          </cell>
          <cell r="Y155" t="str">
            <v>Aa3</v>
          </cell>
          <cell r="Z155" t="str">
            <v>A+</v>
          </cell>
          <cell r="AA155" t="str">
            <v>STABLE</v>
          </cell>
          <cell r="AB155" t="str">
            <v>STABLE</v>
          </cell>
          <cell r="AC155" t="str">
            <v>STABLE</v>
          </cell>
          <cell r="AD155">
            <v>0</v>
          </cell>
          <cell r="AE155">
            <v>0</v>
          </cell>
          <cell r="AF155">
            <v>0</v>
          </cell>
          <cell r="AG155">
            <v>0</v>
          </cell>
          <cell r="AH155">
            <v>0</v>
          </cell>
          <cell r="AI155">
            <v>0</v>
          </cell>
          <cell r="AJ155" t="str">
            <v/>
          </cell>
          <cell r="AK155" t="str">
            <v>#N/A N/A</v>
          </cell>
          <cell r="AL155" t="str">
            <v>SAR</v>
          </cell>
          <cell r="AM155">
            <v>3.7530000000000001</v>
          </cell>
          <cell r="AN155" t="e">
            <v>#VALUE!</v>
          </cell>
          <cell r="AP155" t="str">
            <v/>
          </cell>
          <cell r="AQ155" t="str">
            <v/>
          </cell>
          <cell r="AR155" t="str">
            <v/>
          </cell>
          <cell r="AS155">
            <v>45730</v>
          </cell>
          <cell r="AT155">
            <v>45618</v>
          </cell>
          <cell r="AU155">
            <v>45021</v>
          </cell>
          <cell r="AV155">
            <v>3.7532000000000001</v>
          </cell>
          <cell r="AW155">
            <v>3.7513000000000001</v>
          </cell>
          <cell r="AX155">
            <v>5.0649108309119839E-2</v>
          </cell>
        </row>
        <row r="156">
          <cell r="F156" t="str">
            <v>Commonwealth of Australia</v>
          </cell>
          <cell r="G156" t="str">
            <v>澳洲聯邦</v>
          </cell>
          <cell r="H156">
            <v>0.65169999999999995</v>
          </cell>
          <cell r="I156">
            <v>6.1400000000000003E-2</v>
          </cell>
          <cell r="J156">
            <v>0.67969999999999997</v>
          </cell>
          <cell r="K156">
            <v>5.3167</v>
          </cell>
          <cell r="L156">
            <v>11.09728</v>
          </cell>
          <cell r="M156">
            <v>-4.1900000000000001E-3</v>
          </cell>
          <cell r="N156">
            <v>0.29897000000000001</v>
          </cell>
          <cell r="O156">
            <v>0.17027</v>
          </cell>
          <cell r="P156" t="str">
            <v xml:space="preserve"> </v>
          </cell>
          <cell r="Q156" t="str">
            <v>AAAu</v>
          </cell>
          <cell r="R156" t="str">
            <v>Aaa</v>
          </cell>
          <cell r="S156" t="str">
            <v>AAAu</v>
          </cell>
          <cell r="T156" t="str">
            <v>STABLE</v>
          </cell>
          <cell r="U156" t="str">
            <v>STABLE</v>
          </cell>
          <cell r="V156" t="str">
            <v>STABLE</v>
          </cell>
          <cell r="X156" t="str">
            <v>AAAu</v>
          </cell>
          <cell r="Y156" t="str">
            <v>Aaa</v>
          </cell>
          <cell r="Z156" t="str">
            <v>AAAu</v>
          </cell>
          <cell r="AA156" t="str">
            <v>STABLE</v>
          </cell>
          <cell r="AB156" t="str">
            <v>STABLE</v>
          </cell>
          <cell r="AC156" t="str">
            <v>STABLE</v>
          </cell>
          <cell r="AD156">
            <v>0</v>
          </cell>
          <cell r="AE156">
            <v>0</v>
          </cell>
          <cell r="AF156">
            <v>0</v>
          </cell>
          <cell r="AG156">
            <v>0</v>
          </cell>
          <cell r="AH156">
            <v>0</v>
          </cell>
          <cell r="AI156">
            <v>0</v>
          </cell>
          <cell r="AJ156" t="str">
            <v/>
          </cell>
          <cell r="AK156" t="str">
            <v>#N/A N/A</v>
          </cell>
          <cell r="AL156" t="str">
            <v>AUD</v>
          </cell>
          <cell r="AM156">
            <v>1.5344</v>
          </cell>
          <cell r="AN156" t="e">
            <v>#VALUE!</v>
          </cell>
          <cell r="AP156" t="str">
            <v/>
          </cell>
          <cell r="AQ156" t="str">
            <v/>
          </cell>
          <cell r="AR156" t="str">
            <v/>
          </cell>
          <cell r="AS156">
            <v>40599</v>
          </cell>
          <cell r="AT156">
            <v>45574</v>
          </cell>
          <cell r="AU156">
            <v>40875</v>
          </cell>
          <cell r="AV156">
            <v>0.6522</v>
          </cell>
          <cell r="AW156">
            <v>0.64739999999999998</v>
          </cell>
          <cell r="AX156">
            <v>0.74142724745134281</v>
          </cell>
        </row>
        <row r="157">
          <cell r="F157" t="str">
            <v>Republic of South Africa</v>
          </cell>
          <cell r="G157" t="str">
            <v>南非共和國</v>
          </cell>
          <cell r="H157">
            <v>17.741199999999999</v>
          </cell>
          <cell r="I157">
            <v>9.0200000000000002E-2</v>
          </cell>
          <cell r="J157">
            <v>0.99199999999999999</v>
          </cell>
          <cell r="K157">
            <v>6.2096999999999998</v>
          </cell>
          <cell r="L157">
            <v>181.44</v>
          </cell>
          <cell r="M157">
            <v>0.18260000000000001</v>
          </cell>
          <cell r="N157">
            <v>-7.1493000000000002</v>
          </cell>
          <cell r="O157">
            <v>-11.2295</v>
          </cell>
          <cell r="P157" t="str">
            <v xml:space="preserve"> </v>
          </cell>
          <cell r="Q157" t="str">
            <v>BB-</v>
          </cell>
          <cell r="R157" t="str">
            <v>Ba2</v>
          </cell>
          <cell r="S157" t="str">
            <v>BB-</v>
          </cell>
          <cell r="T157" t="str">
            <v>POS</v>
          </cell>
          <cell r="U157" t="str">
            <v>STABLE</v>
          </cell>
          <cell r="V157" t="str">
            <v>STABLE</v>
          </cell>
          <cell r="X157" t="str">
            <v>BB-</v>
          </cell>
          <cell r="Y157" t="str">
            <v>Ba2</v>
          </cell>
          <cell r="Z157" t="str">
            <v>BB-</v>
          </cell>
          <cell r="AA157" t="str">
            <v>POS</v>
          </cell>
          <cell r="AB157" t="str">
            <v>STABLE</v>
          </cell>
          <cell r="AC157" t="str">
            <v>STABLE</v>
          </cell>
          <cell r="AD157">
            <v>0</v>
          </cell>
          <cell r="AE157">
            <v>0</v>
          </cell>
          <cell r="AF157">
            <v>0</v>
          </cell>
          <cell r="AG157">
            <v>0</v>
          </cell>
          <cell r="AH157">
            <v>0</v>
          </cell>
          <cell r="AI157">
            <v>0</v>
          </cell>
          <cell r="AJ157" t="str">
            <v/>
          </cell>
          <cell r="AK157" t="str">
            <v>#N/A N/A</v>
          </cell>
          <cell r="AL157" t="str">
            <v>ZAr</v>
          </cell>
          <cell r="AM157">
            <v>17.741099999999999</v>
          </cell>
          <cell r="AN157" t="e">
            <v>#VALUE!</v>
          </cell>
          <cell r="AP157" t="str">
            <v/>
          </cell>
          <cell r="AQ157" t="str">
            <v/>
          </cell>
          <cell r="AR157" t="str">
            <v/>
          </cell>
          <cell r="AS157">
            <v>43950</v>
          </cell>
          <cell r="AT157">
            <v>45629</v>
          </cell>
          <cell r="AU157">
            <v>44155</v>
          </cell>
          <cell r="AV157">
            <v>17.7469</v>
          </cell>
          <cell r="AW157">
            <v>18.112400000000001</v>
          </cell>
          <cell r="AX157">
            <v>-2.0179545504737106</v>
          </cell>
        </row>
        <row r="158">
          <cell r="F158" t="str">
            <v>State of Qatar</v>
          </cell>
          <cell r="G158" t="str">
            <v>卡達</v>
          </cell>
          <cell r="H158">
            <v>3.6413000000000002</v>
          </cell>
          <cell r="I158">
            <v>-5.4999999999999997E-3</v>
          </cell>
          <cell r="J158">
            <v>5.4999999999999997E-3</v>
          </cell>
          <cell r="K158">
            <v>-2.7000000000000001E-3</v>
          </cell>
          <cell r="L158">
            <v>28.588149999999999</v>
          </cell>
          <cell r="M158">
            <v>-5.2999999999999998E-4</v>
          </cell>
          <cell r="N158">
            <v>-0.49308999999999997</v>
          </cell>
          <cell r="O158">
            <v>-15.21913</v>
          </cell>
          <cell r="P158" t="str">
            <v xml:space="preserve"> </v>
          </cell>
          <cell r="Q158" t="str">
            <v>AA</v>
          </cell>
          <cell r="R158" t="str">
            <v>Aa2</v>
          </cell>
          <cell r="S158" t="str">
            <v>AA</v>
          </cell>
          <cell r="T158" t="str">
            <v>STABLE</v>
          </cell>
          <cell r="U158" t="str">
            <v>STABLE</v>
          </cell>
          <cell r="V158" t="str">
            <v>STABLE</v>
          </cell>
          <cell r="X158" t="str">
            <v>AA</v>
          </cell>
          <cell r="Y158" t="str">
            <v>Aa2</v>
          </cell>
          <cell r="Z158" t="str">
            <v>AA</v>
          </cell>
          <cell r="AA158" t="str">
            <v>STABLE</v>
          </cell>
          <cell r="AB158" t="str">
            <v>STABLE</v>
          </cell>
          <cell r="AC158" t="str">
            <v>STABLE</v>
          </cell>
          <cell r="AD158">
            <v>0</v>
          </cell>
          <cell r="AE158">
            <v>0</v>
          </cell>
          <cell r="AF158">
            <v>0</v>
          </cell>
          <cell r="AG158">
            <v>0</v>
          </cell>
          <cell r="AH158">
            <v>0</v>
          </cell>
          <cell r="AI158">
            <v>0</v>
          </cell>
          <cell r="AJ158" t="str">
            <v/>
          </cell>
          <cell r="AK158" t="str">
            <v>#N/A N/A</v>
          </cell>
          <cell r="AL158" t="str">
            <v>QAR</v>
          </cell>
          <cell r="AM158">
            <v>3.6413000000000002</v>
          </cell>
          <cell r="AN158" t="e">
            <v>#VALUE!</v>
          </cell>
          <cell r="AP158" t="str">
            <v/>
          </cell>
          <cell r="AQ158" t="str">
            <v/>
          </cell>
          <cell r="AR158" t="str">
            <v/>
          </cell>
          <cell r="AS158">
            <v>44869</v>
          </cell>
          <cell r="AT158">
            <v>45316</v>
          </cell>
          <cell r="AU158">
            <v>45371</v>
          </cell>
          <cell r="AV158">
            <v>3.6410999999999998</v>
          </cell>
          <cell r="AW158" t="str">
            <v>-</v>
          </cell>
          <cell r="AX158" t="str">
            <v>-</v>
          </cell>
        </row>
        <row r="159">
          <cell r="F159" t="str">
            <v>United States of America</v>
          </cell>
          <cell r="G159" t="str">
            <v>美國</v>
          </cell>
          <cell r="H159">
            <v>98.486999999999995</v>
          </cell>
          <cell r="I159">
            <v>-3.3495736906213207E-2</v>
          </cell>
          <cell r="J159">
            <v>-0.29864749664438378</v>
          </cell>
          <cell r="K159">
            <v>-9.2204595942370986</v>
          </cell>
          <cell r="L159">
            <v>36.973649999999999</v>
          </cell>
          <cell r="M159">
            <v>0</v>
          </cell>
          <cell r="N159">
            <v>-0.86460000000000004</v>
          </cell>
          <cell r="O159">
            <v>3.49899</v>
          </cell>
          <cell r="P159" t="str">
            <v xml:space="preserve"> </v>
          </cell>
          <cell r="Q159" t="str">
            <v>AA+u</v>
          </cell>
          <cell r="R159" t="str">
            <v>Aa1</v>
          </cell>
          <cell r="S159" t="str">
            <v>AA+u</v>
          </cell>
          <cell r="T159" t="str">
            <v>STABLE</v>
          </cell>
          <cell r="U159" t="str">
            <v>STABLE</v>
          </cell>
          <cell r="V159" t="str">
            <v>STABLE</v>
          </cell>
          <cell r="X159" t="str">
            <v>AA+u</v>
          </cell>
          <cell r="Y159" t="str">
            <v>Aa1</v>
          </cell>
          <cell r="Z159" t="str">
            <v>AA+u</v>
          </cell>
          <cell r="AA159" t="str">
            <v>STABLE</v>
          </cell>
          <cell r="AB159" t="str">
            <v>STABLE</v>
          </cell>
          <cell r="AC159" t="str">
            <v>STABLE</v>
          </cell>
          <cell r="AD159">
            <v>0</v>
          </cell>
          <cell r="AE159">
            <v>0</v>
          </cell>
          <cell r="AF159">
            <v>0</v>
          </cell>
          <cell r="AG159">
            <v>0</v>
          </cell>
          <cell r="AH159">
            <v>0</v>
          </cell>
          <cell r="AI159">
            <v>0</v>
          </cell>
          <cell r="AJ159" t="str">
            <v/>
          </cell>
          <cell r="AK159" t="str">
            <v>#N/A N/A</v>
          </cell>
          <cell r="AL159" t="str">
            <v>USD</v>
          </cell>
          <cell r="AM159">
            <v>1</v>
          </cell>
          <cell r="AN159" t="e">
            <v>#VALUE!</v>
          </cell>
          <cell r="AP159" t="str">
            <v/>
          </cell>
          <cell r="AQ159" t="str">
            <v/>
          </cell>
          <cell r="AR159" t="str">
            <v/>
          </cell>
          <cell r="AS159">
            <v>40760</v>
          </cell>
          <cell r="AT159">
            <v>45793</v>
          </cell>
          <cell r="AU159">
            <v>45139</v>
          </cell>
          <cell r="AV159">
            <v>98.180009999999996</v>
          </cell>
          <cell r="AW159">
            <v>99.141009999999994</v>
          </cell>
          <cell r="AX159">
            <v>-0.96932641698929123</v>
          </cell>
        </row>
        <row r="160">
          <cell r="F160" t="str">
            <v>People's Republic of China</v>
          </cell>
          <cell r="G160" t="str">
            <v>中華人民共和國</v>
          </cell>
          <cell r="H160">
            <v>7.1874000000000002</v>
          </cell>
          <cell r="I160">
            <v>1.95E-2</v>
          </cell>
          <cell r="J160">
            <v>-4.7300000000000002E-2</v>
          </cell>
          <cell r="K160">
            <v>1.5569</v>
          </cell>
          <cell r="L160">
            <v>44.389740000000003</v>
          </cell>
          <cell r="M160">
            <v>0</v>
          </cell>
          <cell r="N160">
            <v>0.30286000000000002</v>
          </cell>
          <cell r="O160">
            <v>-21.358460000000001</v>
          </cell>
          <cell r="P160" t="str">
            <v xml:space="preserve"> </v>
          </cell>
          <cell r="Q160" t="str">
            <v>A+</v>
          </cell>
          <cell r="R160" t="str">
            <v>A1</v>
          </cell>
          <cell r="S160" t="str">
            <v>Au</v>
          </cell>
          <cell r="T160" t="str">
            <v>STABLE</v>
          </cell>
          <cell r="U160" t="str">
            <v>NEG</v>
          </cell>
          <cell r="V160" t="str">
            <v>STABLE</v>
          </cell>
          <cell r="X160" t="str">
            <v>A+</v>
          </cell>
          <cell r="Y160" t="str">
            <v>A1</v>
          </cell>
          <cell r="Z160" t="str">
            <v>Au</v>
          </cell>
          <cell r="AA160" t="str">
            <v>STABLE</v>
          </cell>
          <cell r="AB160" t="str">
            <v>NEG</v>
          </cell>
          <cell r="AC160" t="str">
            <v>STABLE</v>
          </cell>
          <cell r="AD160">
            <v>0</v>
          </cell>
          <cell r="AE160">
            <v>0</v>
          </cell>
          <cell r="AF160">
            <v>0</v>
          </cell>
          <cell r="AG160">
            <v>0</v>
          </cell>
          <cell r="AH160">
            <v>0</v>
          </cell>
          <cell r="AI160">
            <v>0</v>
          </cell>
          <cell r="AJ160" t="str">
            <v/>
          </cell>
          <cell r="AK160" t="str">
            <v>#N/A N/A</v>
          </cell>
          <cell r="AL160" t="str">
            <v>CNY</v>
          </cell>
          <cell r="AM160">
            <v>7.1874000000000002</v>
          </cell>
          <cell r="AN160" t="e">
            <v>#VALUE!</v>
          </cell>
          <cell r="AP160" t="str">
            <v/>
          </cell>
          <cell r="AQ160" t="str">
            <v/>
          </cell>
          <cell r="AR160" t="str">
            <v/>
          </cell>
          <cell r="AS160">
            <v>42999</v>
          </cell>
          <cell r="AT160">
            <v>45803</v>
          </cell>
          <cell r="AU160">
            <v>45750</v>
          </cell>
          <cell r="AV160">
            <v>7.1802000000000001</v>
          </cell>
          <cell r="AW160">
            <v>7.1932999999999998</v>
          </cell>
          <cell r="AX160">
            <v>-0.18211391155658063</v>
          </cell>
        </row>
        <row r="161">
          <cell r="F161" t="str">
            <v>United Kingdom of Great Britai</v>
          </cell>
          <cell r="G161" t="str">
            <v>大不列顛及北愛爾蘭聯合王國</v>
          </cell>
          <cell r="H161">
            <v>1.3432999999999999</v>
          </cell>
          <cell r="I161">
            <v>7.4000000000000003E-3</v>
          </cell>
          <cell r="J161">
            <v>1.0076000000000001</v>
          </cell>
          <cell r="K161">
            <v>7.3266</v>
          </cell>
          <cell r="L161">
            <v>16.384730000000001</v>
          </cell>
          <cell r="M161">
            <v>0</v>
          </cell>
          <cell r="N161">
            <v>-0.39811000000000002</v>
          </cell>
          <cell r="O161">
            <v>-4.3871399999999996</v>
          </cell>
          <cell r="P161" t="str">
            <v xml:space="preserve"> </v>
          </cell>
          <cell r="Q161" t="str">
            <v>AAu</v>
          </cell>
          <cell r="R161" t="str">
            <v>Aa3</v>
          </cell>
          <cell r="S161" t="str">
            <v>AA-u</v>
          </cell>
          <cell r="T161" t="str">
            <v>STABLE</v>
          </cell>
          <cell r="U161" t="str">
            <v>STABLE</v>
          </cell>
          <cell r="V161" t="str">
            <v>STABLE</v>
          </cell>
          <cell r="X161" t="str">
            <v>AAu</v>
          </cell>
          <cell r="Y161" t="str">
            <v>Aa3</v>
          </cell>
          <cell r="Z161" t="str">
            <v>AA-u</v>
          </cell>
          <cell r="AA161" t="str">
            <v>STABLE</v>
          </cell>
          <cell r="AB161" t="str">
            <v>STABLE</v>
          </cell>
          <cell r="AC161" t="str">
            <v>STABLE</v>
          </cell>
          <cell r="AD161">
            <v>0</v>
          </cell>
          <cell r="AE161">
            <v>0</v>
          </cell>
          <cell r="AF161">
            <v>0</v>
          </cell>
          <cell r="AG161">
            <v>0</v>
          </cell>
          <cell r="AH161">
            <v>0</v>
          </cell>
          <cell r="AI161">
            <v>0</v>
          </cell>
          <cell r="AJ161" t="str">
            <v/>
          </cell>
          <cell r="AK161" t="str">
            <v>#N/A N/A</v>
          </cell>
          <cell r="AL161" t="str">
            <v>GBP</v>
          </cell>
          <cell r="AM161">
            <v>0.74450000000000005</v>
          </cell>
          <cell r="AN161" t="e">
            <v>#VALUE!</v>
          </cell>
          <cell r="AP161" t="str">
            <v/>
          </cell>
          <cell r="AQ161" t="str">
            <v/>
          </cell>
          <cell r="AR161" t="str">
            <v/>
          </cell>
          <cell r="AS161">
            <v>42548</v>
          </cell>
          <cell r="AT161">
            <v>45219</v>
          </cell>
          <cell r="AU161">
            <v>43917</v>
          </cell>
          <cell r="AV161">
            <v>1.3452</v>
          </cell>
          <cell r="AW161">
            <v>1.3279000000000001</v>
          </cell>
          <cell r="AX161">
            <v>1.3028089464568016</v>
          </cell>
        </row>
        <row r="162">
          <cell r="F162" t="str">
            <v>Dell Technologies Inc</v>
          </cell>
          <cell r="G162" t="str">
            <v>戴爾科技公司</v>
          </cell>
          <cell r="H162">
            <v>138.32</v>
          </cell>
          <cell r="I162">
            <v>0.51595089999999999</v>
          </cell>
          <cell r="J162">
            <v>6.2120860000000002</v>
          </cell>
          <cell r="K162">
            <v>20.02777</v>
          </cell>
          <cell r="L162">
            <v>103.6234</v>
          </cell>
          <cell r="M162">
            <v>0</v>
          </cell>
          <cell r="N162">
            <v>-2.8473000000000002</v>
          </cell>
          <cell r="O162">
            <v>-0.65229999999999999</v>
          </cell>
          <cell r="P162" t="str">
            <v xml:space="preserve"> </v>
          </cell>
          <cell r="Q162" t="str">
            <v>BBB</v>
          </cell>
          <cell r="R162" t="str">
            <v>-</v>
          </cell>
          <cell r="S162" t="str">
            <v>BBB</v>
          </cell>
          <cell r="T162" t="str">
            <v>STABLE</v>
          </cell>
          <cell r="U162" t="str">
            <v xml:space="preserve"> </v>
          </cell>
          <cell r="V162" t="str">
            <v>POS</v>
          </cell>
          <cell r="X162" t="str">
            <v>BBB</v>
          </cell>
          <cell r="Y162" t="str">
            <v>-</v>
          </cell>
          <cell r="Z162" t="str">
            <v>BBB</v>
          </cell>
          <cell r="AA162" t="str">
            <v>STABLE</v>
          </cell>
          <cell r="AB162" t="str">
            <v xml:space="preserve"> </v>
          </cell>
          <cell r="AC162" t="str">
            <v>POS</v>
          </cell>
          <cell r="AD162">
            <v>0</v>
          </cell>
          <cell r="AE162">
            <v>0</v>
          </cell>
          <cell r="AF162">
            <v>0</v>
          </cell>
          <cell r="AG162">
            <v>0</v>
          </cell>
          <cell r="AH162">
            <v>0</v>
          </cell>
          <cell r="AI162">
            <v>0</v>
          </cell>
          <cell r="AJ162" t="str">
            <v/>
          </cell>
          <cell r="AK162">
            <v>93898459243.680008</v>
          </cell>
          <cell r="AL162" t="str">
            <v>USD</v>
          </cell>
          <cell r="AM162">
            <v>1</v>
          </cell>
          <cell r="AN162">
            <v>93.898459243680009</v>
          </cell>
          <cell r="AP162" t="str">
            <v/>
          </cell>
          <cell r="AQ162" t="str">
            <v/>
          </cell>
          <cell r="AR162" t="str">
            <v/>
          </cell>
          <cell r="AS162">
            <v>44468</v>
          </cell>
          <cell r="AT162" t="str">
            <v/>
          </cell>
          <cell r="AU162">
            <v>44501</v>
          </cell>
          <cell r="AV162">
            <v>137.61000000000001</v>
          </cell>
          <cell r="AW162">
            <v>127.32</v>
          </cell>
          <cell r="AX162">
            <v>8.0819981149858897</v>
          </cell>
        </row>
        <row r="163">
          <cell r="F163" t="str">
            <v>ASML Holding NV</v>
          </cell>
          <cell r="G163" t="str">
            <v>艾司摩爾控股公司</v>
          </cell>
          <cell r="H163">
            <v>627</v>
          </cell>
          <cell r="I163">
            <v>1.6372180000000001</v>
          </cell>
          <cell r="J163">
            <v>4.0836649999999999</v>
          </cell>
          <cell r="K163">
            <v>-7.6175059999999997</v>
          </cell>
          <cell r="L163">
            <v>46.21969</v>
          </cell>
          <cell r="M163">
            <v>0</v>
          </cell>
          <cell r="N163">
            <v>-0.94474999999999998</v>
          </cell>
          <cell r="O163">
            <v>7.57789</v>
          </cell>
          <cell r="P163" t="str">
            <v>Y</v>
          </cell>
          <cell r="Q163" t="str">
            <v>-</v>
          </cell>
          <cell r="R163" t="str">
            <v>A2</v>
          </cell>
          <cell r="S163" t="str">
            <v>A+</v>
          </cell>
          <cell r="T163" t="str">
            <v xml:space="preserve"> </v>
          </cell>
          <cell r="U163" t="str">
            <v>POS</v>
          </cell>
          <cell r="V163" t="str">
            <v>STABLE</v>
          </cell>
          <cell r="X163" t="str">
            <v>AA</v>
          </cell>
          <cell r="Y163" t="str">
            <v>A1</v>
          </cell>
          <cell r="Z163" t="str">
            <v>AA-</v>
          </cell>
          <cell r="AA163" t="str">
            <v>STABLE</v>
          </cell>
          <cell r="AB163" t="str">
            <v>POS</v>
          </cell>
          <cell r="AC163" t="str">
            <v>STABLE</v>
          </cell>
          <cell r="AD163">
            <v>1</v>
          </cell>
          <cell r="AE163">
            <v>1</v>
          </cell>
          <cell r="AF163">
            <v>1</v>
          </cell>
          <cell r="AG163">
            <v>1</v>
          </cell>
          <cell r="AH163">
            <v>0</v>
          </cell>
          <cell r="AI163">
            <v>0</v>
          </cell>
          <cell r="AJ163" t="str">
            <v/>
          </cell>
          <cell r="AK163">
            <v>246931843884</v>
          </cell>
          <cell r="AL163" t="str">
            <v>EUR</v>
          </cell>
          <cell r="AM163">
            <v>0.86060000000000003</v>
          </cell>
          <cell r="AN163">
            <v>286.92986739948873</v>
          </cell>
          <cell r="AP163" t="str">
            <v/>
          </cell>
          <cell r="AQ163" t="str">
            <v/>
          </cell>
          <cell r="AR163" t="str">
            <v/>
          </cell>
          <cell r="AS163" t="str">
            <v/>
          </cell>
          <cell r="AT163">
            <v>45405</v>
          </cell>
          <cell r="AU163">
            <v>45429</v>
          </cell>
          <cell r="AV163">
            <v>616.9</v>
          </cell>
          <cell r="AW163">
            <v>595</v>
          </cell>
          <cell r="AX163">
            <v>3.6806722689075588</v>
          </cell>
        </row>
        <row r="164">
          <cell r="F164" t="str">
            <v>SAP SE</v>
          </cell>
          <cell r="G164" t="str">
            <v>思愛普</v>
          </cell>
          <cell r="H164">
            <v>247.25</v>
          </cell>
          <cell r="I164">
            <v>-1.356473</v>
          </cell>
          <cell r="J164">
            <v>0.79494500000000001</v>
          </cell>
          <cell r="K164">
            <v>4.6339389999999998</v>
          </cell>
          <cell r="L164">
            <v>46.21969</v>
          </cell>
          <cell r="M164">
            <v>0</v>
          </cell>
          <cell r="N164">
            <v>-0.94474999999999998</v>
          </cell>
          <cell r="O164">
            <v>7.57789</v>
          </cell>
          <cell r="P164" t="str">
            <v>Y</v>
          </cell>
          <cell r="Q164" t="str">
            <v>A+</v>
          </cell>
          <cell r="R164" t="str">
            <v>A1</v>
          </cell>
          <cell r="S164" t="str">
            <v>-</v>
          </cell>
          <cell r="T164" t="str">
            <v>STABLE</v>
          </cell>
          <cell r="U164" t="str">
            <v>STABLE</v>
          </cell>
          <cell r="V164" t="str">
            <v xml:space="preserve"> </v>
          </cell>
          <cell r="X164" t="str">
            <v>AA</v>
          </cell>
          <cell r="Y164" t="str">
            <v>A1</v>
          </cell>
          <cell r="Z164" t="str">
            <v>AA-</v>
          </cell>
          <cell r="AA164" t="str">
            <v>STABLE</v>
          </cell>
          <cell r="AB164" t="str">
            <v>POS</v>
          </cell>
          <cell r="AC164" t="str">
            <v>STABLE</v>
          </cell>
          <cell r="AD164">
            <v>1</v>
          </cell>
          <cell r="AE164">
            <v>0</v>
          </cell>
          <cell r="AF164">
            <v>1</v>
          </cell>
          <cell r="AG164">
            <v>0</v>
          </cell>
          <cell r="AH164">
            <v>1</v>
          </cell>
          <cell r="AI164">
            <v>1</v>
          </cell>
          <cell r="AJ164" t="str">
            <v/>
          </cell>
          <cell r="AK164">
            <v>303747671362</v>
          </cell>
          <cell r="AL164" t="str">
            <v>EUR</v>
          </cell>
          <cell r="AM164">
            <v>0.86060000000000003</v>
          </cell>
          <cell r="AN164">
            <v>352.94872340460142</v>
          </cell>
          <cell r="AP164" t="str">
            <v/>
          </cell>
          <cell r="AQ164" t="str">
            <v/>
          </cell>
          <cell r="AR164" t="str">
            <v/>
          </cell>
          <cell r="AS164">
            <v>45111</v>
          </cell>
          <cell r="AT164">
            <v>45371</v>
          </cell>
          <cell r="AU164" t="str">
            <v/>
          </cell>
          <cell r="AV164">
            <v>250.65</v>
          </cell>
          <cell r="AW164">
            <v>244.15</v>
          </cell>
          <cell r="AX164">
            <v>2.66229776776572</v>
          </cell>
        </row>
        <row r="165">
          <cell r="F165" t="str">
            <v>Amazon.com Inc</v>
          </cell>
          <cell r="G165" t="str">
            <v>亞馬遜公司</v>
          </cell>
          <cell r="H165">
            <v>221.3</v>
          </cell>
          <cell r="I165">
            <v>-0.62418609999999997</v>
          </cell>
          <cell r="J165">
            <v>4.5594140000000003</v>
          </cell>
          <cell r="K165">
            <v>0.87059600000000004</v>
          </cell>
          <cell r="L165">
            <v>65.827269999999999</v>
          </cell>
          <cell r="M165">
            <v>0</v>
          </cell>
          <cell r="N165">
            <v>-3.6510000000000001E-2</v>
          </cell>
          <cell r="O165">
            <v>-15.21461</v>
          </cell>
          <cell r="P165" t="str">
            <v xml:space="preserve"> </v>
          </cell>
          <cell r="Q165" t="str">
            <v>AA</v>
          </cell>
          <cell r="R165" t="str">
            <v>A1</v>
          </cell>
          <cell r="S165" t="str">
            <v>AA-</v>
          </cell>
          <cell r="T165" t="str">
            <v>STABLE</v>
          </cell>
          <cell r="U165" t="str">
            <v>POS</v>
          </cell>
          <cell r="V165" t="str">
            <v>STABLE</v>
          </cell>
          <cell r="X165" t="str">
            <v>AA</v>
          </cell>
          <cell r="Y165" t="str">
            <v>A1</v>
          </cell>
          <cell r="Z165" t="str">
            <v>AA-</v>
          </cell>
          <cell r="AA165" t="str">
            <v>STABLE</v>
          </cell>
          <cell r="AB165" t="str">
            <v>POS</v>
          </cell>
          <cell r="AC165" t="str">
            <v>STABLE</v>
          </cell>
          <cell r="AD165">
            <v>0</v>
          </cell>
          <cell r="AE165">
            <v>0</v>
          </cell>
          <cell r="AF165">
            <v>0</v>
          </cell>
          <cell r="AG165">
            <v>0</v>
          </cell>
          <cell r="AH165">
            <v>0</v>
          </cell>
          <cell r="AI165">
            <v>0</v>
          </cell>
          <cell r="AJ165" t="str">
            <v/>
          </cell>
          <cell r="AK165">
            <v>2360145047066.1006</v>
          </cell>
          <cell r="AL165" t="str">
            <v>USD</v>
          </cell>
          <cell r="AM165">
            <v>1</v>
          </cell>
          <cell r="AN165">
            <v>2360.1450470661007</v>
          </cell>
          <cell r="AP165" t="str">
            <v/>
          </cell>
          <cell r="AQ165" t="str">
            <v/>
          </cell>
          <cell r="AR165" t="str">
            <v/>
          </cell>
          <cell r="AS165">
            <v>44357</v>
          </cell>
          <cell r="AT165">
            <v>45733</v>
          </cell>
          <cell r="AU165">
            <v>44354</v>
          </cell>
          <cell r="AV165">
            <v>222.69</v>
          </cell>
          <cell r="AW165">
            <v>214.75</v>
          </cell>
          <cell r="AX165">
            <v>3.6973224679860195</v>
          </cell>
        </row>
        <row r="166">
          <cell r="F166" t="str">
            <v>Oracle Corp</v>
          </cell>
          <cell r="G166" t="str">
            <v>甲骨文公司</v>
          </cell>
          <cell r="H166">
            <v>252.68</v>
          </cell>
          <cell r="I166">
            <v>1.05179</v>
          </cell>
          <cell r="J166">
            <v>5.9398880000000001E-2</v>
          </cell>
          <cell r="K166">
            <v>51.632260000000002</v>
          </cell>
          <cell r="L166">
            <v>56.84628</v>
          </cell>
          <cell r="M166">
            <v>0</v>
          </cell>
          <cell r="N166">
            <v>0.15779000000000001</v>
          </cell>
          <cell r="O166">
            <v>2.1927699999999999</v>
          </cell>
          <cell r="P166" t="str">
            <v>Y</v>
          </cell>
          <cell r="Q166" t="str">
            <v>BBB</v>
          </cell>
          <cell r="R166" t="str">
            <v>Baa2</v>
          </cell>
          <cell r="S166" t="str">
            <v>BBB</v>
          </cell>
          <cell r="T166" t="str">
            <v>NEG</v>
          </cell>
          <cell r="U166" t="str">
            <v>NEG</v>
          </cell>
          <cell r="V166" t="str">
            <v>STABLE</v>
          </cell>
          <cell r="X166" t="str">
            <v>AA</v>
          </cell>
          <cell r="Y166" t="str">
            <v>A1</v>
          </cell>
          <cell r="Z166" t="str">
            <v>AA-</v>
          </cell>
          <cell r="AA166" t="str">
            <v>STABLE</v>
          </cell>
          <cell r="AB166" t="str">
            <v>POS</v>
          </cell>
          <cell r="AC166" t="str">
            <v>STABLE</v>
          </cell>
          <cell r="AD166">
            <v>1</v>
          </cell>
          <cell r="AE166">
            <v>1</v>
          </cell>
          <cell r="AF166">
            <v>1</v>
          </cell>
          <cell r="AG166">
            <v>1</v>
          </cell>
          <cell r="AH166">
            <v>1</v>
          </cell>
          <cell r="AI166">
            <v>0</v>
          </cell>
          <cell r="AJ166" t="str">
            <v/>
          </cell>
          <cell r="AK166">
            <v>709735922440</v>
          </cell>
          <cell r="AL166" t="str">
            <v>USD</v>
          </cell>
          <cell r="AM166">
            <v>1</v>
          </cell>
          <cell r="AN166">
            <v>709.73592243999997</v>
          </cell>
          <cell r="AP166" t="str">
            <v/>
          </cell>
          <cell r="AQ166" t="str">
            <v/>
          </cell>
          <cell r="AR166" t="str">
            <v/>
          </cell>
          <cell r="AS166">
            <v>44826</v>
          </cell>
          <cell r="AT166">
            <v>45866</v>
          </cell>
          <cell r="AU166">
            <v>44872</v>
          </cell>
          <cell r="AV166">
            <v>250.05</v>
          </cell>
          <cell r="AW166">
            <v>244.42</v>
          </cell>
          <cell r="AX166">
            <v>2.3034121593977774</v>
          </cell>
        </row>
        <row r="167">
          <cell r="F167" t="str">
            <v>Taiwan Semiconductor Manufactu</v>
          </cell>
          <cell r="G167" t="str">
            <v>台灣積體電路製造股份有限公司</v>
          </cell>
          <cell r="H167">
            <v>1180</v>
          </cell>
          <cell r="I167">
            <v>0</v>
          </cell>
          <cell r="J167">
            <v>2.6086960000000001</v>
          </cell>
          <cell r="K167">
            <v>9.3023260000000008</v>
          </cell>
          <cell r="L167">
            <v>34.91431</v>
          </cell>
          <cell r="M167">
            <v>0</v>
          </cell>
          <cell r="N167">
            <v>-1.5907100000000001</v>
          </cell>
          <cell r="O167">
            <v>-1.68438</v>
          </cell>
          <cell r="P167" t="str">
            <v xml:space="preserve"> </v>
          </cell>
          <cell r="Q167" t="str">
            <v>AA-</v>
          </cell>
          <cell r="R167" t="str">
            <v>Aa3</v>
          </cell>
          <cell r="S167" t="str">
            <v>NR</v>
          </cell>
          <cell r="T167" t="str">
            <v>STABLE</v>
          </cell>
          <cell r="U167" t="str">
            <v>STABLE</v>
          </cell>
          <cell r="V167" t="str">
            <v xml:space="preserve"> </v>
          </cell>
          <cell r="X167" t="str">
            <v>AA-</v>
          </cell>
          <cell r="Y167" t="str">
            <v>Aa3</v>
          </cell>
          <cell r="Z167" t="str">
            <v>NR</v>
          </cell>
          <cell r="AA167" t="str">
            <v>STABLE</v>
          </cell>
          <cell r="AB167" t="str">
            <v>STABLE</v>
          </cell>
          <cell r="AC167" t="str">
            <v xml:space="preserve"> </v>
          </cell>
          <cell r="AD167">
            <v>0</v>
          </cell>
          <cell r="AE167">
            <v>0</v>
          </cell>
          <cell r="AF167">
            <v>0</v>
          </cell>
          <cell r="AG167">
            <v>0</v>
          </cell>
          <cell r="AH167">
            <v>0</v>
          </cell>
          <cell r="AI167">
            <v>0</v>
          </cell>
          <cell r="AJ167" t="str">
            <v/>
          </cell>
          <cell r="AK167">
            <v>30470961559350</v>
          </cell>
          <cell r="AL167" t="str">
            <v>TWD</v>
          </cell>
          <cell r="AM167">
            <v>29.920999999999999</v>
          </cell>
          <cell r="AN167">
            <v>1018.3804538401123</v>
          </cell>
          <cell r="AP167" t="str">
            <v/>
          </cell>
          <cell r="AQ167" t="str">
            <v/>
          </cell>
          <cell r="AR167" t="str">
            <v/>
          </cell>
          <cell r="AS167">
            <v>43369</v>
          </cell>
          <cell r="AT167">
            <v>45495</v>
          </cell>
          <cell r="AU167">
            <v>39883</v>
          </cell>
          <cell r="AV167">
            <v>1175</v>
          </cell>
          <cell r="AW167">
            <v>1140</v>
          </cell>
          <cell r="AX167">
            <v>3.0701754385964897</v>
          </cell>
        </row>
        <row r="168">
          <cell r="F168" t="str">
            <v>Apple Inc</v>
          </cell>
          <cell r="G168" t="str">
            <v>蘋果公司</v>
          </cell>
          <cell r="H168">
            <v>227.18</v>
          </cell>
          <cell r="I168">
            <v>-0.83373350000000002</v>
          </cell>
          <cell r="J168">
            <v>11.71871</v>
          </cell>
          <cell r="K168">
            <v>-9.2804079999999995</v>
          </cell>
          <cell r="L168">
            <v>56.84628</v>
          </cell>
          <cell r="M168">
            <v>0</v>
          </cell>
          <cell r="N168">
            <v>0.15779000000000001</v>
          </cell>
          <cell r="O168">
            <v>2.1927699999999999</v>
          </cell>
          <cell r="P168" t="str">
            <v xml:space="preserve"> </v>
          </cell>
          <cell r="Q168" t="str">
            <v>AA+</v>
          </cell>
          <cell r="R168" t="str">
            <v>Aaa</v>
          </cell>
          <cell r="S168" t="str">
            <v>-</v>
          </cell>
          <cell r="T168" t="str">
            <v>STABLE</v>
          </cell>
          <cell r="U168" t="str">
            <v>STABLE</v>
          </cell>
          <cell r="V168" t="str">
            <v xml:space="preserve"> </v>
          </cell>
          <cell r="X168" t="str">
            <v>AA+</v>
          </cell>
          <cell r="Y168" t="str">
            <v>Aaa</v>
          </cell>
          <cell r="Z168" t="str">
            <v>-</v>
          </cell>
          <cell r="AA168" t="str">
            <v>STABLE</v>
          </cell>
          <cell r="AB168" t="str">
            <v>STABLE</v>
          </cell>
          <cell r="AC168" t="str">
            <v xml:space="preserve"> </v>
          </cell>
          <cell r="AD168">
            <v>0</v>
          </cell>
          <cell r="AE168">
            <v>0</v>
          </cell>
          <cell r="AF168">
            <v>0</v>
          </cell>
          <cell r="AG168">
            <v>0</v>
          </cell>
          <cell r="AH168">
            <v>0</v>
          </cell>
          <cell r="AI168">
            <v>0</v>
          </cell>
          <cell r="AJ168" t="str">
            <v/>
          </cell>
          <cell r="AK168">
            <v>3371439800200</v>
          </cell>
          <cell r="AL168" t="str">
            <v>USD</v>
          </cell>
          <cell r="AM168">
            <v>1</v>
          </cell>
          <cell r="AN168">
            <v>3371.4398001999998</v>
          </cell>
          <cell r="AP168" t="str">
            <v/>
          </cell>
          <cell r="AQ168" t="str">
            <v/>
          </cell>
          <cell r="AR168" t="str">
            <v/>
          </cell>
          <cell r="AS168">
            <v>41387</v>
          </cell>
          <cell r="AT168">
            <v>45616</v>
          </cell>
          <cell r="AU168" t="str">
            <v/>
          </cell>
          <cell r="AV168">
            <v>229.35</v>
          </cell>
          <cell r="AW168">
            <v>202.38</v>
          </cell>
          <cell r="AX168">
            <v>13.326415653720725</v>
          </cell>
        </row>
        <row r="169">
          <cell r="F169" t="str">
            <v>Microsoft Corp</v>
          </cell>
          <cell r="G169" t="str">
            <v>微軟</v>
          </cell>
          <cell r="H169">
            <v>521.77</v>
          </cell>
          <cell r="I169">
            <v>-5.1720170000000003E-2</v>
          </cell>
          <cell r="J169">
            <v>-2.589426</v>
          </cell>
          <cell r="K169">
            <v>23.78885</v>
          </cell>
          <cell r="L169">
            <v>56.84628</v>
          </cell>
          <cell r="M169">
            <v>0</v>
          </cell>
          <cell r="N169">
            <v>0.15779000000000001</v>
          </cell>
          <cell r="O169">
            <v>2.1927699999999999</v>
          </cell>
          <cell r="P169" t="str">
            <v xml:space="preserve"> </v>
          </cell>
          <cell r="Q169" t="str">
            <v>AAA</v>
          </cell>
          <cell r="R169" t="str">
            <v>Aaa</v>
          </cell>
          <cell r="S169" t="str">
            <v>WD</v>
          </cell>
          <cell r="T169" t="str">
            <v>STABLE</v>
          </cell>
          <cell r="U169" t="str">
            <v>STABLE</v>
          </cell>
          <cell r="V169" t="str">
            <v xml:space="preserve"> </v>
          </cell>
          <cell r="X169" t="str">
            <v>AAA</v>
          </cell>
          <cell r="Y169" t="str">
            <v>Aaa</v>
          </cell>
          <cell r="Z169" t="str">
            <v>WD</v>
          </cell>
          <cell r="AA169" t="str">
            <v>STABLE</v>
          </cell>
          <cell r="AB169" t="str">
            <v>STABLE</v>
          </cell>
          <cell r="AC169" t="str">
            <v xml:space="preserve"> </v>
          </cell>
          <cell r="AD169">
            <v>0</v>
          </cell>
          <cell r="AE169">
            <v>0</v>
          </cell>
          <cell r="AF169">
            <v>0</v>
          </cell>
          <cell r="AG169">
            <v>0</v>
          </cell>
          <cell r="AH169">
            <v>0</v>
          </cell>
          <cell r="AI169">
            <v>0</v>
          </cell>
          <cell r="AJ169" t="str">
            <v/>
          </cell>
          <cell r="AK169">
            <v>3878403221570.8286</v>
          </cell>
          <cell r="AL169" t="str">
            <v>USD</v>
          </cell>
          <cell r="AM169">
            <v>1</v>
          </cell>
          <cell r="AN169">
            <v>3878.4032215708285</v>
          </cell>
          <cell r="AP169" t="str">
            <v/>
          </cell>
          <cell r="AQ169" t="str">
            <v/>
          </cell>
          <cell r="AR169" t="str">
            <v/>
          </cell>
          <cell r="AS169">
            <v>39713</v>
          </cell>
          <cell r="AT169">
            <v>44579</v>
          </cell>
          <cell r="AU169">
            <v>44950</v>
          </cell>
          <cell r="AV169">
            <v>522.04</v>
          </cell>
          <cell r="AW169">
            <v>524.11</v>
          </cell>
          <cell r="AX169">
            <v>-0.39495525748413085</v>
          </cell>
        </row>
        <row r="170">
          <cell r="F170" t="str">
            <v>NVIDIA Corp</v>
          </cell>
          <cell r="G170" t="str">
            <v>輝達</v>
          </cell>
          <cell r="H170">
            <v>182.06</v>
          </cell>
          <cell r="I170">
            <v>-0.35030099999999997</v>
          </cell>
          <cell r="J170">
            <v>1.144444</v>
          </cell>
          <cell r="K170">
            <v>35.572279999999999</v>
          </cell>
          <cell r="L170" t="str">
            <v>#N/A N/A BEST Curncy</v>
          </cell>
          <cell r="M170" t="str">
            <v>#N/A N/A BEST Curncy</v>
          </cell>
          <cell r="N170" t="str">
            <v>#N/A N/A BEST Curncy</v>
          </cell>
          <cell r="O170" t="str">
            <v>#N/A N/A BEST Curncy</v>
          </cell>
          <cell r="P170" t="str">
            <v xml:space="preserve"> </v>
          </cell>
          <cell r="Q170" t="str">
            <v>AA-</v>
          </cell>
          <cell r="R170" t="str">
            <v>Aa2</v>
          </cell>
          <cell r="S170" t="str">
            <v>WD</v>
          </cell>
          <cell r="T170" t="str">
            <v>STABLE</v>
          </cell>
          <cell r="U170" t="str">
            <v>POS</v>
          </cell>
          <cell r="V170" t="str">
            <v xml:space="preserve"> </v>
          </cell>
          <cell r="X170" t="str">
            <v>AA-</v>
          </cell>
          <cell r="Y170" t="str">
            <v>Aa2</v>
          </cell>
          <cell r="Z170" t="str">
            <v>WD</v>
          </cell>
          <cell r="AA170" t="str">
            <v>STABLE</v>
          </cell>
          <cell r="AB170" t="str">
            <v>POS</v>
          </cell>
          <cell r="AC170" t="str">
            <v xml:space="preserve"> </v>
          </cell>
          <cell r="AD170">
            <v>0</v>
          </cell>
          <cell r="AE170">
            <v>0</v>
          </cell>
          <cell r="AF170">
            <v>0</v>
          </cell>
          <cell r="AG170">
            <v>0</v>
          </cell>
          <cell r="AH170">
            <v>0</v>
          </cell>
          <cell r="AI170">
            <v>0</v>
          </cell>
          <cell r="AJ170" t="str">
            <v/>
          </cell>
          <cell r="AK170">
            <v>4442264000000</v>
          </cell>
          <cell r="AL170" t="str">
            <v>USD</v>
          </cell>
          <cell r="AM170">
            <v>1</v>
          </cell>
          <cell r="AN170">
            <v>4442.2640000000001</v>
          </cell>
          <cell r="AP170" t="str">
            <v/>
          </cell>
          <cell r="AQ170" t="str">
            <v/>
          </cell>
          <cell r="AR170" t="str">
            <v/>
          </cell>
          <cell r="AS170">
            <v>45412</v>
          </cell>
          <cell r="AT170">
            <v>45742</v>
          </cell>
          <cell r="AU170">
            <v>44200</v>
          </cell>
          <cell r="AV170">
            <v>182.7</v>
          </cell>
          <cell r="AW170">
            <v>173.72</v>
          </cell>
          <cell r="AX170">
            <v>5.1692378540179496</v>
          </cell>
        </row>
        <row r="171">
          <cell r="F171" t="str">
            <v>Meta Platforms Inc</v>
          </cell>
          <cell r="G171" t="str">
            <v>Meta平台公司</v>
          </cell>
          <cell r="H171">
            <v>765.87</v>
          </cell>
          <cell r="I171">
            <v>-0.44585989999999998</v>
          </cell>
          <cell r="J171">
            <v>-1.3524480000000001</v>
          </cell>
          <cell r="K171">
            <v>30.803909999999998</v>
          </cell>
          <cell r="L171" t="str">
            <v>#N/A N/A BEST Curncy</v>
          </cell>
          <cell r="M171" t="str">
            <v>#N/A N/A BEST Curncy</v>
          </cell>
          <cell r="N171" t="str">
            <v>#N/A N/A BEST Curncy</v>
          </cell>
          <cell r="O171" t="str">
            <v>#N/A N/A BEST Curncy</v>
          </cell>
          <cell r="P171" t="str">
            <v xml:space="preserve"> </v>
          </cell>
          <cell r="Q171" t="str">
            <v>AA-</v>
          </cell>
          <cell r="R171" t="str">
            <v>Aa3</v>
          </cell>
          <cell r="S171" t="str">
            <v>-</v>
          </cell>
          <cell r="T171" t="str">
            <v>STABLE</v>
          </cell>
          <cell r="U171" t="str">
            <v>STABLE</v>
          </cell>
          <cell r="V171" t="str">
            <v xml:space="preserve"> </v>
          </cell>
          <cell r="X171" t="str">
            <v>AA-</v>
          </cell>
          <cell r="Y171" t="str">
            <v>Aa3</v>
          </cell>
          <cell r="Z171" t="str">
            <v>-</v>
          </cell>
          <cell r="AA171" t="str">
            <v>STABLE</v>
          </cell>
          <cell r="AB171" t="str">
            <v>STABLE</v>
          </cell>
          <cell r="AC171" t="str">
            <v xml:space="preserve"> </v>
          </cell>
          <cell r="AD171">
            <v>0</v>
          </cell>
          <cell r="AE171">
            <v>0</v>
          </cell>
          <cell r="AF171">
            <v>0</v>
          </cell>
          <cell r="AG171">
            <v>0</v>
          </cell>
          <cell r="AH171">
            <v>0</v>
          </cell>
          <cell r="AI171">
            <v>0</v>
          </cell>
          <cell r="AJ171" t="str">
            <v/>
          </cell>
          <cell r="AK171">
            <v>1923973791458.25</v>
          </cell>
          <cell r="AL171" t="str">
            <v>USD</v>
          </cell>
          <cell r="AM171">
            <v>1</v>
          </cell>
          <cell r="AN171">
            <v>1923.9737914582499</v>
          </cell>
          <cell r="AP171" t="str">
            <v/>
          </cell>
          <cell r="AQ171" t="str">
            <v/>
          </cell>
          <cell r="AR171" t="str">
            <v/>
          </cell>
          <cell r="AS171">
            <v>44776</v>
          </cell>
          <cell r="AT171">
            <v>45400</v>
          </cell>
          <cell r="AU171" t="str">
            <v/>
          </cell>
          <cell r="AV171">
            <v>769.3</v>
          </cell>
          <cell r="AW171">
            <v>750.01</v>
          </cell>
          <cell r="AX171">
            <v>2.5719657071239022</v>
          </cell>
        </row>
        <row r="172">
          <cell r="F172" t="str">
            <v>Alphabet Inc</v>
          </cell>
          <cell r="G172" t="str">
            <v>Alphabet公司</v>
          </cell>
          <cell r="H172">
            <v>201</v>
          </cell>
          <cell r="I172">
            <v>-0.2085195</v>
          </cell>
          <cell r="J172">
            <v>3.0557829999999999</v>
          </cell>
          <cell r="K172">
            <v>6.1806640000000002</v>
          </cell>
          <cell r="L172">
            <v>65.827269999999999</v>
          </cell>
          <cell r="M172">
            <v>0</v>
          </cell>
          <cell r="N172">
            <v>-3.6510000000000001E-2</v>
          </cell>
          <cell r="O172">
            <v>-15.21461</v>
          </cell>
          <cell r="P172" t="str">
            <v xml:space="preserve"> </v>
          </cell>
          <cell r="Q172" t="str">
            <v>AA+</v>
          </cell>
          <cell r="R172" t="str">
            <v>Aa2</v>
          </cell>
          <cell r="S172" t="str">
            <v>-</v>
          </cell>
          <cell r="T172" t="str">
            <v>STABLE</v>
          </cell>
          <cell r="U172" t="str">
            <v>STABLE</v>
          </cell>
          <cell r="V172" t="str">
            <v xml:space="preserve"> </v>
          </cell>
          <cell r="X172" t="str">
            <v>AA+</v>
          </cell>
          <cell r="Y172" t="str">
            <v>Aa2</v>
          </cell>
          <cell r="Z172" t="str">
            <v>-</v>
          </cell>
          <cell r="AA172" t="str">
            <v>STABLE</v>
          </cell>
          <cell r="AB172" t="str">
            <v>STABLE</v>
          </cell>
          <cell r="AC172" t="str">
            <v xml:space="preserve"> </v>
          </cell>
          <cell r="AD172">
            <v>0</v>
          </cell>
          <cell r="AE172">
            <v>0</v>
          </cell>
          <cell r="AF172">
            <v>0</v>
          </cell>
          <cell r="AG172">
            <v>0</v>
          </cell>
          <cell r="AH172">
            <v>0</v>
          </cell>
          <cell r="AI172">
            <v>0</v>
          </cell>
          <cell r="AJ172" t="str">
            <v/>
          </cell>
          <cell r="AK172">
            <v>2434581705000</v>
          </cell>
          <cell r="AL172" t="str">
            <v>USD</v>
          </cell>
          <cell r="AM172">
            <v>1</v>
          </cell>
          <cell r="AN172">
            <v>2434.5817050000001</v>
          </cell>
          <cell r="AP172" t="str">
            <v/>
          </cell>
          <cell r="AQ172" t="str">
            <v/>
          </cell>
          <cell r="AR172" t="str">
            <v/>
          </cell>
          <cell r="AS172">
            <v>42788</v>
          </cell>
          <cell r="AT172">
            <v>45775</v>
          </cell>
          <cell r="AU172" t="str">
            <v/>
          </cell>
          <cell r="AV172">
            <v>201.42</v>
          </cell>
          <cell r="AW172">
            <v>189.13</v>
          </cell>
          <cell r="AX172">
            <v>6.4981758578755322</v>
          </cell>
        </row>
        <row r="173">
          <cell r="F173" t="str">
            <v>Intel Corp</v>
          </cell>
          <cell r="G173" t="str">
            <v>英特爾</v>
          </cell>
          <cell r="H173">
            <v>20.65</v>
          </cell>
          <cell r="I173">
            <v>3.508772</v>
          </cell>
          <cell r="J173">
            <v>5.8974359999999999</v>
          </cell>
          <cell r="K173">
            <v>2.9925229999999998</v>
          </cell>
          <cell r="L173">
            <v>56.84628</v>
          </cell>
          <cell r="M173">
            <v>0</v>
          </cell>
          <cell r="N173">
            <v>0.15779000000000001</v>
          </cell>
          <cell r="O173">
            <v>2.1927699999999999</v>
          </cell>
          <cell r="P173" t="str">
            <v>Y</v>
          </cell>
          <cell r="Q173" t="str">
            <v>BBB</v>
          </cell>
          <cell r="R173" t="str">
            <v>Baa1</v>
          </cell>
          <cell r="S173" t="str">
            <v>BBB</v>
          </cell>
          <cell r="T173" t="str">
            <v>STABLE</v>
          </cell>
          <cell r="U173" t="str">
            <v>NEG</v>
          </cell>
          <cell r="V173" t="str">
            <v>NEG</v>
          </cell>
          <cell r="X173" t="str">
            <v>BBB</v>
          </cell>
          <cell r="Y173" t="str">
            <v>Baa1</v>
          </cell>
          <cell r="Z173" t="str">
            <v>BBB+</v>
          </cell>
          <cell r="AA173" t="str">
            <v>STABLE</v>
          </cell>
          <cell r="AB173" t="str">
            <v>NEG</v>
          </cell>
          <cell r="AC173" t="str">
            <v>NEG</v>
          </cell>
          <cell r="AD173">
            <v>0</v>
          </cell>
          <cell r="AE173">
            <v>0</v>
          </cell>
          <cell r="AF173">
            <v>1</v>
          </cell>
          <cell r="AG173">
            <v>0</v>
          </cell>
          <cell r="AH173">
            <v>0</v>
          </cell>
          <cell r="AI173">
            <v>0</v>
          </cell>
          <cell r="AJ173" t="str">
            <v/>
          </cell>
          <cell r="AK173">
            <v>90385049999.999985</v>
          </cell>
          <cell r="AL173" t="str">
            <v>USD</v>
          </cell>
          <cell r="AM173">
            <v>1</v>
          </cell>
          <cell r="AN173">
            <v>90.385049999999978</v>
          </cell>
          <cell r="AP173" t="str">
            <v/>
          </cell>
          <cell r="AQ173" t="str">
            <v/>
          </cell>
          <cell r="AR173" t="str">
            <v/>
          </cell>
          <cell r="AS173">
            <v>45636</v>
          </cell>
          <cell r="AT173">
            <v>45512</v>
          </cell>
          <cell r="AU173">
            <v>45873</v>
          </cell>
          <cell r="AV173">
            <v>19.95</v>
          </cell>
          <cell r="AW173">
            <v>19.309999999999999</v>
          </cell>
          <cell r="AX173">
            <v>3.3143448990160529</v>
          </cell>
        </row>
        <row r="174">
          <cell r="F174" t="str">
            <v>Seagate Technology Holdings PL</v>
          </cell>
          <cell r="G174" t="str">
            <v>希捷科技控股公開有限公司</v>
          </cell>
          <cell r="H174">
            <v>151.69</v>
          </cell>
          <cell r="I174">
            <v>0.82419410000000004</v>
          </cell>
          <cell r="J174">
            <v>-2.015374</v>
          </cell>
          <cell r="K174">
            <v>75.750209999999996</v>
          </cell>
          <cell r="L174">
            <v>56.84628</v>
          </cell>
          <cell r="M174">
            <v>0</v>
          </cell>
          <cell r="N174">
            <v>0.15779000000000001</v>
          </cell>
          <cell r="O174">
            <v>2.1927699999999999</v>
          </cell>
          <cell r="P174" t="str">
            <v xml:space="preserve"> </v>
          </cell>
          <cell r="Q174" t="str">
            <v>BB</v>
          </cell>
          <cell r="R174" t="str">
            <v>-</v>
          </cell>
          <cell r="S174" t="str">
            <v>BB+</v>
          </cell>
          <cell r="T174" t="str">
            <v>POS</v>
          </cell>
          <cell r="U174" t="str">
            <v xml:space="preserve"> </v>
          </cell>
          <cell r="V174" t="str">
            <v>STABLE</v>
          </cell>
          <cell r="X174" t="str">
            <v>BB</v>
          </cell>
          <cell r="Y174" t="str">
            <v>-</v>
          </cell>
          <cell r="Z174" t="str">
            <v>BB+</v>
          </cell>
          <cell r="AA174" t="str">
            <v>POS</v>
          </cell>
          <cell r="AB174" t="str">
            <v xml:space="preserve"> </v>
          </cell>
          <cell r="AC174" t="str">
            <v>STABLE</v>
          </cell>
          <cell r="AD174">
            <v>0</v>
          </cell>
          <cell r="AE174">
            <v>0</v>
          </cell>
          <cell r="AF174">
            <v>0</v>
          </cell>
          <cell r="AG174">
            <v>0</v>
          </cell>
          <cell r="AH174">
            <v>0</v>
          </cell>
          <cell r="AI174">
            <v>0</v>
          </cell>
          <cell r="AJ174" t="str">
            <v/>
          </cell>
          <cell r="AK174">
            <v>32261001130.82</v>
          </cell>
          <cell r="AL174" t="str">
            <v>USD</v>
          </cell>
          <cell r="AM174">
            <v>1</v>
          </cell>
          <cell r="AN174">
            <v>32.261001130819999</v>
          </cell>
          <cell r="AP174" t="str">
            <v/>
          </cell>
          <cell r="AQ174" t="str">
            <v/>
          </cell>
          <cell r="AR174" t="str">
            <v/>
          </cell>
          <cell r="AS174">
            <v>45042</v>
          </cell>
          <cell r="AT174" t="str">
            <v/>
          </cell>
          <cell r="AU174">
            <v>44167</v>
          </cell>
          <cell r="AV174">
            <v>150.44999999999999</v>
          </cell>
          <cell r="AW174">
            <v>154.81</v>
          </cell>
          <cell r="AX174">
            <v>-2.8163555325883438</v>
          </cell>
        </row>
        <row r="175">
          <cell r="F175" t="str">
            <v>Broadcom Inc</v>
          </cell>
          <cell r="G175" t="str">
            <v>博通公司</v>
          </cell>
          <cell r="H175">
            <v>303.89999999999998</v>
          </cell>
          <cell r="I175">
            <v>-0.3508542</v>
          </cell>
          <cell r="J175">
            <v>2.0757759999999998</v>
          </cell>
          <cell r="K175">
            <v>31.081779999999998</v>
          </cell>
          <cell r="L175">
            <v>62.546950000000002</v>
          </cell>
          <cell r="M175">
            <v>0</v>
          </cell>
          <cell r="N175">
            <v>-1.9538800000000001</v>
          </cell>
          <cell r="O175">
            <v>-9.5894300000000001</v>
          </cell>
          <cell r="P175" t="str">
            <v xml:space="preserve"> </v>
          </cell>
          <cell r="Q175" t="str">
            <v>BBB+</v>
          </cell>
          <cell r="R175" t="str">
            <v>Baa1</v>
          </cell>
          <cell r="S175" t="str">
            <v>BBB</v>
          </cell>
          <cell r="T175" t="str">
            <v>POS</v>
          </cell>
          <cell r="U175" t="str">
            <v>STABLE</v>
          </cell>
          <cell r="V175" t="str">
            <v>POS</v>
          </cell>
          <cell r="X175" t="str">
            <v>BBB+</v>
          </cell>
          <cell r="Y175" t="str">
            <v>Baa1</v>
          </cell>
          <cell r="Z175" t="str">
            <v>BBB</v>
          </cell>
          <cell r="AA175" t="str">
            <v>POS</v>
          </cell>
          <cell r="AB175" t="str">
            <v>STABLE</v>
          </cell>
          <cell r="AC175" t="str">
            <v>POS</v>
          </cell>
          <cell r="AD175">
            <v>0</v>
          </cell>
          <cell r="AE175">
            <v>0</v>
          </cell>
          <cell r="AF175">
            <v>0</v>
          </cell>
          <cell r="AG175">
            <v>0</v>
          </cell>
          <cell r="AH175">
            <v>0</v>
          </cell>
          <cell r="AI175">
            <v>0</v>
          </cell>
          <cell r="AJ175" t="str">
            <v/>
          </cell>
          <cell r="AK175">
            <v>1429384830518.0996</v>
          </cell>
          <cell r="AL175" t="str">
            <v>USD</v>
          </cell>
          <cell r="AM175">
            <v>1</v>
          </cell>
          <cell r="AN175">
            <v>1429.3848305180995</v>
          </cell>
          <cell r="AP175" t="str">
            <v/>
          </cell>
          <cell r="AQ175" t="str">
            <v/>
          </cell>
          <cell r="AR175" t="str">
            <v/>
          </cell>
          <cell r="AS175">
            <v>45670</v>
          </cell>
          <cell r="AT175">
            <v>45594</v>
          </cell>
          <cell r="AU175">
            <v>45509</v>
          </cell>
          <cell r="AV175">
            <v>304.97000000000003</v>
          </cell>
          <cell r="AW175">
            <v>288.64</v>
          </cell>
          <cell r="AX175">
            <v>5.6575665188470126</v>
          </cell>
        </row>
        <row r="176">
          <cell r="F176" t="str">
            <v>Samsung Electronics Co Ltd</v>
          </cell>
          <cell r="G176" t="str">
            <v>三星電子有限公司</v>
          </cell>
          <cell r="H176">
            <v>72200</v>
          </cell>
          <cell r="I176">
            <v>1.6901409999999999</v>
          </cell>
          <cell r="J176">
            <v>3.2904149999999999</v>
          </cell>
          <cell r="K176">
            <v>35.714289999999998</v>
          </cell>
          <cell r="L176">
            <v>27.317630000000001</v>
          </cell>
          <cell r="M176">
            <v>0</v>
          </cell>
          <cell r="N176">
            <v>0.73209999999999997</v>
          </cell>
          <cell r="O176">
            <v>4.0658399999999997</v>
          </cell>
          <cell r="P176" t="str">
            <v xml:space="preserve"> </v>
          </cell>
          <cell r="Q176" t="str">
            <v>AA-</v>
          </cell>
          <cell r="R176" t="str">
            <v>Aa2</v>
          </cell>
          <cell r="S176" t="str">
            <v>AA-u</v>
          </cell>
          <cell r="T176" t="str">
            <v>STABLE</v>
          </cell>
          <cell r="U176" t="str">
            <v>NEG</v>
          </cell>
          <cell r="V176" t="str">
            <v>STABLE</v>
          </cell>
          <cell r="X176" t="str">
            <v>AA-</v>
          </cell>
          <cell r="Y176" t="str">
            <v>Aa2</v>
          </cell>
          <cell r="Z176" t="str">
            <v>AA-u</v>
          </cell>
          <cell r="AA176" t="str">
            <v>STABLE</v>
          </cell>
          <cell r="AB176" t="str">
            <v>NEG</v>
          </cell>
          <cell r="AC176" t="str">
            <v>STABLE</v>
          </cell>
          <cell r="AD176">
            <v>0</v>
          </cell>
          <cell r="AE176">
            <v>0</v>
          </cell>
          <cell r="AF176">
            <v>0</v>
          </cell>
          <cell r="AG176">
            <v>0</v>
          </cell>
          <cell r="AH176">
            <v>0</v>
          </cell>
          <cell r="AI176">
            <v>0</v>
          </cell>
          <cell r="AJ176" t="str">
            <v/>
          </cell>
          <cell r="AK176">
            <v>427397857968400</v>
          </cell>
          <cell r="AL176" t="str">
            <v>KRW</v>
          </cell>
          <cell r="AM176">
            <v>1389.5</v>
          </cell>
          <cell r="AN176">
            <v>307.59111764548402</v>
          </cell>
          <cell r="AP176" t="str">
            <v/>
          </cell>
          <cell r="AQ176" t="str">
            <v/>
          </cell>
          <cell r="AR176" t="str">
            <v/>
          </cell>
          <cell r="AS176">
            <v>42937</v>
          </cell>
          <cell r="AT176">
            <v>45681</v>
          </cell>
          <cell r="AU176">
            <v>43020</v>
          </cell>
          <cell r="AV176">
            <v>71800</v>
          </cell>
          <cell r="AW176">
            <v>68900</v>
          </cell>
          <cell r="AX176">
            <v>4.2089985486212012</v>
          </cell>
        </row>
        <row r="177">
          <cell r="F177" t="str">
            <v>HP Inc</v>
          </cell>
          <cell r="G177" t="str">
            <v>惠普公司</v>
          </cell>
          <cell r="H177">
            <v>25.51</v>
          </cell>
          <cell r="I177">
            <v>-2.2979699999999998</v>
          </cell>
          <cell r="J177">
            <v>2.162595</v>
          </cell>
          <cell r="K177">
            <v>-21.820409999999999</v>
          </cell>
          <cell r="L177">
            <v>60.304510000000001</v>
          </cell>
          <cell r="M177">
            <v>0</v>
          </cell>
          <cell r="N177">
            <v>-1.8495900000000001</v>
          </cell>
          <cell r="O177">
            <v>1.2414799999999999</v>
          </cell>
          <cell r="P177" t="str">
            <v xml:space="preserve"> </v>
          </cell>
          <cell r="Q177" t="str">
            <v>BBB</v>
          </cell>
          <cell r="R177" t="str">
            <v>Baa2</v>
          </cell>
          <cell r="S177" t="str">
            <v>BBB+</v>
          </cell>
          <cell r="T177" t="str">
            <v>STABLE</v>
          </cell>
          <cell r="U177" t="str">
            <v>STABLE</v>
          </cell>
          <cell r="V177" t="str">
            <v>STABLE</v>
          </cell>
          <cell r="X177" t="str">
            <v>BBB</v>
          </cell>
          <cell r="Y177" t="str">
            <v>Baa2</v>
          </cell>
          <cell r="Z177" t="str">
            <v>BBB+</v>
          </cell>
          <cell r="AA177" t="str">
            <v>STABLE</v>
          </cell>
          <cell r="AB177" t="str">
            <v>STABLE</v>
          </cell>
          <cell r="AC177" t="str">
            <v>STABLE</v>
          </cell>
          <cell r="AD177">
            <v>0</v>
          </cell>
          <cell r="AE177">
            <v>0</v>
          </cell>
          <cell r="AF177">
            <v>0</v>
          </cell>
          <cell r="AG177">
            <v>0</v>
          </cell>
          <cell r="AH177">
            <v>0</v>
          </cell>
          <cell r="AI177">
            <v>0</v>
          </cell>
          <cell r="AJ177" t="str">
            <v/>
          </cell>
          <cell r="AK177">
            <v>23960851117.780003</v>
          </cell>
          <cell r="AL177" t="str">
            <v>USD</v>
          </cell>
          <cell r="AM177">
            <v>1</v>
          </cell>
          <cell r="AN177">
            <v>23.960851117780003</v>
          </cell>
          <cell r="AP177" t="str">
            <v/>
          </cell>
          <cell r="AQ177" t="str">
            <v/>
          </cell>
          <cell r="AR177" t="str">
            <v/>
          </cell>
          <cell r="AS177">
            <v>42307</v>
          </cell>
          <cell r="AT177">
            <v>44648</v>
          </cell>
          <cell r="AU177">
            <v>42311</v>
          </cell>
          <cell r="AV177">
            <v>26.11</v>
          </cell>
          <cell r="AW177">
            <v>24.45</v>
          </cell>
          <cell r="AX177">
            <v>6.789366053169732</v>
          </cell>
        </row>
        <row r="178">
          <cell r="F178" t="str">
            <v>Hewlett Packard Enterprise Co</v>
          </cell>
          <cell r="G178" t="str">
            <v>慧與企業公司</v>
          </cell>
          <cell r="H178">
            <v>20.59</v>
          </cell>
          <cell r="I178">
            <v>-1.0571839999999999</v>
          </cell>
          <cell r="J178">
            <v>2.847153</v>
          </cell>
          <cell r="K178">
            <v>-3.5597210000000001</v>
          </cell>
          <cell r="L178" t="str">
            <v>#N/A N/A BEST Curncy</v>
          </cell>
          <cell r="M178" t="str">
            <v>#N/A N/A BEST Curncy</v>
          </cell>
          <cell r="N178" t="str">
            <v>#N/A N/A BEST Curncy</v>
          </cell>
          <cell r="O178" t="str">
            <v>#N/A N/A BEST Curncy</v>
          </cell>
          <cell r="P178" t="str">
            <v xml:space="preserve"> </v>
          </cell>
          <cell r="Q178" t="str">
            <v>BBB</v>
          </cell>
          <cell r="R178" t="str">
            <v>Baa2</v>
          </cell>
          <cell r="S178" t="str">
            <v>BBB+</v>
          </cell>
          <cell r="T178" t="str">
            <v>STABLE</v>
          </cell>
          <cell r="U178" t="str">
            <v>STABLE</v>
          </cell>
          <cell r="V178" t="str">
            <v>STABLE</v>
          </cell>
          <cell r="X178" t="str">
            <v>BBB</v>
          </cell>
          <cell r="Y178" t="str">
            <v>Baa2</v>
          </cell>
          <cell r="Z178" t="str">
            <v>BBB+</v>
          </cell>
          <cell r="AA178" t="str">
            <v>STABLE</v>
          </cell>
          <cell r="AB178" t="str">
            <v>STABLE</v>
          </cell>
          <cell r="AC178" t="str">
            <v>STABLE</v>
          </cell>
          <cell r="AD178">
            <v>0</v>
          </cell>
          <cell r="AE178">
            <v>0</v>
          </cell>
          <cell r="AF178">
            <v>0</v>
          </cell>
          <cell r="AG178">
            <v>0</v>
          </cell>
          <cell r="AH178">
            <v>0</v>
          </cell>
          <cell r="AI178">
            <v>0</v>
          </cell>
          <cell r="AJ178" t="str">
            <v/>
          </cell>
          <cell r="AK178">
            <v>27018519615.800003</v>
          </cell>
          <cell r="AL178" t="str">
            <v>USD</v>
          </cell>
          <cell r="AM178">
            <v>1</v>
          </cell>
          <cell r="AN178">
            <v>27.018519615800002</v>
          </cell>
          <cell r="AP178" t="str">
            <v/>
          </cell>
          <cell r="AQ178" t="str">
            <v/>
          </cell>
          <cell r="AR178" t="str">
            <v/>
          </cell>
          <cell r="AS178">
            <v>42270</v>
          </cell>
          <cell r="AT178">
            <v>45301</v>
          </cell>
          <cell r="AU178">
            <v>42804</v>
          </cell>
          <cell r="AV178">
            <v>20.81</v>
          </cell>
          <cell r="AW178">
            <v>19.809999999999999</v>
          </cell>
          <cell r="AX178">
            <v>5.0479555779909147</v>
          </cell>
        </row>
        <row r="179">
          <cell r="F179" t="str">
            <v>Alibaba Group Holding Ltd</v>
          </cell>
          <cell r="G179" t="str">
            <v>阿里巴巴集團控股有限公司</v>
          </cell>
          <cell r="H179">
            <v>118.64</v>
          </cell>
          <cell r="I179">
            <v>-1.429046</v>
          </cell>
          <cell r="J179">
            <v>0.97021279999999999</v>
          </cell>
          <cell r="K179">
            <v>41.045450000000002</v>
          </cell>
          <cell r="L179">
            <v>45.79419</v>
          </cell>
          <cell r="M179">
            <v>0</v>
          </cell>
          <cell r="N179">
            <v>0.39062000000000002</v>
          </cell>
          <cell r="O179">
            <v>-4.2797499999999999</v>
          </cell>
          <cell r="P179" t="str">
            <v xml:space="preserve"> </v>
          </cell>
          <cell r="Q179" t="str">
            <v>A+</v>
          </cell>
          <cell r="R179" t="str">
            <v>A1</v>
          </cell>
          <cell r="S179" t="str">
            <v>A</v>
          </cell>
          <cell r="T179" t="str">
            <v>STABLE</v>
          </cell>
          <cell r="U179" t="str">
            <v>NEG</v>
          </cell>
          <cell r="V179" t="str">
            <v>STABLE</v>
          </cell>
          <cell r="X179" t="str">
            <v>A+</v>
          </cell>
          <cell r="Y179" t="str">
            <v>A1</v>
          </cell>
          <cell r="Z179" t="str">
            <v>A</v>
          </cell>
          <cell r="AA179" t="str">
            <v>STABLE</v>
          </cell>
          <cell r="AB179" t="str">
            <v>NEG</v>
          </cell>
          <cell r="AC179" t="str">
            <v>STABLE</v>
          </cell>
          <cell r="AD179">
            <v>0</v>
          </cell>
          <cell r="AE179">
            <v>0</v>
          </cell>
          <cell r="AF179">
            <v>0</v>
          </cell>
          <cell r="AG179">
            <v>0</v>
          </cell>
          <cell r="AH179">
            <v>0</v>
          </cell>
          <cell r="AI179">
            <v>0</v>
          </cell>
          <cell r="AJ179" t="str">
            <v/>
          </cell>
          <cell r="AK179">
            <v>282937172727.04004</v>
          </cell>
          <cell r="AL179" t="str">
            <v>USD</v>
          </cell>
          <cell r="AM179">
            <v>1</v>
          </cell>
          <cell r="AN179">
            <v>282.93717272704004</v>
          </cell>
          <cell r="AP179" t="str">
            <v/>
          </cell>
          <cell r="AQ179" t="str">
            <v/>
          </cell>
          <cell r="AR179" t="str">
            <v/>
          </cell>
          <cell r="AS179">
            <v>41956</v>
          </cell>
          <cell r="AT179">
            <v>45804</v>
          </cell>
          <cell r="AU179">
            <v>45756</v>
          </cell>
          <cell r="AV179">
            <v>120.36</v>
          </cell>
          <cell r="AW179">
            <v>117.07</v>
          </cell>
          <cell r="AX179">
            <v>2.8102844452037257</v>
          </cell>
        </row>
        <row r="180">
          <cell r="F180" t="str">
            <v>Baidu Inc</v>
          </cell>
          <cell r="G180" t="str">
            <v>百度集團股份有限公司</v>
          </cell>
          <cell r="H180">
            <v>85.99</v>
          </cell>
          <cell r="I180">
            <v>-1.5682229999999999</v>
          </cell>
          <cell r="J180">
            <v>-1.8827020000000001</v>
          </cell>
          <cell r="K180">
            <v>1.9926489999999999</v>
          </cell>
          <cell r="L180">
            <v>71.01643</v>
          </cell>
          <cell r="M180">
            <v>0</v>
          </cell>
          <cell r="N180">
            <v>-0.18398</v>
          </cell>
          <cell r="O180">
            <v>-7.7948300000000001</v>
          </cell>
          <cell r="P180" t="str">
            <v xml:space="preserve"> </v>
          </cell>
          <cell r="Q180" t="str">
            <v>-</v>
          </cell>
          <cell r="R180" t="str">
            <v>A3</v>
          </cell>
          <cell r="S180" t="str">
            <v>A</v>
          </cell>
          <cell r="T180" t="str">
            <v xml:space="preserve"> </v>
          </cell>
          <cell r="U180" t="str">
            <v>STABLE</v>
          </cell>
          <cell r="V180" t="str">
            <v>STABLE</v>
          </cell>
          <cell r="X180" t="str">
            <v>-</v>
          </cell>
          <cell r="Y180" t="str">
            <v>A3</v>
          </cell>
          <cell r="Z180" t="str">
            <v>A</v>
          </cell>
          <cell r="AA180" t="str">
            <v xml:space="preserve"> </v>
          </cell>
          <cell r="AB180" t="str">
            <v>STABLE</v>
          </cell>
          <cell r="AC180" t="str">
            <v>STABLE</v>
          </cell>
          <cell r="AD180">
            <v>0</v>
          </cell>
          <cell r="AE180">
            <v>0</v>
          </cell>
          <cell r="AF180">
            <v>0</v>
          </cell>
          <cell r="AG180">
            <v>0</v>
          </cell>
          <cell r="AH180">
            <v>0</v>
          </cell>
          <cell r="AI180">
            <v>0</v>
          </cell>
          <cell r="AJ180" t="str">
            <v/>
          </cell>
          <cell r="AK180">
            <v>30147876359.309994</v>
          </cell>
          <cell r="AL180" t="str">
            <v>USD</v>
          </cell>
          <cell r="AM180">
            <v>1</v>
          </cell>
          <cell r="AN180">
            <v>30.147876359309993</v>
          </cell>
          <cell r="AP180" t="str">
            <v/>
          </cell>
          <cell r="AQ180" t="str">
            <v/>
          </cell>
          <cell r="AR180" t="str">
            <v/>
          </cell>
          <cell r="AS180" t="str">
            <v/>
          </cell>
          <cell r="AT180">
            <v>45700</v>
          </cell>
          <cell r="AU180">
            <v>43068</v>
          </cell>
          <cell r="AV180">
            <v>87.36</v>
          </cell>
          <cell r="AW180">
            <v>86.13</v>
          </cell>
          <cell r="AX180">
            <v>1.4280738418669392</v>
          </cell>
        </row>
        <row r="181">
          <cell r="F181" t="str">
            <v>Electricite de France SA</v>
          </cell>
          <cell r="G181" t="str">
            <v>法國電力有限責任公司</v>
          </cell>
          <cell r="H181" t="str">
            <v>-</v>
          </cell>
          <cell r="I181" t="str">
            <v>-</v>
          </cell>
          <cell r="J181" t="str">
            <v>-</v>
          </cell>
          <cell r="K181" t="str">
            <v>-</v>
          </cell>
          <cell r="L181">
            <v>71.101879999999994</v>
          </cell>
          <cell r="M181">
            <v>1.83E-3</v>
          </cell>
          <cell r="N181">
            <v>-2.6791299999999998</v>
          </cell>
          <cell r="O181">
            <v>0.83311000000000002</v>
          </cell>
          <cell r="P181" t="str">
            <v xml:space="preserve"> </v>
          </cell>
          <cell r="Q181" t="str">
            <v>BBB</v>
          </cell>
          <cell r="R181" t="str">
            <v>Baa1</v>
          </cell>
          <cell r="S181" t="str">
            <v>BBB+</v>
          </cell>
          <cell r="T181" t="str">
            <v>POS</v>
          </cell>
          <cell r="U181" t="str">
            <v>STABLE</v>
          </cell>
          <cell r="V181" t="str">
            <v>NEG</v>
          </cell>
          <cell r="X181" t="str">
            <v>BBB</v>
          </cell>
          <cell r="Y181" t="str">
            <v>Baa1</v>
          </cell>
          <cell r="Z181" t="str">
            <v>BBB+</v>
          </cell>
          <cell r="AA181" t="str">
            <v>POS</v>
          </cell>
          <cell r="AB181" t="str">
            <v>STABLE</v>
          </cell>
          <cell r="AC181" t="str">
            <v>NEG</v>
          </cell>
          <cell r="AD181">
            <v>0</v>
          </cell>
          <cell r="AE181">
            <v>0</v>
          </cell>
          <cell r="AF181">
            <v>0</v>
          </cell>
          <cell r="AG181">
            <v>0</v>
          </cell>
          <cell r="AH181">
            <v>0</v>
          </cell>
          <cell r="AI181">
            <v>0</v>
          </cell>
          <cell r="AJ181" t="str">
            <v/>
          </cell>
          <cell r="AK181" t="str">
            <v>#N/A N/A</v>
          </cell>
          <cell r="AL181" t="str">
            <v>EUR</v>
          </cell>
          <cell r="AM181">
            <v>0.86060000000000003</v>
          </cell>
          <cell r="AN181" t="e">
            <v>#VALUE!</v>
          </cell>
          <cell r="AP181" t="str">
            <v/>
          </cell>
          <cell r="AQ181" t="str">
            <v/>
          </cell>
          <cell r="AR181" t="str">
            <v/>
          </cell>
          <cell r="AS181">
            <v>44909</v>
          </cell>
          <cell r="AT181">
            <v>45078</v>
          </cell>
          <cell r="AU181">
            <v>44622</v>
          </cell>
          <cell r="AV181" t="str">
            <v>-</v>
          </cell>
          <cell r="AW181" t="str">
            <v>-</v>
          </cell>
          <cell r="AX181" t="str">
            <v>-</v>
          </cell>
        </row>
        <row r="182">
          <cell r="F182" t="str">
            <v>Comision Federal de Electricid</v>
          </cell>
          <cell r="G182" t="str">
            <v>聯邦電力委員會</v>
          </cell>
          <cell r="H182" t="str">
            <v>-</v>
          </cell>
          <cell r="I182" t="str">
            <v>-</v>
          </cell>
          <cell r="J182" t="str">
            <v>-</v>
          </cell>
          <cell r="K182" t="str">
            <v>-</v>
          </cell>
          <cell r="L182" t="str">
            <v xml:space="preserve"> </v>
          </cell>
          <cell r="M182" t="str">
            <v xml:space="preserve"> </v>
          </cell>
          <cell r="N182" t="str">
            <v xml:space="preserve"> </v>
          </cell>
          <cell r="O182" t="str">
            <v xml:space="preserve"> </v>
          </cell>
          <cell r="P182" t="str">
            <v>Y</v>
          </cell>
          <cell r="Q182" t="str">
            <v>BBB</v>
          </cell>
          <cell r="R182" t="str">
            <v>Baa2</v>
          </cell>
          <cell r="S182" t="str">
            <v>BBB-</v>
          </cell>
          <cell r="T182" t="str">
            <v>STABLE</v>
          </cell>
          <cell r="U182" t="str">
            <v>NEG</v>
          </cell>
          <cell r="V182" t="str">
            <v>STABLE</v>
          </cell>
          <cell r="X182" t="str">
            <v>BBB</v>
          </cell>
          <cell r="Y182" t="str">
            <v>Baa1</v>
          </cell>
          <cell r="Z182" t="str">
            <v>BBB+</v>
          </cell>
          <cell r="AA182" t="str">
            <v>STABLE</v>
          </cell>
          <cell r="AB182" t="str">
            <v>STABLE</v>
          </cell>
          <cell r="AC182" t="str">
            <v>STABLE</v>
          </cell>
          <cell r="AD182">
            <v>0</v>
          </cell>
          <cell r="AE182">
            <v>1</v>
          </cell>
          <cell r="AF182">
            <v>1</v>
          </cell>
          <cell r="AG182">
            <v>0</v>
          </cell>
          <cell r="AH182">
            <v>1</v>
          </cell>
          <cell r="AI182">
            <v>0</v>
          </cell>
          <cell r="AJ182" t="str">
            <v/>
          </cell>
          <cell r="AK182" t="str">
            <v>#N/A N/A</v>
          </cell>
          <cell r="AL182" t="str">
            <v>MXN</v>
          </cell>
          <cell r="AM182">
            <v>18.673500000000001</v>
          </cell>
          <cell r="AN182" t="e">
            <v>#VALUE!</v>
          </cell>
          <cell r="AP182" t="str">
            <v/>
          </cell>
          <cell r="AQ182" t="str">
            <v/>
          </cell>
          <cell r="AR182" t="str">
            <v/>
          </cell>
          <cell r="AS182">
            <v>43917</v>
          </cell>
          <cell r="AT182">
            <v>45611</v>
          </cell>
          <cell r="AU182">
            <v>43938</v>
          </cell>
          <cell r="AV182" t="str">
            <v>-</v>
          </cell>
          <cell r="AW182" t="str">
            <v>-</v>
          </cell>
          <cell r="AX182" t="str">
            <v>-</v>
          </cell>
        </row>
        <row r="183">
          <cell r="F183" t="str">
            <v>Enel SpA</v>
          </cell>
          <cell r="G183" t="str">
            <v>義大利國家電力公司</v>
          </cell>
          <cell r="H183">
            <v>7.8120000000000003</v>
          </cell>
          <cell r="I183">
            <v>0.38550499999999999</v>
          </cell>
          <cell r="J183">
            <v>-0.5347594</v>
          </cell>
          <cell r="K183">
            <v>13.447570000000001</v>
          </cell>
          <cell r="L183">
            <v>50.943759999999997</v>
          </cell>
          <cell r="M183">
            <v>1.56E-3</v>
          </cell>
          <cell r="N183">
            <v>-1.2467699999999999</v>
          </cell>
          <cell r="O183">
            <v>-5.1820899999999996</v>
          </cell>
          <cell r="P183" t="str">
            <v xml:space="preserve"> </v>
          </cell>
          <cell r="Q183" t="str">
            <v>BBB</v>
          </cell>
          <cell r="R183" t="str">
            <v>Baa1</v>
          </cell>
          <cell r="S183" t="str">
            <v>BBB+</v>
          </cell>
          <cell r="T183" t="str">
            <v>STABLE</v>
          </cell>
          <cell r="U183" t="str">
            <v>STABLE</v>
          </cell>
          <cell r="V183" t="str">
            <v>STABLE</v>
          </cell>
          <cell r="X183" t="str">
            <v>BBB</v>
          </cell>
          <cell r="Y183" t="str">
            <v>Baa1</v>
          </cell>
          <cell r="Z183" t="str">
            <v>BBB+</v>
          </cell>
          <cell r="AA183" t="str">
            <v>STABLE</v>
          </cell>
          <cell r="AB183" t="str">
            <v>STABLE</v>
          </cell>
          <cell r="AC183" t="str">
            <v>STABLE</v>
          </cell>
          <cell r="AD183">
            <v>0</v>
          </cell>
          <cell r="AE183">
            <v>0</v>
          </cell>
          <cell r="AF183">
            <v>0</v>
          </cell>
          <cell r="AG183">
            <v>0</v>
          </cell>
          <cell r="AH183">
            <v>0</v>
          </cell>
          <cell r="AI183">
            <v>0</v>
          </cell>
          <cell r="AJ183" t="str">
            <v/>
          </cell>
          <cell r="AK183">
            <v>79422103738.151993</v>
          </cell>
          <cell r="AL183" t="str">
            <v>EUR</v>
          </cell>
          <cell r="AM183">
            <v>0.86060000000000003</v>
          </cell>
          <cell r="AN183">
            <v>92.286897209100616</v>
          </cell>
          <cell r="AP183" t="str">
            <v/>
          </cell>
          <cell r="AQ183" t="str">
            <v/>
          </cell>
          <cell r="AR183" t="str">
            <v/>
          </cell>
          <cell r="AS183">
            <v>45265</v>
          </cell>
          <cell r="AT183">
            <v>45446</v>
          </cell>
          <cell r="AU183">
            <v>44596</v>
          </cell>
          <cell r="AV183">
            <v>7.782</v>
          </cell>
          <cell r="AW183">
            <v>7.69</v>
          </cell>
          <cell r="AX183">
            <v>1.1963589076722903</v>
          </cell>
        </row>
        <row r="184">
          <cell r="F184" t="str">
            <v>Edison International</v>
          </cell>
          <cell r="G184" t="str">
            <v>愛迪生國際</v>
          </cell>
          <cell r="H184">
            <v>55.25</v>
          </cell>
          <cell r="I184">
            <v>2.7524639999999998</v>
          </cell>
          <cell r="J184">
            <v>5.4328139999999997E-2</v>
          </cell>
          <cell r="K184">
            <v>-30.799099999999999</v>
          </cell>
          <cell r="L184" t="str">
            <v xml:space="preserve"> </v>
          </cell>
          <cell r="M184" t="str">
            <v xml:space="preserve"> </v>
          </cell>
          <cell r="N184" t="str">
            <v xml:space="preserve"> </v>
          </cell>
          <cell r="O184" t="str">
            <v xml:space="preserve"> </v>
          </cell>
          <cell r="P184" t="str">
            <v>Y</v>
          </cell>
          <cell r="Q184" t="str">
            <v>BBB</v>
          </cell>
          <cell r="R184" t="str">
            <v>Baa2</v>
          </cell>
          <cell r="S184" t="str">
            <v>BBB *-</v>
          </cell>
          <cell r="T184" t="str">
            <v>NEG</v>
          </cell>
          <cell r="U184" t="str">
            <v>STABLE</v>
          </cell>
          <cell r="V184" t="str">
            <v xml:space="preserve"> </v>
          </cell>
          <cell r="X184" t="str">
            <v>BBB</v>
          </cell>
          <cell r="Y184" t="str">
            <v>Baa1</v>
          </cell>
          <cell r="Z184" t="str">
            <v>BBB+</v>
          </cell>
          <cell r="AA184" t="str">
            <v>STABLE</v>
          </cell>
          <cell r="AB184" t="str">
            <v>STABLE</v>
          </cell>
          <cell r="AC184" t="str">
            <v>STABLE</v>
          </cell>
          <cell r="AD184">
            <v>0</v>
          </cell>
          <cell r="AE184">
            <v>1</v>
          </cell>
          <cell r="AF184">
            <v>1</v>
          </cell>
          <cell r="AG184">
            <v>1</v>
          </cell>
          <cell r="AH184">
            <v>0</v>
          </cell>
          <cell r="AI184">
            <v>1</v>
          </cell>
          <cell r="AJ184" t="str">
            <v/>
          </cell>
          <cell r="AK184">
            <v>21262078886.749996</v>
          </cell>
          <cell r="AL184" t="str">
            <v>USD</v>
          </cell>
          <cell r="AM184">
            <v>1</v>
          </cell>
          <cell r="AN184">
            <v>21.262078886749997</v>
          </cell>
          <cell r="AP184" t="str">
            <v/>
          </cell>
          <cell r="AQ184" t="str">
            <v/>
          </cell>
          <cell r="AR184" t="str">
            <v/>
          </cell>
          <cell r="AS184">
            <v>43672</v>
          </cell>
          <cell r="AT184">
            <v>44980</v>
          </cell>
          <cell r="AU184">
            <v>45793</v>
          </cell>
          <cell r="AV184">
            <v>53.77</v>
          </cell>
          <cell r="AW184">
            <v>53.13</v>
          </cell>
          <cell r="AX184">
            <v>1.2045925089403386</v>
          </cell>
        </row>
        <row r="185">
          <cell r="F185" t="str">
            <v>Eskom Holdings SOC Ltd</v>
          </cell>
          <cell r="G185" t="str">
            <v>Eskom控股國有有限公司</v>
          </cell>
          <cell r="H185" t="str">
            <v>-</v>
          </cell>
          <cell r="I185" t="str">
            <v>-</v>
          </cell>
          <cell r="J185" t="str">
            <v>-</v>
          </cell>
          <cell r="K185" t="str">
            <v>-</v>
          </cell>
          <cell r="L185">
            <v>80.424930000000003</v>
          </cell>
          <cell r="M185">
            <v>0</v>
          </cell>
          <cell r="N185">
            <v>-0.52714000000000005</v>
          </cell>
          <cell r="O185">
            <v>-24.813870000000001</v>
          </cell>
          <cell r="P185" t="str">
            <v xml:space="preserve"> </v>
          </cell>
          <cell r="Q185" t="str">
            <v>B</v>
          </cell>
          <cell r="R185" t="str">
            <v>B2</v>
          </cell>
          <cell r="S185" t="str">
            <v>-</v>
          </cell>
          <cell r="T185" t="str">
            <v>POS</v>
          </cell>
          <cell r="U185" t="str">
            <v>STABLE</v>
          </cell>
          <cell r="V185" t="str">
            <v>STABLE</v>
          </cell>
          <cell r="X185" t="str">
            <v>B</v>
          </cell>
          <cell r="Y185" t="str">
            <v>B2</v>
          </cell>
          <cell r="Z185" t="str">
            <v>-</v>
          </cell>
          <cell r="AA185" t="str">
            <v>POS</v>
          </cell>
          <cell r="AB185" t="str">
            <v>STABLE</v>
          </cell>
          <cell r="AC185" t="str">
            <v>STABLE</v>
          </cell>
          <cell r="AD185">
            <v>0</v>
          </cell>
          <cell r="AE185">
            <v>0</v>
          </cell>
          <cell r="AF185">
            <v>0</v>
          </cell>
          <cell r="AG185">
            <v>0</v>
          </cell>
          <cell r="AH185">
            <v>0</v>
          </cell>
          <cell r="AI185">
            <v>0</v>
          </cell>
          <cell r="AJ185" t="str">
            <v/>
          </cell>
          <cell r="AK185" t="str">
            <v>#N/A N/A</v>
          </cell>
          <cell r="AL185" t="str">
            <v>ZAr</v>
          </cell>
          <cell r="AM185">
            <v>17.741099999999999</v>
          </cell>
          <cell r="AN185" t="e">
            <v>#VALUE!</v>
          </cell>
          <cell r="AP185" t="str">
            <v/>
          </cell>
          <cell r="AQ185" t="str">
            <v/>
          </cell>
          <cell r="AR185" t="str">
            <v/>
          </cell>
          <cell r="AS185">
            <v>45254</v>
          </cell>
          <cell r="AT185">
            <v>45175</v>
          </cell>
          <cell r="AU185" t="str">
            <v/>
          </cell>
          <cell r="AV185" t="str">
            <v>-</v>
          </cell>
          <cell r="AW185" t="str">
            <v>-</v>
          </cell>
          <cell r="AX185" t="str">
            <v>-</v>
          </cell>
        </row>
        <row r="186">
          <cell r="F186" t="str">
            <v>Perusahaan Perseroan Persero P</v>
          </cell>
          <cell r="G186" t="str">
            <v>國家電力公司</v>
          </cell>
          <cell r="H186" t="str">
            <v>-</v>
          </cell>
          <cell r="I186" t="str">
            <v>-</v>
          </cell>
          <cell r="J186" t="str">
            <v>-</v>
          </cell>
          <cell r="K186" t="str">
            <v>-</v>
          </cell>
          <cell r="L186">
            <v>72.093440000000001</v>
          </cell>
          <cell r="M186">
            <v>0</v>
          </cell>
          <cell r="N186">
            <v>-2.0916999999999999</v>
          </cell>
          <cell r="O186">
            <v>-7.6158700000000001</v>
          </cell>
          <cell r="P186" t="str">
            <v xml:space="preserve"> </v>
          </cell>
          <cell r="Q186" t="str">
            <v>BBB</v>
          </cell>
          <cell r="R186" t="str">
            <v>Baa2</v>
          </cell>
          <cell r="S186" t="str">
            <v>BBB</v>
          </cell>
          <cell r="T186" t="str">
            <v>STABLE</v>
          </cell>
          <cell r="U186" t="str">
            <v>STABLE</v>
          </cell>
          <cell r="V186" t="str">
            <v>STABLE</v>
          </cell>
          <cell r="X186" t="str">
            <v>BBB</v>
          </cell>
          <cell r="Y186" t="str">
            <v>Baa2</v>
          </cell>
          <cell r="Z186" t="str">
            <v>BBB</v>
          </cell>
          <cell r="AA186" t="str">
            <v>STABLE</v>
          </cell>
          <cell r="AB186" t="str">
            <v>STABLE</v>
          </cell>
          <cell r="AC186" t="str">
            <v>STABLE</v>
          </cell>
          <cell r="AD186">
            <v>0</v>
          </cell>
          <cell r="AE186">
            <v>0</v>
          </cell>
          <cell r="AF186">
            <v>0</v>
          </cell>
          <cell r="AG186">
            <v>0</v>
          </cell>
          <cell r="AH186">
            <v>0</v>
          </cell>
          <cell r="AI186">
            <v>0</v>
          </cell>
          <cell r="AJ186" t="str">
            <v/>
          </cell>
          <cell r="AK186" t="str">
            <v>#N/A N/A</v>
          </cell>
          <cell r="AL186" t="str">
            <v>IDR</v>
          </cell>
          <cell r="AM186">
            <v>16288</v>
          </cell>
          <cell r="AN186" t="e">
            <v>#VALUE!</v>
          </cell>
          <cell r="AP186" t="str">
            <v/>
          </cell>
          <cell r="AQ186" t="str">
            <v/>
          </cell>
          <cell r="AR186" t="str">
            <v/>
          </cell>
          <cell r="AS186">
            <v>43616</v>
          </cell>
          <cell r="AT186">
            <v>45511</v>
          </cell>
          <cell r="AU186">
            <v>43091</v>
          </cell>
          <cell r="AV186" t="str">
            <v>-</v>
          </cell>
          <cell r="AW186" t="str">
            <v>-</v>
          </cell>
          <cell r="AX186" t="str">
            <v>-</v>
          </cell>
        </row>
        <row r="187">
          <cell r="F187" t="str">
            <v>Pfizer Inc</v>
          </cell>
          <cell r="G187" t="str">
            <v>輝瑞大藥廠股份有限公司</v>
          </cell>
          <cell r="H187">
            <v>24.58</v>
          </cell>
          <cell r="I187">
            <v>0</v>
          </cell>
          <cell r="J187">
            <v>4.4623879999999998</v>
          </cell>
          <cell r="K187">
            <v>-7.3501719999999997</v>
          </cell>
          <cell r="L187">
            <v>36.240479999999998</v>
          </cell>
          <cell r="M187">
            <v>5.9999999999999995E-4</v>
          </cell>
          <cell r="N187">
            <v>-0.89429999999999998</v>
          </cell>
          <cell r="O187">
            <v>-6.3530600000000002</v>
          </cell>
          <cell r="P187" t="str">
            <v xml:space="preserve"> </v>
          </cell>
          <cell r="Q187" t="str">
            <v>A</v>
          </cell>
          <cell r="R187" t="str">
            <v>A2</v>
          </cell>
          <cell r="S187" t="str">
            <v>WD</v>
          </cell>
          <cell r="T187" t="str">
            <v>STABLE</v>
          </cell>
          <cell r="U187" t="str">
            <v>STABLE</v>
          </cell>
          <cell r="V187" t="str">
            <v xml:space="preserve"> </v>
          </cell>
          <cell r="X187" t="str">
            <v>A</v>
          </cell>
          <cell r="Y187" t="str">
            <v>A2</v>
          </cell>
          <cell r="Z187" t="str">
            <v>WD</v>
          </cell>
          <cell r="AA187" t="str">
            <v>STABLE</v>
          </cell>
          <cell r="AB187" t="str">
            <v>STABLE</v>
          </cell>
          <cell r="AC187" t="str">
            <v xml:space="preserve"> </v>
          </cell>
          <cell r="AD187">
            <v>0</v>
          </cell>
          <cell r="AE187">
            <v>0</v>
          </cell>
          <cell r="AF187">
            <v>0</v>
          </cell>
          <cell r="AG187">
            <v>0</v>
          </cell>
          <cell r="AH187">
            <v>0</v>
          </cell>
          <cell r="AI187">
            <v>0</v>
          </cell>
          <cell r="AJ187" t="str">
            <v/>
          </cell>
          <cell r="AK187">
            <v>139750831290</v>
          </cell>
          <cell r="AL187" t="str">
            <v>USD</v>
          </cell>
          <cell r="AM187">
            <v>1</v>
          </cell>
          <cell r="AN187">
            <v>139.75083129000001</v>
          </cell>
          <cell r="AP187" t="str">
            <v/>
          </cell>
          <cell r="AQ187" t="str">
            <v/>
          </cell>
          <cell r="AR187" t="str">
            <v/>
          </cell>
          <cell r="AS187">
            <v>45273</v>
          </cell>
          <cell r="AT187">
            <v>45273</v>
          </cell>
          <cell r="AU187">
            <v>45427</v>
          </cell>
          <cell r="AV187">
            <v>24.58</v>
          </cell>
          <cell r="AW187">
            <v>23.49</v>
          </cell>
          <cell r="AX187">
            <v>4.6402724563644027</v>
          </cell>
        </row>
        <row r="188">
          <cell r="F188" t="str">
            <v>Johnson &amp; Johnson</v>
          </cell>
          <cell r="G188" t="str">
            <v>嬌生公司</v>
          </cell>
          <cell r="H188">
            <v>173.82</v>
          </cell>
          <cell r="I188">
            <v>0.2826977</v>
          </cell>
          <cell r="J188">
            <v>1.625351</v>
          </cell>
          <cell r="K188">
            <v>20.190850000000001</v>
          </cell>
          <cell r="L188">
            <v>21.162420000000001</v>
          </cell>
          <cell r="M188">
            <v>0</v>
          </cell>
          <cell r="N188">
            <v>-0.97529999999999994</v>
          </cell>
          <cell r="O188">
            <v>-1.2662899999999999</v>
          </cell>
          <cell r="P188" t="str">
            <v xml:space="preserve"> </v>
          </cell>
          <cell r="Q188" t="str">
            <v>AAA</v>
          </cell>
          <cell r="R188" t="str">
            <v>Aaa</v>
          </cell>
          <cell r="S188" t="str">
            <v>WD</v>
          </cell>
          <cell r="T188" t="str">
            <v>STABLE</v>
          </cell>
          <cell r="U188" t="str">
            <v>STABLE</v>
          </cell>
          <cell r="V188" t="str">
            <v xml:space="preserve"> </v>
          </cell>
          <cell r="X188" t="str">
            <v>AAA</v>
          </cell>
          <cell r="Y188" t="str">
            <v>Aaa</v>
          </cell>
          <cell r="Z188" t="str">
            <v>WD</v>
          </cell>
          <cell r="AA188" t="str">
            <v>STABLE</v>
          </cell>
          <cell r="AB188" t="str">
            <v>STABLE</v>
          </cell>
          <cell r="AC188" t="str">
            <v xml:space="preserve"> </v>
          </cell>
          <cell r="AD188">
            <v>0</v>
          </cell>
          <cell r="AE188">
            <v>0</v>
          </cell>
          <cell r="AF188">
            <v>0</v>
          </cell>
          <cell r="AG188">
            <v>0</v>
          </cell>
          <cell r="AH188">
            <v>0</v>
          </cell>
          <cell r="AI188">
            <v>0</v>
          </cell>
          <cell r="AJ188" t="str">
            <v/>
          </cell>
          <cell r="AK188">
            <v>418617462731.03998</v>
          </cell>
          <cell r="AL188" t="str">
            <v>USD</v>
          </cell>
          <cell r="AM188">
            <v>1</v>
          </cell>
          <cell r="AN188">
            <v>418.61746273103995</v>
          </cell>
          <cell r="AP188" t="str">
            <v/>
          </cell>
          <cell r="AQ188" t="str">
            <v/>
          </cell>
          <cell r="AR188" t="str">
            <v/>
          </cell>
          <cell r="AS188">
            <v>45772</v>
          </cell>
          <cell r="AT188">
            <v>45671</v>
          </cell>
          <cell r="AU188">
            <v>43712</v>
          </cell>
          <cell r="AV188">
            <v>173.33</v>
          </cell>
          <cell r="AW188">
            <v>167.33</v>
          </cell>
          <cell r="AX188">
            <v>3.5857287993784626</v>
          </cell>
        </row>
        <row r="189">
          <cell r="F189" t="str">
            <v>AbbVie Inc</v>
          </cell>
          <cell r="G189" t="str">
            <v>艾伯維公司</v>
          </cell>
          <cell r="H189">
            <v>198.64</v>
          </cell>
          <cell r="I189">
            <v>0.29790460000000002</v>
          </cell>
          <cell r="J189">
            <v>0.73533139999999997</v>
          </cell>
          <cell r="K189">
            <v>11.783910000000001</v>
          </cell>
          <cell r="L189" t="str">
            <v xml:space="preserve"> </v>
          </cell>
          <cell r="M189" t="str">
            <v xml:space="preserve"> </v>
          </cell>
          <cell r="N189" t="str">
            <v xml:space="preserve"> </v>
          </cell>
          <cell r="O189" t="str">
            <v xml:space="preserve"> </v>
          </cell>
          <cell r="P189" t="str">
            <v xml:space="preserve"> </v>
          </cell>
          <cell r="Q189" t="str">
            <v>A-</v>
          </cell>
          <cell r="R189" t="str">
            <v>A3</v>
          </cell>
          <cell r="S189" t="str">
            <v>-</v>
          </cell>
          <cell r="T189" t="str">
            <v>STABLE</v>
          </cell>
          <cell r="U189" t="str">
            <v>POS</v>
          </cell>
          <cell r="V189" t="str">
            <v xml:space="preserve"> </v>
          </cell>
          <cell r="X189" t="str">
            <v>A-</v>
          </cell>
          <cell r="Y189" t="str">
            <v>A3</v>
          </cell>
          <cell r="Z189" t="str">
            <v>-</v>
          </cell>
          <cell r="AA189" t="str">
            <v>STABLE</v>
          </cell>
          <cell r="AB189" t="str">
            <v>POS</v>
          </cell>
          <cell r="AC189" t="str">
            <v xml:space="preserve"> </v>
          </cell>
          <cell r="AD189">
            <v>0</v>
          </cell>
          <cell r="AE189">
            <v>0</v>
          </cell>
          <cell r="AF189">
            <v>0</v>
          </cell>
          <cell r="AG189">
            <v>0</v>
          </cell>
          <cell r="AH189">
            <v>0</v>
          </cell>
          <cell r="AI189">
            <v>0</v>
          </cell>
          <cell r="AJ189" t="str">
            <v/>
          </cell>
          <cell r="AK189">
            <v>350909131375.91998</v>
          </cell>
          <cell r="AL189" t="str">
            <v>USD</v>
          </cell>
          <cell r="AM189">
            <v>1</v>
          </cell>
          <cell r="AN189">
            <v>350.90913137591997</v>
          </cell>
          <cell r="AP189" t="str">
            <v/>
          </cell>
          <cell r="AQ189" t="str">
            <v/>
          </cell>
          <cell r="AR189" t="str">
            <v/>
          </cell>
          <cell r="AS189">
            <v>45232</v>
          </cell>
          <cell r="AT189">
            <v>45505</v>
          </cell>
          <cell r="AU189" t="str">
            <v/>
          </cell>
          <cell r="AV189">
            <v>198.05</v>
          </cell>
          <cell r="AW189">
            <v>195.22</v>
          </cell>
          <cell r="AX189">
            <v>1.449646552607331</v>
          </cell>
        </row>
        <row r="190">
          <cell r="F190" t="str">
            <v>Eli Lilly &amp; Co</v>
          </cell>
          <cell r="G190" t="str">
            <v>禮來公司</v>
          </cell>
          <cell r="H190">
            <v>635.22</v>
          </cell>
          <cell r="I190">
            <v>1.529609</v>
          </cell>
          <cell r="J190">
            <v>-17.396619999999999</v>
          </cell>
          <cell r="K190">
            <v>-17.71762</v>
          </cell>
          <cell r="L190">
            <v>43.209490000000002</v>
          </cell>
          <cell r="M190">
            <v>0</v>
          </cell>
          <cell r="N190">
            <v>-1.2456100000000001</v>
          </cell>
          <cell r="O190">
            <v>6.2744499999999999</v>
          </cell>
          <cell r="P190" t="str">
            <v xml:space="preserve"> </v>
          </cell>
          <cell r="Q190" t="str">
            <v>A+</v>
          </cell>
          <cell r="R190" t="str">
            <v>Aa3</v>
          </cell>
          <cell r="S190" t="str">
            <v>WD</v>
          </cell>
          <cell r="T190" t="str">
            <v>STABLE</v>
          </cell>
          <cell r="U190" t="str">
            <v>STABLE</v>
          </cell>
          <cell r="V190" t="str">
            <v xml:space="preserve"> </v>
          </cell>
          <cell r="X190" t="str">
            <v>A+</v>
          </cell>
          <cell r="Y190" t="str">
            <v>Aa3</v>
          </cell>
          <cell r="Z190" t="str">
            <v>WD</v>
          </cell>
          <cell r="AA190" t="str">
            <v>STABLE</v>
          </cell>
          <cell r="AB190" t="str">
            <v>STABLE</v>
          </cell>
          <cell r="AC190" t="str">
            <v xml:space="preserve"> </v>
          </cell>
          <cell r="AD190">
            <v>0</v>
          </cell>
          <cell r="AE190">
            <v>0</v>
          </cell>
          <cell r="AF190">
            <v>0</v>
          </cell>
          <cell r="AG190">
            <v>0</v>
          </cell>
          <cell r="AH190">
            <v>0</v>
          </cell>
          <cell r="AI190">
            <v>0</v>
          </cell>
          <cell r="AJ190" t="str">
            <v/>
          </cell>
          <cell r="AK190">
            <v>601208262451.97998</v>
          </cell>
          <cell r="AL190" t="str">
            <v>USD</v>
          </cell>
          <cell r="AM190">
            <v>1</v>
          </cell>
          <cell r="AN190">
            <v>601.20826245197998</v>
          </cell>
          <cell r="AP190" t="str">
            <v/>
          </cell>
          <cell r="AQ190" t="str">
            <v/>
          </cell>
          <cell r="AR190" t="str">
            <v/>
          </cell>
          <cell r="AS190">
            <v>43515</v>
          </cell>
          <cell r="AT190">
            <v>45695</v>
          </cell>
          <cell r="AU190">
            <v>43755</v>
          </cell>
          <cell r="AV190">
            <v>625.65</v>
          </cell>
          <cell r="AW190">
            <v>762.33</v>
          </cell>
          <cell r="AX190">
            <v>-17.929243241116055</v>
          </cell>
        </row>
        <row r="191">
          <cell r="F191" t="str">
            <v>Novartis AG</v>
          </cell>
          <cell r="G191" t="str">
            <v>諾華公司</v>
          </cell>
          <cell r="H191">
            <v>96.02</v>
          </cell>
          <cell r="I191">
            <v>2.0837759999999999</v>
          </cell>
          <cell r="J191">
            <v>1.522521</v>
          </cell>
          <cell r="K191">
            <v>8.2525399999999998</v>
          </cell>
          <cell r="L191">
            <v>64.490139999999997</v>
          </cell>
          <cell r="M191">
            <v>0</v>
          </cell>
          <cell r="N191">
            <v>-1.1123000000000001</v>
          </cell>
          <cell r="O191">
            <v>-26.108899999999998</v>
          </cell>
          <cell r="P191" t="str">
            <v xml:space="preserve"> </v>
          </cell>
          <cell r="Q191" t="str">
            <v>AA-</v>
          </cell>
          <cell r="R191" t="str">
            <v>Aa3</v>
          </cell>
          <cell r="S191" t="str">
            <v>AA-u</v>
          </cell>
          <cell r="T191" t="str">
            <v>STABLE</v>
          </cell>
          <cell r="U191" t="str">
            <v>STABLE</v>
          </cell>
          <cell r="V191" t="str">
            <v>STABLE</v>
          </cell>
          <cell r="X191" t="str">
            <v>AA-</v>
          </cell>
          <cell r="Y191" t="str">
            <v>Aa3</v>
          </cell>
          <cell r="Z191" t="str">
            <v>AA-u</v>
          </cell>
          <cell r="AA191" t="str">
            <v>STABLE</v>
          </cell>
          <cell r="AB191" t="str">
            <v>STABLE</v>
          </cell>
          <cell r="AC191" t="str">
            <v>STABLE</v>
          </cell>
          <cell r="AD191">
            <v>0</v>
          </cell>
          <cell r="AE191">
            <v>0</v>
          </cell>
          <cell r="AF191">
            <v>0</v>
          </cell>
          <cell r="AG191">
            <v>0</v>
          </cell>
          <cell r="AH191">
            <v>0</v>
          </cell>
          <cell r="AI191">
            <v>0</v>
          </cell>
          <cell r="AJ191" t="str">
            <v/>
          </cell>
          <cell r="AK191">
            <v>202834747669.34</v>
          </cell>
          <cell r="AL191" t="str">
            <v>CHF</v>
          </cell>
          <cell r="AM191">
            <v>0.81110000000000004</v>
          </cell>
          <cell r="AN191">
            <v>250.07366251922079</v>
          </cell>
          <cell r="AP191" t="str">
            <v/>
          </cell>
          <cell r="AQ191" t="str">
            <v/>
          </cell>
          <cell r="AR191" t="str">
            <v/>
          </cell>
          <cell r="AS191">
            <v>39545</v>
          </cell>
          <cell r="AT191">
            <v>45338</v>
          </cell>
          <cell r="AU191">
            <v>43424</v>
          </cell>
          <cell r="AV191">
            <v>94.06</v>
          </cell>
          <cell r="AW191" t="str">
            <v>-</v>
          </cell>
          <cell r="AX191" t="str">
            <v>-</v>
          </cell>
        </row>
        <row r="192">
          <cell r="F192" t="str">
            <v>Novo Nordisk A/S</v>
          </cell>
          <cell r="G192" t="str">
            <v>諾和諾德公司</v>
          </cell>
          <cell r="H192">
            <v>322.60000000000002</v>
          </cell>
          <cell r="I192">
            <v>-0.13929730000000001</v>
          </cell>
          <cell r="J192">
            <v>3.0670929999999998</v>
          </cell>
          <cell r="K192">
            <v>-48.31785</v>
          </cell>
          <cell r="L192" t="str">
            <v>#N/A N/A CBIN Curncy</v>
          </cell>
          <cell r="M192" t="str">
            <v>#N/A N/A CBIN Curncy</v>
          </cell>
          <cell r="N192" t="str">
            <v>#N/A N/A CBIN Curncy</v>
          </cell>
          <cell r="O192" t="str">
            <v>#N/A N/A CBIN Curncy</v>
          </cell>
          <cell r="P192" t="str">
            <v xml:space="preserve"> </v>
          </cell>
          <cell r="Q192" t="str">
            <v>AA</v>
          </cell>
          <cell r="R192" t="str">
            <v>Aa3</v>
          </cell>
          <cell r="S192" t="str">
            <v>-</v>
          </cell>
          <cell r="T192" t="str">
            <v>STABLE</v>
          </cell>
          <cell r="U192" t="str">
            <v>STABLE</v>
          </cell>
          <cell r="V192" t="str">
            <v xml:space="preserve"> </v>
          </cell>
          <cell r="X192" t="str">
            <v>AA</v>
          </cell>
          <cell r="Y192" t="str">
            <v>Aa3</v>
          </cell>
          <cell r="Z192" t="str">
            <v>-</v>
          </cell>
          <cell r="AA192" t="str">
            <v>STABLE</v>
          </cell>
          <cell r="AB192" t="str">
            <v>STABLE</v>
          </cell>
          <cell r="AC192" t="str">
            <v xml:space="preserve"> </v>
          </cell>
          <cell r="AD192">
            <v>0</v>
          </cell>
          <cell r="AE192">
            <v>0</v>
          </cell>
          <cell r="AF192">
            <v>0</v>
          </cell>
          <cell r="AG192">
            <v>0</v>
          </cell>
          <cell r="AH192">
            <v>0</v>
          </cell>
          <cell r="AI192">
            <v>0</v>
          </cell>
          <cell r="AJ192" t="str">
            <v/>
          </cell>
          <cell r="AK192">
            <v>1440409000000.0002</v>
          </cell>
          <cell r="AL192" t="str">
            <v>DKK</v>
          </cell>
          <cell r="AM192">
            <v>6.4225000000000003</v>
          </cell>
          <cell r="AN192">
            <v>224.27543791358508</v>
          </cell>
          <cell r="AP192" t="str">
            <v/>
          </cell>
          <cell r="AQ192" t="str">
            <v/>
          </cell>
          <cell r="AR192" t="str">
            <v/>
          </cell>
          <cell r="AS192">
            <v>45796</v>
          </cell>
          <cell r="AT192">
            <v>45679</v>
          </cell>
          <cell r="AU192" t="str">
            <v/>
          </cell>
          <cell r="AV192">
            <v>323.05</v>
          </cell>
          <cell r="AW192">
            <v>308.8</v>
          </cell>
          <cell r="AX192">
            <v>4.6146373056994872</v>
          </cell>
        </row>
        <row r="193">
          <cell r="F193" t="str">
            <v>Airbus SE</v>
          </cell>
          <cell r="G193" t="str">
            <v>空中巴士公司</v>
          </cell>
          <cell r="H193">
            <v>175.8</v>
          </cell>
          <cell r="I193">
            <v>-0.23833840000000001</v>
          </cell>
          <cell r="J193">
            <v>2.0194990000000002</v>
          </cell>
          <cell r="K193">
            <v>14.43159</v>
          </cell>
          <cell r="L193">
            <v>31.853539999999999</v>
          </cell>
          <cell r="M193">
            <v>0</v>
          </cell>
          <cell r="N193">
            <v>-1.24695</v>
          </cell>
          <cell r="O193">
            <v>-14.236800000000001</v>
          </cell>
          <cell r="P193" t="str">
            <v xml:space="preserve"> </v>
          </cell>
          <cell r="Q193" t="str">
            <v>A</v>
          </cell>
          <cell r="R193" t="str">
            <v>A2</v>
          </cell>
          <cell r="S193" t="str">
            <v>Au</v>
          </cell>
          <cell r="T193" t="str">
            <v>STABLE</v>
          </cell>
          <cell r="U193" t="str">
            <v>POS</v>
          </cell>
          <cell r="V193" t="str">
            <v>STABLE</v>
          </cell>
          <cell r="X193" t="str">
            <v>A</v>
          </cell>
          <cell r="Y193" t="str">
            <v>A2</v>
          </cell>
          <cell r="Z193" t="str">
            <v>Au</v>
          </cell>
          <cell r="AA193" t="str">
            <v>STABLE</v>
          </cell>
          <cell r="AB193" t="str">
            <v>POS</v>
          </cell>
          <cell r="AC193" t="str">
            <v>STABLE</v>
          </cell>
          <cell r="AD193">
            <v>0</v>
          </cell>
          <cell r="AE193">
            <v>0</v>
          </cell>
          <cell r="AF193">
            <v>0</v>
          </cell>
          <cell r="AG193">
            <v>0</v>
          </cell>
          <cell r="AH193">
            <v>0</v>
          </cell>
          <cell r="AI193">
            <v>0</v>
          </cell>
          <cell r="AJ193" t="str">
            <v/>
          </cell>
          <cell r="AK193">
            <v>139283471471.39999</v>
          </cell>
          <cell r="AL193" t="str">
            <v>EUR</v>
          </cell>
          <cell r="AM193">
            <v>0.86060000000000003</v>
          </cell>
          <cell r="AN193">
            <v>161.84461012247269</v>
          </cell>
          <cell r="AP193" t="str">
            <v/>
          </cell>
          <cell r="AQ193" t="str">
            <v/>
          </cell>
          <cell r="AR193" t="str">
            <v/>
          </cell>
          <cell r="AS193">
            <v>43979</v>
          </cell>
          <cell r="AT193">
            <v>45412</v>
          </cell>
          <cell r="AU193">
            <v>45800</v>
          </cell>
          <cell r="AV193">
            <v>176.22</v>
          </cell>
          <cell r="AW193">
            <v>169.1</v>
          </cell>
          <cell r="AX193">
            <v>4.2105263157894868</v>
          </cell>
        </row>
        <row r="194">
          <cell r="F194" t="str">
            <v>Boeing Co/The</v>
          </cell>
          <cell r="G194" t="str">
            <v>波音公司</v>
          </cell>
          <cell r="H194">
            <v>225.96</v>
          </cell>
          <cell r="I194">
            <v>-1.3791899999999999</v>
          </cell>
          <cell r="J194">
            <v>1.6281369999999999</v>
          </cell>
          <cell r="K194">
            <v>27.661020000000001</v>
          </cell>
          <cell r="L194">
            <v>66.822810000000004</v>
          </cell>
          <cell r="M194">
            <v>0</v>
          </cell>
          <cell r="N194">
            <v>-0.64039000000000001</v>
          </cell>
          <cell r="O194">
            <v>-42.627989999999997</v>
          </cell>
          <cell r="P194" t="str">
            <v xml:space="preserve"> </v>
          </cell>
          <cell r="Q194" t="str">
            <v>BBB-</v>
          </cell>
          <cell r="R194" t="str">
            <v>Baa3</v>
          </cell>
          <cell r="S194" t="str">
            <v>BBB-</v>
          </cell>
          <cell r="T194" t="str">
            <v>NEG</v>
          </cell>
          <cell r="U194" t="str">
            <v>NEG</v>
          </cell>
          <cell r="V194" t="str">
            <v>STABLE</v>
          </cell>
          <cell r="X194" t="str">
            <v>BBB-</v>
          </cell>
          <cell r="Y194" t="str">
            <v>Baa3</v>
          </cell>
          <cell r="Z194" t="str">
            <v>BBB-</v>
          </cell>
          <cell r="AA194" t="str">
            <v>NEG</v>
          </cell>
          <cell r="AB194" t="str">
            <v>NEG</v>
          </cell>
          <cell r="AC194" t="str">
            <v>STABLE</v>
          </cell>
          <cell r="AD194">
            <v>0</v>
          </cell>
          <cell r="AE194">
            <v>0</v>
          </cell>
          <cell r="AF194">
            <v>0</v>
          </cell>
          <cell r="AG194">
            <v>0</v>
          </cell>
          <cell r="AH194">
            <v>0</v>
          </cell>
          <cell r="AI194">
            <v>0</v>
          </cell>
          <cell r="AJ194" t="str">
            <v/>
          </cell>
          <cell r="AK194">
            <v>170861392762.20001</v>
          </cell>
          <cell r="AL194" t="str">
            <v>USD</v>
          </cell>
          <cell r="AM194">
            <v>1</v>
          </cell>
          <cell r="AN194">
            <v>170.86139276220001</v>
          </cell>
          <cell r="AP194" t="str">
            <v/>
          </cell>
          <cell r="AQ194" t="str">
            <v/>
          </cell>
          <cell r="AR194" t="str">
            <v/>
          </cell>
          <cell r="AS194">
            <v>45775</v>
          </cell>
          <cell r="AT194">
            <v>45685</v>
          </cell>
          <cell r="AU194">
            <v>44133</v>
          </cell>
          <cell r="AV194">
            <v>229.12</v>
          </cell>
          <cell r="AW194">
            <v>221.9</v>
          </cell>
          <cell r="AX194">
            <v>3.2537178909418651</v>
          </cell>
        </row>
        <row r="195">
          <cell r="AX195" t="str">
            <v>-</v>
          </cell>
        </row>
        <row r="196">
          <cell r="AX196" t="str">
            <v>-</v>
          </cell>
        </row>
        <row r="197">
          <cell r="AX197" t="str">
            <v>-</v>
          </cell>
        </row>
        <row r="198">
          <cell r="F198" t="str">
            <v>Taiwan Stock Exchange Weighted</v>
          </cell>
          <cell r="G198" t="str">
            <v>台灣證交所加權股價指數</v>
          </cell>
          <cell r="H198">
            <v>24174.25</v>
          </cell>
          <cell r="I198">
            <v>0.1605519</v>
          </cell>
          <cell r="J198">
            <v>2.1709520000000002</v>
          </cell>
          <cell r="K198">
            <v>4.9452809999999996</v>
          </cell>
          <cell r="L198" t="str">
            <v>#N/A Mandatory parameter [SECURITY] cannot be empty</v>
          </cell>
          <cell r="M198" t="str">
            <v>#N/A Mandatory parameter [SECURITY] cannot be empty</v>
          </cell>
          <cell r="N198" t="str">
            <v>#N/A Mandatory parameter [SECURITY] cannot be empty</v>
          </cell>
          <cell r="O198" t="str">
            <v>#N/A Mandatory parameter [SECURITY] cannot be empty</v>
          </cell>
          <cell r="P198" t="str">
            <v>Y</v>
          </cell>
          <cell r="Q198" t="str">
            <v>#N/A Field Not Applicable</v>
          </cell>
          <cell r="R198" t="str">
            <v>#N/A Field Not Applicable</v>
          </cell>
          <cell r="S198" t="str">
            <v>#N/A Field Not Applicable</v>
          </cell>
          <cell r="T198" t="str">
            <v>#N/A Field Not Applicable</v>
          </cell>
          <cell r="U198" t="str">
            <v>#N/A Field Not Applicable</v>
          </cell>
          <cell r="V198" t="str">
            <v>#N/A Field Not Applicable</v>
          </cell>
          <cell r="AD198">
            <v>1</v>
          </cell>
          <cell r="AE198">
            <v>1</v>
          </cell>
          <cell r="AF198">
            <v>1</v>
          </cell>
          <cell r="AG198">
            <v>1</v>
          </cell>
          <cell r="AH198">
            <v>1</v>
          </cell>
          <cell r="AI198">
            <v>1</v>
          </cell>
          <cell r="AJ198" t="str">
            <v/>
          </cell>
          <cell r="AK198">
            <v>77535241807745</v>
          </cell>
          <cell r="AL198" t="str">
            <v>TWD</v>
          </cell>
          <cell r="AM198">
            <v>29.920999999999999</v>
          </cell>
          <cell r="AN198">
            <v>2591.3319009306174</v>
          </cell>
          <cell r="AP198" t="str">
            <v/>
          </cell>
          <cell r="AQ198" t="str">
            <v/>
          </cell>
          <cell r="AR198" t="str">
            <v/>
          </cell>
          <cell r="AS198" t="str">
            <v/>
          </cell>
          <cell r="AT198" t="str">
            <v/>
          </cell>
          <cell r="AU198" t="str">
            <v/>
          </cell>
          <cell r="AV198">
            <v>24021.26</v>
          </cell>
          <cell r="AW198">
            <v>23434.38</v>
          </cell>
          <cell r="AX198">
            <v>2.5043547130327193</v>
          </cell>
        </row>
        <row r="199">
          <cell r="F199" t="str">
            <v>Nikkei 225</v>
          </cell>
          <cell r="G199" t="str">
            <v>日經225指數</v>
          </cell>
          <cell r="H199">
            <v>42799.99</v>
          </cell>
          <cell r="I199">
            <v>2.3421780000000001</v>
          </cell>
          <cell r="J199">
            <v>6.2279650000000002</v>
          </cell>
          <cell r="K199">
            <v>7.2828239999999997</v>
          </cell>
          <cell r="L199" t="str">
            <v>#N/A Mandatory parameter [SECURITY] cannot be empty</v>
          </cell>
          <cell r="M199" t="str">
            <v>#N/A Mandatory parameter [SECURITY] cannot be empty</v>
          </cell>
          <cell r="N199" t="str">
            <v>#N/A Mandatory parameter [SECURITY] cannot be empty</v>
          </cell>
          <cell r="O199" t="str">
            <v>#N/A Mandatory parameter [SECURITY] cannot be empty</v>
          </cell>
          <cell r="P199" t="str">
            <v>Y</v>
          </cell>
          <cell r="Q199" t="str">
            <v>#N/A Field Not Applicable</v>
          </cell>
          <cell r="R199" t="str">
            <v>#N/A Field Not Applicable</v>
          </cell>
          <cell r="S199" t="str">
            <v>#N/A Field Not Applicable</v>
          </cell>
          <cell r="T199" t="str">
            <v>#N/A Field Not Applicable</v>
          </cell>
          <cell r="U199" t="str">
            <v>#N/A Field Not Applicable</v>
          </cell>
          <cell r="V199" t="str">
            <v>#N/A Field Not Applicable</v>
          </cell>
          <cell r="AD199">
            <v>1</v>
          </cell>
          <cell r="AE199">
            <v>1</v>
          </cell>
          <cell r="AF199">
            <v>1</v>
          </cell>
          <cell r="AG199">
            <v>1</v>
          </cell>
          <cell r="AH199">
            <v>1</v>
          </cell>
          <cell r="AI199">
            <v>1</v>
          </cell>
          <cell r="AJ199" t="str">
            <v/>
          </cell>
          <cell r="AK199">
            <v>760326209976755</v>
          </cell>
          <cell r="AL199" t="str">
            <v>JPY</v>
          </cell>
          <cell r="AM199">
            <v>148.27000000000001</v>
          </cell>
          <cell r="AN199">
            <v>5127.9841503794096</v>
          </cell>
          <cell r="AP199" t="str">
            <v/>
          </cell>
          <cell r="AQ199" t="str">
            <v/>
          </cell>
          <cell r="AR199" t="str">
            <v/>
          </cell>
          <cell r="AS199" t="str">
            <v/>
          </cell>
          <cell r="AT199" t="str">
            <v/>
          </cell>
          <cell r="AU199" t="str">
            <v/>
          </cell>
          <cell r="AV199">
            <v>41820.480000000003</v>
          </cell>
          <cell r="AW199">
            <v>40799.599999999999</v>
          </cell>
          <cell r="AX199">
            <v>2.5021813939352544</v>
          </cell>
        </row>
        <row r="200">
          <cell r="F200" t="str">
            <v>Korea Stock Exchange KOSPI Ind</v>
          </cell>
          <cell r="G200" t="str">
            <v>韓國KOSPI指數</v>
          </cell>
          <cell r="H200">
            <v>3232.57</v>
          </cell>
          <cell r="I200">
            <v>0.80454789999999998</v>
          </cell>
          <cell r="J200">
            <v>1.0809880000000001</v>
          </cell>
          <cell r="K200">
            <v>34.719050000000003</v>
          </cell>
          <cell r="L200" t="str">
            <v>#N/A Mandatory parameter [SECURITY] cannot be empty</v>
          </cell>
          <cell r="M200" t="str">
            <v>#N/A Mandatory parameter [SECURITY] cannot be empty</v>
          </cell>
          <cell r="N200" t="str">
            <v>#N/A Mandatory parameter [SECURITY] cannot be empty</v>
          </cell>
          <cell r="O200" t="str">
            <v>#N/A Mandatory parameter [SECURITY] cannot be empty</v>
          </cell>
          <cell r="P200" t="str">
            <v>Y</v>
          </cell>
          <cell r="Q200" t="str">
            <v>#N/A Field Not Applicable</v>
          </cell>
          <cell r="R200" t="str">
            <v>#N/A Field Not Applicable</v>
          </cell>
          <cell r="S200" t="str">
            <v>#N/A Field Not Applicable</v>
          </cell>
          <cell r="T200" t="str">
            <v>#N/A Field Not Applicable</v>
          </cell>
          <cell r="U200" t="str">
            <v>#N/A Field Not Applicable</v>
          </cell>
          <cell r="V200" t="str">
            <v>#N/A Field Not Applicable</v>
          </cell>
          <cell r="AD200">
            <v>1</v>
          </cell>
          <cell r="AE200">
            <v>1</v>
          </cell>
          <cell r="AF200">
            <v>1</v>
          </cell>
          <cell r="AG200">
            <v>1</v>
          </cell>
          <cell r="AH200">
            <v>1</v>
          </cell>
          <cell r="AI200">
            <v>1</v>
          </cell>
          <cell r="AJ200" t="str">
            <v/>
          </cell>
          <cell r="AK200">
            <v>2564901419392040</v>
          </cell>
          <cell r="AL200" t="str">
            <v>KRW</v>
          </cell>
          <cell r="AM200">
            <v>1389.5</v>
          </cell>
          <cell r="AN200">
            <v>1845.9168185621015</v>
          </cell>
          <cell r="AP200" t="str">
            <v/>
          </cell>
          <cell r="AQ200" t="str">
            <v/>
          </cell>
          <cell r="AR200" t="str">
            <v/>
          </cell>
          <cell r="AS200" t="str">
            <v/>
          </cell>
          <cell r="AT200" t="str">
            <v/>
          </cell>
          <cell r="AU200" t="str">
            <v/>
          </cell>
          <cell r="AV200">
            <v>3210.01</v>
          </cell>
          <cell r="AW200">
            <v>3119.41</v>
          </cell>
          <cell r="AX200">
            <v>2.9043953824601676</v>
          </cell>
        </row>
        <row r="201">
          <cell r="F201" t="str">
            <v>Hang Seng Index</v>
          </cell>
          <cell r="G201" t="str">
            <v>香港恆生指數</v>
          </cell>
          <cell r="H201">
            <v>24899.360000000001</v>
          </cell>
          <cell r="I201">
            <v>-2.9911500000000001E-2</v>
          </cell>
          <cell r="J201">
            <v>-1.272681E-2</v>
          </cell>
          <cell r="K201">
            <v>24.124739999999999</v>
          </cell>
          <cell r="L201" t="str">
            <v>#N/A Mandatory parameter [SECURITY] cannot be empty</v>
          </cell>
          <cell r="M201" t="str">
            <v>#N/A Mandatory parameter [SECURITY] cannot be empty</v>
          </cell>
          <cell r="N201" t="str">
            <v>#N/A Mandatory parameter [SECURITY] cannot be empty</v>
          </cell>
          <cell r="O201" t="str">
            <v>#N/A Mandatory parameter [SECURITY] cannot be empty</v>
          </cell>
          <cell r="P201" t="str">
            <v>Y</v>
          </cell>
          <cell r="Q201" t="str">
            <v>#N/A Field Not Applicable</v>
          </cell>
          <cell r="R201" t="str">
            <v>#N/A Field Not Applicable</v>
          </cell>
          <cell r="S201" t="str">
            <v>#N/A Field Not Applicable</v>
          </cell>
          <cell r="T201" t="str">
            <v>#N/A Field Not Applicable</v>
          </cell>
          <cell r="U201" t="str">
            <v>#N/A Field Not Applicable</v>
          </cell>
          <cell r="V201" t="str">
            <v>#N/A Field Not Applicable</v>
          </cell>
          <cell r="AD201">
            <v>1</v>
          </cell>
          <cell r="AE201">
            <v>1</v>
          </cell>
          <cell r="AF201">
            <v>1</v>
          </cell>
          <cell r="AG201">
            <v>1</v>
          </cell>
          <cell r="AH201">
            <v>1</v>
          </cell>
          <cell r="AI201">
            <v>1</v>
          </cell>
          <cell r="AJ201" t="str">
            <v/>
          </cell>
          <cell r="AK201">
            <v>29142627176825</v>
          </cell>
          <cell r="AL201" t="str">
            <v>HKD</v>
          </cell>
          <cell r="AM201">
            <v>7.8498999999999999</v>
          </cell>
          <cell r="AN201">
            <v>3712.4838758232586</v>
          </cell>
          <cell r="AP201" t="str">
            <v/>
          </cell>
          <cell r="AQ201" t="str">
            <v/>
          </cell>
          <cell r="AR201" t="str">
            <v/>
          </cell>
          <cell r="AS201" t="str">
            <v/>
          </cell>
          <cell r="AT201" t="str">
            <v/>
          </cell>
          <cell r="AU201" t="str">
            <v/>
          </cell>
          <cell r="AV201">
            <v>24858.82</v>
          </cell>
          <cell r="AW201">
            <v>24507.81</v>
          </cell>
          <cell r="AX201">
            <v>1.4322373153700774</v>
          </cell>
        </row>
        <row r="202">
          <cell r="F202" t="str">
            <v>Shanghai Stock Exchange Compos</v>
          </cell>
          <cell r="G202" t="str">
            <v>上海證券交易所綜合指數</v>
          </cell>
          <cell r="H202">
            <v>3654.0169999999998</v>
          </cell>
          <cell r="I202">
            <v>0.1773795</v>
          </cell>
          <cell r="J202">
            <v>1.0067269999999999</v>
          </cell>
          <cell r="K202">
            <v>9.0177659999999999</v>
          </cell>
          <cell r="L202" t="str">
            <v>#N/A Mandatory parameter [SECURITY] cannot be empty</v>
          </cell>
          <cell r="M202" t="str">
            <v>#N/A Mandatory parameter [SECURITY] cannot be empty</v>
          </cell>
          <cell r="N202" t="str">
            <v>#N/A Mandatory parameter [SECURITY] cannot be empty</v>
          </cell>
          <cell r="O202" t="str">
            <v>#N/A Mandatory parameter [SECURITY] cannot be empty</v>
          </cell>
          <cell r="P202" t="str">
            <v>Y</v>
          </cell>
          <cell r="Q202" t="str">
            <v>#N/A Field Not Applicable</v>
          </cell>
          <cell r="R202" t="str">
            <v>#N/A Field Not Applicable</v>
          </cell>
          <cell r="S202" t="str">
            <v>#N/A Field Not Applicable</v>
          </cell>
          <cell r="T202" t="str">
            <v>#N/A Field Not Applicable</v>
          </cell>
          <cell r="U202" t="str">
            <v>#N/A Field Not Applicable</v>
          </cell>
          <cell r="V202" t="str">
            <v>#N/A Field Not Applicable</v>
          </cell>
          <cell r="AD202">
            <v>1</v>
          </cell>
          <cell r="AE202">
            <v>1</v>
          </cell>
          <cell r="AF202">
            <v>1</v>
          </cell>
          <cell r="AG202">
            <v>1</v>
          </cell>
          <cell r="AH202">
            <v>1</v>
          </cell>
          <cell r="AI202">
            <v>1</v>
          </cell>
          <cell r="AJ202" t="str">
            <v/>
          </cell>
          <cell r="AK202">
            <v>57417309673703</v>
          </cell>
          <cell r="AL202" t="str">
            <v>CNY</v>
          </cell>
          <cell r="AM202">
            <v>7.1874000000000002</v>
          </cell>
          <cell r="AN202">
            <v>7988.6064047782229</v>
          </cell>
          <cell r="AP202" t="str">
            <v/>
          </cell>
          <cell r="AQ202" t="str">
            <v/>
          </cell>
          <cell r="AR202" t="str">
            <v/>
          </cell>
          <cell r="AS202" t="str">
            <v/>
          </cell>
          <cell r="AT202" t="str">
            <v/>
          </cell>
          <cell r="AU202" t="str">
            <v/>
          </cell>
          <cell r="AV202">
            <v>3635.1280000000002</v>
          </cell>
          <cell r="AW202">
            <v>3559.9520000000002</v>
          </cell>
          <cell r="AX202">
            <v>2.1117138658049317</v>
          </cell>
        </row>
        <row r="203">
          <cell r="F203" t="str">
            <v>CAC 40</v>
          </cell>
          <cell r="G203" t="str">
            <v>法國CAC40指數</v>
          </cell>
          <cell r="H203">
            <v>7698.52</v>
          </cell>
          <cell r="I203">
            <v>-0.57445429999999997</v>
          </cell>
          <cell r="J203">
            <v>0.87146420000000002</v>
          </cell>
          <cell r="K203">
            <v>4.3055269999999997</v>
          </cell>
          <cell r="L203" t="str">
            <v>#N/A Mandatory parameter [SECURITY] cannot be empty</v>
          </cell>
          <cell r="M203" t="str">
            <v>#N/A Mandatory parameter [SECURITY] cannot be empty</v>
          </cell>
          <cell r="N203" t="str">
            <v>#N/A Mandatory parameter [SECURITY] cannot be empty</v>
          </cell>
          <cell r="O203" t="str">
            <v>#N/A Mandatory parameter [SECURITY] cannot be empty</v>
          </cell>
          <cell r="P203" t="str">
            <v>Y</v>
          </cell>
          <cell r="Q203" t="str">
            <v>#N/A Field Not Applicable</v>
          </cell>
          <cell r="R203" t="str">
            <v>#N/A Field Not Applicable</v>
          </cell>
          <cell r="S203" t="str">
            <v>#N/A Field Not Applicable</v>
          </cell>
          <cell r="T203" t="str">
            <v>#N/A Field Not Applicable</v>
          </cell>
          <cell r="U203" t="str">
            <v>#N/A Field Not Applicable</v>
          </cell>
          <cell r="V203" t="str">
            <v>#N/A Field Not Applicable</v>
          </cell>
          <cell r="AD203">
            <v>1</v>
          </cell>
          <cell r="AE203">
            <v>1</v>
          </cell>
          <cell r="AF203">
            <v>1</v>
          </cell>
          <cell r="AG203">
            <v>1</v>
          </cell>
          <cell r="AH203">
            <v>1</v>
          </cell>
          <cell r="AI203">
            <v>1</v>
          </cell>
          <cell r="AJ203" t="str">
            <v/>
          </cell>
          <cell r="AK203">
            <v>2415899412843</v>
          </cell>
          <cell r="AL203" t="str">
            <v>EUR</v>
          </cell>
          <cell r="AM203">
            <v>0.86060000000000003</v>
          </cell>
          <cell r="AN203">
            <v>2807.2268334220312</v>
          </cell>
          <cell r="AP203" t="str">
            <v/>
          </cell>
          <cell r="AQ203" t="str">
            <v/>
          </cell>
          <cell r="AR203" t="str">
            <v/>
          </cell>
          <cell r="AS203" t="str">
            <v/>
          </cell>
          <cell r="AT203" t="str">
            <v/>
          </cell>
          <cell r="AU203" t="str">
            <v/>
          </cell>
          <cell r="AV203">
            <v>7743</v>
          </cell>
          <cell r="AW203">
            <v>7546.16</v>
          </cell>
          <cell r="AX203">
            <v>2.6084790144921488</v>
          </cell>
        </row>
        <row r="204">
          <cell r="F204" t="str">
            <v>Deutsche Boerse AG German Stoc</v>
          </cell>
          <cell r="G204" t="str">
            <v>德國法蘭克福DAX指數</v>
          </cell>
          <cell r="H204">
            <v>24081.34</v>
          </cell>
          <cell r="I204">
            <v>-0.33737729999999999</v>
          </cell>
          <cell r="J204">
            <v>1.362298</v>
          </cell>
          <cell r="K204">
            <v>20.956199999999999</v>
          </cell>
          <cell r="L204" t="str">
            <v>#N/A Mandatory parameter [SECURITY] cannot be empty</v>
          </cell>
          <cell r="M204" t="str">
            <v>#N/A Mandatory parameter [SECURITY] cannot be empty</v>
          </cell>
          <cell r="N204" t="str">
            <v>#N/A Mandatory parameter [SECURITY] cannot be empty</v>
          </cell>
          <cell r="O204" t="str">
            <v>#N/A Mandatory parameter [SECURITY] cannot be empty</v>
          </cell>
          <cell r="P204" t="str">
            <v>Y</v>
          </cell>
          <cell r="Q204" t="str">
            <v>#N/A Field Not Applicable</v>
          </cell>
          <cell r="R204" t="str">
            <v>#N/A Field Not Applicable</v>
          </cell>
          <cell r="S204" t="str">
            <v>#N/A Field Not Applicable</v>
          </cell>
          <cell r="T204" t="str">
            <v>#N/A Field Not Applicable</v>
          </cell>
          <cell r="U204" t="str">
            <v>#N/A Field Not Applicable</v>
          </cell>
          <cell r="V204" t="str">
            <v>#N/A Field Not Applicable</v>
          </cell>
          <cell r="AD204">
            <v>1</v>
          </cell>
          <cell r="AE204">
            <v>1</v>
          </cell>
          <cell r="AF204">
            <v>1</v>
          </cell>
          <cell r="AG204">
            <v>1</v>
          </cell>
          <cell r="AH204">
            <v>1</v>
          </cell>
          <cell r="AI204">
            <v>1</v>
          </cell>
          <cell r="AJ204" t="str">
            <v/>
          </cell>
          <cell r="AK204">
            <v>2037308800236</v>
          </cell>
          <cell r="AL204" t="str">
            <v>EUR</v>
          </cell>
          <cell r="AM204">
            <v>0.86060000000000003</v>
          </cell>
          <cell r="AN204">
            <v>2367.3121081059726</v>
          </cell>
          <cell r="AP204" t="str">
            <v/>
          </cell>
          <cell r="AQ204" t="str">
            <v/>
          </cell>
          <cell r="AR204" t="str">
            <v/>
          </cell>
          <cell r="AS204" t="str">
            <v/>
          </cell>
          <cell r="AT204" t="str">
            <v/>
          </cell>
          <cell r="AU204" t="str">
            <v/>
          </cell>
          <cell r="AV204">
            <v>24162.86</v>
          </cell>
          <cell r="AW204">
            <v>23425.97</v>
          </cell>
          <cell r="AX204">
            <v>3.1456114730788132</v>
          </cell>
        </row>
        <row r="205">
          <cell r="F205" t="str">
            <v>FTSE 100 Index</v>
          </cell>
          <cell r="G205" t="str">
            <v>富時100指數</v>
          </cell>
          <cell r="H205">
            <v>9129.7099999999991</v>
          </cell>
          <cell r="I205">
            <v>0.37358190000000002</v>
          </cell>
          <cell r="J205">
            <v>1.544861E-2</v>
          </cell>
          <cell r="K205">
            <v>11.70546</v>
          </cell>
          <cell r="L205" t="str">
            <v>#N/A Mandatory parameter [SECURITY] cannot be empty</v>
          </cell>
          <cell r="M205" t="str">
            <v>#N/A Mandatory parameter [SECURITY] cannot be empty</v>
          </cell>
          <cell r="N205" t="str">
            <v>#N/A Mandatory parameter [SECURITY] cannot be empty</v>
          </cell>
          <cell r="O205" t="str">
            <v>#N/A Mandatory parameter [SECURITY] cannot be empty</v>
          </cell>
          <cell r="P205" t="str">
            <v>Y</v>
          </cell>
          <cell r="Q205" t="str">
            <v>#N/A Field Not Applicable</v>
          </cell>
          <cell r="R205" t="str">
            <v>#N/A Field Not Applicable</v>
          </cell>
          <cell r="S205" t="str">
            <v>#N/A Field Not Applicable</v>
          </cell>
          <cell r="T205" t="str">
            <v>#N/A Field Not Applicable</v>
          </cell>
          <cell r="U205" t="str">
            <v>#N/A Field Not Applicable</v>
          </cell>
          <cell r="V205" t="str">
            <v>#N/A Field Not Applicable</v>
          </cell>
          <cell r="AD205">
            <v>1</v>
          </cell>
          <cell r="AE205">
            <v>1</v>
          </cell>
          <cell r="AF205">
            <v>1</v>
          </cell>
          <cell r="AG205">
            <v>1</v>
          </cell>
          <cell r="AH205">
            <v>1</v>
          </cell>
          <cell r="AI205">
            <v>1</v>
          </cell>
          <cell r="AJ205" t="str">
            <v/>
          </cell>
          <cell r="AK205">
            <v>2365027251544.6235</v>
          </cell>
          <cell r="AL205" t="str">
            <v>GBP</v>
          </cell>
          <cell r="AM205">
            <v>0.74450000000000005</v>
          </cell>
          <cell r="AN205">
            <v>3176.6652136260896</v>
          </cell>
          <cell r="AP205" t="str">
            <v/>
          </cell>
          <cell r="AQ205" t="str">
            <v/>
          </cell>
          <cell r="AR205" t="str">
            <v/>
          </cell>
          <cell r="AS205" t="str">
            <v/>
          </cell>
          <cell r="AT205" t="str">
            <v/>
          </cell>
          <cell r="AU205" t="str">
            <v/>
          </cell>
          <cell r="AV205">
            <v>9095.73</v>
          </cell>
          <cell r="AW205">
            <v>9068.58</v>
          </cell>
          <cell r="AX205">
            <v>0.29938535029738755</v>
          </cell>
        </row>
        <row r="206">
          <cell r="F206" t="str">
            <v>Philadelphia Stock Exchange Se</v>
          </cell>
          <cell r="G206" t="str">
            <v>費城半導體指數</v>
          </cell>
          <cell r="H206">
            <v>5670.3710000000001</v>
          </cell>
          <cell r="I206">
            <v>-0.13464209999999999</v>
          </cell>
          <cell r="J206">
            <v>0.81716739999999999</v>
          </cell>
          <cell r="K206">
            <v>13.8644</v>
          </cell>
          <cell r="L206" t="str">
            <v>#N/A Mandatory parameter [SECURITY] cannot be empty</v>
          </cell>
          <cell r="M206" t="str">
            <v>#N/A Mandatory parameter [SECURITY] cannot be empty</v>
          </cell>
          <cell r="N206" t="str">
            <v>#N/A Mandatory parameter [SECURITY] cannot be empty</v>
          </cell>
          <cell r="O206" t="str">
            <v>#N/A Mandatory parameter [SECURITY] cannot be empty</v>
          </cell>
          <cell r="P206" t="str">
            <v>Y</v>
          </cell>
          <cell r="Q206" t="str">
            <v>#N/A Field Not Applicable</v>
          </cell>
          <cell r="R206" t="str">
            <v>#N/A Field Not Applicable</v>
          </cell>
          <cell r="S206" t="str">
            <v>#N/A Field Not Applicable</v>
          </cell>
          <cell r="T206" t="str">
            <v>#N/A Field Not Applicable</v>
          </cell>
          <cell r="U206" t="str">
            <v>#N/A Field Not Applicable</v>
          </cell>
          <cell r="V206" t="str">
            <v>#N/A Field Not Applicable</v>
          </cell>
          <cell r="AD206">
            <v>1</v>
          </cell>
          <cell r="AE206">
            <v>1</v>
          </cell>
          <cell r="AF206">
            <v>1</v>
          </cell>
          <cell r="AG206">
            <v>1</v>
          </cell>
          <cell r="AH206">
            <v>1</v>
          </cell>
          <cell r="AI206">
            <v>1</v>
          </cell>
          <cell r="AJ206" t="str">
            <v/>
          </cell>
          <cell r="AK206">
            <v>9228914830607</v>
          </cell>
          <cell r="AL206" t="str">
            <v>USD</v>
          </cell>
          <cell r="AM206">
            <v>1</v>
          </cell>
          <cell r="AN206">
            <v>9228.9148306070001</v>
          </cell>
          <cell r="AP206" t="str">
            <v/>
          </cell>
          <cell r="AQ206" t="str">
            <v/>
          </cell>
          <cell r="AR206" t="str">
            <v/>
          </cell>
          <cell r="AS206" t="str">
            <v/>
          </cell>
          <cell r="AT206" t="str">
            <v/>
          </cell>
          <cell r="AU206" t="str">
            <v/>
          </cell>
          <cell r="AV206">
            <v>5678.0159999999996</v>
          </cell>
          <cell r="AW206">
            <v>5527.6080000000002</v>
          </cell>
          <cell r="AX206">
            <v>2.7210323163292305</v>
          </cell>
        </row>
        <row r="207">
          <cell r="F207" t="str">
            <v>NASDAQ Composite Index</v>
          </cell>
          <cell r="G207" t="str">
            <v>那斯達克綜合指數</v>
          </cell>
          <cell r="H207">
            <v>21385.4</v>
          </cell>
          <cell r="I207">
            <v>-0.30125849999999998</v>
          </cell>
          <cell r="J207">
            <v>1.5760639999999999</v>
          </cell>
          <cell r="K207">
            <v>10.74328</v>
          </cell>
          <cell r="L207" t="str">
            <v>#N/A Mandatory parameter [SECURITY] cannot be empty</v>
          </cell>
          <cell r="M207" t="str">
            <v>#N/A Mandatory parameter [SECURITY] cannot be empty</v>
          </cell>
          <cell r="N207" t="str">
            <v>#N/A Mandatory parameter [SECURITY] cannot be empty</v>
          </cell>
          <cell r="O207" t="str">
            <v>#N/A Mandatory parameter [SECURITY] cannot be empty</v>
          </cell>
          <cell r="P207" t="str">
            <v>Y</v>
          </cell>
          <cell r="Q207" t="str">
            <v>#N/A Field Not Applicable</v>
          </cell>
          <cell r="R207" t="str">
            <v>#N/A Field Not Applicable</v>
          </cell>
          <cell r="S207" t="str">
            <v>#N/A Field Not Applicable</v>
          </cell>
          <cell r="T207" t="str">
            <v>#N/A Field Not Applicable</v>
          </cell>
          <cell r="U207" t="str">
            <v>#N/A Field Not Applicable</v>
          </cell>
          <cell r="V207" t="str">
            <v>#N/A Field Not Applicable</v>
          </cell>
          <cell r="AD207">
            <v>1</v>
          </cell>
          <cell r="AE207">
            <v>1</v>
          </cell>
          <cell r="AF207">
            <v>1</v>
          </cell>
          <cell r="AG207">
            <v>1</v>
          </cell>
          <cell r="AH207">
            <v>1</v>
          </cell>
          <cell r="AI207">
            <v>1</v>
          </cell>
          <cell r="AJ207" t="str">
            <v/>
          </cell>
          <cell r="AK207">
            <v>36224588201144</v>
          </cell>
          <cell r="AL207" t="str">
            <v>USD</v>
          </cell>
          <cell r="AM207">
            <v>1</v>
          </cell>
          <cell r="AN207">
            <v>36224.588201143997</v>
          </cell>
          <cell r="AP207" t="str">
            <v/>
          </cell>
          <cell r="AQ207" t="str">
            <v/>
          </cell>
          <cell r="AR207" t="str">
            <v/>
          </cell>
          <cell r="AS207" t="str">
            <v/>
          </cell>
          <cell r="AT207" t="str">
            <v/>
          </cell>
          <cell r="AU207" t="str">
            <v/>
          </cell>
          <cell r="AV207">
            <v>21450.02</v>
          </cell>
          <cell r="AW207">
            <v>20650.13</v>
          </cell>
          <cell r="AX207">
            <v>3.8735349365839333</v>
          </cell>
        </row>
        <row r="208">
          <cell r="F208" t="str">
            <v>Dow Jones Industrial Average</v>
          </cell>
          <cell r="G208" t="str">
            <v>道瓊工業平均指數</v>
          </cell>
          <cell r="H208">
            <v>43975.09</v>
          </cell>
          <cell r="I208">
            <v>-0.45391559999999997</v>
          </cell>
          <cell r="J208">
            <v>-0.44947759999999998</v>
          </cell>
          <cell r="K208">
            <v>3.3632559999999998</v>
          </cell>
          <cell r="L208" t="str">
            <v>#N/A Mandatory parameter [SECURITY] cannot be empty</v>
          </cell>
          <cell r="M208" t="str">
            <v>#N/A Mandatory parameter [SECURITY] cannot be empty</v>
          </cell>
          <cell r="N208" t="str">
            <v>#N/A Mandatory parameter [SECURITY] cannot be empty</v>
          </cell>
          <cell r="O208" t="str">
            <v>#N/A Mandatory parameter [SECURITY] cannot be empty</v>
          </cell>
          <cell r="P208" t="str">
            <v>Y</v>
          </cell>
          <cell r="Q208" t="str">
            <v>#N/A Field Not Applicable</v>
          </cell>
          <cell r="R208" t="str">
            <v>#N/A Field Not Applicable</v>
          </cell>
          <cell r="S208" t="str">
            <v>#N/A Field Not Applicable</v>
          </cell>
          <cell r="T208" t="str">
            <v>#N/A Field Not Applicable</v>
          </cell>
          <cell r="U208" t="str">
            <v>#N/A Field Not Applicable</v>
          </cell>
          <cell r="V208" t="str">
            <v>#N/A Field Not Applicable</v>
          </cell>
          <cell r="AD208">
            <v>1</v>
          </cell>
          <cell r="AE208">
            <v>1</v>
          </cell>
          <cell r="AF208">
            <v>1</v>
          </cell>
          <cell r="AG208">
            <v>1</v>
          </cell>
          <cell r="AH208">
            <v>1</v>
          </cell>
          <cell r="AI208">
            <v>1</v>
          </cell>
          <cell r="AJ208" t="str">
            <v/>
          </cell>
          <cell r="AK208">
            <v>21182770363281</v>
          </cell>
          <cell r="AL208" t="str">
            <v>USD</v>
          </cell>
          <cell r="AM208">
            <v>1</v>
          </cell>
          <cell r="AN208">
            <v>21182.770363281001</v>
          </cell>
          <cell r="AP208" t="str">
            <v/>
          </cell>
          <cell r="AQ208" t="str">
            <v/>
          </cell>
          <cell r="AR208" t="str">
            <v/>
          </cell>
          <cell r="AS208" t="str">
            <v/>
          </cell>
          <cell r="AT208" t="str">
            <v/>
          </cell>
          <cell r="AU208" t="str">
            <v/>
          </cell>
          <cell r="AV208">
            <v>44175.61</v>
          </cell>
          <cell r="AW208">
            <v>43588.58</v>
          </cell>
          <cell r="AX208">
            <v>1.3467518327048067</v>
          </cell>
        </row>
        <row r="209">
          <cell r="F209" t="str">
            <v>S&amp;P 500 INDEX</v>
          </cell>
          <cell r="G209" t="str">
            <v>標準普爾500指數</v>
          </cell>
          <cell r="H209">
            <v>6373.45</v>
          </cell>
          <cell r="I209">
            <v>-0.25041279999999999</v>
          </cell>
          <cell r="J209">
            <v>0.68736920000000001</v>
          </cell>
          <cell r="K209">
            <v>8.3619730000000008</v>
          </cell>
          <cell r="L209" t="str">
            <v>#N/A Mandatory parameter [SECURITY] cannot be empty</v>
          </cell>
          <cell r="M209" t="str">
            <v>#N/A Mandatory parameter [SECURITY] cannot be empty</v>
          </cell>
          <cell r="N209" t="str">
            <v>#N/A Mandatory parameter [SECURITY] cannot be empty</v>
          </cell>
          <cell r="O209" t="str">
            <v>#N/A Mandatory parameter [SECURITY] cannot be empty</v>
          </cell>
          <cell r="P209" t="str">
            <v>Y</v>
          </cell>
          <cell r="Q209" t="str">
            <v>#N/A Field Not Applicable</v>
          </cell>
          <cell r="R209" t="str">
            <v>#N/A Field Not Applicable</v>
          </cell>
          <cell r="S209" t="str">
            <v>#N/A Field Not Applicable</v>
          </cell>
          <cell r="T209" t="str">
            <v>#N/A Field Not Applicable</v>
          </cell>
          <cell r="U209" t="str">
            <v>#N/A Field Not Applicable</v>
          </cell>
          <cell r="V209" t="str">
            <v>#N/A Field Not Applicable</v>
          </cell>
          <cell r="AD209">
            <v>1</v>
          </cell>
          <cell r="AE209">
            <v>1</v>
          </cell>
          <cell r="AF209">
            <v>1</v>
          </cell>
          <cell r="AG209">
            <v>1</v>
          </cell>
          <cell r="AH209">
            <v>1</v>
          </cell>
          <cell r="AI209">
            <v>1</v>
          </cell>
          <cell r="AJ209" t="str">
            <v/>
          </cell>
          <cell r="AK209">
            <v>56167616282461</v>
          </cell>
          <cell r="AL209" t="str">
            <v>USD</v>
          </cell>
          <cell r="AM209">
            <v>1</v>
          </cell>
          <cell r="AN209">
            <v>56167.616282461</v>
          </cell>
          <cell r="AP209" t="str">
            <v/>
          </cell>
          <cell r="AQ209" t="str">
            <v/>
          </cell>
          <cell r="AR209" t="str">
            <v/>
          </cell>
          <cell r="AS209" t="str">
            <v/>
          </cell>
          <cell r="AT209" t="str">
            <v/>
          </cell>
          <cell r="AU209" t="str">
            <v/>
          </cell>
          <cell r="AV209">
            <v>6389.45</v>
          </cell>
          <cell r="AW209">
            <v>6238.01</v>
          </cell>
          <cell r="AX209">
            <v>2.4276972944897501</v>
          </cell>
        </row>
        <row r="210">
          <cell r="AX210" t="str">
            <v>-</v>
          </cell>
        </row>
        <row r="211">
          <cell r="AX211" t="str">
            <v>-</v>
          </cell>
        </row>
        <row r="212">
          <cell r="F212" t="str">
            <v>TAIWAN DOLLAR</v>
          </cell>
          <cell r="G212" t="str">
            <v>新台幣即期</v>
          </cell>
          <cell r="H212">
            <v>29.920999999999999</v>
          </cell>
          <cell r="I212">
            <v>-3.6799999999999999E-2</v>
          </cell>
          <cell r="J212">
            <v>0</v>
          </cell>
          <cell r="K212">
            <v>9.5885999999999996</v>
          </cell>
          <cell r="L212" t="str">
            <v>#N/A Mandatory parameter [SECURITY] cannot be empty</v>
          </cell>
          <cell r="M212" t="str">
            <v>#N/A Mandatory parameter [SECURITY] cannot be empty</v>
          </cell>
          <cell r="N212" t="str">
            <v>#N/A Mandatory parameter [SECURITY] cannot be empty</v>
          </cell>
          <cell r="O212" t="str">
            <v>#N/A Mandatory parameter [SECURITY] cannot be empty</v>
          </cell>
          <cell r="P212" t="str">
            <v>Y</v>
          </cell>
          <cell r="Q212" t="str">
            <v>#N/A Field Not Applicable</v>
          </cell>
          <cell r="R212" t="str">
            <v>#N/A Field Not Applicable</v>
          </cell>
          <cell r="S212" t="str">
            <v>#N/A Field Not Applicable</v>
          </cell>
          <cell r="T212" t="str">
            <v>#N/A Field Not Applicable</v>
          </cell>
          <cell r="U212" t="str">
            <v>#N/A Field Not Applicable</v>
          </cell>
          <cell r="V212" t="str">
            <v>#N/A Field Not Applicable</v>
          </cell>
          <cell r="AD212">
            <v>1</v>
          </cell>
          <cell r="AE212">
            <v>1</v>
          </cell>
          <cell r="AF212">
            <v>1</v>
          </cell>
          <cell r="AG212">
            <v>1</v>
          </cell>
          <cell r="AH212">
            <v>1</v>
          </cell>
          <cell r="AI212">
            <v>1</v>
          </cell>
          <cell r="AJ212" t="str">
            <v/>
          </cell>
          <cell r="AK212" t="str">
            <v>#N/A Field Not Applicable</v>
          </cell>
          <cell r="AL212" t="str">
            <v>TWD</v>
          </cell>
          <cell r="AM212">
            <v>29.920999999999999</v>
          </cell>
          <cell r="AN212" t="e">
            <v>#VALUE!</v>
          </cell>
          <cell r="AP212" t="str">
            <v/>
          </cell>
          <cell r="AQ212" t="str">
            <v/>
          </cell>
          <cell r="AR212" t="str">
            <v/>
          </cell>
          <cell r="AS212" t="str">
            <v/>
          </cell>
          <cell r="AT212" t="str">
            <v/>
          </cell>
          <cell r="AU212" t="str">
            <v/>
          </cell>
          <cell r="AV212">
            <v>29.844999999999999</v>
          </cell>
          <cell r="AW212">
            <v>30.013999999999999</v>
          </cell>
          <cell r="AX212">
            <v>-0.56307056706870195</v>
          </cell>
        </row>
        <row r="213">
          <cell r="F213" t="str">
            <v>DOLLAR INDEX SPOT</v>
          </cell>
          <cell r="G213" t="str">
            <v>美元指數即期匯率</v>
          </cell>
          <cell r="H213">
            <v>98.486999999999995</v>
          </cell>
          <cell r="I213">
            <v>-3.3495736906213207E-2</v>
          </cell>
          <cell r="J213">
            <v>-0.29864749664438378</v>
          </cell>
          <cell r="K213">
            <v>-9.2204595942370986</v>
          </cell>
          <cell r="L213" t="str">
            <v>#N/A Mandatory parameter [SECURITY] cannot be empty</v>
          </cell>
          <cell r="M213" t="str">
            <v>#N/A Mandatory parameter [SECURITY] cannot be empty</v>
          </cell>
          <cell r="N213" t="str">
            <v>#N/A Mandatory parameter [SECURITY] cannot be empty</v>
          </cell>
          <cell r="O213" t="str">
            <v>#N/A Mandatory parameter [SECURITY] cannot be empty</v>
          </cell>
          <cell r="P213" t="str">
            <v>Y</v>
          </cell>
          <cell r="Q213" t="str">
            <v>#N/A Field Not Applicable</v>
          </cell>
          <cell r="R213" t="str">
            <v>#N/A Field Not Applicable</v>
          </cell>
          <cell r="S213" t="str">
            <v>#N/A Field Not Applicable</v>
          </cell>
          <cell r="T213" t="str">
            <v>#N/A Field Not Applicable</v>
          </cell>
          <cell r="U213" t="str">
            <v>#N/A Field Not Applicable</v>
          </cell>
          <cell r="V213" t="str">
            <v>#N/A Field Not Applicable</v>
          </cell>
          <cell r="AD213">
            <v>1</v>
          </cell>
          <cell r="AE213">
            <v>1</v>
          </cell>
          <cell r="AF213">
            <v>1</v>
          </cell>
          <cell r="AG213">
            <v>1</v>
          </cell>
          <cell r="AH213">
            <v>1</v>
          </cell>
          <cell r="AI213">
            <v>1</v>
          </cell>
          <cell r="AJ213" t="str">
            <v/>
          </cell>
          <cell r="AK213" t="str">
            <v>#N/A Field Not Applicable</v>
          </cell>
          <cell r="AL213" t="str">
            <v>USD</v>
          </cell>
          <cell r="AM213">
            <v>1</v>
          </cell>
          <cell r="AN213" t="e">
            <v>#VALUE!</v>
          </cell>
          <cell r="AP213" t="str">
            <v/>
          </cell>
          <cell r="AQ213" t="str">
            <v/>
          </cell>
          <cell r="AR213" t="str">
            <v/>
          </cell>
          <cell r="AS213" t="str">
            <v/>
          </cell>
          <cell r="AT213" t="str">
            <v/>
          </cell>
          <cell r="AU213" t="str">
            <v/>
          </cell>
          <cell r="AV213">
            <v>98.180009999999996</v>
          </cell>
          <cell r="AW213">
            <v>99.141009999999994</v>
          </cell>
          <cell r="AX213">
            <v>-0.96932641698929123</v>
          </cell>
        </row>
        <row r="214">
          <cell r="F214" t="str">
            <v>EURO</v>
          </cell>
          <cell r="G214" t="str">
            <v>歐元即期</v>
          </cell>
          <cell r="H214">
            <v>1.1619999999999999</v>
          </cell>
          <cell r="I214">
            <v>4.2999999999999997E-2</v>
          </cell>
          <cell r="J214">
            <v>0.38879999999999998</v>
          </cell>
          <cell r="K214">
            <v>12.2272</v>
          </cell>
          <cell r="L214" t="str">
            <v>#N/A Mandatory parameter [SECURITY] cannot be empty</v>
          </cell>
          <cell r="M214" t="str">
            <v>#N/A Mandatory parameter [SECURITY] cannot be empty</v>
          </cell>
          <cell r="N214" t="str">
            <v>#N/A Mandatory parameter [SECURITY] cannot be empty</v>
          </cell>
          <cell r="O214" t="str">
            <v>#N/A Mandatory parameter [SECURITY] cannot be empty</v>
          </cell>
          <cell r="P214" t="str">
            <v>Y</v>
          </cell>
          <cell r="Q214" t="str">
            <v>#N/A Field Not Applicable</v>
          </cell>
          <cell r="R214" t="str">
            <v>#N/A Field Not Applicable</v>
          </cell>
          <cell r="S214" t="str">
            <v>#N/A Field Not Applicable</v>
          </cell>
          <cell r="T214" t="str">
            <v>#N/A Field Not Applicable</v>
          </cell>
          <cell r="U214" t="str">
            <v>#N/A Field Not Applicable</v>
          </cell>
          <cell r="V214" t="str">
            <v>#N/A Field Not Applicable</v>
          </cell>
          <cell r="AD214">
            <v>1</v>
          </cell>
          <cell r="AE214">
            <v>1</v>
          </cell>
          <cell r="AF214">
            <v>1</v>
          </cell>
          <cell r="AG214">
            <v>1</v>
          </cell>
          <cell r="AH214">
            <v>1</v>
          </cell>
          <cell r="AI214">
            <v>1</v>
          </cell>
          <cell r="AJ214" t="str">
            <v/>
          </cell>
          <cell r="AK214" t="str">
            <v>#N/A Field Not Applicable</v>
          </cell>
          <cell r="AL214" t="str">
            <v>EUR</v>
          </cell>
          <cell r="AM214">
            <v>0.86060000000000003</v>
          </cell>
          <cell r="AN214" t="e">
            <v>#VALUE!</v>
          </cell>
          <cell r="AP214" t="str">
            <v/>
          </cell>
          <cell r="AQ214" t="str">
            <v/>
          </cell>
          <cell r="AR214" t="str">
            <v/>
          </cell>
          <cell r="AS214" t="str">
            <v/>
          </cell>
          <cell r="AT214" t="str">
            <v/>
          </cell>
          <cell r="AU214" t="str">
            <v/>
          </cell>
          <cell r="AV214">
            <v>1.1640999999999999</v>
          </cell>
          <cell r="AW214">
            <v>1.1587000000000001</v>
          </cell>
          <cell r="AX214">
            <v>0.46603952705617235</v>
          </cell>
        </row>
        <row r="215">
          <cell r="F215" t="str">
            <v>JAPANESE YEN</v>
          </cell>
          <cell r="G215" t="str">
            <v>日圓即期</v>
          </cell>
          <cell r="H215">
            <v>148.27000000000001</v>
          </cell>
          <cell r="I215">
            <v>-8.09E-2</v>
          </cell>
          <cell r="J215">
            <v>-0.43840000000000001</v>
          </cell>
          <cell r="K215">
            <v>6.0228000000000002</v>
          </cell>
          <cell r="L215" t="str">
            <v>#N/A Mandatory parameter [SECURITY] cannot be empty</v>
          </cell>
          <cell r="M215" t="str">
            <v>#N/A Mandatory parameter [SECURITY] cannot be empty</v>
          </cell>
          <cell r="N215" t="str">
            <v>#N/A Mandatory parameter [SECURITY] cannot be empty</v>
          </cell>
          <cell r="O215" t="str">
            <v>#N/A Mandatory parameter [SECURITY] cannot be empty</v>
          </cell>
          <cell r="P215" t="str">
            <v>Y</v>
          </cell>
          <cell r="Q215" t="str">
            <v>#N/A Field Not Applicable</v>
          </cell>
          <cell r="R215" t="str">
            <v>#N/A Field Not Applicable</v>
          </cell>
          <cell r="S215" t="str">
            <v>#N/A Field Not Applicable</v>
          </cell>
          <cell r="T215" t="str">
            <v>#N/A Field Not Applicable</v>
          </cell>
          <cell r="U215" t="str">
            <v>#N/A Field Not Applicable</v>
          </cell>
          <cell r="V215" t="str">
            <v>#N/A Field Not Applicable</v>
          </cell>
          <cell r="AD215">
            <v>1</v>
          </cell>
          <cell r="AE215">
            <v>1</v>
          </cell>
          <cell r="AF215">
            <v>1</v>
          </cell>
          <cell r="AG215">
            <v>1</v>
          </cell>
          <cell r="AH215">
            <v>1</v>
          </cell>
          <cell r="AI215">
            <v>1</v>
          </cell>
          <cell r="AJ215" t="str">
            <v/>
          </cell>
          <cell r="AK215" t="str">
            <v>#N/A Field Not Applicable</v>
          </cell>
          <cell r="AL215" t="str">
            <v>JPY</v>
          </cell>
          <cell r="AM215">
            <v>148.27000000000001</v>
          </cell>
          <cell r="AN215" t="e">
            <v>#VALUE!</v>
          </cell>
          <cell r="AP215" t="str">
            <v/>
          </cell>
          <cell r="AQ215" t="str">
            <v/>
          </cell>
          <cell r="AR215" t="str">
            <v/>
          </cell>
          <cell r="AS215" t="str">
            <v/>
          </cell>
          <cell r="AT215" t="str">
            <v/>
          </cell>
          <cell r="AU215" t="str">
            <v/>
          </cell>
          <cell r="AV215">
            <v>147.74</v>
          </cell>
          <cell r="AW215">
            <v>147.4</v>
          </cell>
          <cell r="AX215">
            <v>0.23066485753053811</v>
          </cell>
        </row>
        <row r="216">
          <cell r="F216" t="str">
            <v>BRITISH POUND</v>
          </cell>
          <cell r="G216" t="str">
            <v>英鎊即期</v>
          </cell>
          <cell r="H216">
            <v>1.3432999999999999</v>
          </cell>
          <cell r="I216">
            <v>7.4000000000000003E-3</v>
          </cell>
          <cell r="J216">
            <v>1.0076000000000001</v>
          </cell>
          <cell r="K216">
            <v>7.3266</v>
          </cell>
          <cell r="L216" t="str">
            <v>#N/A Mandatory parameter [SECURITY] cannot be empty</v>
          </cell>
          <cell r="M216" t="str">
            <v>#N/A Mandatory parameter [SECURITY] cannot be empty</v>
          </cell>
          <cell r="N216" t="str">
            <v>#N/A Mandatory parameter [SECURITY] cannot be empty</v>
          </cell>
          <cell r="O216" t="str">
            <v>#N/A Mandatory parameter [SECURITY] cannot be empty</v>
          </cell>
          <cell r="P216" t="str">
            <v>Y</v>
          </cell>
          <cell r="Q216" t="str">
            <v>#N/A Field Not Applicable</v>
          </cell>
          <cell r="R216" t="str">
            <v>#N/A Field Not Applicable</v>
          </cell>
          <cell r="S216" t="str">
            <v>#N/A Field Not Applicable</v>
          </cell>
          <cell r="T216" t="str">
            <v>#N/A Field Not Applicable</v>
          </cell>
          <cell r="U216" t="str">
            <v>#N/A Field Not Applicable</v>
          </cell>
          <cell r="V216" t="str">
            <v>#N/A Field Not Applicable</v>
          </cell>
          <cell r="AD216">
            <v>1</v>
          </cell>
          <cell r="AE216">
            <v>1</v>
          </cell>
          <cell r="AF216">
            <v>1</v>
          </cell>
          <cell r="AG216">
            <v>1</v>
          </cell>
          <cell r="AH216">
            <v>1</v>
          </cell>
          <cell r="AI216">
            <v>1</v>
          </cell>
          <cell r="AJ216" t="str">
            <v/>
          </cell>
          <cell r="AK216" t="str">
            <v>#N/A Field Not Applicable</v>
          </cell>
          <cell r="AL216" t="str">
            <v>GBP</v>
          </cell>
          <cell r="AM216">
            <v>0.74450000000000005</v>
          </cell>
          <cell r="AN216" t="e">
            <v>#VALUE!</v>
          </cell>
          <cell r="AP216" t="str">
            <v/>
          </cell>
          <cell r="AQ216" t="str">
            <v/>
          </cell>
          <cell r="AR216" t="str">
            <v/>
          </cell>
          <cell r="AS216" t="str">
            <v/>
          </cell>
          <cell r="AT216" t="str">
            <v/>
          </cell>
          <cell r="AU216" t="str">
            <v/>
          </cell>
          <cell r="AV216">
            <v>1.3452</v>
          </cell>
          <cell r="AW216">
            <v>1.3279000000000001</v>
          </cell>
          <cell r="AX216">
            <v>1.3028089464568016</v>
          </cell>
        </row>
        <row r="217">
          <cell r="F217" t="str">
            <v>CANADIAN DOLLAR</v>
          </cell>
          <cell r="G217" t="str">
            <v>加幣即期</v>
          </cell>
          <cell r="H217">
            <v>1.3774999999999999</v>
          </cell>
          <cell r="I217">
            <v>2.9000000000000001E-2</v>
          </cell>
          <cell r="J217">
            <v>-1.4500000000000001E-2</v>
          </cell>
          <cell r="K217">
            <v>4.4211</v>
          </cell>
          <cell r="L217" t="str">
            <v>#N/A Mandatory parameter [SECURITY] cannot be empty</v>
          </cell>
          <cell r="M217" t="str">
            <v>#N/A Mandatory parameter [SECURITY] cannot be empty</v>
          </cell>
          <cell r="N217" t="str">
            <v>#N/A Mandatory parameter [SECURITY] cannot be empty</v>
          </cell>
          <cell r="O217" t="str">
            <v>#N/A Mandatory parameter [SECURITY] cannot be empty</v>
          </cell>
          <cell r="P217" t="str">
            <v>Y</v>
          </cell>
          <cell r="Q217" t="str">
            <v>#N/A Field Not Applicable</v>
          </cell>
          <cell r="R217" t="str">
            <v>#N/A Field Not Applicable</v>
          </cell>
          <cell r="S217" t="str">
            <v>#N/A Field Not Applicable</v>
          </cell>
          <cell r="T217" t="str">
            <v>#N/A Field Not Applicable</v>
          </cell>
          <cell r="U217" t="str">
            <v>#N/A Field Not Applicable</v>
          </cell>
          <cell r="V217" t="str">
            <v>#N/A Field Not Applicable</v>
          </cell>
          <cell r="AD217">
            <v>1</v>
          </cell>
          <cell r="AE217">
            <v>1</v>
          </cell>
          <cell r="AF217">
            <v>1</v>
          </cell>
          <cell r="AG217">
            <v>1</v>
          </cell>
          <cell r="AH217">
            <v>1</v>
          </cell>
          <cell r="AI217">
            <v>1</v>
          </cell>
          <cell r="AJ217" t="str">
            <v/>
          </cell>
          <cell r="AK217" t="str">
            <v>#N/A Field Not Applicable</v>
          </cell>
          <cell r="AL217" t="str">
            <v>CAD</v>
          </cell>
          <cell r="AM217">
            <v>1.3774999999999999</v>
          </cell>
          <cell r="AN217" t="e">
            <v>#VALUE!</v>
          </cell>
          <cell r="AP217" t="str">
            <v/>
          </cell>
          <cell r="AQ217" t="str">
            <v/>
          </cell>
          <cell r="AR217" t="str">
            <v/>
          </cell>
          <cell r="AS217" t="str">
            <v/>
          </cell>
          <cell r="AT217" t="str">
            <v/>
          </cell>
          <cell r="AU217" t="str">
            <v/>
          </cell>
          <cell r="AV217">
            <v>1.3758999999999999</v>
          </cell>
          <cell r="AW217">
            <v>1.3786</v>
          </cell>
          <cell r="AX217">
            <v>-0.19585086319455769</v>
          </cell>
        </row>
        <row r="218">
          <cell r="F218" t="str">
            <v>AUSTRALIAN DOLLAR</v>
          </cell>
          <cell r="G218" t="str">
            <v>澳幣即期</v>
          </cell>
          <cell r="H218">
            <v>0.65169999999999995</v>
          </cell>
          <cell r="I218">
            <v>6.1400000000000003E-2</v>
          </cell>
          <cell r="J218">
            <v>0.67969999999999997</v>
          </cell>
          <cell r="K218">
            <v>5.3167</v>
          </cell>
          <cell r="L218" t="str">
            <v>#N/A Mandatory parameter [SECURITY] cannot be empty</v>
          </cell>
          <cell r="M218" t="str">
            <v>#N/A Mandatory parameter [SECURITY] cannot be empty</v>
          </cell>
          <cell r="N218" t="str">
            <v>#N/A Mandatory parameter [SECURITY] cannot be empty</v>
          </cell>
          <cell r="O218" t="str">
            <v>#N/A Mandatory parameter [SECURITY] cannot be empty</v>
          </cell>
          <cell r="P218" t="str">
            <v>Y</v>
          </cell>
          <cell r="Q218" t="str">
            <v>#N/A Field Not Applicable</v>
          </cell>
          <cell r="R218" t="str">
            <v>#N/A Field Not Applicable</v>
          </cell>
          <cell r="S218" t="str">
            <v>#N/A Field Not Applicable</v>
          </cell>
          <cell r="T218" t="str">
            <v>#N/A Field Not Applicable</v>
          </cell>
          <cell r="U218" t="str">
            <v>#N/A Field Not Applicable</v>
          </cell>
          <cell r="V218" t="str">
            <v>#N/A Field Not Applicable</v>
          </cell>
          <cell r="AD218">
            <v>1</v>
          </cell>
          <cell r="AE218">
            <v>1</v>
          </cell>
          <cell r="AF218">
            <v>1</v>
          </cell>
          <cell r="AG218">
            <v>1</v>
          </cell>
          <cell r="AH218">
            <v>1</v>
          </cell>
          <cell r="AI218">
            <v>1</v>
          </cell>
          <cell r="AJ218" t="str">
            <v/>
          </cell>
          <cell r="AK218" t="str">
            <v>#N/A Field Not Applicable</v>
          </cell>
          <cell r="AL218" t="str">
            <v>AUD</v>
          </cell>
          <cell r="AM218">
            <v>1.5344</v>
          </cell>
          <cell r="AN218" t="e">
            <v>#VALUE!</v>
          </cell>
          <cell r="AP218" t="str">
            <v/>
          </cell>
          <cell r="AQ218" t="str">
            <v/>
          </cell>
          <cell r="AR218" t="str">
            <v/>
          </cell>
          <cell r="AS218" t="str">
            <v/>
          </cell>
          <cell r="AT218" t="str">
            <v/>
          </cell>
          <cell r="AU218" t="str">
            <v/>
          </cell>
          <cell r="AV218">
            <v>0.6522</v>
          </cell>
          <cell r="AW218">
            <v>0.64739999999999998</v>
          </cell>
          <cell r="AX218">
            <v>0.74142724745134281</v>
          </cell>
        </row>
        <row r="219">
          <cell r="F219" t="str">
            <v>SWISS FRANC</v>
          </cell>
          <cell r="G219" t="str">
            <v>瑞士法郎即期</v>
          </cell>
          <cell r="H219">
            <v>0.81110000000000004</v>
          </cell>
          <cell r="I219">
            <v>0.1603</v>
          </cell>
          <cell r="J219">
            <v>-0.43149999999999999</v>
          </cell>
          <cell r="K219">
            <v>11.8728</v>
          </cell>
          <cell r="L219" t="str">
            <v>#N/A Mandatory parameter [SECURITY] cannot be empty</v>
          </cell>
          <cell r="M219" t="str">
            <v>#N/A Mandatory parameter [SECURITY] cannot be empty</v>
          </cell>
          <cell r="N219" t="str">
            <v>#N/A Mandatory parameter [SECURITY] cannot be empty</v>
          </cell>
          <cell r="O219" t="str">
            <v>#N/A Mandatory parameter [SECURITY] cannot be empty</v>
          </cell>
          <cell r="P219" t="str">
            <v>Y</v>
          </cell>
          <cell r="Q219" t="str">
            <v>#N/A Field Not Applicable</v>
          </cell>
          <cell r="R219" t="str">
            <v>#N/A Field Not Applicable</v>
          </cell>
          <cell r="S219" t="str">
            <v>#N/A Field Not Applicable</v>
          </cell>
          <cell r="T219" t="str">
            <v>#N/A Field Not Applicable</v>
          </cell>
          <cell r="U219" t="str">
            <v>#N/A Field Not Applicable</v>
          </cell>
          <cell r="V219" t="str">
            <v>#N/A Field Not Applicable</v>
          </cell>
          <cell r="AD219">
            <v>1</v>
          </cell>
          <cell r="AE219">
            <v>1</v>
          </cell>
          <cell r="AF219">
            <v>1</v>
          </cell>
          <cell r="AG219">
            <v>1</v>
          </cell>
          <cell r="AH219">
            <v>1</v>
          </cell>
          <cell r="AI219">
            <v>1</v>
          </cell>
          <cell r="AJ219" t="str">
            <v/>
          </cell>
          <cell r="AK219" t="str">
            <v>#N/A Field Not Applicable</v>
          </cell>
          <cell r="AL219" t="str">
            <v>CHF</v>
          </cell>
          <cell r="AM219">
            <v>0.81110000000000004</v>
          </cell>
          <cell r="AN219" t="e">
            <v>#VALUE!</v>
          </cell>
          <cell r="AP219" t="str">
            <v/>
          </cell>
          <cell r="AQ219" t="str">
            <v/>
          </cell>
          <cell r="AR219" t="str">
            <v/>
          </cell>
          <cell r="AS219" t="str">
            <v/>
          </cell>
          <cell r="AT219" t="str">
            <v/>
          </cell>
          <cell r="AU219" t="str">
            <v/>
          </cell>
          <cell r="AV219">
            <v>0.80830000000000002</v>
          </cell>
          <cell r="AW219">
            <v>0.80400000000000005</v>
          </cell>
          <cell r="AX219">
            <v>0.53482587064677123</v>
          </cell>
        </row>
        <row r="220">
          <cell r="F220" t="str">
            <v>CHINA RENMINBI</v>
          </cell>
          <cell r="G220" t="str">
            <v>中國人民幣即期</v>
          </cell>
          <cell r="H220">
            <v>7.1874000000000002</v>
          </cell>
          <cell r="I220">
            <v>1.95E-2</v>
          </cell>
          <cell r="J220">
            <v>-4.7300000000000002E-2</v>
          </cell>
          <cell r="K220">
            <v>1.5569</v>
          </cell>
          <cell r="L220" t="str">
            <v>#N/A Mandatory parameter [SECURITY] cannot be empty</v>
          </cell>
          <cell r="M220" t="str">
            <v>#N/A Mandatory parameter [SECURITY] cannot be empty</v>
          </cell>
          <cell r="N220" t="str">
            <v>#N/A Mandatory parameter [SECURITY] cannot be empty</v>
          </cell>
          <cell r="O220" t="str">
            <v>#N/A Mandatory parameter [SECURITY] cannot be empty</v>
          </cell>
          <cell r="P220" t="str">
            <v>Y</v>
          </cell>
          <cell r="Q220" t="str">
            <v>#N/A Field Not Applicable</v>
          </cell>
          <cell r="R220" t="str">
            <v>#N/A Field Not Applicable</v>
          </cell>
          <cell r="S220" t="str">
            <v>#N/A Field Not Applicable</v>
          </cell>
          <cell r="T220" t="str">
            <v>#N/A Field Not Applicable</v>
          </cell>
          <cell r="U220" t="str">
            <v>#N/A Field Not Applicable</v>
          </cell>
          <cell r="V220" t="str">
            <v>#N/A Field Not Applicable</v>
          </cell>
          <cell r="AD220">
            <v>1</v>
          </cell>
          <cell r="AE220">
            <v>1</v>
          </cell>
          <cell r="AF220">
            <v>1</v>
          </cell>
          <cell r="AG220">
            <v>1</v>
          </cell>
          <cell r="AH220">
            <v>1</v>
          </cell>
          <cell r="AI220">
            <v>1</v>
          </cell>
          <cell r="AJ220" t="str">
            <v/>
          </cell>
          <cell r="AK220" t="str">
            <v>#N/A Field Not Applicable</v>
          </cell>
          <cell r="AL220" t="str">
            <v>CNY</v>
          </cell>
          <cell r="AM220">
            <v>7.1874000000000002</v>
          </cell>
          <cell r="AN220" t="e">
            <v>#VALUE!</v>
          </cell>
          <cell r="AP220" t="str">
            <v/>
          </cell>
          <cell r="AQ220" t="str">
            <v/>
          </cell>
          <cell r="AR220" t="str">
            <v/>
          </cell>
          <cell r="AS220" t="str">
            <v/>
          </cell>
          <cell r="AT220" t="str">
            <v/>
          </cell>
          <cell r="AU220" t="str">
            <v/>
          </cell>
          <cell r="AV220">
            <v>7.1802000000000001</v>
          </cell>
          <cell r="AW220">
            <v>7.1932999999999998</v>
          </cell>
          <cell r="AX220">
            <v>-0.18211391155658063</v>
          </cell>
        </row>
        <row r="222">
          <cell r="I222" t="str">
            <v>公式不同</v>
          </cell>
          <cell r="J222" t="str">
            <v>公式不同</v>
          </cell>
          <cell r="K222" t="str">
            <v>公式不同</v>
          </cell>
          <cell r="AX222" t="str">
            <v>公式不同</v>
          </cell>
        </row>
        <row r="223">
          <cell r="F223" t="str">
            <v>US Generic Govt 2 Yr</v>
          </cell>
          <cell r="G223" t="str">
            <v>美國整體公債2年期殖利率</v>
          </cell>
          <cell r="H223">
            <v>3.7663000000000002</v>
          </cell>
          <cell r="I223">
            <v>-2.0999999999999999E-3</v>
          </cell>
          <cell r="J223">
            <v>4.2099999999999999E-2</v>
          </cell>
          <cell r="K223">
            <v>-0.4753</v>
          </cell>
          <cell r="L223" t="str">
            <v>#N/A Mandatory parameter [SECURITY] cannot be empty</v>
          </cell>
          <cell r="M223" t="str">
            <v>#N/A Mandatory parameter [SECURITY] cannot be empty</v>
          </cell>
          <cell r="N223" t="str">
            <v>#N/A Mandatory parameter [SECURITY] cannot be empty</v>
          </cell>
          <cell r="O223" t="str">
            <v>#N/A Mandatory parameter [SECURITY] cannot be empty</v>
          </cell>
          <cell r="P223" t="str">
            <v>Y</v>
          </cell>
          <cell r="Q223" t="str">
            <v>#N/A Field Not Applicable</v>
          </cell>
          <cell r="R223" t="str">
            <v>#N/A Field Not Applicable</v>
          </cell>
          <cell r="S223" t="str">
            <v>#N/A Field Not Applicable</v>
          </cell>
          <cell r="T223" t="str">
            <v>#N/A Field Not Applicable</v>
          </cell>
          <cell r="U223" t="str">
            <v>#N/A Field Not Applicable</v>
          </cell>
          <cell r="V223" t="str">
            <v>#N/A Field Not Applicable</v>
          </cell>
          <cell r="AD223">
            <v>1</v>
          </cell>
          <cell r="AE223">
            <v>1</v>
          </cell>
          <cell r="AF223">
            <v>1</v>
          </cell>
          <cell r="AG223">
            <v>1</v>
          </cell>
          <cell r="AH223">
            <v>1</v>
          </cell>
          <cell r="AI223">
            <v>1</v>
          </cell>
          <cell r="AJ223" t="str">
            <v/>
          </cell>
          <cell r="AK223" t="str">
            <v>#N/A Field Not Applicable</v>
          </cell>
          <cell r="AL223" t="str">
            <v>USD</v>
          </cell>
          <cell r="AM223">
            <v>1</v>
          </cell>
          <cell r="AN223" t="e">
            <v>#VALUE!</v>
          </cell>
          <cell r="AP223" t="str">
            <v/>
          </cell>
          <cell r="AQ223" t="str">
            <v/>
          </cell>
          <cell r="AR223" t="str">
            <v/>
          </cell>
          <cell r="AS223" t="str">
            <v/>
          </cell>
          <cell r="AT223" t="str">
            <v/>
          </cell>
          <cell r="AU223" t="str">
            <v/>
          </cell>
          <cell r="AV223">
            <v>3.762372971</v>
          </cell>
          <cell r="AW223">
            <v>3.6816709040000002</v>
          </cell>
          <cell r="AX223">
            <v>8.0702066999999822E-2</v>
          </cell>
        </row>
        <row r="224">
          <cell r="F224" t="str">
            <v>US Generic Govt 3 Yr</v>
          </cell>
          <cell r="G224" t="str">
            <v>美國整體公債3年期殖利率</v>
          </cell>
          <cell r="H224">
            <v>3.7332999999999998</v>
          </cell>
          <cell r="I224">
            <v>0</v>
          </cell>
          <cell r="J224">
            <v>4.2799999999999998E-2</v>
          </cell>
          <cell r="K224">
            <v>-0.5393</v>
          </cell>
          <cell r="L224" t="str">
            <v>#N/A Mandatory parameter [SECURITY] cannot be empty</v>
          </cell>
          <cell r="M224" t="str">
            <v>#N/A Mandatory parameter [SECURITY] cannot be empty</v>
          </cell>
          <cell r="N224" t="str">
            <v>#N/A Mandatory parameter [SECURITY] cannot be empty</v>
          </cell>
          <cell r="O224" t="str">
            <v>#N/A Mandatory parameter [SECURITY] cannot be empty</v>
          </cell>
          <cell r="P224" t="str">
            <v>Y</v>
          </cell>
          <cell r="Q224" t="str">
            <v>#N/A Field Not Applicable</v>
          </cell>
          <cell r="R224" t="str">
            <v>#N/A Field Not Applicable</v>
          </cell>
          <cell r="S224" t="str">
            <v>#N/A Field Not Applicable</v>
          </cell>
          <cell r="T224" t="str">
            <v>#N/A Field Not Applicable</v>
          </cell>
          <cell r="U224" t="str">
            <v>#N/A Field Not Applicable</v>
          </cell>
          <cell r="V224" t="str">
            <v>#N/A Field Not Applicable</v>
          </cell>
          <cell r="AD224">
            <v>1</v>
          </cell>
          <cell r="AE224">
            <v>1</v>
          </cell>
          <cell r="AF224">
            <v>1</v>
          </cell>
          <cell r="AG224">
            <v>1</v>
          </cell>
          <cell r="AH224">
            <v>1</v>
          </cell>
          <cell r="AI224">
            <v>1</v>
          </cell>
          <cell r="AJ224" t="str">
            <v/>
          </cell>
          <cell r="AK224" t="str">
            <v>#N/A Field Not Applicable</v>
          </cell>
          <cell r="AL224" t="str">
            <v>USD</v>
          </cell>
          <cell r="AM224">
            <v>1</v>
          </cell>
          <cell r="AN224" t="e">
            <v>#VALUE!</v>
          </cell>
          <cell r="AP224" t="str">
            <v/>
          </cell>
          <cell r="AQ224" t="str">
            <v/>
          </cell>
          <cell r="AR224" t="str">
            <v/>
          </cell>
          <cell r="AS224" t="str">
            <v/>
          </cell>
          <cell r="AT224" t="str">
            <v/>
          </cell>
          <cell r="AU224" t="str">
            <v/>
          </cell>
          <cell r="AV224">
            <v>3.7305183409999998</v>
          </cell>
          <cell r="AW224">
            <v>3.6542987820000001</v>
          </cell>
          <cell r="AX224">
            <v>7.6219558999999659E-2</v>
          </cell>
        </row>
        <row r="225">
          <cell r="F225" t="str">
            <v>US Generic Govt 5 Yr</v>
          </cell>
          <cell r="G225" t="str">
            <v>美國整體公債5年期殖利率</v>
          </cell>
          <cell r="H225">
            <v>3.8346999999999998</v>
          </cell>
          <cell r="I225">
            <v>-1.6999999999999999E-3</v>
          </cell>
          <cell r="J225">
            <v>5.7000000000000002E-2</v>
          </cell>
          <cell r="K225">
            <v>-0.54730000000000001</v>
          </cell>
          <cell r="L225" t="str">
            <v>#N/A Mandatory parameter [SECURITY] cannot be empty</v>
          </cell>
          <cell r="M225" t="str">
            <v>#N/A Mandatory parameter [SECURITY] cannot be empty</v>
          </cell>
          <cell r="N225" t="str">
            <v>#N/A Mandatory parameter [SECURITY] cannot be empty</v>
          </cell>
          <cell r="O225" t="str">
            <v>#N/A Mandatory parameter [SECURITY] cannot be empty</v>
          </cell>
          <cell r="P225" t="str">
            <v>Y</v>
          </cell>
          <cell r="Q225" t="str">
            <v>#N/A Field Not Applicable</v>
          </cell>
          <cell r="R225" t="str">
            <v>#N/A Field Not Applicable</v>
          </cell>
          <cell r="S225" t="str">
            <v>#N/A Field Not Applicable</v>
          </cell>
          <cell r="T225" t="str">
            <v>#N/A Field Not Applicable</v>
          </cell>
          <cell r="U225" t="str">
            <v>#N/A Field Not Applicable</v>
          </cell>
          <cell r="V225" t="str">
            <v>#N/A Field Not Applicable</v>
          </cell>
          <cell r="AD225">
            <v>1</v>
          </cell>
          <cell r="AE225">
            <v>1</v>
          </cell>
          <cell r="AF225">
            <v>1</v>
          </cell>
          <cell r="AG225">
            <v>1</v>
          </cell>
          <cell r="AH225">
            <v>1</v>
          </cell>
          <cell r="AI225">
            <v>1</v>
          </cell>
          <cell r="AJ225" t="str">
            <v/>
          </cell>
          <cell r="AK225" t="str">
            <v>#N/A Field Not Applicable</v>
          </cell>
          <cell r="AL225" t="str">
            <v>USD</v>
          </cell>
          <cell r="AM225">
            <v>1</v>
          </cell>
          <cell r="AN225" t="e">
            <v>#VALUE!</v>
          </cell>
          <cell r="AP225" t="str">
            <v/>
          </cell>
          <cell r="AQ225" t="str">
            <v/>
          </cell>
          <cell r="AR225" t="str">
            <v/>
          </cell>
          <cell r="AS225" t="str">
            <v/>
          </cell>
          <cell r="AT225" t="str">
            <v/>
          </cell>
          <cell r="AU225" t="str">
            <v/>
          </cell>
          <cell r="AV225">
            <v>3.831238747</v>
          </cell>
          <cell r="AW225">
            <v>3.7571480269999999</v>
          </cell>
          <cell r="AX225">
            <v>7.4090720000000054E-2</v>
          </cell>
        </row>
        <row r="226">
          <cell r="F226" t="str">
            <v>US Generic Govt 7 Yr</v>
          </cell>
          <cell r="G226" t="str">
            <v>美國整體公債7年期殖利率</v>
          </cell>
          <cell r="H226">
            <v>4.0282999999999998</v>
          </cell>
          <cell r="I226">
            <v>-5.1999999999999998E-3</v>
          </cell>
          <cell r="J226">
            <v>5.6800000000000003E-2</v>
          </cell>
          <cell r="K226">
            <v>-0.4506</v>
          </cell>
          <cell r="L226" t="str">
            <v>#N/A Mandatory parameter [SECURITY] cannot be empty</v>
          </cell>
          <cell r="M226" t="str">
            <v>#N/A Mandatory parameter [SECURITY] cannot be empty</v>
          </cell>
          <cell r="N226" t="str">
            <v>#N/A Mandatory parameter [SECURITY] cannot be empty</v>
          </cell>
          <cell r="O226" t="str">
            <v>#N/A Mandatory parameter [SECURITY] cannot be empty</v>
          </cell>
          <cell r="P226" t="str">
            <v>Y</v>
          </cell>
          <cell r="Q226" t="str">
            <v>#N/A Field Not Applicable</v>
          </cell>
          <cell r="R226" t="str">
            <v>#N/A Field Not Applicable</v>
          </cell>
          <cell r="S226" t="str">
            <v>#N/A Field Not Applicable</v>
          </cell>
          <cell r="T226" t="str">
            <v>#N/A Field Not Applicable</v>
          </cell>
          <cell r="U226" t="str">
            <v>#N/A Field Not Applicable</v>
          </cell>
          <cell r="V226" t="str">
            <v>#N/A Field Not Applicable</v>
          </cell>
          <cell r="AD226">
            <v>1</v>
          </cell>
          <cell r="AE226">
            <v>1</v>
          </cell>
          <cell r="AF226">
            <v>1</v>
          </cell>
          <cell r="AG226">
            <v>1</v>
          </cell>
          <cell r="AH226">
            <v>1</v>
          </cell>
          <cell r="AI226">
            <v>1</v>
          </cell>
          <cell r="AJ226" t="str">
            <v/>
          </cell>
          <cell r="AK226" t="str">
            <v>#N/A Field Not Applicable</v>
          </cell>
          <cell r="AL226" t="str">
            <v>USD</v>
          </cell>
          <cell r="AM226">
            <v>1</v>
          </cell>
          <cell r="AN226" t="e">
            <v>#VALUE!</v>
          </cell>
          <cell r="AP226" t="str">
            <v/>
          </cell>
          <cell r="AQ226" t="str">
            <v/>
          </cell>
          <cell r="AR226" t="str">
            <v/>
          </cell>
          <cell r="AS226" t="str">
            <v/>
          </cell>
          <cell r="AT226" t="str">
            <v/>
          </cell>
          <cell r="AU226" t="str">
            <v/>
          </cell>
          <cell r="AV226">
            <v>4.0283432010000002</v>
          </cell>
          <cell r="AW226">
            <v>3.9612121579999999</v>
          </cell>
          <cell r="AX226">
            <v>6.7131043000000279E-2</v>
          </cell>
        </row>
        <row r="227">
          <cell r="F227" t="str">
            <v>US Generic Govt 10 Yr</v>
          </cell>
          <cell r="G227" t="str">
            <v>美國整體公債10年期殖利率</v>
          </cell>
          <cell r="H227">
            <v>4.2790999999999997</v>
          </cell>
          <cell r="I227">
            <v>-5.7999999999999996E-3</v>
          </cell>
          <cell r="J227">
            <v>6.9099999999999995E-2</v>
          </cell>
          <cell r="K227">
            <v>-0.28989999999999999</v>
          </cell>
          <cell r="L227" t="str">
            <v>#N/A Mandatory parameter [SECURITY] cannot be empty</v>
          </cell>
          <cell r="M227" t="str">
            <v>#N/A Mandatory parameter [SECURITY] cannot be empty</v>
          </cell>
          <cell r="N227" t="str">
            <v>#N/A Mandatory parameter [SECURITY] cannot be empty</v>
          </cell>
          <cell r="O227" t="str">
            <v>#N/A Mandatory parameter [SECURITY] cannot be empty</v>
          </cell>
          <cell r="P227" t="str">
            <v>Y</v>
          </cell>
          <cell r="Q227" t="str">
            <v>#N/A Field Not Applicable</v>
          </cell>
          <cell r="R227" t="str">
            <v>#N/A Field Not Applicable</v>
          </cell>
          <cell r="S227" t="str">
            <v>#N/A Field Not Applicable</v>
          </cell>
          <cell r="T227" t="str">
            <v>#N/A Field Not Applicable</v>
          </cell>
          <cell r="U227" t="str">
            <v>#N/A Field Not Applicable</v>
          </cell>
          <cell r="V227" t="str">
            <v>#N/A Field Not Applicable</v>
          </cell>
          <cell r="AD227">
            <v>1</v>
          </cell>
          <cell r="AE227">
            <v>1</v>
          </cell>
          <cell r="AF227">
            <v>1</v>
          </cell>
          <cell r="AG227">
            <v>1</v>
          </cell>
          <cell r="AH227">
            <v>1</v>
          </cell>
          <cell r="AI227">
            <v>1</v>
          </cell>
          <cell r="AJ227" t="str">
            <v/>
          </cell>
          <cell r="AK227" t="str">
            <v>#N/A Field Not Applicable</v>
          </cell>
          <cell r="AL227" t="str">
            <v>USD</v>
          </cell>
          <cell r="AM227">
            <v>1</v>
          </cell>
          <cell r="AN227" t="e">
            <v>#VALUE!</v>
          </cell>
          <cell r="AP227" t="str">
            <v/>
          </cell>
          <cell r="AQ227" t="str">
            <v/>
          </cell>
          <cell r="AR227" t="str">
            <v/>
          </cell>
          <cell r="AS227" t="str">
            <v/>
          </cell>
          <cell r="AT227" t="str">
            <v/>
          </cell>
          <cell r="AU227" t="str">
            <v/>
          </cell>
          <cell r="AV227">
            <v>4.2829351429999996</v>
          </cell>
          <cell r="AW227">
            <v>4.2158885000000001</v>
          </cell>
          <cell r="AX227">
            <v>6.7046642999999406E-2</v>
          </cell>
        </row>
        <row r="228">
          <cell r="F228" t="str">
            <v>US Generic Govt 20 Yr</v>
          </cell>
          <cell r="G228" t="str">
            <v>美國整體公債20年期殖利率</v>
          </cell>
          <cell r="H228">
            <v>4.8263999999999996</v>
          </cell>
          <cell r="I228">
            <v>-2.3999999999999998E-3</v>
          </cell>
          <cell r="J228">
            <v>6.2899999999999998E-2</v>
          </cell>
          <cell r="K228">
            <v>-3.1600000000000003E-2</v>
          </cell>
          <cell r="L228" t="str">
            <v>#N/A Mandatory parameter [SECURITY] cannot be empty</v>
          </cell>
          <cell r="M228" t="str">
            <v>#N/A Mandatory parameter [SECURITY] cannot be empty</v>
          </cell>
          <cell r="N228" t="str">
            <v>#N/A Mandatory parameter [SECURITY] cannot be empty</v>
          </cell>
          <cell r="O228" t="str">
            <v>#N/A Mandatory parameter [SECURITY] cannot be empty</v>
          </cell>
          <cell r="P228" t="str">
            <v>Y</v>
          </cell>
          <cell r="Q228" t="str">
            <v>#N/A Field Not Applicable</v>
          </cell>
          <cell r="R228" t="str">
            <v>#N/A Field Not Applicable</v>
          </cell>
          <cell r="S228" t="str">
            <v>#N/A Field Not Applicable</v>
          </cell>
          <cell r="T228" t="str">
            <v>#N/A Field Not Applicable</v>
          </cell>
          <cell r="U228" t="str">
            <v>#N/A Field Not Applicable</v>
          </cell>
          <cell r="V228" t="str">
            <v>#N/A Field Not Applicable</v>
          </cell>
          <cell r="AD228">
            <v>1</v>
          </cell>
          <cell r="AE228">
            <v>1</v>
          </cell>
          <cell r="AF228">
            <v>1</v>
          </cell>
          <cell r="AG228">
            <v>1</v>
          </cell>
          <cell r="AH228">
            <v>1</v>
          </cell>
          <cell r="AI228">
            <v>1</v>
          </cell>
          <cell r="AJ228" t="str">
            <v/>
          </cell>
          <cell r="AK228" t="str">
            <v>#N/A Field Not Applicable</v>
          </cell>
          <cell r="AL228" t="str">
            <v>USD</v>
          </cell>
          <cell r="AM228">
            <v>1</v>
          </cell>
          <cell r="AN228" t="e">
            <v>#VALUE!</v>
          </cell>
          <cell r="AP228" t="str">
            <v/>
          </cell>
          <cell r="AQ228" t="str">
            <v/>
          </cell>
          <cell r="AR228" t="str">
            <v/>
          </cell>
          <cell r="AS228" t="str">
            <v/>
          </cell>
          <cell r="AT228" t="str">
            <v/>
          </cell>
          <cell r="AU228" t="str">
            <v/>
          </cell>
          <cell r="AV228">
            <v>4.8300771710000001</v>
          </cell>
          <cell r="AW228">
            <v>4.7913389210000004</v>
          </cell>
          <cell r="AX228">
            <v>3.8738249999999752E-2</v>
          </cell>
        </row>
        <row r="229">
          <cell r="F229" t="str">
            <v>US Generic Govt 30 Yr</v>
          </cell>
          <cell r="G229" t="str">
            <v>美國整體公債30年期殖利率</v>
          </cell>
          <cell r="H229">
            <v>4.8474000000000004</v>
          </cell>
          <cell r="I229">
            <v>-5.0000000000000001E-3</v>
          </cell>
          <cell r="J229">
            <v>6.7199999999999996E-2</v>
          </cell>
          <cell r="K229">
            <v>6.6199999999999995E-2</v>
          </cell>
          <cell r="L229" t="str">
            <v>#N/A Mandatory parameter [SECURITY] cannot be empty</v>
          </cell>
          <cell r="M229" t="str">
            <v>#N/A Mandatory parameter [SECURITY] cannot be empty</v>
          </cell>
          <cell r="N229" t="str">
            <v>#N/A Mandatory parameter [SECURITY] cannot be empty</v>
          </cell>
          <cell r="O229" t="str">
            <v>#N/A Mandatory parameter [SECURITY] cannot be empty</v>
          </cell>
          <cell r="P229" t="str">
            <v>Y</v>
          </cell>
          <cell r="Q229" t="str">
            <v>#N/A Field Not Applicable</v>
          </cell>
          <cell r="R229" t="str">
            <v>#N/A Field Not Applicable</v>
          </cell>
          <cell r="S229" t="str">
            <v>#N/A Field Not Applicable</v>
          </cell>
          <cell r="T229" t="str">
            <v>#N/A Field Not Applicable</v>
          </cell>
          <cell r="U229" t="str">
            <v>#N/A Field Not Applicable</v>
          </cell>
          <cell r="V229" t="str">
            <v>#N/A Field Not Applicable</v>
          </cell>
          <cell r="AD229">
            <v>1</v>
          </cell>
          <cell r="AE229">
            <v>1</v>
          </cell>
          <cell r="AF229">
            <v>1</v>
          </cell>
          <cell r="AG229">
            <v>1</v>
          </cell>
          <cell r="AH229">
            <v>1</v>
          </cell>
          <cell r="AI229">
            <v>1</v>
          </cell>
          <cell r="AJ229" t="str">
            <v/>
          </cell>
          <cell r="AK229" t="str">
            <v>#N/A Field Not Applicable</v>
          </cell>
          <cell r="AL229" t="str">
            <v>USD</v>
          </cell>
          <cell r="AM229">
            <v>1</v>
          </cell>
          <cell r="AN229" t="e">
            <v>#VALUE!</v>
          </cell>
          <cell r="AP229" t="str">
            <v/>
          </cell>
          <cell r="AQ229" t="str">
            <v/>
          </cell>
          <cell r="AR229" t="str">
            <v/>
          </cell>
          <cell r="AS229" t="str">
            <v/>
          </cell>
          <cell r="AT229" t="str">
            <v/>
          </cell>
          <cell r="AU229" t="str">
            <v/>
          </cell>
          <cell r="AV229">
            <v>4.8493766779999996</v>
          </cell>
          <cell r="AW229">
            <v>4.8221154210000003</v>
          </cell>
          <cell r="AX229">
            <v>2.7261256999999262E-2</v>
          </cell>
        </row>
      </sheetData>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J331"/>
  <sheetViews>
    <sheetView tabSelected="1" view="pageBreakPreview" topLeftCell="BP1" zoomScale="70" zoomScaleNormal="90" zoomScaleSheetLayoutView="70" workbookViewId="0">
      <selection activeCell="BU13" sqref="BU13"/>
    </sheetView>
  </sheetViews>
  <sheetFormatPr defaultColWidth="9" defaultRowHeight="15" customHeight="1"/>
  <cols>
    <col min="1" max="1" width="10.5" style="12" customWidth="1"/>
    <col min="2" max="2" width="1.375" style="12" customWidth="1"/>
    <col min="3" max="3" width="22.75" style="12" customWidth="1"/>
    <col min="4" max="4" width="19.625" style="12" customWidth="1"/>
    <col min="5" max="6" width="22.625" style="12" customWidth="1"/>
    <col min="7" max="7" width="22.75" style="12" customWidth="1"/>
    <col min="8" max="8" width="25.875" style="12" customWidth="1"/>
    <col min="9" max="9" width="6" style="12" customWidth="1"/>
    <col min="10" max="10" width="22.625" style="12" customWidth="1"/>
    <col min="11" max="11" width="22.75" style="12" customWidth="1"/>
    <col min="12" max="13" width="22.625" style="12" customWidth="1"/>
    <col min="14" max="15" width="22.75" style="12" customWidth="1"/>
    <col min="16" max="17" width="10.5" style="12" customWidth="1"/>
    <col min="18" max="18" width="1.375" style="12" customWidth="1"/>
    <col min="19" max="19" width="11.625" style="12" customWidth="1"/>
    <col min="20" max="21" width="46.625" style="12" customWidth="1"/>
    <col min="22" max="22" width="22.625" style="12" customWidth="1"/>
    <col min="23" max="24" width="22.75" style="12" customWidth="1"/>
    <col min="25" max="25" width="22.625" style="12" customWidth="1"/>
    <col min="26" max="26" width="22.75" style="1" customWidth="1"/>
    <col min="27" max="27" width="19.75" style="1" customWidth="1"/>
    <col min="28" max="29" width="19.625" style="1" customWidth="1"/>
    <col min="30" max="30" width="10.375" style="370" customWidth="1"/>
    <col min="31" max="31" width="28.5" style="1" bestFit="1" customWidth="1"/>
    <col min="32" max="32" width="16.25" style="1" customWidth="1"/>
    <col min="33" max="33" width="18.625" style="1" customWidth="1"/>
    <col min="34" max="34" width="10.5" style="12" customWidth="1"/>
    <col min="35" max="35" width="1.375" style="12" customWidth="1"/>
    <col min="36" max="36" width="32.5" style="12" customWidth="1"/>
    <col min="37" max="37" width="34.75" style="12" customWidth="1"/>
    <col min="38" max="39" width="23.375" style="12" customWidth="1"/>
    <col min="40" max="40" width="24.75" style="12" customWidth="1"/>
    <col min="41" max="41" width="2.125" style="12" customWidth="1"/>
    <col min="42" max="42" width="17.25" style="12" customWidth="1"/>
    <col min="43" max="43" width="18.875" style="12" customWidth="1"/>
    <col min="44" max="44" width="23.125" style="1" customWidth="1"/>
    <col min="45" max="45" width="17.25" style="1" customWidth="1"/>
    <col min="46" max="46" width="18" style="1" customWidth="1"/>
    <col min="47" max="47" width="16.625" style="1" customWidth="1"/>
    <col min="48" max="48" width="16.75" style="1" customWidth="1"/>
    <col min="49" max="51" width="17.5" style="12" customWidth="1"/>
    <col min="52" max="52" width="10.5" style="12" customWidth="1"/>
    <col min="53" max="53" width="1.375" style="12" customWidth="1"/>
    <col min="54" max="54" width="26.875" style="12" customWidth="1"/>
    <col min="55" max="55" width="37.875" style="12" customWidth="1"/>
    <col min="56" max="57" width="23.375" style="12" customWidth="1"/>
    <col min="58" max="58" width="23.625" style="12" customWidth="1"/>
    <col min="59" max="59" width="0.875" style="12" customWidth="1"/>
    <col min="60" max="61" width="13.875" style="12" customWidth="1"/>
    <col min="62" max="62" width="21.875" style="1" customWidth="1"/>
    <col min="63" max="63" width="17.25" style="1" customWidth="1"/>
    <col min="64" max="64" width="18" style="1" customWidth="1"/>
    <col min="65" max="65" width="16.625" style="1" customWidth="1"/>
    <col min="66" max="66" width="16.75" style="1" customWidth="1"/>
    <col min="67" max="67" width="17.5" style="12" customWidth="1"/>
    <col min="68" max="69" width="9" style="12" customWidth="1"/>
    <col min="70" max="70" width="10.5" style="12" customWidth="1"/>
    <col min="71" max="71" width="1.375" style="12" customWidth="1"/>
    <col min="72" max="72" width="32.625" style="12" customWidth="1"/>
    <col min="73" max="73" width="42.25" style="12" customWidth="1"/>
    <col min="74" max="74" width="24.375" style="12" customWidth="1"/>
    <col min="75" max="75" width="21.25" style="12" customWidth="1"/>
    <col min="76" max="76" width="25.875" style="12" customWidth="1"/>
    <col min="77" max="77" width="2.5" style="12" customWidth="1"/>
    <col min="78" max="78" width="24.625" style="12" customWidth="1"/>
    <col min="79" max="79" width="19.625" style="12" customWidth="1"/>
    <col min="80" max="80" width="19.125" style="12" customWidth="1"/>
    <col min="81" max="81" width="20.125" style="1" customWidth="1"/>
    <col min="82" max="82" width="19.5" style="1" customWidth="1"/>
    <col min="83" max="84" width="19.375" style="1" customWidth="1"/>
    <col min="85" max="86" width="9" style="12"/>
    <col min="87" max="87" width="10.5" style="12" customWidth="1"/>
    <col min="88" max="88" width="1.375" style="12" customWidth="1"/>
    <col min="89" max="89" width="22.75" style="12" customWidth="1"/>
    <col min="90" max="91" width="22.625" style="12" customWidth="1"/>
    <col min="92" max="92" width="22.75" style="12" customWidth="1"/>
    <col min="93" max="93" width="22.625" style="12" customWidth="1"/>
    <col min="94" max="94" width="27.125" style="12" customWidth="1"/>
    <col min="95" max="95" width="5.125" style="12" customWidth="1"/>
    <col min="96" max="96" width="22.625" style="12" customWidth="1"/>
    <col min="97" max="97" width="22.625" style="1" customWidth="1"/>
    <col min="98" max="100" width="22.75" style="1" customWidth="1"/>
    <col min="101" max="101" width="27.125" style="1" customWidth="1"/>
    <col min="102" max="103" width="22.75" style="1" customWidth="1"/>
    <col min="104" max="104" width="10.5" style="12" customWidth="1"/>
    <col min="105" max="105" width="1.375" style="12" customWidth="1"/>
    <col min="106" max="106" width="22.75" style="12" customWidth="1"/>
    <col min="107" max="108" width="22.625" style="12" customWidth="1"/>
    <col min="109" max="109" width="22.75" style="12" customWidth="1"/>
    <col min="110" max="110" width="22.625" style="12" customWidth="1"/>
    <col min="111" max="111" width="27.125" style="12" customWidth="1"/>
    <col min="112" max="112" width="4.375" style="12" customWidth="1"/>
    <col min="113" max="113" width="22.625" style="12" customWidth="1"/>
    <col min="114" max="114" width="22.625" style="1" customWidth="1"/>
    <col min="115" max="117" width="22.75" style="1" customWidth="1"/>
    <col min="118" max="118" width="27.125" style="1" customWidth="1"/>
    <col min="119" max="119" width="22.75" style="1" customWidth="1"/>
    <col min="120" max="120" width="10.5" style="12" customWidth="1"/>
    <col min="121" max="121" width="1.375" style="12" customWidth="1"/>
    <col min="122" max="122" width="22.75" style="12" customWidth="1"/>
    <col min="123" max="124" width="22.625" style="12" customWidth="1"/>
    <col min="125" max="125" width="22.75" style="12" customWidth="1"/>
    <col min="126" max="126" width="22.625" style="12" customWidth="1"/>
    <col min="127" max="127" width="27.125" style="12" customWidth="1"/>
    <col min="128" max="128" width="4.375" style="12" customWidth="1"/>
    <col min="129" max="129" width="22.625" style="12" customWidth="1"/>
    <col min="130" max="130" width="22.625" style="1" customWidth="1"/>
    <col min="131" max="133" width="22.75" style="1" customWidth="1"/>
    <col min="134" max="134" width="27.125" style="1" customWidth="1"/>
    <col min="135" max="135" width="10.5" style="12" customWidth="1"/>
    <col min="136" max="136" width="1.375" style="12" customWidth="1"/>
    <col min="137" max="138" width="17.875" style="12" customWidth="1"/>
    <col min="139" max="139" width="24.625" style="12" customWidth="1"/>
    <col min="140" max="140" width="24.75" style="12" customWidth="1"/>
    <col min="141" max="141" width="24.625" style="12" customWidth="1"/>
    <col min="142" max="142" width="24.75" style="12" customWidth="1"/>
    <col min="143" max="143" width="4.375" style="12" customWidth="1"/>
    <col min="144" max="144" width="29.5" style="12" customWidth="1"/>
    <col min="145" max="145" width="27.625" style="1" customWidth="1"/>
    <col min="146" max="149" width="24.125" style="1" customWidth="1"/>
    <col min="150" max="151" width="9" style="12"/>
    <col min="152" max="152" width="10.5" style="12" customWidth="1"/>
    <col min="153" max="153" width="1.375" style="12" customWidth="1"/>
    <col min="154" max="154" width="24.125" style="12" customWidth="1"/>
    <col min="155" max="155" width="24" style="12" customWidth="1"/>
    <col min="156" max="156" width="24.625" style="12" customWidth="1"/>
    <col min="157" max="157" width="24" style="12" customWidth="1"/>
    <col min="158" max="158" width="24.125" style="12" customWidth="1"/>
    <col min="159" max="159" width="24" style="12" customWidth="1"/>
    <col min="160" max="160" width="4.375" style="12" customWidth="1"/>
    <col min="161" max="161" width="24" style="12" customWidth="1"/>
    <col min="162" max="162" width="24.125" style="1" customWidth="1"/>
    <col min="163" max="163" width="20.875" style="1" customWidth="1"/>
    <col min="164" max="165" width="22.25" style="1" customWidth="1"/>
    <col min="166" max="166" width="22.375" style="1" customWidth="1"/>
    <col min="167" max="16384" width="9" style="12"/>
  </cols>
  <sheetData>
    <row r="1" spans="1:166" ht="15" customHeight="1">
      <c r="A1" s="557"/>
      <c r="C1" s="496" t="s">
        <v>768</v>
      </c>
      <c r="D1" s="496"/>
      <c r="E1" s="496"/>
      <c r="F1" s="496"/>
      <c r="G1" s="496"/>
      <c r="H1" s="496"/>
      <c r="I1" s="496"/>
      <c r="J1" s="559"/>
      <c r="K1" s="559"/>
      <c r="L1" s="559"/>
      <c r="M1" s="559"/>
      <c r="N1" s="559"/>
      <c r="O1" s="559"/>
      <c r="P1" s="12" t="str">
        <f ca="1">"Fixed income market analysis "&amp;TEXT(TODAY(),"dd-mmm-yyyy")</f>
        <v>Fixed income market analysis 07-Aug-2026</v>
      </c>
      <c r="Q1" s="30"/>
      <c r="R1" s="178"/>
      <c r="S1" s="496" t="s">
        <v>872</v>
      </c>
      <c r="T1" s="471"/>
      <c r="U1" s="471"/>
      <c r="V1" s="471"/>
      <c r="W1" s="471"/>
      <c r="X1" s="471"/>
      <c r="Y1" s="471"/>
      <c r="Z1" s="471"/>
      <c r="AA1" s="471"/>
      <c r="AB1" s="471"/>
      <c r="AC1" s="471"/>
      <c r="AE1" s="12"/>
      <c r="AF1" s="12"/>
      <c r="AH1" s="30"/>
      <c r="AI1" s="178"/>
      <c r="AJ1" s="496" t="s">
        <v>1862</v>
      </c>
      <c r="AK1" s="471"/>
      <c r="AL1" s="471"/>
      <c r="AM1" s="471"/>
      <c r="AN1" s="471"/>
      <c r="AO1" s="471"/>
      <c r="AP1" s="471"/>
      <c r="AQ1" s="471"/>
      <c r="AR1" s="471"/>
      <c r="AS1" s="471"/>
      <c r="AT1" s="471"/>
      <c r="AU1" s="471"/>
      <c r="AV1" s="471"/>
      <c r="AW1" s="471"/>
      <c r="AX1" s="21"/>
      <c r="AY1" s="21"/>
      <c r="AZ1" s="30"/>
      <c r="BA1" s="178"/>
      <c r="BB1" s="496" t="s">
        <v>1862</v>
      </c>
      <c r="BC1" s="496"/>
      <c r="BD1" s="496"/>
      <c r="BE1" s="496"/>
      <c r="BF1" s="496"/>
      <c r="BG1" s="496"/>
      <c r="BH1" s="496"/>
      <c r="BI1" s="496"/>
      <c r="BJ1" s="496"/>
      <c r="BK1" s="496"/>
      <c r="BL1" s="496"/>
      <c r="BM1" s="496"/>
      <c r="BN1" s="496"/>
      <c r="BO1" s="496"/>
      <c r="BR1" s="30"/>
      <c r="BS1" s="178"/>
      <c r="BT1" s="470" t="s">
        <v>2896</v>
      </c>
      <c r="BU1" s="471"/>
      <c r="BV1" s="471"/>
      <c r="BW1" s="471"/>
      <c r="BX1" s="471"/>
      <c r="BY1" s="471"/>
      <c r="BZ1" s="471"/>
      <c r="CA1" s="471"/>
      <c r="CB1" s="471"/>
      <c r="CC1" s="471"/>
      <c r="CD1" s="471"/>
      <c r="CE1" s="471"/>
      <c r="CF1" s="471"/>
      <c r="CI1" s="30"/>
      <c r="CJ1" s="178"/>
      <c r="CK1" s="470" t="s">
        <v>2912</v>
      </c>
      <c r="CL1" s="471"/>
      <c r="CM1" s="471"/>
      <c r="CN1" s="471"/>
      <c r="CO1" s="471"/>
      <c r="CP1" s="471"/>
      <c r="CQ1" s="471"/>
      <c r="CR1" s="471"/>
      <c r="CS1" s="471"/>
      <c r="CT1" s="471"/>
      <c r="CU1" s="471"/>
      <c r="CV1" s="471"/>
      <c r="CW1" s="471"/>
      <c r="CX1" s="21"/>
      <c r="CY1" s="21"/>
      <c r="CZ1" s="30"/>
      <c r="DA1" s="178"/>
      <c r="DB1" s="470" t="s">
        <v>2912</v>
      </c>
      <c r="DC1" s="471"/>
      <c r="DD1" s="471"/>
      <c r="DE1" s="471"/>
      <c r="DF1" s="471"/>
      <c r="DG1" s="471"/>
      <c r="DH1" s="471"/>
      <c r="DI1" s="471"/>
      <c r="DJ1" s="471"/>
      <c r="DK1" s="471"/>
      <c r="DL1" s="471"/>
      <c r="DM1" s="471"/>
      <c r="DN1" s="471"/>
      <c r="DO1" s="21"/>
      <c r="DP1" s="30"/>
      <c r="DQ1" s="178"/>
      <c r="DR1" s="470" t="s">
        <v>2912</v>
      </c>
      <c r="DS1" s="471"/>
      <c r="DT1" s="471"/>
      <c r="DU1" s="471"/>
      <c r="DV1" s="471"/>
      <c r="DW1" s="471"/>
      <c r="DX1" s="471"/>
      <c r="DY1" s="471"/>
      <c r="DZ1" s="471"/>
      <c r="EA1" s="471"/>
      <c r="EB1" s="471"/>
      <c r="EC1" s="471"/>
      <c r="ED1" s="471"/>
      <c r="EE1" s="30"/>
      <c r="EF1" s="178"/>
      <c r="EG1" s="470" t="s">
        <v>3197</v>
      </c>
      <c r="EH1" s="471"/>
      <c r="EI1" s="471"/>
      <c r="EJ1" s="471"/>
      <c r="EK1" s="471"/>
      <c r="EL1" s="471"/>
      <c r="EM1" s="471"/>
      <c r="EN1" s="471"/>
      <c r="EO1" s="471"/>
      <c r="EP1" s="471"/>
      <c r="EQ1" s="471"/>
      <c r="ER1" s="471"/>
      <c r="ES1" s="471"/>
      <c r="EV1" s="30"/>
      <c r="EW1" s="178"/>
      <c r="EX1" s="470" t="s">
        <v>3198</v>
      </c>
      <c r="EY1" s="471"/>
      <c r="EZ1" s="471"/>
      <c r="FA1" s="471"/>
      <c r="FB1" s="471"/>
      <c r="FC1" s="471"/>
      <c r="FD1" s="471"/>
      <c r="FE1" s="471"/>
      <c r="FF1" s="471"/>
      <c r="FG1" s="471"/>
      <c r="FH1" s="471"/>
      <c r="FI1" s="471"/>
      <c r="FJ1" s="471"/>
    </row>
    <row r="2" spans="1:166" ht="15" customHeight="1">
      <c r="A2" s="558"/>
      <c r="C2" s="560"/>
      <c r="D2" s="560"/>
      <c r="E2" s="560"/>
      <c r="F2" s="560"/>
      <c r="G2" s="560"/>
      <c r="H2" s="560"/>
      <c r="I2" s="560"/>
      <c r="J2" s="561"/>
      <c r="K2" s="561"/>
      <c r="L2" s="561"/>
      <c r="M2" s="561"/>
      <c r="N2" s="561"/>
      <c r="O2" s="561"/>
      <c r="Q2" s="30"/>
      <c r="R2" s="178"/>
      <c r="S2" s="473"/>
      <c r="T2" s="473"/>
      <c r="U2" s="473"/>
      <c r="V2" s="473"/>
      <c r="W2" s="473"/>
      <c r="X2" s="473"/>
      <c r="Y2" s="473"/>
      <c r="Z2" s="473"/>
      <c r="AA2" s="473"/>
      <c r="AB2" s="473"/>
      <c r="AC2" s="473"/>
      <c r="AE2" s="12"/>
      <c r="AF2" s="12"/>
      <c r="AH2" s="30"/>
      <c r="AI2" s="178"/>
      <c r="AJ2" s="473"/>
      <c r="AK2" s="473"/>
      <c r="AL2" s="473"/>
      <c r="AM2" s="473"/>
      <c r="AN2" s="473"/>
      <c r="AO2" s="473"/>
      <c r="AP2" s="473"/>
      <c r="AQ2" s="473"/>
      <c r="AR2" s="473"/>
      <c r="AS2" s="473"/>
      <c r="AT2" s="473"/>
      <c r="AU2" s="473"/>
      <c r="AV2" s="473"/>
      <c r="AW2" s="473"/>
      <c r="AX2" s="21"/>
      <c r="AY2" s="21"/>
      <c r="AZ2" s="30"/>
      <c r="BA2" s="178"/>
      <c r="BB2" s="560"/>
      <c r="BC2" s="560"/>
      <c r="BD2" s="560"/>
      <c r="BE2" s="560"/>
      <c r="BF2" s="560"/>
      <c r="BG2" s="560"/>
      <c r="BH2" s="560"/>
      <c r="BI2" s="560"/>
      <c r="BJ2" s="560"/>
      <c r="BK2" s="560"/>
      <c r="BL2" s="560"/>
      <c r="BM2" s="560"/>
      <c r="BN2" s="560"/>
      <c r="BO2" s="560"/>
      <c r="BR2" s="30"/>
      <c r="BS2" s="178"/>
      <c r="BT2" s="472"/>
      <c r="BU2" s="473"/>
      <c r="BV2" s="473"/>
      <c r="BW2" s="473"/>
      <c r="BX2" s="473"/>
      <c r="BY2" s="473"/>
      <c r="BZ2" s="473"/>
      <c r="CA2" s="473"/>
      <c r="CB2" s="473"/>
      <c r="CC2" s="473"/>
      <c r="CD2" s="473"/>
      <c r="CE2" s="473"/>
      <c r="CF2" s="473"/>
      <c r="CI2" s="30"/>
      <c r="CJ2" s="178"/>
      <c r="CK2" s="472"/>
      <c r="CL2" s="473"/>
      <c r="CM2" s="473"/>
      <c r="CN2" s="473"/>
      <c r="CO2" s="473"/>
      <c r="CP2" s="473"/>
      <c r="CQ2" s="473"/>
      <c r="CR2" s="473"/>
      <c r="CS2" s="473"/>
      <c r="CT2" s="473"/>
      <c r="CU2" s="473"/>
      <c r="CV2" s="473"/>
      <c r="CW2" s="473"/>
      <c r="CX2" s="21"/>
      <c r="CY2" s="21"/>
      <c r="CZ2" s="30"/>
      <c r="DA2" s="178"/>
      <c r="DB2" s="472"/>
      <c r="DC2" s="473"/>
      <c r="DD2" s="473"/>
      <c r="DE2" s="473"/>
      <c r="DF2" s="473"/>
      <c r="DG2" s="473"/>
      <c r="DH2" s="473"/>
      <c r="DI2" s="473"/>
      <c r="DJ2" s="473"/>
      <c r="DK2" s="473"/>
      <c r="DL2" s="473"/>
      <c r="DM2" s="473"/>
      <c r="DN2" s="473"/>
      <c r="DO2" s="21"/>
      <c r="DP2" s="30"/>
      <c r="DQ2" s="178"/>
      <c r="DR2" s="472"/>
      <c r="DS2" s="473"/>
      <c r="DT2" s="473"/>
      <c r="DU2" s="473"/>
      <c r="DV2" s="473"/>
      <c r="DW2" s="473"/>
      <c r="DX2" s="473"/>
      <c r="DY2" s="473"/>
      <c r="DZ2" s="473"/>
      <c r="EA2" s="473"/>
      <c r="EB2" s="473"/>
      <c r="EC2" s="473"/>
      <c r="ED2" s="473"/>
      <c r="EE2" s="30"/>
      <c r="EF2" s="178"/>
      <c r="EG2" s="472"/>
      <c r="EH2" s="473"/>
      <c r="EI2" s="473"/>
      <c r="EJ2" s="473"/>
      <c r="EK2" s="473"/>
      <c r="EL2" s="473"/>
      <c r="EM2" s="473"/>
      <c r="EN2" s="473"/>
      <c r="EO2" s="473"/>
      <c r="EP2" s="473"/>
      <c r="EQ2" s="473"/>
      <c r="ER2" s="473"/>
      <c r="ES2" s="473"/>
      <c r="EV2" s="30"/>
      <c r="EW2" s="178"/>
      <c r="EX2" s="472"/>
      <c r="EY2" s="473"/>
      <c r="EZ2" s="473"/>
      <c r="FA2" s="473"/>
      <c r="FB2" s="473"/>
      <c r="FC2" s="473"/>
      <c r="FD2" s="473"/>
      <c r="FE2" s="473"/>
      <c r="FF2" s="473"/>
      <c r="FG2" s="473"/>
      <c r="FH2" s="473"/>
      <c r="FI2" s="473"/>
      <c r="FJ2" s="473"/>
    </row>
    <row r="3" spans="1:166" ht="15" customHeight="1">
      <c r="A3" s="557"/>
      <c r="C3" s="485"/>
      <c r="D3" s="485"/>
      <c r="E3" s="485"/>
      <c r="F3" s="485"/>
      <c r="G3" s="485"/>
      <c r="H3" s="485"/>
      <c r="I3" s="485"/>
      <c r="J3" s="485"/>
      <c r="K3" s="485"/>
      <c r="L3" s="485"/>
      <c r="M3" s="485"/>
      <c r="N3" s="485"/>
      <c r="O3" s="485"/>
      <c r="Q3" s="30"/>
      <c r="R3" s="178"/>
      <c r="S3" s="485"/>
      <c r="T3" s="485"/>
      <c r="U3" s="485"/>
      <c r="V3" s="485"/>
      <c r="W3" s="485"/>
      <c r="X3" s="485"/>
      <c r="Y3" s="485"/>
      <c r="Z3" s="485"/>
      <c r="AA3" s="485"/>
      <c r="AB3" s="485"/>
      <c r="AC3" s="485"/>
      <c r="AE3" s="12"/>
      <c r="AF3" s="12"/>
      <c r="AH3" s="30"/>
      <c r="AI3" s="178"/>
      <c r="AJ3" s="485"/>
      <c r="AK3" s="485"/>
      <c r="AL3" s="485"/>
      <c r="AM3" s="485"/>
      <c r="AN3" s="485"/>
      <c r="AO3" s="485"/>
      <c r="AP3" s="485"/>
      <c r="AQ3" s="485"/>
      <c r="AR3" s="485"/>
      <c r="AS3" s="485"/>
      <c r="AT3" s="485"/>
      <c r="AU3" s="485"/>
      <c r="AV3" s="485"/>
      <c r="AW3" s="485"/>
      <c r="AX3"/>
      <c r="AY3"/>
      <c r="AZ3" s="30"/>
      <c r="BA3" s="178"/>
      <c r="BB3" s="560"/>
      <c r="BC3" s="560"/>
      <c r="BD3" s="560"/>
      <c r="BE3" s="560"/>
      <c r="BF3" s="560"/>
      <c r="BG3" s="560"/>
      <c r="BH3" s="560"/>
      <c r="BI3" s="560"/>
      <c r="BJ3" s="560"/>
      <c r="BK3" s="560"/>
      <c r="BL3" s="560"/>
      <c r="BM3" s="560"/>
      <c r="BN3" s="560"/>
      <c r="BO3" s="560"/>
      <c r="BR3" s="30"/>
      <c r="BS3" s="178"/>
      <c r="BT3" s="472"/>
      <c r="BU3" s="473"/>
      <c r="BV3" s="473"/>
      <c r="BW3" s="473"/>
      <c r="BX3" s="473"/>
      <c r="BY3" s="473"/>
      <c r="BZ3" s="473"/>
      <c r="CA3" s="473"/>
      <c r="CB3" s="473"/>
      <c r="CC3" s="473"/>
      <c r="CD3" s="473"/>
      <c r="CE3" s="473"/>
      <c r="CF3" s="473"/>
      <c r="CI3" s="30"/>
      <c r="CJ3" s="178"/>
      <c r="CK3" s="472"/>
      <c r="CL3" s="473"/>
      <c r="CM3" s="473"/>
      <c r="CN3" s="473"/>
      <c r="CO3" s="473"/>
      <c r="CP3" s="473"/>
      <c r="CQ3" s="473"/>
      <c r="CR3" s="473"/>
      <c r="CS3" s="473"/>
      <c r="CT3" s="473"/>
      <c r="CU3" s="473"/>
      <c r="CV3" s="473"/>
      <c r="CW3" s="473"/>
      <c r="CX3" s="21"/>
      <c r="CY3" s="21"/>
      <c r="CZ3" s="30"/>
      <c r="DA3" s="178"/>
      <c r="DB3" s="472"/>
      <c r="DC3" s="473"/>
      <c r="DD3" s="473"/>
      <c r="DE3" s="473"/>
      <c r="DF3" s="473"/>
      <c r="DG3" s="473"/>
      <c r="DH3" s="473"/>
      <c r="DI3" s="473"/>
      <c r="DJ3" s="473"/>
      <c r="DK3" s="473"/>
      <c r="DL3" s="473"/>
      <c r="DM3" s="473"/>
      <c r="DN3" s="473"/>
      <c r="DO3" s="21"/>
      <c r="DP3" s="30"/>
      <c r="DQ3" s="178"/>
      <c r="DR3" s="472"/>
      <c r="DS3" s="473"/>
      <c r="DT3" s="473"/>
      <c r="DU3" s="473"/>
      <c r="DV3" s="473"/>
      <c r="DW3" s="473"/>
      <c r="DX3" s="473"/>
      <c r="DY3" s="473"/>
      <c r="DZ3" s="473"/>
      <c r="EA3" s="473"/>
      <c r="EB3" s="473"/>
      <c r="EC3" s="473"/>
      <c r="ED3" s="473"/>
      <c r="EE3" s="30"/>
      <c r="EF3" s="178"/>
      <c r="EG3" s="472"/>
      <c r="EH3" s="473"/>
      <c r="EI3" s="473"/>
      <c r="EJ3" s="473"/>
      <c r="EK3" s="473"/>
      <c r="EL3" s="473"/>
      <c r="EM3" s="473"/>
      <c r="EN3" s="473"/>
      <c r="EO3" s="473"/>
      <c r="EP3" s="473"/>
      <c r="EQ3" s="473"/>
      <c r="ER3" s="473"/>
      <c r="ES3" s="473"/>
      <c r="EV3" s="30"/>
      <c r="EW3" s="178"/>
      <c r="EX3" s="472"/>
      <c r="EY3" s="473"/>
      <c r="EZ3" s="473"/>
      <c r="FA3" s="473"/>
      <c r="FB3" s="473"/>
      <c r="FC3" s="473"/>
      <c r="FD3" s="473"/>
      <c r="FE3" s="473"/>
      <c r="FF3" s="473"/>
      <c r="FG3" s="473"/>
      <c r="FH3" s="473"/>
      <c r="FI3" s="473"/>
      <c r="FJ3" s="473"/>
    </row>
    <row r="4" spans="1:166" ht="15" customHeight="1">
      <c r="A4" s="558"/>
      <c r="C4" s="562"/>
      <c r="D4" s="562"/>
      <c r="E4" s="562"/>
      <c r="F4" s="562"/>
      <c r="G4" s="562"/>
      <c r="H4" s="562"/>
      <c r="I4" s="562"/>
      <c r="J4" s="562"/>
      <c r="K4" s="562"/>
      <c r="L4" s="562"/>
      <c r="M4" s="562"/>
      <c r="N4" s="562"/>
      <c r="O4" s="562"/>
      <c r="Q4" s="30"/>
      <c r="R4" s="178"/>
      <c r="S4" s="485"/>
      <c r="T4" s="485"/>
      <c r="U4" s="485"/>
      <c r="V4" s="485"/>
      <c r="W4" s="485"/>
      <c r="X4" s="485"/>
      <c r="Y4" s="485"/>
      <c r="Z4" s="485"/>
      <c r="AA4" s="485"/>
      <c r="AB4" s="485"/>
      <c r="AC4" s="485"/>
      <c r="AE4" s="12"/>
      <c r="AF4" s="12"/>
      <c r="AH4" s="30"/>
      <c r="AI4" s="178"/>
      <c r="AJ4" s="485"/>
      <c r="AK4" s="485"/>
      <c r="AL4" s="485"/>
      <c r="AM4" s="485"/>
      <c r="AN4" s="485"/>
      <c r="AO4" s="485"/>
      <c r="AP4" s="485"/>
      <c r="AQ4" s="485"/>
      <c r="AR4" s="485"/>
      <c r="AS4" s="485"/>
      <c r="AT4" s="485"/>
      <c r="AU4" s="485"/>
      <c r="AV4" s="485"/>
      <c r="AW4" s="485"/>
      <c r="AX4"/>
      <c r="AY4"/>
      <c r="AZ4" s="30"/>
      <c r="BA4" s="178"/>
      <c r="BB4" s="560"/>
      <c r="BC4" s="560"/>
      <c r="BD4" s="560"/>
      <c r="BE4" s="560"/>
      <c r="BF4" s="560"/>
      <c r="BG4" s="560"/>
      <c r="BH4" s="560"/>
      <c r="BI4" s="560"/>
      <c r="BJ4" s="560"/>
      <c r="BK4" s="560"/>
      <c r="BL4" s="560"/>
      <c r="BM4" s="560"/>
      <c r="BN4" s="560"/>
      <c r="BO4" s="560"/>
      <c r="BR4" s="30"/>
      <c r="BS4" s="178"/>
      <c r="BT4" s="474"/>
      <c r="BU4" s="475"/>
      <c r="BV4" s="475"/>
      <c r="BW4" s="475"/>
      <c r="BX4" s="475"/>
      <c r="BY4" s="475"/>
      <c r="BZ4" s="475"/>
      <c r="CA4" s="475"/>
      <c r="CB4" s="475"/>
      <c r="CC4" s="475"/>
      <c r="CD4" s="475"/>
      <c r="CE4" s="475"/>
      <c r="CF4" s="475"/>
      <c r="CI4" s="30"/>
      <c r="CJ4" s="178"/>
      <c r="CK4" s="474"/>
      <c r="CL4" s="475"/>
      <c r="CM4" s="475"/>
      <c r="CN4" s="475"/>
      <c r="CO4" s="475"/>
      <c r="CP4" s="475"/>
      <c r="CQ4" s="475"/>
      <c r="CR4" s="475"/>
      <c r="CS4" s="475"/>
      <c r="CT4" s="475"/>
      <c r="CU4" s="475"/>
      <c r="CV4" s="475"/>
      <c r="CW4" s="475"/>
      <c r="CX4" s="21"/>
      <c r="CY4" s="21"/>
      <c r="CZ4" s="30"/>
      <c r="DA4" s="178"/>
      <c r="DB4" s="474"/>
      <c r="DC4" s="475"/>
      <c r="DD4" s="475"/>
      <c r="DE4" s="475"/>
      <c r="DF4" s="475"/>
      <c r="DG4" s="475"/>
      <c r="DH4" s="475"/>
      <c r="DI4" s="475"/>
      <c r="DJ4" s="475"/>
      <c r="DK4" s="475"/>
      <c r="DL4" s="475"/>
      <c r="DM4" s="475"/>
      <c r="DN4" s="475"/>
      <c r="DO4" s="21"/>
      <c r="DP4" s="30"/>
      <c r="DQ4" s="178"/>
      <c r="DR4" s="474"/>
      <c r="DS4" s="475"/>
      <c r="DT4" s="475"/>
      <c r="DU4" s="475"/>
      <c r="DV4" s="475"/>
      <c r="DW4" s="475"/>
      <c r="DX4" s="475"/>
      <c r="DY4" s="475"/>
      <c r="DZ4" s="475"/>
      <c r="EA4" s="475"/>
      <c r="EB4" s="475"/>
      <c r="EC4" s="475"/>
      <c r="ED4" s="475"/>
      <c r="EE4" s="30"/>
      <c r="EF4" s="178"/>
      <c r="EG4" s="474"/>
      <c r="EH4" s="475"/>
      <c r="EI4" s="475"/>
      <c r="EJ4" s="475"/>
      <c r="EK4" s="475"/>
      <c r="EL4" s="475"/>
      <c r="EM4" s="475"/>
      <c r="EN4" s="475"/>
      <c r="EO4" s="475"/>
      <c r="EP4" s="475"/>
      <c r="EQ4" s="475"/>
      <c r="ER4" s="475"/>
      <c r="ES4" s="475"/>
      <c r="EV4" s="30"/>
      <c r="EW4" s="178"/>
      <c r="EX4" s="474"/>
      <c r="EY4" s="475"/>
      <c r="EZ4" s="475"/>
      <c r="FA4" s="475"/>
      <c r="FB4" s="475"/>
      <c r="FC4" s="475"/>
      <c r="FD4" s="475"/>
      <c r="FE4" s="475"/>
      <c r="FF4" s="475"/>
      <c r="FG4" s="475"/>
      <c r="FH4" s="475"/>
      <c r="FI4" s="475"/>
      <c r="FJ4" s="475"/>
    </row>
    <row r="5" spans="1:166" ht="22.5" customHeight="1">
      <c r="A5" s="476" t="s">
        <v>764</v>
      </c>
      <c r="C5" s="568" t="s">
        <v>2889</v>
      </c>
      <c r="D5" s="493"/>
      <c r="E5" s="493"/>
      <c r="F5" s="493"/>
      <c r="G5" s="493"/>
      <c r="H5" s="493"/>
      <c r="I5" s="493"/>
      <c r="J5" s="493"/>
      <c r="K5" s="493"/>
      <c r="L5" s="493"/>
      <c r="M5" s="493"/>
      <c r="N5" s="493"/>
      <c r="O5" s="493"/>
      <c r="P5" s="61"/>
      <c r="Q5" s="476" t="s">
        <v>764</v>
      </c>
      <c r="R5" s="178"/>
      <c r="S5" s="570" t="s">
        <v>873</v>
      </c>
      <c r="T5" s="572" t="s">
        <v>878</v>
      </c>
      <c r="U5" s="572" t="s">
        <v>879</v>
      </c>
      <c r="V5" s="572" t="s">
        <v>2911</v>
      </c>
      <c r="W5" s="566" t="s">
        <v>2923</v>
      </c>
      <c r="X5" s="566" t="s">
        <v>880</v>
      </c>
      <c r="Y5" s="566" t="s">
        <v>2924</v>
      </c>
      <c r="Z5" s="566" t="s">
        <v>2925</v>
      </c>
      <c r="AA5" s="566" t="s">
        <v>55</v>
      </c>
      <c r="AB5" s="566" t="s">
        <v>76</v>
      </c>
      <c r="AC5" s="566" t="s">
        <v>396</v>
      </c>
      <c r="AD5" s="369"/>
      <c r="AE5" s="21"/>
      <c r="AF5" s="21"/>
      <c r="AH5" s="476" t="s">
        <v>764</v>
      </c>
      <c r="AI5" s="178"/>
      <c r="AJ5" s="492" t="s">
        <v>3936</v>
      </c>
      <c r="AK5" s="493"/>
      <c r="AL5" s="493"/>
      <c r="AM5" s="493"/>
      <c r="AN5" s="493"/>
      <c r="AO5" s="478"/>
      <c r="AP5" s="493"/>
      <c r="AQ5" s="493"/>
      <c r="AR5" s="493"/>
      <c r="AS5" s="493"/>
      <c r="AT5" s="493"/>
      <c r="AU5" s="493"/>
      <c r="AV5" s="493"/>
      <c r="AW5" s="493"/>
      <c r="AX5" s="445">
        <f ca="1">TODAY()</f>
        <v>46241</v>
      </c>
      <c r="AY5" s="399"/>
      <c r="AZ5" s="476" t="s">
        <v>764</v>
      </c>
      <c r="BA5" s="178"/>
      <c r="BB5" s="581" t="s">
        <v>746</v>
      </c>
      <c r="BC5" s="583" t="s">
        <v>1283</v>
      </c>
      <c r="BD5" s="581" t="s">
        <v>493</v>
      </c>
      <c r="BE5" s="583" t="s">
        <v>1284</v>
      </c>
      <c r="BF5" s="583" t="s">
        <v>1464</v>
      </c>
      <c r="BG5" s="400"/>
      <c r="BH5" s="583" t="s">
        <v>1285</v>
      </c>
      <c r="BI5" s="583" t="s">
        <v>1418</v>
      </c>
      <c r="BJ5" s="583" t="s">
        <v>1417</v>
      </c>
      <c r="BK5" s="583" t="s">
        <v>1424</v>
      </c>
      <c r="BL5" s="581" t="s">
        <v>881</v>
      </c>
      <c r="BM5" s="581" t="s">
        <v>882</v>
      </c>
      <c r="BN5" s="581" t="s">
        <v>396</v>
      </c>
      <c r="BO5" s="585" t="s">
        <v>1324</v>
      </c>
      <c r="BR5" s="476" t="s">
        <v>764</v>
      </c>
      <c r="BS5" s="178"/>
      <c r="BT5" s="492" t="s">
        <v>2909</v>
      </c>
      <c r="BU5" s="493"/>
      <c r="BV5" s="493"/>
      <c r="BW5" s="493"/>
      <c r="BX5" s="493"/>
      <c r="BY5" s="478"/>
      <c r="BZ5" s="478"/>
      <c r="CA5" s="493"/>
      <c r="CB5" s="493"/>
      <c r="CC5" s="493"/>
      <c r="CD5" s="493"/>
      <c r="CE5" s="493"/>
      <c r="CF5" s="493"/>
      <c r="CI5" s="476" t="s">
        <v>764</v>
      </c>
      <c r="CJ5" s="178"/>
      <c r="CK5" s="518" t="s">
        <v>3937</v>
      </c>
      <c r="CL5" s="519"/>
      <c r="CM5" s="519"/>
      <c r="CN5" s="519"/>
      <c r="CO5" s="519"/>
      <c r="CP5" s="519"/>
      <c r="CQ5" s="461"/>
      <c r="CR5" s="518" t="s">
        <v>3939</v>
      </c>
      <c r="CS5" s="519"/>
      <c r="CT5" s="519"/>
      <c r="CU5" s="519"/>
      <c r="CV5" s="519"/>
      <c r="CW5" s="519"/>
      <c r="CX5" s="399"/>
      <c r="CY5" s="399"/>
      <c r="CZ5" s="476" t="s">
        <v>764</v>
      </c>
      <c r="DA5" s="178"/>
      <c r="DB5" s="518" t="s">
        <v>3691</v>
      </c>
      <c r="DC5" s="519"/>
      <c r="DD5" s="519"/>
      <c r="DE5" s="519"/>
      <c r="DF5" s="519"/>
      <c r="DG5" s="519"/>
      <c r="DH5" s="401"/>
      <c r="DI5" s="518" t="s">
        <v>3693</v>
      </c>
      <c r="DJ5" s="519"/>
      <c r="DK5" s="519"/>
      <c r="DL5" s="519"/>
      <c r="DM5" s="519"/>
      <c r="DN5" s="519"/>
      <c r="DO5" s="399"/>
      <c r="DP5" s="476" t="s">
        <v>764</v>
      </c>
      <c r="DQ5" s="178"/>
      <c r="DR5" s="477"/>
      <c r="DS5" s="478"/>
      <c r="DT5" s="478"/>
      <c r="DU5" s="478"/>
      <c r="DV5" s="478"/>
      <c r="DW5" s="478"/>
      <c r="DX5" s="401"/>
      <c r="DY5" s="477"/>
      <c r="DZ5" s="478"/>
      <c r="EA5" s="478"/>
      <c r="EB5" s="478"/>
      <c r="EC5" s="478"/>
      <c r="ED5" s="478"/>
      <c r="EE5" s="476" t="s">
        <v>764</v>
      </c>
      <c r="EF5" s="178"/>
      <c r="EG5" s="477" t="s">
        <v>3110</v>
      </c>
      <c r="EH5" s="478"/>
      <c r="EI5" s="478"/>
      <c r="EJ5" s="478"/>
      <c r="EK5" s="478"/>
      <c r="EL5" s="478"/>
      <c r="EM5" s="401"/>
      <c r="EN5" s="477" t="s">
        <v>3112</v>
      </c>
      <c r="EO5" s="478"/>
      <c r="EP5" s="478"/>
      <c r="EQ5" s="478"/>
      <c r="ER5" s="478"/>
      <c r="ES5" s="478"/>
      <c r="EV5" s="476" t="s">
        <v>764</v>
      </c>
      <c r="EW5" s="178"/>
      <c r="EX5" s="477" t="s">
        <v>3199</v>
      </c>
      <c r="EY5" s="478"/>
      <c r="EZ5" s="478"/>
      <c r="FA5" s="478"/>
      <c r="FB5" s="478"/>
      <c r="FC5" s="478"/>
      <c r="FD5" s="598"/>
      <c r="FE5" s="598"/>
      <c r="FF5" s="598"/>
      <c r="FG5" s="598"/>
      <c r="FH5" s="598"/>
      <c r="FI5" s="598"/>
      <c r="FJ5" s="598"/>
    </row>
    <row r="6" spans="1:166" ht="22.5" customHeight="1">
      <c r="A6" s="476"/>
      <c r="C6" s="569"/>
      <c r="D6" s="569"/>
      <c r="E6" s="569"/>
      <c r="F6" s="569"/>
      <c r="G6" s="569"/>
      <c r="H6" s="569"/>
      <c r="I6" s="569"/>
      <c r="J6" s="569"/>
      <c r="K6" s="569"/>
      <c r="L6" s="569"/>
      <c r="M6" s="569"/>
      <c r="N6" s="569"/>
      <c r="O6" s="569"/>
      <c r="P6" s="61"/>
      <c r="Q6" s="476"/>
      <c r="R6" s="178"/>
      <c r="S6" s="571"/>
      <c r="T6" s="573"/>
      <c r="U6" s="574"/>
      <c r="V6" s="573"/>
      <c r="W6" s="567"/>
      <c r="X6" s="567"/>
      <c r="Y6" s="567"/>
      <c r="Z6" s="567"/>
      <c r="AA6" s="567"/>
      <c r="AB6" s="567"/>
      <c r="AC6" s="567"/>
      <c r="AD6" s="369"/>
      <c r="AE6" s="21"/>
      <c r="AF6" s="21"/>
      <c r="AH6" s="476"/>
      <c r="AI6" s="178"/>
      <c r="AJ6" s="494"/>
      <c r="AK6" s="480"/>
      <c r="AL6" s="480"/>
      <c r="AM6" s="480"/>
      <c r="AN6" s="480"/>
      <c r="AO6" s="480"/>
      <c r="AP6" s="480"/>
      <c r="AQ6" s="480"/>
      <c r="AR6" s="480"/>
      <c r="AS6" s="480"/>
      <c r="AT6" s="480"/>
      <c r="AU6" s="480"/>
      <c r="AV6" s="480"/>
      <c r="AW6" s="480"/>
      <c r="AX6" s="399"/>
      <c r="AY6" s="399"/>
      <c r="AZ6" s="476"/>
      <c r="BA6" s="178"/>
      <c r="BB6" s="582"/>
      <c r="BC6" s="584"/>
      <c r="BD6" s="582"/>
      <c r="BE6" s="584"/>
      <c r="BF6" s="584"/>
      <c r="BG6" s="400"/>
      <c r="BH6" s="584"/>
      <c r="BI6" s="584"/>
      <c r="BJ6" s="584"/>
      <c r="BK6" s="584"/>
      <c r="BL6" s="582"/>
      <c r="BM6" s="582"/>
      <c r="BN6" s="582"/>
      <c r="BO6" s="586"/>
      <c r="BR6" s="476"/>
      <c r="BS6" s="178"/>
      <c r="BT6" s="494"/>
      <c r="BU6" s="480"/>
      <c r="BV6" s="480"/>
      <c r="BW6" s="480"/>
      <c r="BX6" s="480"/>
      <c r="BY6" s="480"/>
      <c r="BZ6" s="480"/>
      <c r="CA6" s="480"/>
      <c r="CB6" s="480"/>
      <c r="CC6" s="480"/>
      <c r="CD6" s="480"/>
      <c r="CE6" s="480"/>
      <c r="CF6" s="480"/>
      <c r="CI6" s="476"/>
      <c r="CJ6" s="178"/>
      <c r="CK6" s="520"/>
      <c r="CL6" s="521"/>
      <c r="CM6" s="521"/>
      <c r="CN6" s="521"/>
      <c r="CO6" s="521"/>
      <c r="CP6" s="521"/>
      <c r="CQ6" s="461"/>
      <c r="CR6" s="520"/>
      <c r="CS6" s="521"/>
      <c r="CT6" s="521"/>
      <c r="CU6" s="521"/>
      <c r="CV6" s="521"/>
      <c r="CW6" s="521"/>
      <c r="CX6" s="399"/>
      <c r="CY6" s="399"/>
      <c r="CZ6" s="476"/>
      <c r="DA6" s="178"/>
      <c r="DB6" s="520"/>
      <c r="DC6" s="521"/>
      <c r="DD6" s="521"/>
      <c r="DE6" s="521"/>
      <c r="DF6" s="521"/>
      <c r="DG6" s="521"/>
      <c r="DH6" s="401"/>
      <c r="DI6" s="520"/>
      <c r="DJ6" s="521"/>
      <c r="DK6" s="521"/>
      <c r="DL6" s="521"/>
      <c r="DM6" s="521"/>
      <c r="DN6" s="521"/>
      <c r="DO6" s="399"/>
      <c r="DP6" s="476"/>
      <c r="DQ6" s="178"/>
      <c r="DR6" s="479"/>
      <c r="DS6" s="480"/>
      <c r="DT6" s="480"/>
      <c r="DU6" s="480"/>
      <c r="DV6" s="480"/>
      <c r="DW6" s="480"/>
      <c r="DX6" s="401"/>
      <c r="DY6" s="479"/>
      <c r="DZ6" s="480"/>
      <c r="EA6" s="480"/>
      <c r="EB6" s="480"/>
      <c r="EC6" s="480"/>
      <c r="ED6" s="480"/>
      <c r="EE6" s="476"/>
      <c r="EF6" s="178"/>
      <c r="EG6" s="479"/>
      <c r="EH6" s="480"/>
      <c r="EI6" s="480"/>
      <c r="EJ6" s="480"/>
      <c r="EK6" s="480"/>
      <c r="EL6" s="480"/>
      <c r="EM6" s="401"/>
      <c r="EN6" s="479"/>
      <c r="EO6" s="480"/>
      <c r="EP6" s="480"/>
      <c r="EQ6" s="480"/>
      <c r="ER6" s="480"/>
      <c r="ES6" s="480"/>
      <c r="EV6" s="476"/>
      <c r="EW6" s="178"/>
      <c r="EX6" s="479"/>
      <c r="EY6" s="480"/>
      <c r="EZ6" s="480"/>
      <c r="FA6" s="480"/>
      <c r="FB6" s="480"/>
      <c r="FC6" s="480"/>
      <c r="FD6" s="485"/>
      <c r="FE6" s="485"/>
      <c r="FF6" s="485"/>
      <c r="FG6" s="485"/>
      <c r="FH6" s="485"/>
      <c r="FI6" s="485"/>
      <c r="FJ6" s="485"/>
    </row>
    <row r="7" spans="1:166" ht="22.5" customHeight="1">
      <c r="A7" s="476"/>
      <c r="C7" s="563" t="s">
        <v>3947</v>
      </c>
      <c r="D7" s="564"/>
      <c r="E7" s="564"/>
      <c r="F7" s="564"/>
      <c r="G7" s="564"/>
      <c r="H7" s="564"/>
      <c r="I7" s="564"/>
      <c r="J7" s="564"/>
      <c r="K7" s="564"/>
      <c r="L7" s="564"/>
      <c r="M7" s="564"/>
      <c r="N7" s="564"/>
      <c r="O7" s="564"/>
      <c r="P7" s="62"/>
      <c r="Q7" s="476"/>
      <c r="R7" s="179"/>
      <c r="S7" s="547" t="s">
        <v>1186</v>
      </c>
      <c r="T7" s="386" t="e">
        <f ca="1">VLOOKUP($AD7,'市場監控 '!$E$7:$W$194,6,FALSE)</f>
        <v>#NAME?</v>
      </c>
      <c r="U7" s="386" t="e">
        <f ca="1">VLOOKUP($AD7,'市場監控 '!$E$7:$W$194,7,FALSE)</f>
        <v>#NAME?</v>
      </c>
      <c r="V7" s="387" t="str">
        <f ca="1">VLOOKUP($AD7,'市場監控 '!$E$7:$W$194,8,FALSE)</f>
        <v>-</v>
      </c>
      <c r="W7" s="388" t="str">
        <f ca="1">VLOOKUP($AD7,'市場監控 '!$E$7:$W$194,10,FALSE)</f>
        <v>-</v>
      </c>
      <c r="X7" s="389" t="str">
        <f ca="1">VLOOKUP($AD7,'市場監控 '!$E$7:$W$194,12,FALSE)</f>
        <v>-</v>
      </c>
      <c r="Y7" s="390" t="str">
        <f ca="1">VLOOKUP($AD7,'市場監控 '!$E$7:$W$194,14,FALSE)</f>
        <v>-</v>
      </c>
      <c r="Z7" s="390" t="str">
        <f ca="1">VLOOKUP($AD7,'市場監控 '!$E$7:$W$194,15,FALSE)</f>
        <v>-</v>
      </c>
      <c r="AA7" s="389" t="e">
        <f ca="1">VLOOKUP($AD7,'市場監控 '!$E$7:$W$194,17,FALSE)</f>
        <v>#NAME?</v>
      </c>
      <c r="AB7" s="389" t="e">
        <f ca="1">VLOOKUP($AD7,'市場監控 '!$E$7:$W$194,18,FALSE)</f>
        <v>#NAME?</v>
      </c>
      <c r="AC7" s="389" t="e">
        <f ca="1">VLOOKUP($AD7,'市場監控 '!$E$7:$W$194,19,FALSE)</f>
        <v>#NAME?</v>
      </c>
      <c r="AD7" s="185" t="s">
        <v>1211</v>
      </c>
      <c r="AE7" s="246" t="s">
        <v>1662</v>
      </c>
      <c r="AF7" s="21"/>
      <c r="AH7" s="476"/>
      <c r="AI7" s="179"/>
      <c r="AJ7" s="504" t="s">
        <v>3954</v>
      </c>
      <c r="AK7" s="505"/>
      <c r="AL7" s="505"/>
      <c r="AM7" s="505"/>
      <c r="AN7" s="505"/>
      <c r="AO7" s="505"/>
      <c r="AP7" s="505"/>
      <c r="AQ7" s="505"/>
      <c r="AR7" s="505"/>
      <c r="AS7" s="505"/>
      <c r="AT7" s="505"/>
      <c r="AU7" s="505"/>
      <c r="AV7" s="505"/>
      <c r="AW7" s="505"/>
      <c r="AX7" s="443"/>
      <c r="AY7" s="443"/>
      <c r="AZ7" s="476"/>
      <c r="BA7" s="179"/>
      <c r="BB7" s="404" t="e">
        <f ca="1">VLOOKUP($BD7,NI!$B$5:$AL$2030,6,FALSE)</f>
        <v>#NAME?</v>
      </c>
      <c r="BC7" s="404" t="e">
        <f ca="1">VLOOKUP($BD7,NI!$B$37:$AL$2030,2,FALSE)</f>
        <v>#NAME?</v>
      </c>
      <c r="BD7" s="405" t="e">
        <f ca="1">NI!$B65</f>
        <v>#NAME?</v>
      </c>
      <c r="BE7" s="404" t="e">
        <f ca="1">VLOOKUP($BD7,NI!$B$5:$AL$2030,11,FALSE)</f>
        <v>#NAME?</v>
      </c>
      <c r="BF7" s="406" t="e">
        <f ca="1">VLOOKUP($BD7,NI!$B$5:$AL$2030,12,FALSE)/1000000</f>
        <v>#NAME?</v>
      </c>
      <c r="BG7" s="406"/>
      <c r="BH7" s="406" t="str">
        <f ca="1">IF(ISNUMBER(VLOOKUP($BD7,NI!$B$5:$AL$2030,13,FALSE)),VLOOKUP($BD7,NI!$B$5:$AL$2030,13,FALSE),"-")</f>
        <v>-</v>
      </c>
      <c r="BI7" s="407" t="e">
        <f ca="1">VLOOKUP($BD7,NI!$B$5:$AL$2030,4,FALSE)</f>
        <v>#NAME?</v>
      </c>
      <c r="BJ7" s="406" t="e">
        <f ca="1">VLOOKUP($BD7,NI!$B$5:$AL$2030,3,FALSE)</f>
        <v>#NAME?</v>
      </c>
      <c r="BK7" s="408" t="e">
        <f ca="1">VLOOKUP($BD7,NI!$B$5:$AL$2030,4,FALSE)</f>
        <v>#NAME?</v>
      </c>
      <c r="BL7" s="408" t="e">
        <f ca="1">IF(LEFT(VLOOKUP($BD7,NI!$B$5:$AL$2030,31,FALSE),1)="#","-",VLOOKUP($BD7,NI!$B$5:$AL$2030,31,FALSE))</f>
        <v>#NAME?</v>
      </c>
      <c r="BM7" s="408" t="e">
        <f ca="1">IF(LEFT(VLOOKUP($BD7,NI!$B$5:$AL$2030,32,FALSE),1)="#","-",VLOOKUP($BD7,NI!$B$5:$AL$2030,32,FALSE))</f>
        <v>#NAME?</v>
      </c>
      <c r="BN7" s="408" t="e">
        <f ca="1">IF(LEFT(VLOOKUP($BD7,NI!$B$5:$AL$2030,33,FALSE),1)="#","-",VLOOKUP($BD7,NI!$B$5:$AL$2030,33,FALSE))</f>
        <v>#NAME?</v>
      </c>
      <c r="BO7" s="409" t="e">
        <f ca="1">VLOOKUP($BD7,NI!$B$5:$AL$2030,22,FALSE)</f>
        <v>#NAME?</v>
      </c>
      <c r="BR7" s="476"/>
      <c r="BS7" s="179"/>
      <c r="BT7" s="436" t="s">
        <v>746</v>
      </c>
      <c r="BU7" s="437" t="s">
        <v>1283</v>
      </c>
      <c r="BV7" s="436" t="s">
        <v>493</v>
      </c>
      <c r="BW7" s="438" t="s">
        <v>262</v>
      </c>
      <c r="BX7" s="440" t="s">
        <v>2901</v>
      </c>
      <c r="BY7" s="441"/>
      <c r="BZ7" s="442" t="s">
        <v>1417</v>
      </c>
      <c r="CA7" s="438" t="s">
        <v>2887</v>
      </c>
      <c r="CB7" s="438" t="s">
        <v>2888</v>
      </c>
      <c r="CC7" s="438" t="s">
        <v>2900</v>
      </c>
      <c r="CD7" s="436" t="s">
        <v>55</v>
      </c>
      <c r="CE7" s="436" t="s">
        <v>76</v>
      </c>
      <c r="CF7" s="436" t="s">
        <v>396</v>
      </c>
      <c r="CI7" s="476"/>
      <c r="CJ7" s="179"/>
      <c r="CK7" s="530" t="s">
        <v>3938</v>
      </c>
      <c r="CL7" s="527"/>
      <c r="CM7" s="527"/>
      <c r="CN7" s="528"/>
      <c r="CO7" s="528"/>
      <c r="CP7" s="528"/>
      <c r="CQ7" s="401"/>
      <c r="CR7" s="526" t="s">
        <v>3940</v>
      </c>
      <c r="CS7" s="527"/>
      <c r="CT7" s="527"/>
      <c r="CU7" s="528"/>
      <c r="CV7" s="528"/>
      <c r="CW7" s="528"/>
      <c r="CX7" s="451"/>
      <c r="CY7" s="451"/>
      <c r="CZ7" s="476"/>
      <c r="DA7" s="179"/>
      <c r="DB7" s="530" t="s">
        <v>3692</v>
      </c>
      <c r="DC7" s="527"/>
      <c r="DD7" s="527"/>
      <c r="DE7" s="528"/>
      <c r="DF7" s="528"/>
      <c r="DG7" s="528"/>
      <c r="DH7" s="401"/>
      <c r="DI7" s="526" t="s">
        <v>3694</v>
      </c>
      <c r="DJ7" s="527"/>
      <c r="DK7" s="527"/>
      <c r="DL7" s="528"/>
      <c r="DM7" s="528"/>
      <c r="DN7" s="528"/>
      <c r="DO7" s="451"/>
      <c r="DP7" s="476"/>
      <c r="DQ7" s="179"/>
      <c r="DR7" s="615"/>
      <c r="DS7" s="592"/>
      <c r="DT7" s="592"/>
      <c r="DU7" s="616"/>
      <c r="DV7" s="616"/>
      <c r="DW7" s="616"/>
      <c r="DX7" s="401"/>
      <c r="DY7" s="591"/>
      <c r="DZ7" s="592"/>
      <c r="EA7" s="592"/>
      <c r="EB7" s="616"/>
      <c r="EC7" s="616"/>
      <c r="ED7" s="616"/>
      <c r="EE7" s="476"/>
      <c r="EF7" s="179"/>
      <c r="EG7" s="591" t="s">
        <v>3152</v>
      </c>
      <c r="EH7" s="592"/>
      <c r="EI7" s="592"/>
      <c r="EJ7" s="593"/>
      <c r="EK7" s="593"/>
      <c r="EL7" s="593"/>
      <c r="EM7" s="401"/>
      <c r="EN7" s="486" t="s">
        <v>3113</v>
      </c>
      <c r="EO7" s="488" t="s">
        <v>3114</v>
      </c>
      <c r="EP7" s="490" t="s">
        <v>3115</v>
      </c>
      <c r="EQ7" s="488" t="s">
        <v>3116</v>
      </c>
      <c r="ER7" s="490" t="s">
        <v>3104</v>
      </c>
      <c r="ES7" s="487"/>
      <c r="EV7" s="476"/>
      <c r="EW7" s="179"/>
      <c r="EX7" s="486" t="s">
        <v>3202</v>
      </c>
      <c r="EY7" s="596"/>
      <c r="EZ7" s="488" t="s">
        <v>3203</v>
      </c>
      <c r="FA7" s="490" t="s">
        <v>3204</v>
      </c>
      <c r="FB7" s="510"/>
      <c r="FC7" s="510"/>
      <c r="FD7" s="599" t="s">
        <v>3205</v>
      </c>
      <c r="FE7" s="600"/>
      <c r="FF7" s="600"/>
      <c r="FG7" s="600"/>
      <c r="FH7" s="490" t="s">
        <v>3206</v>
      </c>
      <c r="FI7" s="596"/>
      <c r="FJ7" s="596"/>
    </row>
    <row r="8" spans="1:166" ht="22.5" customHeight="1">
      <c r="A8" s="476"/>
      <c r="C8" s="565"/>
      <c r="D8" s="565"/>
      <c r="E8" s="565"/>
      <c r="F8" s="565"/>
      <c r="G8" s="565"/>
      <c r="H8" s="565"/>
      <c r="I8" s="565"/>
      <c r="J8" s="565"/>
      <c r="K8" s="565"/>
      <c r="L8" s="565"/>
      <c r="M8" s="565"/>
      <c r="N8" s="565"/>
      <c r="O8" s="565"/>
      <c r="P8" s="63"/>
      <c r="Q8" s="476"/>
      <c r="R8" s="179"/>
      <c r="S8" s="543"/>
      <c r="T8" s="386" t="e">
        <f ca="1">VLOOKUP($AD8,'市場監控 '!$E$7:$W$194,6,FALSE)</f>
        <v>#NAME?</v>
      </c>
      <c r="U8" s="386" t="e">
        <f ca="1">VLOOKUP($AD8,'市場監控 '!$E$7:$W$194,7,FALSE)</f>
        <v>#NAME?</v>
      </c>
      <c r="V8" s="387" t="str">
        <f ca="1">VLOOKUP($AD8,'市場監控 '!$E$7:$W$194,8,FALSE)</f>
        <v>-</v>
      </c>
      <c r="W8" s="388" t="str">
        <f ca="1">VLOOKUP($AD8,'市場監控 '!$E$7:$W$194,10,FALSE)</f>
        <v>-</v>
      </c>
      <c r="X8" s="389" t="str">
        <f ca="1">VLOOKUP($AD8,'市場監控 '!$E$7:$W$194,12,FALSE)</f>
        <v>-</v>
      </c>
      <c r="Y8" s="390" t="str">
        <f ca="1">VLOOKUP($AD8,'市場監控 '!$E$7:$W$194,14,FALSE)</f>
        <v>-</v>
      </c>
      <c r="Z8" s="390" t="str">
        <f ca="1">VLOOKUP($AD8,'市場監控 '!$E$7:$W$194,15,FALSE)</f>
        <v>-</v>
      </c>
      <c r="AA8" s="389" t="e">
        <f ca="1">VLOOKUP($AD8,'市場監控 '!$E$7:$W$194,17,FALSE)</f>
        <v>#NAME?</v>
      </c>
      <c r="AB8" s="389" t="e">
        <f ca="1">VLOOKUP($AD8,'市場監控 '!$E$7:$W$194,18,FALSE)</f>
        <v>#NAME?</v>
      </c>
      <c r="AC8" s="389" t="e">
        <f ca="1">VLOOKUP($AD8,'市場監控 '!$E$7:$W$194,19,FALSE)</f>
        <v>#NAME?</v>
      </c>
      <c r="AD8" s="185" t="s">
        <v>1212</v>
      </c>
      <c r="AE8" s="246" t="s">
        <v>1664</v>
      </c>
      <c r="AF8" s="21"/>
      <c r="AH8" s="476"/>
      <c r="AI8" s="179"/>
      <c r="AJ8" s="505"/>
      <c r="AK8" s="505"/>
      <c r="AL8" s="505"/>
      <c r="AM8" s="505"/>
      <c r="AN8" s="505"/>
      <c r="AO8" s="505"/>
      <c r="AP8" s="505"/>
      <c r="AQ8" s="505"/>
      <c r="AR8" s="505"/>
      <c r="AS8" s="505"/>
      <c r="AT8" s="505"/>
      <c r="AU8" s="505"/>
      <c r="AV8" s="505"/>
      <c r="AW8" s="505"/>
      <c r="AX8" s="443"/>
      <c r="AY8" s="443"/>
      <c r="AZ8" s="476"/>
      <c r="BA8" s="179"/>
      <c r="BB8" s="404" t="e">
        <f ca="1">VLOOKUP($BD8,NI!$B$5:$AL$2030,6,FALSE)</f>
        <v>#NAME?</v>
      </c>
      <c r="BC8" s="404" t="e">
        <f ca="1">VLOOKUP($BD8,NI!$B$37:$AL$2030,2,FALSE)</f>
        <v>#NAME?</v>
      </c>
      <c r="BD8" s="405" t="e">
        <f ca="1">NI!$B66</f>
        <v>#NAME?</v>
      </c>
      <c r="BE8" s="404" t="e">
        <f ca="1">VLOOKUP($BD8,NI!$B$5:$AL$2030,11,FALSE)</f>
        <v>#NAME?</v>
      </c>
      <c r="BF8" s="406" t="e">
        <f ca="1">VLOOKUP($BD8,NI!$B$5:$AL$2030,12,FALSE)/1000000</f>
        <v>#NAME?</v>
      </c>
      <c r="BG8" s="406"/>
      <c r="BH8" s="406" t="str">
        <f ca="1">IF(ISNUMBER(VLOOKUP($BD8,NI!$B$5:$AL$2030,13,FALSE)),VLOOKUP($BD8,NI!$B$5:$AL$2030,13,FALSE),"-")</f>
        <v>-</v>
      </c>
      <c r="BI8" s="407" t="e">
        <f ca="1">VLOOKUP($BD8,NI!$B$5:$AL$2030,4,FALSE)</f>
        <v>#NAME?</v>
      </c>
      <c r="BJ8" s="406" t="e">
        <f ca="1">VLOOKUP($BD8,NI!$B$5:$AL$2030,3,FALSE)</f>
        <v>#NAME?</v>
      </c>
      <c r="BK8" s="408" t="e">
        <f ca="1">VLOOKUP($BD8,NI!$B$5:$AL$2030,4,FALSE)</f>
        <v>#NAME?</v>
      </c>
      <c r="BL8" s="408" t="e">
        <f ca="1">IF(LEFT(VLOOKUP($BD8,NI!$B$5:$AL$2030,31,FALSE),1)="#","-",VLOOKUP($BD8,NI!$B$5:$AL$2030,31,FALSE))</f>
        <v>#NAME?</v>
      </c>
      <c r="BM8" s="408" t="e">
        <f ca="1">IF(LEFT(VLOOKUP($BD8,NI!$B$5:$AL$2030,32,FALSE),1)="#","-",VLOOKUP($BD8,NI!$B$5:$AL$2030,32,FALSE))</f>
        <v>#NAME?</v>
      </c>
      <c r="BN8" s="408" t="e">
        <f ca="1">IF(LEFT(VLOOKUP($BD8,NI!$B$5:$AL$2030,33,FALSE),1)="#","-",VLOOKUP($BD8,NI!$B$5:$AL$2030,33,FALSE))</f>
        <v>#NAME?</v>
      </c>
      <c r="BO8" s="409" t="e">
        <f ca="1">VLOOKUP($BD8,NI!$B$5:$AL$2030,22,FALSE)</f>
        <v>#NAME?</v>
      </c>
      <c r="BR8" s="476"/>
      <c r="BS8" s="179"/>
      <c r="BT8" s="381" t="e">
        <f ca="1">VLOOKUP($BV8,TACT!$A$3:$AH$100,2,FALSE)</f>
        <v>#NAME?</v>
      </c>
      <c r="BU8" s="381" t="e">
        <f ca="1">VLOOKUP($BV8,TACT!$A$3:$AH$100,3,FALSE)</f>
        <v>#NAME?</v>
      </c>
      <c r="BV8" s="381" t="e">
        <f ca="1">TACT!$A3</f>
        <v>#NAME?</v>
      </c>
      <c r="BW8" s="381" t="e">
        <f ca="1">VLOOKUP($BV8,TACT!$A$3:$AH$100,11,FALSE)</f>
        <v>#NAME?</v>
      </c>
      <c r="BX8" s="396" t="e">
        <f ca="1">VLOOKUP($BV8,TACT!$A$3:$AH$100,5,FALSE)</f>
        <v>#NAME?</v>
      </c>
      <c r="BY8" s="397"/>
      <c r="BZ8" s="381" t="e">
        <f ca="1">VLOOKUP($BV8,TACT!$A$3:$AH$100,4,FALSE)</f>
        <v>#NAME?</v>
      </c>
      <c r="CA8" s="396" t="e">
        <f ca="1">VLOOKUP($BV8,TACT!$A$3:$AH$100,21,FALSE)</f>
        <v>#NAME?</v>
      </c>
      <c r="CB8" s="397" t="e">
        <f ca="1">VLOOKUP($BV8,TACT!$A$3:$AH$100,32,FALSE)</f>
        <v>#NAME?</v>
      </c>
      <c r="CC8" s="398" t="e">
        <f ca="1">VLOOKUP($BV8,TACT!$A$3:$AH$100,33,FALSE)</f>
        <v>#NAME?</v>
      </c>
      <c r="CD8" s="381" t="e">
        <f ca="1">IF(LEFT(VLOOKUP($BV8,TACT!$A$3:$AH$100,6,FALSE),1)="#","-",VLOOKUP($BV8,TACT!$A$3:$AH$100,6,FALSE))</f>
        <v>#NAME?</v>
      </c>
      <c r="CE8" s="381" t="e">
        <f ca="1">IF(LEFT(VLOOKUP($BV8,TACT!$A$3:$AH$100,7,FALSE),1)="#","-",VLOOKUP($BV8,TACT!$A$3:$AH$100,7,FALSE))</f>
        <v>#NAME?</v>
      </c>
      <c r="CF8" s="381" t="e">
        <f ca="1">IF(LEFT(VLOOKUP($BV8,TACT!$A$3:$AH$100,8,FALSE),1)="#","-",VLOOKUP($BV8,TACT!$A$3:$AH$100,8,FALSE))</f>
        <v>#NAME?</v>
      </c>
      <c r="CI8" s="476"/>
      <c r="CJ8" s="179"/>
      <c r="CK8" s="531"/>
      <c r="CL8" s="527"/>
      <c r="CM8" s="527"/>
      <c r="CN8" s="528"/>
      <c r="CO8" s="528"/>
      <c r="CP8" s="528"/>
      <c r="CQ8" s="401"/>
      <c r="CR8" s="527"/>
      <c r="CS8" s="527"/>
      <c r="CT8" s="527"/>
      <c r="CU8" s="528"/>
      <c r="CV8" s="528"/>
      <c r="CW8" s="528"/>
      <c r="CX8" s="451"/>
      <c r="CY8" s="451"/>
      <c r="CZ8" s="476"/>
      <c r="DA8" s="179"/>
      <c r="DB8" s="531"/>
      <c r="DC8" s="527"/>
      <c r="DD8" s="527"/>
      <c r="DE8" s="528"/>
      <c r="DF8" s="528"/>
      <c r="DG8" s="528"/>
      <c r="DH8" s="401"/>
      <c r="DI8" s="527"/>
      <c r="DJ8" s="527"/>
      <c r="DK8" s="527"/>
      <c r="DL8" s="528"/>
      <c r="DM8" s="528"/>
      <c r="DN8" s="528"/>
      <c r="DO8" s="451"/>
      <c r="DP8" s="476"/>
      <c r="DQ8" s="179"/>
      <c r="DR8" s="617"/>
      <c r="DS8" s="592"/>
      <c r="DT8" s="592"/>
      <c r="DU8" s="616"/>
      <c r="DV8" s="616"/>
      <c r="DW8" s="616"/>
      <c r="DX8" s="401"/>
      <c r="DY8" s="592"/>
      <c r="DZ8" s="592"/>
      <c r="EA8" s="592"/>
      <c r="EB8" s="616"/>
      <c r="EC8" s="616"/>
      <c r="ED8" s="616"/>
      <c r="EE8" s="476"/>
      <c r="EF8" s="179"/>
      <c r="EG8" s="592"/>
      <c r="EH8" s="592"/>
      <c r="EI8" s="592"/>
      <c r="EJ8" s="593"/>
      <c r="EK8" s="593"/>
      <c r="EL8" s="593"/>
      <c r="EM8" s="401"/>
      <c r="EN8" s="487"/>
      <c r="EO8" s="489"/>
      <c r="EP8" s="487"/>
      <c r="EQ8" s="489"/>
      <c r="ER8" s="487"/>
      <c r="ES8" s="487"/>
      <c r="EV8" s="476"/>
      <c r="EW8" s="179"/>
      <c r="EX8" s="596"/>
      <c r="EY8" s="596"/>
      <c r="EZ8" s="597"/>
      <c r="FA8" s="510"/>
      <c r="FB8" s="510"/>
      <c r="FC8" s="510"/>
      <c r="FD8" s="600"/>
      <c r="FE8" s="600"/>
      <c r="FF8" s="600"/>
      <c r="FG8" s="600"/>
      <c r="FH8" s="596"/>
      <c r="FI8" s="596"/>
      <c r="FJ8" s="596"/>
    </row>
    <row r="9" spans="1:166" ht="22.5" customHeight="1">
      <c r="A9" s="476"/>
      <c r="C9" s="565"/>
      <c r="D9" s="565"/>
      <c r="E9" s="565"/>
      <c r="F9" s="565"/>
      <c r="G9" s="565"/>
      <c r="H9" s="565"/>
      <c r="I9" s="565"/>
      <c r="J9" s="565"/>
      <c r="K9" s="565"/>
      <c r="L9" s="565"/>
      <c r="M9" s="565"/>
      <c r="N9" s="565"/>
      <c r="O9" s="565"/>
      <c r="P9" s="64"/>
      <c r="Q9" s="476"/>
      <c r="R9" s="179"/>
      <c r="S9" s="543"/>
      <c r="T9" s="386" t="e">
        <f ca="1">VLOOKUP($AD9,'市場監控 '!$E$7:$W$194,6,FALSE)</f>
        <v>#NAME?</v>
      </c>
      <c r="U9" s="386" t="e">
        <f ca="1">VLOOKUP($AD9,'市場監控 '!$E$7:$W$194,7,FALSE)</f>
        <v>#NAME?</v>
      </c>
      <c r="V9" s="387" t="str">
        <f ca="1">VLOOKUP($AD9,'市場監控 '!$E$7:$W$194,8,FALSE)</f>
        <v>-</v>
      </c>
      <c r="W9" s="388" t="str">
        <f ca="1">VLOOKUP($AD9,'市場監控 '!$E$7:$W$194,10,FALSE)</f>
        <v>-</v>
      </c>
      <c r="X9" s="389" t="str">
        <f ca="1">VLOOKUP($AD9,'市場監控 '!$E$7:$W$194,12,FALSE)</f>
        <v>-</v>
      </c>
      <c r="Y9" s="390" t="str">
        <f ca="1">VLOOKUP($AD9,'市場監控 '!$E$7:$W$194,14,FALSE)</f>
        <v>-</v>
      </c>
      <c r="Z9" s="390" t="str">
        <f ca="1">VLOOKUP($AD9,'市場監控 '!$E$7:$W$194,15,FALSE)</f>
        <v>-</v>
      </c>
      <c r="AA9" s="389" t="e">
        <f ca="1">VLOOKUP($AD9,'市場監控 '!$E$7:$W$194,17,FALSE)</f>
        <v>#NAME?</v>
      </c>
      <c r="AB9" s="389" t="e">
        <f ca="1">VLOOKUP($AD9,'市場監控 '!$E$7:$W$194,18,FALSE)</f>
        <v>#NAME?</v>
      </c>
      <c r="AC9" s="389" t="e">
        <f ca="1">VLOOKUP($AD9,'市場監控 '!$E$7:$W$194,19,FALSE)</f>
        <v>#NAME?</v>
      </c>
      <c r="AD9" s="185" t="s">
        <v>1213</v>
      </c>
      <c r="AE9" s="246" t="s">
        <v>1666</v>
      </c>
      <c r="AF9" s="225"/>
      <c r="AG9" s="225"/>
      <c r="AH9" s="476"/>
      <c r="AI9" s="179"/>
      <c r="AJ9" s="505"/>
      <c r="AK9" s="505"/>
      <c r="AL9" s="505"/>
      <c r="AM9" s="505"/>
      <c r="AN9" s="505"/>
      <c r="AO9" s="505"/>
      <c r="AP9" s="505"/>
      <c r="AQ9" s="505"/>
      <c r="AR9" s="505"/>
      <c r="AS9" s="505"/>
      <c r="AT9" s="505"/>
      <c r="AU9" s="505"/>
      <c r="AV9" s="505"/>
      <c r="AW9" s="505"/>
      <c r="AX9" s="443"/>
      <c r="AY9" s="443"/>
      <c r="AZ9" s="476"/>
      <c r="BA9" s="179"/>
      <c r="BB9" s="404" t="e">
        <f ca="1">VLOOKUP($BD9,NI!$B$5:$AL$2030,6,FALSE)</f>
        <v>#NAME?</v>
      </c>
      <c r="BC9" s="404" t="e">
        <f ca="1">VLOOKUP($BD9,NI!$B$37:$AL$2030,2,FALSE)</f>
        <v>#NAME?</v>
      </c>
      <c r="BD9" s="405" t="e">
        <f ca="1">NI!$B67</f>
        <v>#NAME?</v>
      </c>
      <c r="BE9" s="404" t="e">
        <f ca="1">VLOOKUP($BD9,NI!$B$5:$AL$2030,11,FALSE)</f>
        <v>#NAME?</v>
      </c>
      <c r="BF9" s="406" t="e">
        <f ca="1">VLOOKUP($BD9,NI!$B$5:$AL$2030,12,FALSE)/1000000</f>
        <v>#NAME?</v>
      </c>
      <c r="BG9" s="406"/>
      <c r="BH9" s="406" t="str">
        <f ca="1">IF(ISNUMBER(VLOOKUP($BD9,NI!$B$5:$AL$2030,13,FALSE)),VLOOKUP($BD9,NI!$B$5:$AL$2030,13,FALSE),"-")</f>
        <v>-</v>
      </c>
      <c r="BI9" s="407" t="e">
        <f ca="1">VLOOKUP($BD9,NI!$B$5:$AL$2030,4,FALSE)</f>
        <v>#NAME?</v>
      </c>
      <c r="BJ9" s="406" t="e">
        <f ca="1">VLOOKUP($BD9,NI!$B$5:$AL$2030,3,FALSE)</f>
        <v>#NAME?</v>
      </c>
      <c r="BK9" s="408" t="e">
        <f ca="1">VLOOKUP($BD9,NI!$B$5:$AL$2030,4,FALSE)</f>
        <v>#NAME?</v>
      </c>
      <c r="BL9" s="408" t="e">
        <f ca="1">IF(LEFT(VLOOKUP($BD9,NI!$B$5:$AL$2030,31,FALSE),1)="#","-",VLOOKUP($BD9,NI!$B$5:$AL$2030,31,FALSE))</f>
        <v>#NAME?</v>
      </c>
      <c r="BM9" s="408" t="e">
        <f ca="1">IF(LEFT(VLOOKUP($BD9,NI!$B$5:$AL$2030,32,FALSE),1)="#","-",VLOOKUP($BD9,NI!$B$5:$AL$2030,32,FALSE))</f>
        <v>#NAME?</v>
      </c>
      <c r="BN9" s="408" t="e">
        <f ca="1">IF(LEFT(VLOOKUP($BD9,NI!$B$5:$AL$2030,33,FALSE),1)="#","-",VLOOKUP($BD9,NI!$B$5:$AL$2030,33,FALSE))</f>
        <v>#NAME?</v>
      </c>
      <c r="BO9" s="409" t="e">
        <f ca="1">VLOOKUP($BD9,NI!$B$5:$AL$2030,22,FALSE)</f>
        <v>#NAME?</v>
      </c>
      <c r="BR9" s="476"/>
      <c r="BS9" s="179"/>
      <c r="BT9" s="381" t="e">
        <f ca="1">VLOOKUP($BV9,TACT!$A$3:$AH$100,2,FALSE)</f>
        <v>#NAME?</v>
      </c>
      <c r="BU9" s="381" t="e">
        <f ca="1">VLOOKUP($BV9,TACT!$A$3:$AH$100,3,FALSE)</f>
        <v>#NAME?</v>
      </c>
      <c r="BV9" s="381" t="e">
        <f ca="1">TACT!$A4</f>
        <v>#NAME?</v>
      </c>
      <c r="BW9" s="381" t="e">
        <f ca="1">VLOOKUP($BV9,TACT!$A$3:$AH$100,11,FALSE)</f>
        <v>#NAME?</v>
      </c>
      <c r="BX9" s="396" t="e">
        <f ca="1">VLOOKUP($BV9,TACT!$A$3:$AH$100,5,FALSE)</f>
        <v>#NAME?</v>
      </c>
      <c r="BY9" s="397"/>
      <c r="BZ9" s="381" t="e">
        <f ca="1">VLOOKUP($BV9,TACT!$A$3:$AH$100,4,FALSE)</f>
        <v>#NAME?</v>
      </c>
      <c r="CA9" s="396" t="e">
        <f ca="1">VLOOKUP($BV9,TACT!$A$3:$AH$100,21,FALSE)</f>
        <v>#NAME?</v>
      </c>
      <c r="CB9" s="397" t="e">
        <f ca="1">VLOOKUP($BV9,TACT!$A$3:$AH$100,32,FALSE)</f>
        <v>#NAME?</v>
      </c>
      <c r="CC9" s="398" t="e">
        <f ca="1">VLOOKUP($BV9,TACT!$A$3:$AH$100,33,FALSE)</f>
        <v>#NAME?</v>
      </c>
      <c r="CD9" s="381" t="e">
        <f ca="1">IF(LEFT(VLOOKUP($BV9,TACT!$A$3:$AH$100,6,FALSE),1)="#","-",VLOOKUP($BV9,TACT!$A$3:$AH$100,6,FALSE))</f>
        <v>#NAME?</v>
      </c>
      <c r="CE9" s="381" t="e">
        <f ca="1">IF(LEFT(VLOOKUP($BV9,TACT!$A$3:$AH$100,7,FALSE),1)="#","-",VLOOKUP($BV9,TACT!$A$3:$AH$100,7,FALSE))</f>
        <v>#NAME?</v>
      </c>
      <c r="CF9" s="381" t="e">
        <f ca="1">IF(LEFT(VLOOKUP($BV9,TACT!$A$3:$AH$100,8,FALSE),1)="#","-",VLOOKUP($BV9,TACT!$A$3:$AH$100,8,FALSE))</f>
        <v>#NAME?</v>
      </c>
      <c r="CI9" s="476"/>
      <c r="CJ9" s="179"/>
      <c r="CK9" s="531"/>
      <c r="CL9" s="527"/>
      <c r="CM9" s="527"/>
      <c r="CN9" s="528"/>
      <c r="CO9" s="528"/>
      <c r="CP9" s="528"/>
      <c r="CQ9" s="401"/>
      <c r="CR9" s="527"/>
      <c r="CS9" s="527"/>
      <c r="CT9" s="527"/>
      <c r="CU9" s="528"/>
      <c r="CV9" s="528"/>
      <c r="CW9" s="528"/>
      <c r="CX9" s="451"/>
      <c r="CY9" s="451"/>
      <c r="CZ9" s="476"/>
      <c r="DA9" s="179"/>
      <c r="DB9" s="531"/>
      <c r="DC9" s="527"/>
      <c r="DD9" s="527"/>
      <c r="DE9" s="528"/>
      <c r="DF9" s="528"/>
      <c r="DG9" s="528"/>
      <c r="DH9" s="401"/>
      <c r="DI9" s="527"/>
      <c r="DJ9" s="527"/>
      <c r="DK9" s="527"/>
      <c r="DL9" s="528"/>
      <c r="DM9" s="528"/>
      <c r="DN9" s="528"/>
      <c r="DO9" s="451"/>
      <c r="DP9" s="476"/>
      <c r="DQ9" s="179"/>
      <c r="DR9" s="617"/>
      <c r="DS9" s="592"/>
      <c r="DT9" s="592"/>
      <c r="DU9" s="616"/>
      <c r="DV9" s="616"/>
      <c r="DW9" s="616"/>
      <c r="DX9" s="401"/>
      <c r="DY9" s="592"/>
      <c r="DZ9" s="592"/>
      <c r="EA9" s="592"/>
      <c r="EB9" s="616"/>
      <c r="EC9" s="616"/>
      <c r="ED9" s="616"/>
      <c r="EE9" s="476"/>
      <c r="EF9" s="179"/>
      <c r="EG9" s="592"/>
      <c r="EH9" s="592"/>
      <c r="EI9" s="592"/>
      <c r="EJ9" s="593"/>
      <c r="EK9" s="593"/>
      <c r="EL9" s="593"/>
      <c r="EM9" s="401"/>
      <c r="EN9" s="483" t="s">
        <v>3117</v>
      </c>
      <c r="EO9" s="483">
        <v>60</v>
      </c>
      <c r="EP9" s="483">
        <v>90</v>
      </c>
      <c r="EQ9" s="483">
        <v>60</v>
      </c>
      <c r="ER9" s="483" t="s">
        <v>3123</v>
      </c>
      <c r="ES9" s="482"/>
      <c r="EV9" s="476"/>
      <c r="EW9" s="179"/>
      <c r="EX9" s="481" t="s">
        <v>3207</v>
      </c>
      <c r="EY9" s="604"/>
      <c r="EZ9" s="481" t="s">
        <v>3208</v>
      </c>
      <c r="FA9" s="609" t="s">
        <v>3259</v>
      </c>
      <c r="FB9" s="610"/>
      <c r="FC9" s="610"/>
      <c r="FD9" s="611" t="s">
        <v>3209</v>
      </c>
      <c r="FE9" s="612"/>
      <c r="FF9" s="612"/>
      <c r="FG9" s="612"/>
      <c r="FH9" s="613" t="s">
        <v>3210</v>
      </c>
      <c r="FI9" s="613"/>
      <c r="FJ9" s="613"/>
    </row>
    <row r="10" spans="1:166" ht="22.5" customHeight="1">
      <c r="A10" s="476"/>
      <c r="C10" s="565"/>
      <c r="D10" s="565"/>
      <c r="E10" s="565"/>
      <c r="F10" s="565"/>
      <c r="G10" s="565"/>
      <c r="H10" s="565"/>
      <c r="I10" s="565"/>
      <c r="J10" s="565"/>
      <c r="K10" s="565"/>
      <c r="L10" s="565"/>
      <c r="M10" s="565"/>
      <c r="N10" s="565"/>
      <c r="O10" s="565"/>
      <c r="P10" s="64"/>
      <c r="Q10" s="476"/>
      <c r="R10" s="179"/>
      <c r="S10" s="543"/>
      <c r="T10" s="386" t="e">
        <f ca="1">VLOOKUP($AD10,'市場監控 '!$E$7:$W$194,6,FALSE)</f>
        <v>#NAME?</v>
      </c>
      <c r="U10" s="386" t="e">
        <f ca="1">VLOOKUP($AD10,'市場監控 '!$E$7:$W$194,7,FALSE)</f>
        <v>#NAME?</v>
      </c>
      <c r="V10" s="387" t="str">
        <f ca="1">VLOOKUP($AD10,'市場監控 '!$E$7:$W$194,8,FALSE)</f>
        <v>-</v>
      </c>
      <c r="W10" s="388" t="str">
        <f ca="1">VLOOKUP($AD10,'市場監控 '!$E$7:$W$194,10,FALSE)</f>
        <v>-</v>
      </c>
      <c r="X10" s="389" t="str">
        <f ca="1">VLOOKUP($AD10,'市場監控 '!$E$7:$W$194,12,FALSE)</f>
        <v>-</v>
      </c>
      <c r="Y10" s="390" t="str">
        <f ca="1">VLOOKUP($AD10,'市場監控 '!$E$7:$W$194,14,FALSE)</f>
        <v>-</v>
      </c>
      <c r="Z10" s="390" t="str">
        <f ca="1">VLOOKUP($AD10,'市場監控 '!$E$7:$W$194,15,FALSE)</f>
        <v>-</v>
      </c>
      <c r="AA10" s="389" t="e">
        <f ca="1">VLOOKUP($AD10,'市場監控 '!$E$7:$W$194,17,FALSE)</f>
        <v>#NAME?</v>
      </c>
      <c r="AB10" s="389" t="e">
        <f ca="1">VLOOKUP($AD10,'市場監控 '!$E$7:$W$194,18,FALSE)</f>
        <v>#NAME?</v>
      </c>
      <c r="AC10" s="389" t="e">
        <f ca="1">VLOOKUP($AD10,'市場監控 '!$E$7:$W$194,19,FALSE)</f>
        <v>#NAME?</v>
      </c>
      <c r="AD10" s="185" t="s">
        <v>1214</v>
      </c>
      <c r="AE10" s="246" t="s">
        <v>1668</v>
      </c>
      <c r="AF10" s="225"/>
      <c r="AG10" s="225"/>
      <c r="AH10" s="476"/>
      <c r="AI10" s="179"/>
      <c r="AJ10" s="505"/>
      <c r="AK10" s="505"/>
      <c r="AL10" s="505"/>
      <c r="AM10" s="505"/>
      <c r="AN10" s="505"/>
      <c r="AO10" s="505"/>
      <c r="AP10" s="505"/>
      <c r="AQ10" s="505"/>
      <c r="AR10" s="505"/>
      <c r="AS10" s="505"/>
      <c r="AT10" s="505"/>
      <c r="AU10" s="505"/>
      <c r="AV10" s="505"/>
      <c r="AW10" s="505"/>
      <c r="AX10" s="443"/>
      <c r="AY10" s="443"/>
      <c r="AZ10" s="476"/>
      <c r="BA10" s="179"/>
      <c r="BB10" s="404" t="e">
        <f ca="1">VLOOKUP($BD10,NI!$B$5:$AL$2030,6,FALSE)</f>
        <v>#NAME?</v>
      </c>
      <c r="BC10" s="404" t="e">
        <f ca="1">VLOOKUP($BD10,NI!$B$37:$AL$2030,2,FALSE)</f>
        <v>#NAME?</v>
      </c>
      <c r="BD10" s="405" t="e">
        <f ca="1">NI!$B68</f>
        <v>#NAME?</v>
      </c>
      <c r="BE10" s="404" t="e">
        <f ca="1">VLOOKUP($BD10,NI!$B$5:$AL$2030,11,FALSE)</f>
        <v>#NAME?</v>
      </c>
      <c r="BF10" s="406" t="e">
        <f ca="1">VLOOKUP($BD10,NI!$B$5:$AL$2030,12,FALSE)/1000000</f>
        <v>#NAME?</v>
      </c>
      <c r="BG10" s="406"/>
      <c r="BH10" s="406" t="str">
        <f ca="1">IF(ISNUMBER(VLOOKUP($BD10,NI!$B$5:$AL$2030,13,FALSE)),VLOOKUP($BD10,NI!$B$5:$AL$2030,13,FALSE),"-")</f>
        <v>-</v>
      </c>
      <c r="BI10" s="407" t="e">
        <f ca="1">VLOOKUP($BD10,NI!$B$5:$AL$2030,4,FALSE)</f>
        <v>#NAME?</v>
      </c>
      <c r="BJ10" s="406" t="e">
        <f ca="1">VLOOKUP($BD10,NI!$B$5:$AL$2030,3,FALSE)</f>
        <v>#NAME?</v>
      </c>
      <c r="BK10" s="408" t="e">
        <f ca="1">VLOOKUP($BD10,NI!$B$5:$AL$2030,4,FALSE)</f>
        <v>#NAME?</v>
      </c>
      <c r="BL10" s="408" t="e">
        <f ca="1">IF(LEFT(VLOOKUP($BD10,NI!$B$5:$AL$2030,31,FALSE),1)="#","-",VLOOKUP($BD10,NI!$B$5:$AL$2030,31,FALSE))</f>
        <v>#NAME?</v>
      </c>
      <c r="BM10" s="408" t="e">
        <f ca="1">IF(LEFT(VLOOKUP($BD10,NI!$B$5:$AL$2030,32,FALSE),1)="#","-",VLOOKUP($BD10,NI!$B$5:$AL$2030,32,FALSE))</f>
        <v>#NAME?</v>
      </c>
      <c r="BN10" s="408" t="e">
        <f ca="1">IF(LEFT(VLOOKUP($BD10,NI!$B$5:$AL$2030,33,FALSE),1)="#","-",VLOOKUP($BD10,NI!$B$5:$AL$2030,33,FALSE))</f>
        <v>#NAME?</v>
      </c>
      <c r="BO10" s="409" t="e">
        <f ca="1">VLOOKUP($BD10,NI!$B$5:$AL$2030,22,FALSE)</f>
        <v>#NAME?</v>
      </c>
      <c r="BR10" s="476"/>
      <c r="BS10" s="179"/>
      <c r="BT10" s="381" t="e">
        <f ca="1">VLOOKUP($BV10,TACT!$A$3:$AH$100,2,FALSE)</f>
        <v>#NAME?</v>
      </c>
      <c r="BU10" s="381" t="e">
        <f ca="1">VLOOKUP($BV10,TACT!$A$3:$AH$100,3,FALSE)</f>
        <v>#NAME?</v>
      </c>
      <c r="BV10" s="381" t="e">
        <f ca="1">TACT!$A5</f>
        <v>#NAME?</v>
      </c>
      <c r="BW10" s="381" t="e">
        <f ca="1">VLOOKUP($BV10,TACT!$A$3:$AH$100,11,FALSE)</f>
        <v>#NAME?</v>
      </c>
      <c r="BX10" s="396" t="e">
        <f ca="1">VLOOKUP($BV10,TACT!$A$3:$AH$100,5,FALSE)</f>
        <v>#NAME?</v>
      </c>
      <c r="BY10" s="397"/>
      <c r="BZ10" s="381" t="e">
        <f ca="1">VLOOKUP($BV10,TACT!$A$3:$AH$100,4,FALSE)</f>
        <v>#NAME?</v>
      </c>
      <c r="CA10" s="396" t="e">
        <f ca="1">VLOOKUP($BV10,TACT!$A$3:$AH$100,21,FALSE)</f>
        <v>#NAME?</v>
      </c>
      <c r="CB10" s="397" t="e">
        <f ca="1">VLOOKUP($BV10,TACT!$A$3:$AH$100,32,FALSE)</f>
        <v>#NAME?</v>
      </c>
      <c r="CC10" s="398" t="e">
        <f ca="1">VLOOKUP($BV10,TACT!$A$3:$AH$100,33,FALSE)</f>
        <v>#NAME?</v>
      </c>
      <c r="CD10" s="381" t="e">
        <f ca="1">IF(LEFT(VLOOKUP($BV10,TACT!$A$3:$AH$100,6,FALSE),1)="#","-",VLOOKUP($BV10,TACT!$A$3:$AH$100,6,FALSE))</f>
        <v>#NAME?</v>
      </c>
      <c r="CE10" s="381" t="e">
        <f ca="1">IF(LEFT(VLOOKUP($BV10,TACT!$A$3:$AH$100,7,FALSE),1)="#","-",VLOOKUP($BV10,TACT!$A$3:$AH$100,7,FALSE))</f>
        <v>#NAME?</v>
      </c>
      <c r="CF10" s="381" t="e">
        <f ca="1">IF(LEFT(VLOOKUP($BV10,TACT!$A$3:$AH$100,8,FALSE),1)="#","-",VLOOKUP($BV10,TACT!$A$3:$AH$100,8,FALSE))</f>
        <v>#NAME?</v>
      </c>
      <c r="CI10" s="476"/>
      <c r="CJ10" s="179"/>
      <c r="CK10" s="531"/>
      <c r="CL10" s="527"/>
      <c r="CM10" s="527"/>
      <c r="CN10" s="528"/>
      <c r="CO10" s="528"/>
      <c r="CP10" s="528"/>
      <c r="CQ10" s="401"/>
      <c r="CR10" s="527"/>
      <c r="CS10" s="527"/>
      <c r="CT10" s="527"/>
      <c r="CU10" s="528"/>
      <c r="CV10" s="528"/>
      <c r="CW10" s="528"/>
      <c r="CX10" s="451"/>
      <c r="CY10" s="451"/>
      <c r="CZ10" s="476"/>
      <c r="DA10" s="179"/>
      <c r="DB10" s="531"/>
      <c r="DC10" s="527"/>
      <c r="DD10" s="527"/>
      <c r="DE10" s="528"/>
      <c r="DF10" s="528"/>
      <c r="DG10" s="528"/>
      <c r="DH10" s="401"/>
      <c r="DI10" s="527"/>
      <c r="DJ10" s="527"/>
      <c r="DK10" s="527"/>
      <c r="DL10" s="528"/>
      <c r="DM10" s="528"/>
      <c r="DN10" s="528"/>
      <c r="DO10" s="451"/>
      <c r="DP10" s="476"/>
      <c r="DQ10" s="179"/>
      <c r="DR10" s="617"/>
      <c r="DS10" s="592"/>
      <c r="DT10" s="592"/>
      <c r="DU10" s="616"/>
      <c r="DV10" s="616"/>
      <c r="DW10" s="616"/>
      <c r="DX10" s="401"/>
      <c r="DY10" s="592"/>
      <c r="DZ10" s="592"/>
      <c r="EA10" s="592"/>
      <c r="EB10" s="616"/>
      <c r="EC10" s="616"/>
      <c r="ED10" s="616"/>
      <c r="EE10" s="476"/>
      <c r="EF10" s="179"/>
      <c r="EG10" s="592"/>
      <c r="EH10" s="592"/>
      <c r="EI10" s="592"/>
      <c r="EJ10" s="593"/>
      <c r="EK10" s="593"/>
      <c r="EL10" s="593"/>
      <c r="EM10" s="401"/>
      <c r="EN10" s="484"/>
      <c r="EO10" s="484"/>
      <c r="EP10" s="484"/>
      <c r="EQ10" s="484"/>
      <c r="ER10" s="484"/>
      <c r="ES10" s="482"/>
      <c r="EV10" s="476"/>
      <c r="EW10" s="179"/>
      <c r="EX10" s="604"/>
      <c r="EY10" s="604"/>
      <c r="EZ10" s="604"/>
      <c r="FA10" s="610"/>
      <c r="FB10" s="610"/>
      <c r="FC10" s="610"/>
      <c r="FD10" s="612"/>
      <c r="FE10" s="612"/>
      <c r="FF10" s="612"/>
      <c r="FG10" s="612"/>
      <c r="FH10" s="613"/>
      <c r="FI10" s="613"/>
      <c r="FJ10" s="613"/>
    </row>
    <row r="11" spans="1:166" ht="22.5" customHeight="1">
      <c r="A11" s="476"/>
      <c r="C11" s="565"/>
      <c r="D11" s="565"/>
      <c r="E11" s="565"/>
      <c r="F11" s="565"/>
      <c r="G11" s="565"/>
      <c r="H11" s="565"/>
      <c r="I11" s="565"/>
      <c r="J11" s="565"/>
      <c r="K11" s="565"/>
      <c r="L11" s="565"/>
      <c r="M11" s="565"/>
      <c r="N11" s="565"/>
      <c r="O11" s="565"/>
      <c r="P11" s="64"/>
      <c r="Q11" s="476"/>
      <c r="R11" s="179"/>
      <c r="S11" s="543"/>
      <c r="T11" s="386" t="e">
        <f ca="1">VLOOKUP($AD11,'市場監控 '!$E$7:$W$194,6,FALSE)</f>
        <v>#NAME?</v>
      </c>
      <c r="U11" s="386" t="e">
        <f ca="1">VLOOKUP($AD11,'市場監控 '!$E$7:$W$194,7,FALSE)</f>
        <v>#NAME?</v>
      </c>
      <c r="V11" s="387" t="str">
        <f ca="1">VLOOKUP($AD11,'市場監控 '!$E$7:$W$194,8,FALSE)</f>
        <v>-</v>
      </c>
      <c r="W11" s="388" t="str">
        <f ca="1">VLOOKUP($AD11,'市場監控 '!$E$7:$W$194,10,FALSE)</f>
        <v>-</v>
      </c>
      <c r="X11" s="389" t="str">
        <f ca="1">VLOOKUP($AD11,'市場監控 '!$E$7:$W$194,12,FALSE)</f>
        <v>-</v>
      </c>
      <c r="Y11" s="390" t="str">
        <f ca="1">VLOOKUP($AD11,'市場監控 '!$E$7:$W$194,14,FALSE)</f>
        <v>-</v>
      </c>
      <c r="Z11" s="390" t="str">
        <f ca="1">VLOOKUP($AD11,'市場監控 '!$E$7:$W$194,15,FALSE)</f>
        <v>-</v>
      </c>
      <c r="AA11" s="389" t="e">
        <f ca="1">VLOOKUP($AD11,'市場監控 '!$E$7:$W$194,17,FALSE)</f>
        <v>#NAME?</v>
      </c>
      <c r="AB11" s="389" t="e">
        <f ca="1">VLOOKUP($AD11,'市場監控 '!$E$7:$W$194,18,FALSE)</f>
        <v>#NAME?</v>
      </c>
      <c r="AC11" s="389" t="e">
        <f ca="1">VLOOKUP($AD11,'市場監控 '!$E$7:$W$194,19,FALSE)</f>
        <v>#NAME?</v>
      </c>
      <c r="AD11" s="185" t="s">
        <v>1059</v>
      </c>
      <c r="AE11" s="246" t="s">
        <v>1670</v>
      </c>
      <c r="AF11" s="225"/>
      <c r="AG11" s="225"/>
      <c r="AH11" s="476"/>
      <c r="AI11" s="179"/>
      <c r="AJ11" s="505"/>
      <c r="AK11" s="505"/>
      <c r="AL11" s="505"/>
      <c r="AM11" s="505"/>
      <c r="AN11" s="505"/>
      <c r="AO11" s="505"/>
      <c r="AP11" s="505"/>
      <c r="AQ11" s="505"/>
      <c r="AR11" s="505"/>
      <c r="AS11" s="505"/>
      <c r="AT11" s="505"/>
      <c r="AU11" s="505"/>
      <c r="AV11" s="505"/>
      <c r="AW11" s="505"/>
      <c r="AX11" s="443"/>
      <c r="AY11" s="443"/>
      <c r="AZ11" s="476"/>
      <c r="BA11" s="179"/>
      <c r="BB11" s="404" t="e">
        <f ca="1">VLOOKUP($BD11,NI!$B$5:$AL$2030,6,FALSE)</f>
        <v>#NAME?</v>
      </c>
      <c r="BC11" s="404" t="e">
        <f ca="1">VLOOKUP($BD11,NI!$B$37:$AL$2030,2,FALSE)</f>
        <v>#NAME?</v>
      </c>
      <c r="BD11" s="405" t="e">
        <f ca="1">NI!$B69</f>
        <v>#NAME?</v>
      </c>
      <c r="BE11" s="404" t="e">
        <f ca="1">VLOOKUP($BD11,NI!$B$5:$AL$2030,11,FALSE)</f>
        <v>#NAME?</v>
      </c>
      <c r="BF11" s="406" t="e">
        <f ca="1">VLOOKUP($BD11,NI!$B$5:$AL$2030,12,FALSE)/1000000</f>
        <v>#NAME?</v>
      </c>
      <c r="BG11" s="406"/>
      <c r="BH11" s="406" t="str">
        <f ca="1">IF(ISNUMBER(VLOOKUP($BD11,NI!$B$5:$AL$2030,13,FALSE)),VLOOKUP($BD11,NI!$B$5:$AL$2030,13,FALSE),"-")</f>
        <v>-</v>
      </c>
      <c r="BI11" s="407" t="e">
        <f ca="1">VLOOKUP($BD11,NI!$B$5:$AL$2030,4,FALSE)</f>
        <v>#NAME?</v>
      </c>
      <c r="BJ11" s="406" t="e">
        <f ca="1">VLOOKUP($BD11,NI!$B$5:$AL$2030,3,FALSE)</f>
        <v>#NAME?</v>
      </c>
      <c r="BK11" s="408" t="e">
        <f ca="1">VLOOKUP($BD11,NI!$B$5:$AL$2030,4,FALSE)</f>
        <v>#NAME?</v>
      </c>
      <c r="BL11" s="408" t="e">
        <f ca="1">IF(LEFT(VLOOKUP($BD11,NI!$B$5:$AL$2030,31,FALSE),1)="#","-",VLOOKUP($BD11,NI!$B$5:$AL$2030,31,FALSE))</f>
        <v>#NAME?</v>
      </c>
      <c r="BM11" s="408" t="e">
        <f ca="1">IF(LEFT(VLOOKUP($BD11,NI!$B$5:$AL$2030,32,FALSE),1)="#","-",VLOOKUP($BD11,NI!$B$5:$AL$2030,32,FALSE))</f>
        <v>#NAME?</v>
      </c>
      <c r="BN11" s="408" t="e">
        <f ca="1">IF(LEFT(VLOOKUP($BD11,NI!$B$5:$AL$2030,33,FALSE),1)="#","-",VLOOKUP($BD11,NI!$B$5:$AL$2030,33,FALSE))</f>
        <v>#NAME?</v>
      </c>
      <c r="BO11" s="409" t="e">
        <f ca="1">VLOOKUP($BD11,NI!$B$5:$AL$2030,22,FALSE)</f>
        <v>#NAME?</v>
      </c>
      <c r="BR11" s="476"/>
      <c r="BS11" s="179"/>
      <c r="BT11" s="381" t="e">
        <f ca="1">VLOOKUP($BV11,TACT!$A$3:$AH$100,2,FALSE)</f>
        <v>#NAME?</v>
      </c>
      <c r="BU11" s="381" t="e">
        <f ca="1">VLOOKUP($BV11,TACT!$A$3:$AH$100,3,FALSE)</f>
        <v>#NAME?</v>
      </c>
      <c r="BV11" s="381" t="e">
        <f ca="1">TACT!$A6</f>
        <v>#NAME?</v>
      </c>
      <c r="BW11" s="381" t="e">
        <f ca="1">VLOOKUP($BV11,TACT!$A$3:$AH$100,11,FALSE)</f>
        <v>#NAME?</v>
      </c>
      <c r="BX11" s="396" t="e">
        <f ca="1">VLOOKUP($BV11,TACT!$A$3:$AH$100,5,FALSE)</f>
        <v>#NAME?</v>
      </c>
      <c r="BY11" s="397"/>
      <c r="BZ11" s="381" t="e">
        <f ca="1">VLOOKUP($BV11,TACT!$A$3:$AH$100,4,FALSE)</f>
        <v>#NAME?</v>
      </c>
      <c r="CA11" s="396" t="e">
        <f ca="1">VLOOKUP($BV11,TACT!$A$3:$AH$100,21,FALSE)</f>
        <v>#NAME?</v>
      </c>
      <c r="CB11" s="397" t="e">
        <f ca="1">VLOOKUP($BV11,TACT!$A$3:$AH$100,32,FALSE)</f>
        <v>#NAME?</v>
      </c>
      <c r="CC11" s="398" t="e">
        <f ca="1">VLOOKUP($BV11,TACT!$A$3:$AH$100,33,FALSE)</f>
        <v>#NAME?</v>
      </c>
      <c r="CD11" s="381" t="e">
        <f ca="1">IF(LEFT(VLOOKUP($BV11,TACT!$A$3:$AH$100,6,FALSE),1)="#","-",VLOOKUP($BV11,TACT!$A$3:$AH$100,6,FALSE))</f>
        <v>#NAME?</v>
      </c>
      <c r="CE11" s="381" t="e">
        <f ca="1">IF(LEFT(VLOOKUP($BV11,TACT!$A$3:$AH$100,7,FALSE),1)="#","-",VLOOKUP($BV11,TACT!$A$3:$AH$100,7,FALSE))</f>
        <v>#NAME?</v>
      </c>
      <c r="CF11" s="381" t="e">
        <f ca="1">IF(LEFT(VLOOKUP($BV11,TACT!$A$3:$AH$100,8,FALSE),1)="#","-",VLOOKUP($BV11,TACT!$A$3:$AH$100,8,FALSE))</f>
        <v>#NAME?</v>
      </c>
      <c r="CI11" s="476"/>
      <c r="CJ11" s="179"/>
      <c r="CK11" s="531"/>
      <c r="CL11" s="527"/>
      <c r="CM11" s="527"/>
      <c r="CN11" s="528"/>
      <c r="CO11" s="528"/>
      <c r="CP11" s="528"/>
      <c r="CQ11" s="401"/>
      <c r="CR11" s="527"/>
      <c r="CS11" s="527"/>
      <c r="CT11" s="527"/>
      <c r="CU11" s="528"/>
      <c r="CV11" s="528"/>
      <c r="CW11" s="528"/>
      <c r="CX11" s="451"/>
      <c r="CY11" s="451"/>
      <c r="CZ11" s="476"/>
      <c r="DA11" s="179"/>
      <c r="DB11" s="531"/>
      <c r="DC11" s="527"/>
      <c r="DD11" s="527"/>
      <c r="DE11" s="528"/>
      <c r="DF11" s="528"/>
      <c r="DG11" s="528"/>
      <c r="DH11" s="401"/>
      <c r="DI11" s="527"/>
      <c r="DJ11" s="527"/>
      <c r="DK11" s="527"/>
      <c r="DL11" s="528"/>
      <c r="DM11" s="528"/>
      <c r="DN11" s="528"/>
      <c r="DO11" s="451"/>
      <c r="DP11" s="476"/>
      <c r="DQ11" s="179"/>
      <c r="DR11" s="617"/>
      <c r="DS11" s="592"/>
      <c r="DT11" s="592"/>
      <c r="DU11" s="616"/>
      <c r="DV11" s="616"/>
      <c r="DW11" s="616"/>
      <c r="DX11" s="401"/>
      <c r="DY11" s="592"/>
      <c r="DZ11" s="592"/>
      <c r="EA11" s="592"/>
      <c r="EB11" s="616"/>
      <c r="EC11" s="616"/>
      <c r="ED11" s="616"/>
      <c r="EE11" s="476"/>
      <c r="EF11" s="179"/>
      <c r="EG11" s="592"/>
      <c r="EH11" s="592"/>
      <c r="EI11" s="592"/>
      <c r="EJ11" s="593"/>
      <c r="EK11" s="593"/>
      <c r="EL11" s="593"/>
      <c r="EM11" s="401"/>
      <c r="EN11" s="485"/>
      <c r="EO11" s="485"/>
      <c r="EP11" s="485"/>
      <c r="EQ11" s="485"/>
      <c r="ER11" s="485"/>
      <c r="ES11" s="485"/>
      <c r="EV11" s="476"/>
      <c r="EW11" s="179"/>
      <c r="EX11" s="604"/>
      <c r="EY11" s="604"/>
      <c r="EZ11" s="604"/>
      <c r="FA11" s="610"/>
      <c r="FB11" s="610"/>
      <c r="FC11" s="610"/>
      <c r="FD11" s="612"/>
      <c r="FE11" s="612"/>
      <c r="FF11" s="612"/>
      <c r="FG11" s="612"/>
      <c r="FH11" s="613"/>
      <c r="FI11" s="613"/>
      <c r="FJ11" s="613"/>
    </row>
    <row r="12" spans="1:166" ht="22.5" customHeight="1">
      <c r="A12" s="476"/>
      <c r="C12" s="565"/>
      <c r="D12" s="565"/>
      <c r="E12" s="565"/>
      <c r="F12" s="565"/>
      <c r="G12" s="565"/>
      <c r="H12" s="565"/>
      <c r="I12" s="565"/>
      <c r="J12" s="565"/>
      <c r="K12" s="565"/>
      <c r="L12" s="565"/>
      <c r="M12" s="565"/>
      <c r="N12" s="565"/>
      <c r="O12" s="565"/>
      <c r="P12" s="64"/>
      <c r="Q12" s="476"/>
      <c r="R12" s="179"/>
      <c r="S12" s="543"/>
      <c r="T12" s="386" t="e">
        <f ca="1">VLOOKUP($AD12,'市場監控 '!$E$7:$W$194,6,FALSE)</f>
        <v>#NAME?</v>
      </c>
      <c r="U12" s="386" t="e">
        <f ca="1">VLOOKUP($AD12,'市場監控 '!$E$7:$W$194,7,FALSE)</f>
        <v>#NAME?</v>
      </c>
      <c r="V12" s="387" t="str">
        <f ca="1">VLOOKUP($AD12,'市場監控 '!$E$7:$W$194,8,FALSE)</f>
        <v>-</v>
      </c>
      <c r="W12" s="388" t="str">
        <f ca="1">VLOOKUP($AD12,'市場監控 '!$E$7:$W$194,10,FALSE)</f>
        <v>-</v>
      </c>
      <c r="X12" s="389" t="str">
        <f ca="1">VLOOKUP($AD12,'市場監控 '!$E$7:$W$194,12,FALSE)</f>
        <v>-</v>
      </c>
      <c r="Y12" s="390" t="str">
        <f ca="1">VLOOKUP($AD12,'市場監控 '!$E$7:$W$194,14,FALSE)</f>
        <v>-</v>
      </c>
      <c r="Z12" s="390" t="str">
        <f ca="1">VLOOKUP($AD12,'市場監控 '!$E$7:$W$194,15,FALSE)</f>
        <v>-</v>
      </c>
      <c r="AA12" s="389" t="e">
        <f ca="1">VLOOKUP($AD12,'市場監控 '!$E$7:$W$194,17,FALSE)</f>
        <v>#NAME?</v>
      </c>
      <c r="AB12" s="389" t="e">
        <f ca="1">VLOOKUP($AD12,'市場監控 '!$E$7:$W$194,18,FALSE)</f>
        <v>#NAME?</v>
      </c>
      <c r="AC12" s="389" t="e">
        <f ca="1">VLOOKUP($AD12,'市場監控 '!$E$7:$W$194,19,FALSE)</f>
        <v>#NAME?</v>
      </c>
      <c r="AD12" s="185" t="s">
        <v>1066</v>
      </c>
      <c r="AE12" s="246" t="s">
        <v>1672</v>
      </c>
      <c r="AF12" s="225"/>
      <c r="AG12" s="225"/>
      <c r="AH12" s="476"/>
      <c r="AI12" s="179"/>
      <c r="AJ12" s="505"/>
      <c r="AK12" s="505"/>
      <c r="AL12" s="505"/>
      <c r="AM12" s="505"/>
      <c r="AN12" s="505"/>
      <c r="AO12" s="505"/>
      <c r="AP12" s="505"/>
      <c r="AQ12" s="505"/>
      <c r="AR12" s="505"/>
      <c r="AS12" s="505"/>
      <c r="AT12" s="505"/>
      <c r="AU12" s="505"/>
      <c r="AV12" s="505"/>
      <c r="AW12" s="505"/>
      <c r="AX12" s="443"/>
      <c r="AY12" s="443"/>
      <c r="AZ12" s="476"/>
      <c r="BA12" s="179"/>
      <c r="BB12" s="404" t="e">
        <f ca="1">VLOOKUP($BD12,NI!$B$5:$AL$2030,6,FALSE)</f>
        <v>#NAME?</v>
      </c>
      <c r="BC12" s="404" t="e">
        <f ca="1">VLOOKUP($BD12,NI!$B$37:$AL$2030,2,FALSE)</f>
        <v>#NAME?</v>
      </c>
      <c r="BD12" s="405" t="e">
        <f ca="1">NI!$B70</f>
        <v>#NAME?</v>
      </c>
      <c r="BE12" s="404" t="e">
        <f ca="1">VLOOKUP($BD12,NI!$B$5:$AL$2030,11,FALSE)</f>
        <v>#NAME?</v>
      </c>
      <c r="BF12" s="406" t="e">
        <f ca="1">VLOOKUP($BD12,NI!$B$5:$AL$2030,12,FALSE)/1000000</f>
        <v>#NAME?</v>
      </c>
      <c r="BG12" s="406"/>
      <c r="BH12" s="406" t="str">
        <f ca="1">IF(ISNUMBER(VLOOKUP($BD12,NI!$B$5:$AL$2030,13,FALSE)),VLOOKUP($BD12,NI!$B$5:$AL$2030,13,FALSE),"-")</f>
        <v>-</v>
      </c>
      <c r="BI12" s="407" t="e">
        <f ca="1">VLOOKUP($BD12,NI!$B$5:$AL$2030,4,FALSE)</f>
        <v>#NAME?</v>
      </c>
      <c r="BJ12" s="406" t="e">
        <f ca="1">VLOOKUP($BD12,NI!$B$5:$AL$2030,3,FALSE)</f>
        <v>#NAME?</v>
      </c>
      <c r="BK12" s="408" t="e">
        <f ca="1">VLOOKUP($BD12,NI!$B$5:$AL$2030,4,FALSE)</f>
        <v>#NAME?</v>
      </c>
      <c r="BL12" s="408" t="e">
        <f ca="1">IF(LEFT(VLOOKUP($BD12,NI!$B$5:$AL$2030,31,FALSE),1)="#","-",VLOOKUP($BD12,NI!$B$5:$AL$2030,31,FALSE))</f>
        <v>#NAME?</v>
      </c>
      <c r="BM12" s="408" t="e">
        <f ca="1">IF(LEFT(VLOOKUP($BD12,NI!$B$5:$AL$2030,32,FALSE),1)="#","-",VLOOKUP($BD12,NI!$B$5:$AL$2030,32,FALSE))</f>
        <v>#NAME?</v>
      </c>
      <c r="BN12" s="408" t="e">
        <f ca="1">IF(LEFT(VLOOKUP($BD12,NI!$B$5:$AL$2030,33,FALSE),1)="#","-",VLOOKUP($BD12,NI!$B$5:$AL$2030,33,FALSE))</f>
        <v>#NAME?</v>
      </c>
      <c r="BO12" s="409" t="e">
        <f ca="1">VLOOKUP($BD12,NI!$B$5:$AL$2030,22,FALSE)</f>
        <v>#NAME?</v>
      </c>
      <c r="BR12" s="476"/>
      <c r="BS12" s="179"/>
      <c r="BT12" s="381" t="e">
        <f ca="1">VLOOKUP($BV12,TACT!$A$3:$AH$100,2,FALSE)</f>
        <v>#NAME?</v>
      </c>
      <c r="BU12" s="381" t="e">
        <f ca="1">VLOOKUP($BV12,TACT!$A$3:$AH$100,3,FALSE)</f>
        <v>#NAME?</v>
      </c>
      <c r="BV12" s="381" t="e">
        <f ca="1">TACT!$A7</f>
        <v>#NAME?</v>
      </c>
      <c r="BW12" s="381" t="e">
        <f ca="1">VLOOKUP($BV12,TACT!$A$3:$AH$100,11,FALSE)</f>
        <v>#NAME?</v>
      </c>
      <c r="BX12" s="396" t="e">
        <f ca="1">VLOOKUP($BV12,TACT!$A$3:$AH$100,5,FALSE)</f>
        <v>#NAME?</v>
      </c>
      <c r="BY12" s="397"/>
      <c r="BZ12" s="381" t="e">
        <f ca="1">VLOOKUP($BV12,TACT!$A$3:$AH$100,4,FALSE)</f>
        <v>#NAME?</v>
      </c>
      <c r="CA12" s="396" t="e">
        <f ca="1">VLOOKUP($BV12,TACT!$A$3:$AH$100,21,FALSE)</f>
        <v>#NAME?</v>
      </c>
      <c r="CB12" s="397" t="e">
        <f ca="1">VLOOKUP($BV12,TACT!$A$3:$AH$100,32,FALSE)</f>
        <v>#NAME?</v>
      </c>
      <c r="CC12" s="398" t="e">
        <f ca="1">VLOOKUP($BV12,TACT!$A$3:$AH$100,33,FALSE)</f>
        <v>#NAME?</v>
      </c>
      <c r="CD12" s="381" t="e">
        <f ca="1">IF(LEFT(VLOOKUP($BV12,TACT!$A$3:$AH$100,6,FALSE),1)="#","-",VLOOKUP($BV12,TACT!$A$3:$AH$100,6,FALSE))</f>
        <v>#NAME?</v>
      </c>
      <c r="CE12" s="381" t="e">
        <f ca="1">IF(LEFT(VLOOKUP($BV12,TACT!$A$3:$AH$100,7,FALSE),1)="#","-",VLOOKUP($BV12,TACT!$A$3:$AH$100,7,FALSE))</f>
        <v>#NAME?</v>
      </c>
      <c r="CF12" s="381" t="e">
        <f ca="1">IF(LEFT(VLOOKUP($BV12,TACT!$A$3:$AH$100,8,FALSE),1)="#","-",VLOOKUP($BV12,TACT!$A$3:$AH$100,8,FALSE))</f>
        <v>#NAME?</v>
      </c>
      <c r="CI12" s="476"/>
      <c r="CJ12" s="179"/>
      <c r="CK12" s="531"/>
      <c r="CL12" s="527"/>
      <c r="CM12" s="527"/>
      <c r="CN12" s="528"/>
      <c r="CO12" s="528"/>
      <c r="CP12" s="528"/>
      <c r="CQ12" s="401"/>
      <c r="CR12" s="527"/>
      <c r="CS12" s="527"/>
      <c r="CT12" s="527"/>
      <c r="CU12" s="528"/>
      <c r="CV12" s="528"/>
      <c r="CW12" s="528"/>
      <c r="CX12" s="451"/>
      <c r="CY12" s="451"/>
      <c r="CZ12" s="476"/>
      <c r="DA12" s="179"/>
      <c r="DB12" s="531"/>
      <c r="DC12" s="527"/>
      <c r="DD12" s="527"/>
      <c r="DE12" s="528"/>
      <c r="DF12" s="528"/>
      <c r="DG12" s="528"/>
      <c r="DH12" s="401"/>
      <c r="DI12" s="527"/>
      <c r="DJ12" s="527"/>
      <c r="DK12" s="527"/>
      <c r="DL12" s="528"/>
      <c r="DM12" s="528"/>
      <c r="DN12" s="528"/>
      <c r="DO12" s="451"/>
      <c r="DP12" s="476"/>
      <c r="DQ12" s="179"/>
      <c r="DR12" s="617"/>
      <c r="DS12" s="592"/>
      <c r="DT12" s="592"/>
      <c r="DU12" s="616"/>
      <c r="DV12" s="616"/>
      <c r="DW12" s="616"/>
      <c r="DX12" s="401"/>
      <c r="DY12" s="592"/>
      <c r="DZ12" s="592"/>
      <c r="EA12" s="592"/>
      <c r="EB12" s="616"/>
      <c r="EC12" s="616"/>
      <c r="ED12" s="616"/>
      <c r="EE12" s="476"/>
      <c r="EF12" s="179"/>
      <c r="EG12" s="592"/>
      <c r="EH12" s="592"/>
      <c r="EI12" s="592"/>
      <c r="EJ12" s="593"/>
      <c r="EK12" s="593"/>
      <c r="EL12" s="593"/>
      <c r="EM12" s="401"/>
      <c r="EN12" s="491" t="s">
        <v>3118</v>
      </c>
      <c r="EO12" s="483">
        <v>11</v>
      </c>
      <c r="EP12" s="483">
        <v>2</v>
      </c>
      <c r="EQ12" s="483">
        <v>5</v>
      </c>
      <c r="ER12" s="483" t="s">
        <v>3124</v>
      </c>
      <c r="ES12" s="485"/>
      <c r="EV12" s="476"/>
      <c r="EW12" s="179"/>
      <c r="EX12" s="482"/>
      <c r="EY12" s="482"/>
      <c r="EZ12" s="482"/>
      <c r="FA12" s="610"/>
      <c r="FB12" s="610"/>
      <c r="FC12" s="610"/>
      <c r="FD12" s="612"/>
      <c r="FE12" s="612"/>
      <c r="FF12" s="612"/>
      <c r="FG12" s="612"/>
      <c r="FH12" s="613"/>
      <c r="FI12" s="613"/>
      <c r="FJ12" s="613"/>
    </row>
    <row r="13" spans="1:166" ht="22.5" customHeight="1">
      <c r="A13" s="476"/>
      <c r="C13" s="565"/>
      <c r="D13" s="565"/>
      <c r="E13" s="565"/>
      <c r="F13" s="565"/>
      <c r="G13" s="565"/>
      <c r="H13" s="565"/>
      <c r="I13" s="565"/>
      <c r="J13" s="565"/>
      <c r="K13" s="565"/>
      <c r="L13" s="565"/>
      <c r="M13" s="565"/>
      <c r="N13" s="565"/>
      <c r="O13" s="565"/>
      <c r="P13" s="64"/>
      <c r="Q13" s="476"/>
      <c r="R13" s="179"/>
      <c r="S13" s="543"/>
      <c r="T13" s="386" t="e">
        <f ca="1">VLOOKUP($AD13,'市場監控 '!$E$7:$W$194,6,FALSE)</f>
        <v>#NAME?</v>
      </c>
      <c r="U13" s="386" t="e">
        <f ca="1">VLOOKUP($AD13,'市場監控 '!$E$7:$W$194,7,FALSE)</f>
        <v>#NAME?</v>
      </c>
      <c r="V13" s="387" t="str">
        <f ca="1">VLOOKUP($AD13,'市場監控 '!$E$7:$W$194,8,FALSE)</f>
        <v>-</v>
      </c>
      <c r="W13" s="388" t="str">
        <f ca="1">VLOOKUP($AD13,'市場監控 '!$E$7:$W$194,10,FALSE)</f>
        <v>-</v>
      </c>
      <c r="X13" s="389" t="str">
        <f ca="1">VLOOKUP($AD13,'市場監控 '!$E$7:$W$194,12,FALSE)</f>
        <v>-</v>
      </c>
      <c r="Y13" s="390" t="str">
        <f ca="1">VLOOKUP($AD13,'市場監控 '!$E$7:$W$194,14,FALSE)</f>
        <v>-</v>
      </c>
      <c r="Z13" s="390" t="str">
        <f ca="1">VLOOKUP($AD13,'市場監控 '!$E$7:$W$194,15,FALSE)</f>
        <v>-</v>
      </c>
      <c r="AA13" s="389" t="e">
        <f ca="1">VLOOKUP($AD13,'市場監控 '!$E$7:$W$194,17,FALSE)</f>
        <v>#NAME?</v>
      </c>
      <c r="AB13" s="389" t="e">
        <f ca="1">VLOOKUP($AD13,'市場監控 '!$E$7:$W$194,18,FALSE)</f>
        <v>#NAME?</v>
      </c>
      <c r="AC13" s="389" t="e">
        <f ca="1">VLOOKUP($AD13,'市場監控 '!$E$7:$W$194,19,FALSE)</f>
        <v>#NAME?</v>
      </c>
      <c r="AD13" s="185" t="s">
        <v>1203</v>
      </c>
      <c r="AE13" s="246" t="s">
        <v>1674</v>
      </c>
      <c r="AF13" s="225"/>
      <c r="AG13" s="225"/>
      <c r="AH13" s="476"/>
      <c r="AI13" s="179"/>
      <c r="AJ13" s="505"/>
      <c r="AK13" s="505"/>
      <c r="AL13" s="505"/>
      <c r="AM13" s="505"/>
      <c r="AN13" s="505"/>
      <c r="AO13" s="505"/>
      <c r="AP13" s="505"/>
      <c r="AQ13" s="505"/>
      <c r="AR13" s="505"/>
      <c r="AS13" s="505"/>
      <c r="AT13" s="505"/>
      <c r="AU13" s="505"/>
      <c r="AV13" s="505"/>
      <c r="AW13" s="505"/>
      <c r="AX13" s="443"/>
      <c r="AY13" s="443"/>
      <c r="AZ13" s="476"/>
      <c r="BA13" s="179"/>
      <c r="BB13" s="404" t="e">
        <f ca="1">VLOOKUP($BD13,NI!$B$5:$AL$2030,6,FALSE)</f>
        <v>#NAME?</v>
      </c>
      <c r="BC13" s="404" t="e">
        <f ca="1">VLOOKUP($BD13,NI!$B$37:$AL$2030,2,FALSE)</f>
        <v>#NAME?</v>
      </c>
      <c r="BD13" s="405" t="e">
        <f ca="1">NI!$B71</f>
        <v>#NAME?</v>
      </c>
      <c r="BE13" s="404" t="e">
        <f ca="1">VLOOKUP($BD13,NI!$B$5:$AL$2030,11,FALSE)</f>
        <v>#NAME?</v>
      </c>
      <c r="BF13" s="406" t="e">
        <f ca="1">VLOOKUP($BD13,NI!$B$5:$AL$2030,12,FALSE)/1000000</f>
        <v>#NAME?</v>
      </c>
      <c r="BG13" s="406"/>
      <c r="BH13" s="406" t="str">
        <f ca="1">IF(ISNUMBER(VLOOKUP($BD13,NI!$B$5:$AL$2030,13,FALSE)),VLOOKUP($BD13,NI!$B$5:$AL$2030,13,FALSE),"-")</f>
        <v>-</v>
      </c>
      <c r="BI13" s="407" t="e">
        <f ca="1">VLOOKUP($BD13,NI!$B$5:$AL$2030,4,FALSE)</f>
        <v>#NAME?</v>
      </c>
      <c r="BJ13" s="406" t="e">
        <f ca="1">VLOOKUP($BD13,NI!$B$5:$AL$2030,3,FALSE)</f>
        <v>#NAME?</v>
      </c>
      <c r="BK13" s="408" t="e">
        <f ca="1">VLOOKUP($BD13,NI!$B$5:$AL$2030,4,FALSE)</f>
        <v>#NAME?</v>
      </c>
      <c r="BL13" s="408" t="e">
        <f ca="1">IF(LEFT(VLOOKUP($BD13,NI!$B$5:$AL$2030,31,FALSE),1)="#","-",VLOOKUP($BD13,NI!$B$5:$AL$2030,31,FALSE))</f>
        <v>#NAME?</v>
      </c>
      <c r="BM13" s="408" t="e">
        <f ca="1">IF(LEFT(VLOOKUP($BD13,NI!$B$5:$AL$2030,32,FALSE),1)="#","-",VLOOKUP($BD13,NI!$B$5:$AL$2030,32,FALSE))</f>
        <v>#NAME?</v>
      </c>
      <c r="BN13" s="408" t="e">
        <f ca="1">IF(LEFT(VLOOKUP($BD13,NI!$B$5:$AL$2030,33,FALSE),1)="#","-",VLOOKUP($BD13,NI!$B$5:$AL$2030,33,FALSE))</f>
        <v>#NAME?</v>
      </c>
      <c r="BO13" s="409" t="e">
        <f ca="1">VLOOKUP($BD13,NI!$B$5:$AL$2030,22,FALSE)</f>
        <v>#NAME?</v>
      </c>
      <c r="BR13" s="476"/>
      <c r="BS13" s="179"/>
      <c r="BT13" s="381" t="e">
        <f ca="1">VLOOKUP($BV13,TACT!$A$3:$AH$100,2,FALSE)</f>
        <v>#NAME?</v>
      </c>
      <c r="BU13" s="381" t="e">
        <f ca="1">VLOOKUP($BV13,TACT!$A$3:$AH$100,3,FALSE)</f>
        <v>#NAME?</v>
      </c>
      <c r="BV13" s="381" t="e">
        <f ca="1">TACT!$A8</f>
        <v>#NAME?</v>
      </c>
      <c r="BW13" s="381" t="e">
        <f ca="1">VLOOKUP($BV13,TACT!$A$3:$AH$100,11,FALSE)</f>
        <v>#NAME?</v>
      </c>
      <c r="BX13" s="396" t="e">
        <f ca="1">VLOOKUP($BV13,TACT!$A$3:$AH$100,5,FALSE)</f>
        <v>#NAME?</v>
      </c>
      <c r="BY13" s="397"/>
      <c r="BZ13" s="381" t="e">
        <f ca="1">VLOOKUP($BV13,TACT!$A$3:$AH$100,4,FALSE)</f>
        <v>#NAME?</v>
      </c>
      <c r="CA13" s="396" t="e">
        <f ca="1">VLOOKUP($BV13,TACT!$A$3:$AH$100,21,FALSE)</f>
        <v>#NAME?</v>
      </c>
      <c r="CB13" s="397" t="e">
        <f ca="1">VLOOKUP($BV13,TACT!$A$3:$AH$100,32,FALSE)</f>
        <v>#NAME?</v>
      </c>
      <c r="CC13" s="398" t="e">
        <f ca="1">VLOOKUP($BV13,TACT!$A$3:$AH$100,33,FALSE)</f>
        <v>#NAME?</v>
      </c>
      <c r="CD13" s="381" t="e">
        <f ca="1">IF(LEFT(VLOOKUP($BV13,TACT!$A$3:$AH$100,6,FALSE),1)="#","-",VLOOKUP($BV13,TACT!$A$3:$AH$100,6,FALSE))</f>
        <v>#NAME?</v>
      </c>
      <c r="CE13" s="381" t="e">
        <f ca="1">IF(LEFT(VLOOKUP($BV13,TACT!$A$3:$AH$100,7,FALSE),1)="#","-",VLOOKUP($BV13,TACT!$A$3:$AH$100,7,FALSE))</f>
        <v>#NAME?</v>
      </c>
      <c r="CF13" s="381" t="e">
        <f ca="1">IF(LEFT(VLOOKUP($BV13,TACT!$A$3:$AH$100,8,FALSE),1)="#","-",VLOOKUP($BV13,TACT!$A$3:$AH$100,8,FALSE))</f>
        <v>#NAME?</v>
      </c>
      <c r="CI13" s="476"/>
      <c r="CJ13" s="179"/>
      <c r="CK13" s="531"/>
      <c r="CL13" s="527"/>
      <c r="CM13" s="527"/>
      <c r="CN13" s="528"/>
      <c r="CO13" s="528"/>
      <c r="CP13" s="528"/>
      <c r="CQ13" s="401"/>
      <c r="CR13" s="527"/>
      <c r="CS13" s="527"/>
      <c r="CT13" s="527"/>
      <c r="CU13" s="528"/>
      <c r="CV13" s="528"/>
      <c r="CW13" s="528"/>
      <c r="CX13" s="451"/>
      <c r="CY13" s="451"/>
      <c r="CZ13" s="476"/>
      <c r="DA13" s="179"/>
      <c r="DB13" s="531"/>
      <c r="DC13" s="527"/>
      <c r="DD13" s="527"/>
      <c r="DE13" s="528"/>
      <c r="DF13" s="528"/>
      <c r="DG13" s="528"/>
      <c r="DH13" s="401"/>
      <c r="DI13" s="527"/>
      <c r="DJ13" s="527"/>
      <c r="DK13" s="527"/>
      <c r="DL13" s="528"/>
      <c r="DM13" s="528"/>
      <c r="DN13" s="528"/>
      <c r="DO13" s="451"/>
      <c r="DP13" s="476"/>
      <c r="DQ13" s="179"/>
      <c r="DR13" s="617"/>
      <c r="DS13" s="592"/>
      <c r="DT13" s="592"/>
      <c r="DU13" s="616"/>
      <c r="DV13" s="616"/>
      <c r="DW13" s="616"/>
      <c r="DX13" s="401"/>
      <c r="DY13" s="592"/>
      <c r="DZ13" s="592"/>
      <c r="EA13" s="592"/>
      <c r="EB13" s="616"/>
      <c r="EC13" s="616"/>
      <c r="ED13" s="616"/>
      <c r="EE13" s="476"/>
      <c r="EF13" s="179"/>
      <c r="EG13" s="592"/>
      <c r="EH13" s="592"/>
      <c r="EI13" s="592"/>
      <c r="EJ13" s="593"/>
      <c r="EK13" s="593"/>
      <c r="EL13" s="593"/>
      <c r="EM13" s="401"/>
      <c r="EN13" s="485"/>
      <c r="EO13" s="485"/>
      <c r="EP13" s="485"/>
      <c r="EQ13" s="485"/>
      <c r="ER13" s="485"/>
      <c r="ES13" s="485"/>
      <c r="EV13" s="476"/>
      <c r="EW13" s="179"/>
      <c r="EX13" s="482"/>
      <c r="EY13" s="482"/>
      <c r="EZ13" s="482"/>
      <c r="FA13" s="610"/>
      <c r="FB13" s="610"/>
      <c r="FC13" s="610"/>
      <c r="FD13" s="612"/>
      <c r="FE13" s="612"/>
      <c r="FF13" s="612"/>
      <c r="FG13" s="612"/>
      <c r="FH13" s="613"/>
      <c r="FI13" s="613"/>
      <c r="FJ13" s="613"/>
    </row>
    <row r="14" spans="1:166" ht="22.5" customHeight="1">
      <c r="A14" s="476"/>
      <c r="C14" s="565"/>
      <c r="D14" s="565"/>
      <c r="E14" s="565"/>
      <c r="F14" s="565"/>
      <c r="G14" s="565"/>
      <c r="H14" s="565"/>
      <c r="I14" s="565"/>
      <c r="J14" s="565"/>
      <c r="K14" s="565"/>
      <c r="L14" s="565"/>
      <c r="M14" s="565"/>
      <c r="N14" s="565"/>
      <c r="O14" s="565"/>
      <c r="P14" s="64"/>
      <c r="Q14" s="476"/>
      <c r="R14" s="179"/>
      <c r="S14" s="543"/>
      <c r="T14" s="386" t="e">
        <f ca="1">VLOOKUP($AD14,'市場監控 '!$E$7:$W$194,6,FALSE)</f>
        <v>#NAME?</v>
      </c>
      <c r="U14" s="386" t="e">
        <f ca="1">VLOOKUP($AD14,'市場監控 '!$E$7:$W$194,7,FALSE)</f>
        <v>#NAME?</v>
      </c>
      <c r="V14" s="387" t="str">
        <f ca="1">VLOOKUP($AD14,'市場監控 '!$E$7:$W$194,8,FALSE)</f>
        <v>-</v>
      </c>
      <c r="W14" s="388" t="str">
        <f ca="1">VLOOKUP($AD14,'市場監控 '!$E$7:$W$194,10,FALSE)</f>
        <v>-</v>
      </c>
      <c r="X14" s="389" t="str">
        <f ca="1">VLOOKUP($AD14,'市場監控 '!$E$7:$W$194,12,FALSE)</f>
        <v>-</v>
      </c>
      <c r="Y14" s="390" t="str">
        <f ca="1">VLOOKUP($AD14,'市場監控 '!$E$7:$W$194,14,FALSE)</f>
        <v>-</v>
      </c>
      <c r="Z14" s="390" t="str">
        <f ca="1">VLOOKUP($AD14,'市場監控 '!$E$7:$W$194,15,FALSE)</f>
        <v>-</v>
      </c>
      <c r="AA14" s="389" t="e">
        <f ca="1">VLOOKUP($AD14,'市場監控 '!$E$7:$W$194,17,FALSE)</f>
        <v>#NAME?</v>
      </c>
      <c r="AB14" s="389" t="e">
        <f ca="1">VLOOKUP($AD14,'市場監控 '!$E$7:$W$194,18,FALSE)</f>
        <v>#NAME?</v>
      </c>
      <c r="AC14" s="389" t="e">
        <f ca="1">VLOOKUP($AD14,'市場監控 '!$E$7:$W$194,19,FALSE)</f>
        <v>#NAME?</v>
      </c>
      <c r="AD14" s="185" t="s">
        <v>2886</v>
      </c>
      <c r="AE14" s="246" t="s">
        <v>1676</v>
      </c>
      <c r="AF14" s="225"/>
      <c r="AG14" s="225"/>
      <c r="AH14" s="476"/>
      <c r="AI14" s="179"/>
      <c r="AJ14" s="505"/>
      <c r="AK14" s="505"/>
      <c r="AL14" s="505"/>
      <c r="AM14" s="505"/>
      <c r="AN14" s="505"/>
      <c r="AO14" s="505"/>
      <c r="AP14" s="505"/>
      <c r="AQ14" s="505"/>
      <c r="AR14" s="505"/>
      <c r="AS14" s="505"/>
      <c r="AT14" s="505"/>
      <c r="AU14" s="505"/>
      <c r="AV14" s="505"/>
      <c r="AW14" s="505"/>
      <c r="AX14" s="443"/>
      <c r="AY14" s="443"/>
      <c r="AZ14" s="476"/>
      <c r="BA14" s="179"/>
      <c r="BB14" s="404" t="e">
        <f ca="1">VLOOKUP($BD14,NI!$B$5:$AL$2030,6,FALSE)</f>
        <v>#NAME?</v>
      </c>
      <c r="BC14" s="404" t="e">
        <f ca="1">VLOOKUP($BD14,NI!$B$37:$AL$2030,2,FALSE)</f>
        <v>#NAME?</v>
      </c>
      <c r="BD14" s="405" t="e">
        <f ca="1">NI!$B72</f>
        <v>#NAME?</v>
      </c>
      <c r="BE14" s="404" t="e">
        <f ca="1">VLOOKUP($BD14,NI!$B$5:$AL$2030,11,FALSE)</f>
        <v>#NAME?</v>
      </c>
      <c r="BF14" s="406" t="e">
        <f ca="1">VLOOKUP($BD14,NI!$B$5:$AL$2030,12,FALSE)/1000000</f>
        <v>#NAME?</v>
      </c>
      <c r="BG14" s="406"/>
      <c r="BH14" s="406" t="str">
        <f ca="1">IF(ISNUMBER(VLOOKUP($BD14,NI!$B$5:$AL$2030,13,FALSE)),VLOOKUP($BD14,NI!$B$5:$AL$2030,13,FALSE),"-")</f>
        <v>-</v>
      </c>
      <c r="BI14" s="407" t="e">
        <f ca="1">VLOOKUP($BD14,NI!$B$5:$AL$2030,4,FALSE)</f>
        <v>#NAME?</v>
      </c>
      <c r="BJ14" s="406" t="e">
        <f ca="1">VLOOKUP($BD14,NI!$B$5:$AL$2030,3,FALSE)</f>
        <v>#NAME?</v>
      </c>
      <c r="BK14" s="408" t="e">
        <f ca="1">VLOOKUP($BD14,NI!$B$5:$AL$2030,4,FALSE)</f>
        <v>#NAME?</v>
      </c>
      <c r="BL14" s="408" t="e">
        <f ca="1">IF(LEFT(VLOOKUP($BD14,NI!$B$5:$AL$2030,31,FALSE),1)="#","-",VLOOKUP($BD14,NI!$B$5:$AL$2030,31,FALSE))</f>
        <v>#NAME?</v>
      </c>
      <c r="BM14" s="408" t="e">
        <f ca="1">IF(LEFT(VLOOKUP($BD14,NI!$B$5:$AL$2030,32,FALSE),1)="#","-",VLOOKUP($BD14,NI!$B$5:$AL$2030,32,FALSE))</f>
        <v>#NAME?</v>
      </c>
      <c r="BN14" s="408" t="e">
        <f ca="1">IF(LEFT(VLOOKUP($BD14,NI!$B$5:$AL$2030,33,FALSE),1)="#","-",VLOOKUP($BD14,NI!$B$5:$AL$2030,33,FALSE))</f>
        <v>#NAME?</v>
      </c>
      <c r="BO14" s="409" t="e">
        <f ca="1">VLOOKUP($BD14,NI!$B$5:$AL$2030,22,FALSE)</f>
        <v>#NAME?</v>
      </c>
      <c r="BR14" s="476"/>
      <c r="BS14" s="179"/>
      <c r="BT14" s="381" t="e">
        <f ca="1">VLOOKUP($BV14,TACT!$A$3:$AH$100,2,FALSE)</f>
        <v>#NAME?</v>
      </c>
      <c r="BU14" s="381" t="e">
        <f ca="1">VLOOKUP($BV14,TACT!$A$3:$AH$100,3,FALSE)</f>
        <v>#NAME?</v>
      </c>
      <c r="BV14" s="381" t="e">
        <f ca="1">TACT!$A9</f>
        <v>#NAME?</v>
      </c>
      <c r="BW14" s="381" t="e">
        <f ca="1">VLOOKUP($BV14,TACT!$A$3:$AH$100,11,FALSE)</f>
        <v>#NAME?</v>
      </c>
      <c r="BX14" s="396" t="e">
        <f ca="1">VLOOKUP($BV14,TACT!$A$3:$AH$100,5,FALSE)</f>
        <v>#NAME?</v>
      </c>
      <c r="BY14" s="397"/>
      <c r="BZ14" s="381" t="e">
        <f ca="1">VLOOKUP($BV14,TACT!$A$3:$AH$100,4,FALSE)</f>
        <v>#NAME?</v>
      </c>
      <c r="CA14" s="396" t="e">
        <f ca="1">VLOOKUP($BV14,TACT!$A$3:$AH$100,21,FALSE)</f>
        <v>#NAME?</v>
      </c>
      <c r="CB14" s="397" t="e">
        <f ca="1">VLOOKUP($BV14,TACT!$A$3:$AH$100,32,FALSE)</f>
        <v>#NAME?</v>
      </c>
      <c r="CC14" s="398" t="e">
        <f ca="1">VLOOKUP($BV14,TACT!$A$3:$AH$100,33,FALSE)</f>
        <v>#NAME?</v>
      </c>
      <c r="CD14" s="381" t="e">
        <f ca="1">IF(LEFT(VLOOKUP($BV14,TACT!$A$3:$AH$100,6,FALSE),1)="#","-",VLOOKUP($BV14,TACT!$A$3:$AH$100,6,FALSE))</f>
        <v>#NAME?</v>
      </c>
      <c r="CE14" s="381" t="e">
        <f ca="1">IF(LEFT(VLOOKUP($BV14,TACT!$A$3:$AH$100,7,FALSE),1)="#","-",VLOOKUP($BV14,TACT!$A$3:$AH$100,7,FALSE))</f>
        <v>#NAME?</v>
      </c>
      <c r="CF14" s="381" t="e">
        <f ca="1">IF(LEFT(VLOOKUP($BV14,TACT!$A$3:$AH$100,8,FALSE),1)="#","-",VLOOKUP($BV14,TACT!$A$3:$AH$100,8,FALSE))</f>
        <v>#NAME?</v>
      </c>
      <c r="CI14" s="476"/>
      <c r="CJ14" s="179"/>
      <c r="CK14" s="531"/>
      <c r="CL14" s="527"/>
      <c r="CM14" s="527"/>
      <c r="CN14" s="528"/>
      <c r="CO14" s="528"/>
      <c r="CP14" s="528"/>
      <c r="CQ14" s="401"/>
      <c r="CR14" s="527"/>
      <c r="CS14" s="527"/>
      <c r="CT14" s="527"/>
      <c r="CU14" s="528"/>
      <c r="CV14" s="528"/>
      <c r="CW14" s="528"/>
      <c r="CX14" s="451"/>
      <c r="CY14" s="451"/>
      <c r="CZ14" s="476"/>
      <c r="DA14" s="179"/>
      <c r="DB14" s="531"/>
      <c r="DC14" s="527"/>
      <c r="DD14" s="527"/>
      <c r="DE14" s="528"/>
      <c r="DF14" s="528"/>
      <c r="DG14" s="528"/>
      <c r="DH14" s="401"/>
      <c r="DI14" s="527"/>
      <c r="DJ14" s="527"/>
      <c r="DK14" s="527"/>
      <c r="DL14" s="528"/>
      <c r="DM14" s="528"/>
      <c r="DN14" s="528"/>
      <c r="DO14" s="451"/>
      <c r="DP14" s="476"/>
      <c r="DQ14" s="179"/>
      <c r="DR14" s="617"/>
      <c r="DS14" s="592"/>
      <c r="DT14" s="592"/>
      <c r="DU14" s="616"/>
      <c r="DV14" s="616"/>
      <c r="DW14" s="616"/>
      <c r="DX14" s="401"/>
      <c r="DY14" s="592"/>
      <c r="DZ14" s="592"/>
      <c r="EA14" s="592"/>
      <c r="EB14" s="616"/>
      <c r="EC14" s="616"/>
      <c r="ED14" s="616"/>
      <c r="EE14" s="476"/>
      <c r="EF14" s="179"/>
      <c r="EG14" s="592"/>
      <c r="EH14" s="592"/>
      <c r="EI14" s="592"/>
      <c r="EJ14" s="593"/>
      <c r="EK14" s="593"/>
      <c r="EL14" s="593"/>
      <c r="EM14" s="401"/>
      <c r="EN14" s="485"/>
      <c r="EO14" s="485"/>
      <c r="EP14" s="485"/>
      <c r="EQ14" s="485"/>
      <c r="ER14" s="485"/>
      <c r="ES14" s="485"/>
      <c r="EV14" s="476"/>
      <c r="EW14" s="179"/>
      <c r="EX14" s="482"/>
      <c r="EY14" s="482"/>
      <c r="EZ14" s="482"/>
      <c r="FA14" s="610"/>
      <c r="FB14" s="610"/>
      <c r="FC14" s="610"/>
      <c r="FD14" s="485"/>
      <c r="FE14" s="485"/>
      <c r="FF14" s="485"/>
      <c r="FG14" s="485"/>
      <c r="FH14" s="485"/>
      <c r="FI14" s="485"/>
      <c r="FJ14" s="485"/>
    </row>
    <row r="15" spans="1:166" ht="22.5" customHeight="1">
      <c r="A15" s="476"/>
      <c r="C15" s="565"/>
      <c r="D15" s="565"/>
      <c r="E15" s="565"/>
      <c r="F15" s="565"/>
      <c r="G15" s="565"/>
      <c r="H15" s="565"/>
      <c r="I15" s="565"/>
      <c r="J15" s="565"/>
      <c r="K15" s="565"/>
      <c r="L15" s="565"/>
      <c r="M15" s="565"/>
      <c r="N15" s="565"/>
      <c r="O15" s="565"/>
      <c r="P15" s="64"/>
      <c r="Q15" s="476"/>
      <c r="R15" s="179"/>
      <c r="S15" s="543"/>
      <c r="T15" s="386" t="e">
        <f ca="1">VLOOKUP($AD15,'市場監控 '!$E$7:$W$194,6,FALSE)</f>
        <v>#NAME?</v>
      </c>
      <c r="U15" s="386" t="e">
        <f ca="1">VLOOKUP($AD15,'市場監控 '!$E$7:$W$194,7,FALSE)</f>
        <v>#NAME?</v>
      </c>
      <c r="V15" s="387" t="str">
        <f ca="1">VLOOKUP($AD15,'市場監控 '!$E$7:$W$194,8,FALSE)</f>
        <v>-</v>
      </c>
      <c r="W15" s="388" t="str">
        <f ca="1">VLOOKUP($AD15,'市場監控 '!$E$7:$W$194,10,FALSE)</f>
        <v>-</v>
      </c>
      <c r="X15" s="389" t="str">
        <f ca="1">VLOOKUP($AD15,'市場監控 '!$E$7:$W$194,12,FALSE)</f>
        <v>-</v>
      </c>
      <c r="Y15" s="390" t="str">
        <f ca="1">VLOOKUP($AD15,'市場監控 '!$E$7:$W$194,14,FALSE)</f>
        <v>-</v>
      </c>
      <c r="Z15" s="390" t="str">
        <f ca="1">VLOOKUP($AD15,'市場監控 '!$E$7:$W$194,15,FALSE)</f>
        <v>-</v>
      </c>
      <c r="AA15" s="389" t="e">
        <f ca="1">VLOOKUP($AD15,'市場監控 '!$E$7:$W$194,17,FALSE)</f>
        <v>#NAME?</v>
      </c>
      <c r="AB15" s="389" t="e">
        <f ca="1">VLOOKUP($AD15,'市場監控 '!$E$7:$W$194,18,FALSE)</f>
        <v>#NAME?</v>
      </c>
      <c r="AC15" s="389" t="e">
        <f ca="1">VLOOKUP($AD15,'市場監控 '!$E$7:$W$194,19,FALSE)</f>
        <v>#NAME?</v>
      </c>
      <c r="AD15" s="185" t="s">
        <v>1209</v>
      </c>
      <c r="AE15" s="246" t="s">
        <v>1678</v>
      </c>
      <c r="AF15" s="225"/>
      <c r="AG15" s="225"/>
      <c r="AH15" s="476"/>
      <c r="AI15" s="179"/>
      <c r="AJ15" s="505"/>
      <c r="AK15" s="505"/>
      <c r="AL15" s="505"/>
      <c r="AM15" s="505"/>
      <c r="AN15" s="505"/>
      <c r="AO15" s="505"/>
      <c r="AP15" s="505"/>
      <c r="AQ15" s="505"/>
      <c r="AR15" s="505"/>
      <c r="AS15" s="505"/>
      <c r="AT15" s="505"/>
      <c r="AU15" s="505"/>
      <c r="AV15" s="505"/>
      <c r="AW15" s="505"/>
      <c r="AX15" s="443"/>
      <c r="AY15" s="443"/>
      <c r="AZ15" s="476"/>
      <c r="BA15" s="179"/>
      <c r="BB15" s="404" t="e">
        <f ca="1">VLOOKUP($BD15,NI!$B$5:$AL$2030,6,FALSE)</f>
        <v>#NAME?</v>
      </c>
      <c r="BC15" s="404" t="e">
        <f ca="1">VLOOKUP($BD15,NI!$B$37:$AL$2030,2,FALSE)</f>
        <v>#NAME?</v>
      </c>
      <c r="BD15" s="405" t="e">
        <f ca="1">NI!$B73</f>
        <v>#NAME?</v>
      </c>
      <c r="BE15" s="404" t="e">
        <f ca="1">VLOOKUP($BD15,NI!$B$5:$AL$2030,11,FALSE)</f>
        <v>#NAME?</v>
      </c>
      <c r="BF15" s="406" t="e">
        <f ca="1">VLOOKUP($BD15,NI!$B$5:$AL$2030,12,FALSE)/1000000</f>
        <v>#NAME?</v>
      </c>
      <c r="BG15" s="406"/>
      <c r="BH15" s="406" t="str">
        <f ca="1">IF(ISNUMBER(VLOOKUP($BD15,NI!$B$5:$AL$2030,13,FALSE)),VLOOKUP($BD15,NI!$B$5:$AL$2030,13,FALSE),"-")</f>
        <v>-</v>
      </c>
      <c r="BI15" s="407" t="e">
        <f ca="1">VLOOKUP($BD15,NI!$B$5:$AL$2030,4,FALSE)</f>
        <v>#NAME?</v>
      </c>
      <c r="BJ15" s="406" t="e">
        <f ca="1">VLOOKUP($BD15,NI!$B$5:$AL$2030,3,FALSE)</f>
        <v>#NAME?</v>
      </c>
      <c r="BK15" s="408" t="e">
        <f ca="1">VLOOKUP($BD15,NI!$B$5:$AL$2030,4,FALSE)</f>
        <v>#NAME?</v>
      </c>
      <c r="BL15" s="408" t="e">
        <f ca="1">IF(LEFT(VLOOKUP($BD15,NI!$B$5:$AL$2030,31,FALSE),1)="#","-",VLOOKUP($BD15,NI!$B$5:$AL$2030,31,FALSE))</f>
        <v>#NAME?</v>
      </c>
      <c r="BM15" s="408" t="e">
        <f ca="1">IF(LEFT(VLOOKUP($BD15,NI!$B$5:$AL$2030,32,FALSE),1)="#","-",VLOOKUP($BD15,NI!$B$5:$AL$2030,32,FALSE))</f>
        <v>#NAME?</v>
      </c>
      <c r="BN15" s="408" t="e">
        <f ca="1">IF(LEFT(VLOOKUP($BD15,NI!$B$5:$AL$2030,33,FALSE),1)="#","-",VLOOKUP($BD15,NI!$B$5:$AL$2030,33,FALSE))</f>
        <v>#NAME?</v>
      </c>
      <c r="BO15" s="409" t="e">
        <f ca="1">VLOOKUP($BD15,NI!$B$5:$AL$2030,22,FALSE)</f>
        <v>#NAME?</v>
      </c>
      <c r="BR15" s="476"/>
      <c r="BS15" s="179"/>
      <c r="BT15" s="381" t="e">
        <f ca="1">VLOOKUP($BV15,TACT!$A$3:$AH$100,2,FALSE)</f>
        <v>#NAME?</v>
      </c>
      <c r="BU15" s="381" t="e">
        <f ca="1">VLOOKUP($BV15,TACT!$A$3:$AH$100,3,FALSE)</f>
        <v>#NAME?</v>
      </c>
      <c r="BV15" s="381" t="e">
        <f ca="1">TACT!$A10</f>
        <v>#NAME?</v>
      </c>
      <c r="BW15" s="381" t="e">
        <f ca="1">VLOOKUP($BV15,TACT!$A$3:$AH$100,11,FALSE)</f>
        <v>#NAME?</v>
      </c>
      <c r="BX15" s="396" t="e">
        <f ca="1">VLOOKUP($BV15,TACT!$A$3:$AH$100,5,FALSE)</f>
        <v>#NAME?</v>
      </c>
      <c r="BY15" s="397"/>
      <c r="BZ15" s="381" t="e">
        <f ca="1">VLOOKUP($BV15,TACT!$A$3:$AH$100,4,FALSE)</f>
        <v>#NAME?</v>
      </c>
      <c r="CA15" s="396" t="e">
        <f ca="1">VLOOKUP($BV15,TACT!$A$3:$AH$100,21,FALSE)</f>
        <v>#NAME?</v>
      </c>
      <c r="CB15" s="397" t="e">
        <f ca="1">VLOOKUP($BV15,TACT!$A$3:$AH$100,32,FALSE)</f>
        <v>#NAME?</v>
      </c>
      <c r="CC15" s="398" t="e">
        <f ca="1">VLOOKUP($BV15,TACT!$A$3:$AH$100,33,FALSE)</f>
        <v>#NAME?</v>
      </c>
      <c r="CD15" s="381" t="e">
        <f ca="1">IF(LEFT(VLOOKUP($BV15,TACT!$A$3:$AH$100,6,FALSE),1)="#","-",VLOOKUP($BV15,TACT!$A$3:$AH$100,6,FALSE))</f>
        <v>#NAME?</v>
      </c>
      <c r="CE15" s="381" t="e">
        <f ca="1">IF(LEFT(VLOOKUP($BV15,TACT!$A$3:$AH$100,7,FALSE),1)="#","-",VLOOKUP($BV15,TACT!$A$3:$AH$100,7,FALSE))</f>
        <v>#NAME?</v>
      </c>
      <c r="CF15" s="381" t="e">
        <f ca="1">IF(LEFT(VLOOKUP($BV15,TACT!$A$3:$AH$100,8,FALSE),1)="#","-",VLOOKUP($BV15,TACT!$A$3:$AH$100,8,FALSE))</f>
        <v>#NAME?</v>
      </c>
      <c r="CI15" s="476"/>
      <c r="CJ15" s="179"/>
      <c r="CK15" s="531"/>
      <c r="CL15" s="527"/>
      <c r="CM15" s="527"/>
      <c r="CN15" s="528"/>
      <c r="CO15" s="528"/>
      <c r="CP15" s="528"/>
      <c r="CQ15" s="401"/>
      <c r="CR15" s="527"/>
      <c r="CS15" s="527"/>
      <c r="CT15" s="527"/>
      <c r="CU15" s="528"/>
      <c r="CV15" s="528"/>
      <c r="CW15" s="528"/>
      <c r="CX15" s="451"/>
      <c r="CY15" s="451"/>
      <c r="CZ15" s="476"/>
      <c r="DA15" s="179"/>
      <c r="DB15" s="531"/>
      <c r="DC15" s="527"/>
      <c r="DD15" s="527"/>
      <c r="DE15" s="528"/>
      <c r="DF15" s="528"/>
      <c r="DG15" s="528"/>
      <c r="DH15" s="401"/>
      <c r="DI15" s="527"/>
      <c r="DJ15" s="527"/>
      <c r="DK15" s="527"/>
      <c r="DL15" s="528"/>
      <c r="DM15" s="528"/>
      <c r="DN15" s="528"/>
      <c r="DO15" s="451"/>
      <c r="DP15" s="476"/>
      <c r="DQ15" s="179"/>
      <c r="DR15" s="617"/>
      <c r="DS15" s="592"/>
      <c r="DT15" s="592"/>
      <c r="DU15" s="616"/>
      <c r="DV15" s="616"/>
      <c r="DW15" s="616"/>
      <c r="DX15" s="401"/>
      <c r="DY15" s="592"/>
      <c r="DZ15" s="592"/>
      <c r="EA15" s="592"/>
      <c r="EB15" s="616"/>
      <c r="EC15" s="616"/>
      <c r="ED15" s="616"/>
      <c r="EE15" s="476"/>
      <c r="EF15" s="179"/>
      <c r="EG15" s="592"/>
      <c r="EH15" s="592"/>
      <c r="EI15" s="592"/>
      <c r="EJ15" s="593"/>
      <c r="EK15" s="593"/>
      <c r="EL15" s="593"/>
      <c r="EM15" s="401"/>
      <c r="EN15" s="491" t="s">
        <v>3119</v>
      </c>
      <c r="EO15" s="483">
        <v>5</v>
      </c>
      <c r="EP15" s="483">
        <v>3</v>
      </c>
      <c r="EQ15" s="483">
        <v>4</v>
      </c>
      <c r="ER15" s="483" t="s">
        <v>3125</v>
      </c>
      <c r="ES15" s="485"/>
      <c r="EV15" s="476"/>
      <c r="EW15" s="179"/>
      <c r="EX15" s="482"/>
      <c r="EY15" s="482"/>
      <c r="EZ15" s="482"/>
      <c r="FA15" s="610"/>
      <c r="FB15" s="610"/>
      <c r="FC15" s="610"/>
      <c r="FD15" s="485"/>
      <c r="FE15" s="485"/>
      <c r="FF15" s="485"/>
      <c r="FG15" s="485"/>
      <c r="FH15" s="485"/>
      <c r="FI15" s="485"/>
      <c r="FJ15" s="485"/>
    </row>
    <row r="16" spans="1:166" ht="23.25" customHeight="1">
      <c r="A16" s="476"/>
      <c r="C16" s="565"/>
      <c r="D16" s="565"/>
      <c r="E16" s="565"/>
      <c r="F16" s="565"/>
      <c r="G16" s="565"/>
      <c r="H16" s="565"/>
      <c r="I16" s="565"/>
      <c r="J16" s="565"/>
      <c r="K16" s="565"/>
      <c r="L16" s="565"/>
      <c r="M16" s="565"/>
      <c r="N16" s="565"/>
      <c r="O16" s="565"/>
      <c r="P16" s="64"/>
      <c r="Q16" s="476"/>
      <c r="R16" s="179"/>
      <c r="S16" s="543"/>
      <c r="T16" s="386" t="e">
        <f ca="1">VLOOKUP($AD16,'市場監控 '!$E$7:$W$194,6,FALSE)</f>
        <v>#NAME?</v>
      </c>
      <c r="U16" s="386" t="e">
        <f ca="1">VLOOKUP($AD16,'市場監控 '!$E$7:$W$194,7,FALSE)</f>
        <v>#NAME?</v>
      </c>
      <c r="V16" s="387" t="str">
        <f ca="1">VLOOKUP($AD16,'市場監控 '!$E$7:$W$194,8,FALSE)</f>
        <v>-</v>
      </c>
      <c r="W16" s="388" t="str">
        <f ca="1">VLOOKUP($AD16,'市場監控 '!$E$7:$W$194,10,FALSE)</f>
        <v>-</v>
      </c>
      <c r="X16" s="389" t="str">
        <f ca="1">VLOOKUP($AD16,'市場監控 '!$E$7:$W$194,12,FALSE)</f>
        <v>-</v>
      </c>
      <c r="Y16" s="390" t="str">
        <f ca="1">VLOOKUP($AD16,'市場監控 '!$E$7:$W$194,14,FALSE)</f>
        <v>-</v>
      </c>
      <c r="Z16" s="390" t="str">
        <f ca="1">VLOOKUP($AD16,'市場監控 '!$E$7:$W$194,15,FALSE)</f>
        <v>-</v>
      </c>
      <c r="AA16" s="389" t="e">
        <f ca="1">VLOOKUP($AD16,'市場監控 '!$E$7:$W$194,17,FALSE)</f>
        <v>#NAME?</v>
      </c>
      <c r="AB16" s="389" t="e">
        <f ca="1">VLOOKUP($AD16,'市場監控 '!$E$7:$W$194,18,FALSE)</f>
        <v>#NAME?</v>
      </c>
      <c r="AC16" s="389" t="e">
        <f ca="1">VLOOKUP($AD16,'市場監控 '!$E$7:$W$194,19,FALSE)</f>
        <v>#NAME?</v>
      </c>
      <c r="AD16" s="185" t="s">
        <v>1048</v>
      </c>
      <c r="AE16" s="246" t="s">
        <v>1680</v>
      </c>
      <c r="AF16" s="225"/>
      <c r="AG16" s="225"/>
      <c r="AH16" s="476"/>
      <c r="AI16" s="179"/>
      <c r="AJ16" s="505"/>
      <c r="AK16" s="505"/>
      <c r="AL16" s="505"/>
      <c r="AM16" s="505"/>
      <c r="AN16" s="505"/>
      <c r="AO16" s="505"/>
      <c r="AP16" s="505"/>
      <c r="AQ16" s="505"/>
      <c r="AR16" s="505"/>
      <c r="AS16" s="505"/>
      <c r="AT16" s="505"/>
      <c r="AU16" s="505"/>
      <c r="AV16" s="505"/>
      <c r="AW16" s="505"/>
      <c r="AX16" s="443"/>
      <c r="AY16" s="443"/>
      <c r="AZ16" s="476"/>
      <c r="BA16" s="179"/>
      <c r="BB16" s="404" t="e">
        <f ca="1">VLOOKUP($BD16,NI!$B$5:$AL$2030,6,FALSE)</f>
        <v>#NAME?</v>
      </c>
      <c r="BC16" s="404" t="e">
        <f ca="1">VLOOKUP($BD16,NI!$B$37:$AL$2030,2,FALSE)</f>
        <v>#NAME?</v>
      </c>
      <c r="BD16" s="405" t="e">
        <f ca="1">NI!$B74</f>
        <v>#NAME?</v>
      </c>
      <c r="BE16" s="404" t="e">
        <f ca="1">VLOOKUP($BD16,NI!$B$5:$AL$2030,11,FALSE)</f>
        <v>#NAME?</v>
      </c>
      <c r="BF16" s="406" t="e">
        <f ca="1">VLOOKUP($BD16,NI!$B$5:$AL$2030,12,FALSE)/1000000</f>
        <v>#NAME?</v>
      </c>
      <c r="BG16" s="406"/>
      <c r="BH16" s="406" t="str">
        <f ca="1">IF(ISNUMBER(VLOOKUP($BD16,NI!$B$5:$AL$2030,13,FALSE)),VLOOKUP($BD16,NI!$B$5:$AL$2030,13,FALSE),"-")</f>
        <v>-</v>
      </c>
      <c r="BI16" s="407" t="e">
        <f ca="1">VLOOKUP($BD16,NI!$B$5:$AL$2030,4,FALSE)</f>
        <v>#NAME?</v>
      </c>
      <c r="BJ16" s="406" t="e">
        <f ca="1">VLOOKUP($BD16,NI!$B$5:$AL$2030,3,FALSE)</f>
        <v>#NAME?</v>
      </c>
      <c r="BK16" s="408" t="e">
        <f ca="1">VLOOKUP($BD16,NI!$B$5:$AL$2030,4,FALSE)</f>
        <v>#NAME?</v>
      </c>
      <c r="BL16" s="408" t="e">
        <f ca="1">IF(LEFT(VLOOKUP($BD16,NI!$B$5:$AL$2030,31,FALSE),1)="#","-",VLOOKUP($BD16,NI!$B$5:$AL$2030,31,FALSE))</f>
        <v>#NAME?</v>
      </c>
      <c r="BM16" s="408" t="e">
        <f ca="1">IF(LEFT(VLOOKUP($BD16,NI!$B$5:$AL$2030,32,FALSE),1)="#","-",VLOOKUP($BD16,NI!$B$5:$AL$2030,32,FALSE))</f>
        <v>#NAME?</v>
      </c>
      <c r="BN16" s="408" t="e">
        <f ca="1">IF(LEFT(VLOOKUP($BD16,NI!$B$5:$AL$2030,33,FALSE),1)="#","-",VLOOKUP($BD16,NI!$B$5:$AL$2030,33,FALSE))</f>
        <v>#NAME?</v>
      </c>
      <c r="BO16" s="409" t="e">
        <f ca="1">VLOOKUP($BD16,NI!$B$5:$AL$2030,22,FALSE)</f>
        <v>#NAME?</v>
      </c>
      <c r="BR16" s="476"/>
      <c r="BS16" s="179"/>
      <c r="BT16" s="381" t="e">
        <f ca="1">VLOOKUP($BV16,TACT!$A$3:$AH$100,2,FALSE)</f>
        <v>#NAME?</v>
      </c>
      <c r="BU16" s="381" t="e">
        <f ca="1">VLOOKUP($BV16,TACT!$A$3:$AH$100,3,FALSE)</f>
        <v>#NAME?</v>
      </c>
      <c r="BV16" s="381" t="e">
        <f ca="1">TACT!$A11</f>
        <v>#NAME?</v>
      </c>
      <c r="BW16" s="381" t="e">
        <f ca="1">VLOOKUP($BV16,TACT!$A$3:$AH$100,11,FALSE)</f>
        <v>#NAME?</v>
      </c>
      <c r="BX16" s="396" t="e">
        <f ca="1">VLOOKUP($BV16,TACT!$A$3:$AH$100,5,FALSE)</f>
        <v>#NAME?</v>
      </c>
      <c r="BY16" s="397"/>
      <c r="BZ16" s="381" t="e">
        <f ca="1">VLOOKUP($BV16,TACT!$A$3:$AH$100,4,FALSE)</f>
        <v>#NAME?</v>
      </c>
      <c r="CA16" s="396" t="e">
        <f ca="1">VLOOKUP($BV16,TACT!$A$3:$AH$100,21,FALSE)</f>
        <v>#NAME?</v>
      </c>
      <c r="CB16" s="397" t="e">
        <f ca="1">VLOOKUP($BV16,TACT!$A$3:$AH$100,32,FALSE)</f>
        <v>#NAME?</v>
      </c>
      <c r="CC16" s="398" t="e">
        <f ca="1">VLOOKUP($BV16,TACT!$A$3:$AH$100,33,FALSE)</f>
        <v>#NAME?</v>
      </c>
      <c r="CD16" s="381" t="e">
        <f ca="1">IF(LEFT(VLOOKUP($BV16,TACT!$A$3:$AH$100,6,FALSE),1)="#","-",VLOOKUP($BV16,TACT!$A$3:$AH$100,6,FALSE))</f>
        <v>#NAME?</v>
      </c>
      <c r="CE16" s="381" t="e">
        <f ca="1">IF(LEFT(VLOOKUP($BV16,TACT!$A$3:$AH$100,7,FALSE),1)="#","-",VLOOKUP($BV16,TACT!$A$3:$AH$100,7,FALSE))</f>
        <v>#NAME?</v>
      </c>
      <c r="CF16" s="381" t="e">
        <f ca="1">IF(LEFT(VLOOKUP($BV16,TACT!$A$3:$AH$100,8,FALSE),1)="#","-",VLOOKUP($BV16,TACT!$A$3:$AH$100,8,FALSE))</f>
        <v>#NAME?</v>
      </c>
      <c r="CI16" s="476"/>
      <c r="CJ16" s="179"/>
      <c r="CK16" s="531"/>
      <c r="CL16" s="527"/>
      <c r="CM16" s="527"/>
      <c r="CN16" s="528"/>
      <c r="CO16" s="528"/>
      <c r="CP16" s="528"/>
      <c r="CQ16" s="401"/>
      <c r="CR16" s="527"/>
      <c r="CS16" s="527"/>
      <c r="CT16" s="527"/>
      <c r="CU16" s="528"/>
      <c r="CV16" s="528"/>
      <c r="CW16" s="528"/>
      <c r="CX16" s="451"/>
      <c r="CY16" s="451"/>
      <c r="CZ16" s="476"/>
      <c r="DA16" s="179"/>
      <c r="DB16" s="531"/>
      <c r="DC16" s="527"/>
      <c r="DD16" s="527"/>
      <c r="DE16" s="528"/>
      <c r="DF16" s="528"/>
      <c r="DG16" s="528"/>
      <c r="DH16" s="401"/>
      <c r="DI16" s="527"/>
      <c r="DJ16" s="527"/>
      <c r="DK16" s="527"/>
      <c r="DL16" s="528"/>
      <c r="DM16" s="528"/>
      <c r="DN16" s="528"/>
      <c r="DO16" s="451"/>
      <c r="DP16" s="476"/>
      <c r="DQ16" s="179"/>
      <c r="DR16" s="617"/>
      <c r="DS16" s="592"/>
      <c r="DT16" s="592"/>
      <c r="DU16" s="616"/>
      <c r="DV16" s="616"/>
      <c r="DW16" s="616"/>
      <c r="DX16" s="401"/>
      <c r="DY16" s="592"/>
      <c r="DZ16" s="592"/>
      <c r="EA16" s="592"/>
      <c r="EB16" s="616"/>
      <c r="EC16" s="616"/>
      <c r="ED16" s="616"/>
      <c r="EE16" s="476"/>
      <c r="EF16" s="179"/>
      <c r="EG16" s="592"/>
      <c r="EH16" s="592"/>
      <c r="EI16" s="592"/>
      <c r="EJ16" s="593"/>
      <c r="EK16" s="593"/>
      <c r="EL16" s="593"/>
      <c r="EM16" s="401"/>
      <c r="EN16" s="485"/>
      <c r="EO16" s="485"/>
      <c r="EP16" s="485"/>
      <c r="EQ16" s="485"/>
      <c r="ER16" s="485"/>
      <c r="ES16" s="485"/>
      <c r="EV16" s="476"/>
      <c r="EW16" s="179"/>
      <c r="EX16" s="482"/>
      <c r="EY16" s="482"/>
      <c r="EZ16" s="482"/>
      <c r="FA16" s="610"/>
      <c r="FB16" s="610"/>
      <c r="FC16" s="610"/>
      <c r="FD16" s="485"/>
      <c r="FE16" s="485"/>
      <c r="FF16" s="485"/>
      <c r="FG16" s="485"/>
      <c r="FH16" s="485"/>
      <c r="FI16" s="485"/>
      <c r="FJ16" s="485"/>
    </row>
    <row r="17" spans="1:166" ht="22.5" customHeight="1">
      <c r="A17" s="476"/>
      <c r="C17" s="565"/>
      <c r="D17" s="565"/>
      <c r="E17" s="565"/>
      <c r="F17" s="565"/>
      <c r="G17" s="565"/>
      <c r="H17" s="565"/>
      <c r="I17" s="565"/>
      <c r="J17" s="565"/>
      <c r="K17" s="565"/>
      <c r="L17" s="565"/>
      <c r="M17" s="565"/>
      <c r="N17" s="565"/>
      <c r="O17" s="565"/>
      <c r="P17" s="64"/>
      <c r="Q17" s="476"/>
      <c r="R17" s="179"/>
      <c r="S17" s="543"/>
      <c r="T17" s="386" t="e">
        <f ca="1">VLOOKUP($AD17,'市場監控 '!$E$7:$W$194,6,FALSE)</f>
        <v>#NAME?</v>
      </c>
      <c r="U17" s="386" t="e">
        <f ca="1">VLOOKUP($AD17,'市場監控 '!$E$7:$W$194,7,FALSE)</f>
        <v>#NAME?</v>
      </c>
      <c r="V17" s="387" t="str">
        <f ca="1">VLOOKUP($AD17,'市場監控 '!$E$7:$W$194,8,FALSE)</f>
        <v>-</v>
      </c>
      <c r="W17" s="388" t="str">
        <f ca="1">VLOOKUP($AD17,'市場監控 '!$E$7:$W$194,10,FALSE)</f>
        <v>-</v>
      </c>
      <c r="X17" s="389" t="str">
        <f ca="1">VLOOKUP($AD17,'市場監控 '!$E$7:$W$194,12,FALSE)</f>
        <v>-</v>
      </c>
      <c r="Y17" s="390" t="str">
        <f ca="1">VLOOKUP($AD17,'市場監控 '!$E$7:$W$194,14,FALSE)</f>
        <v>-</v>
      </c>
      <c r="Z17" s="390" t="str">
        <f ca="1">VLOOKUP($AD17,'市場監控 '!$E$7:$W$194,15,FALSE)</f>
        <v>-</v>
      </c>
      <c r="AA17" s="389" t="e">
        <f ca="1">VLOOKUP($AD17,'市場監控 '!$E$7:$W$194,17,FALSE)</f>
        <v>#NAME?</v>
      </c>
      <c r="AB17" s="389" t="e">
        <f ca="1">VLOOKUP($AD17,'市場監控 '!$E$7:$W$194,18,FALSE)</f>
        <v>#NAME?</v>
      </c>
      <c r="AC17" s="389" t="e">
        <f ca="1">VLOOKUP($AD17,'市場監控 '!$E$7:$W$194,19,FALSE)</f>
        <v>#NAME?</v>
      </c>
      <c r="AD17" s="185" t="s">
        <v>1199</v>
      </c>
      <c r="AE17" s="246" t="s">
        <v>1682</v>
      </c>
      <c r="AF17" s="225"/>
      <c r="AG17" s="225"/>
      <c r="AH17" s="476"/>
      <c r="AI17" s="179"/>
      <c r="AJ17" s="505"/>
      <c r="AK17" s="505"/>
      <c r="AL17" s="505"/>
      <c r="AM17" s="505"/>
      <c r="AN17" s="505"/>
      <c r="AO17" s="505"/>
      <c r="AP17" s="505"/>
      <c r="AQ17" s="505"/>
      <c r="AR17" s="505"/>
      <c r="AS17" s="505"/>
      <c r="AT17" s="505"/>
      <c r="AU17" s="505"/>
      <c r="AV17" s="505"/>
      <c r="AW17" s="505"/>
      <c r="AX17" s="443"/>
      <c r="AY17" s="443"/>
      <c r="AZ17" s="476"/>
      <c r="BA17" s="179"/>
      <c r="BB17" s="404" t="e">
        <f ca="1">VLOOKUP($BD17,NI!$B$5:$AL$2030,6,FALSE)</f>
        <v>#NAME?</v>
      </c>
      <c r="BC17" s="404" t="e">
        <f ca="1">VLOOKUP($BD17,NI!$B$37:$AL$2030,2,FALSE)</f>
        <v>#NAME?</v>
      </c>
      <c r="BD17" s="405" t="e">
        <f ca="1">NI!$B75</f>
        <v>#NAME?</v>
      </c>
      <c r="BE17" s="404" t="e">
        <f ca="1">VLOOKUP($BD17,NI!$B$5:$AL$2030,11,FALSE)</f>
        <v>#NAME?</v>
      </c>
      <c r="BF17" s="406" t="e">
        <f ca="1">VLOOKUP($BD17,NI!$B$5:$AL$2030,12,FALSE)/1000000</f>
        <v>#NAME?</v>
      </c>
      <c r="BG17" s="406"/>
      <c r="BH17" s="406" t="str">
        <f ca="1">IF(ISNUMBER(VLOOKUP($BD17,NI!$B$5:$AL$2030,13,FALSE)),VLOOKUP($BD17,NI!$B$5:$AL$2030,13,FALSE),"-")</f>
        <v>-</v>
      </c>
      <c r="BI17" s="407" t="e">
        <f ca="1">VLOOKUP($BD17,NI!$B$5:$AL$2030,4,FALSE)</f>
        <v>#NAME?</v>
      </c>
      <c r="BJ17" s="406" t="e">
        <f ca="1">VLOOKUP($BD17,NI!$B$5:$AL$2030,3,FALSE)</f>
        <v>#NAME?</v>
      </c>
      <c r="BK17" s="408" t="e">
        <f ca="1">VLOOKUP($BD17,NI!$B$5:$AL$2030,4,FALSE)</f>
        <v>#NAME?</v>
      </c>
      <c r="BL17" s="408" t="e">
        <f ca="1">IF(LEFT(VLOOKUP($BD17,NI!$B$5:$AL$2030,31,FALSE),1)="#","-",VLOOKUP($BD17,NI!$B$5:$AL$2030,31,FALSE))</f>
        <v>#NAME?</v>
      </c>
      <c r="BM17" s="408" t="e">
        <f ca="1">IF(LEFT(VLOOKUP($BD17,NI!$B$5:$AL$2030,32,FALSE),1)="#","-",VLOOKUP($BD17,NI!$B$5:$AL$2030,32,FALSE))</f>
        <v>#NAME?</v>
      </c>
      <c r="BN17" s="408" t="e">
        <f ca="1">IF(LEFT(VLOOKUP($BD17,NI!$B$5:$AL$2030,33,FALSE),1)="#","-",VLOOKUP($BD17,NI!$B$5:$AL$2030,33,FALSE))</f>
        <v>#NAME?</v>
      </c>
      <c r="BO17" s="409" t="e">
        <f ca="1">VLOOKUP($BD17,NI!$B$5:$AL$2030,22,FALSE)</f>
        <v>#NAME?</v>
      </c>
      <c r="BR17" s="476"/>
      <c r="BS17" s="179"/>
      <c r="BT17" s="381" t="e">
        <f ca="1">VLOOKUP($BV17,TACT!$A$3:$AH$100,2,FALSE)</f>
        <v>#NAME?</v>
      </c>
      <c r="BU17" s="381" t="e">
        <f ca="1">VLOOKUP($BV17,TACT!$A$3:$AH$100,3,FALSE)</f>
        <v>#NAME?</v>
      </c>
      <c r="BV17" s="381" t="e">
        <f ca="1">TACT!$A12</f>
        <v>#NAME?</v>
      </c>
      <c r="BW17" s="381" t="e">
        <f ca="1">VLOOKUP($BV17,TACT!$A$3:$AH$100,11,FALSE)</f>
        <v>#NAME?</v>
      </c>
      <c r="BX17" s="396" t="e">
        <f ca="1">VLOOKUP($BV17,TACT!$A$3:$AH$100,5,FALSE)</f>
        <v>#NAME?</v>
      </c>
      <c r="BY17" s="397"/>
      <c r="BZ17" s="381" t="e">
        <f ca="1">VLOOKUP($BV17,TACT!$A$3:$AH$100,4,FALSE)</f>
        <v>#NAME?</v>
      </c>
      <c r="CA17" s="396" t="e">
        <f ca="1">VLOOKUP($BV17,TACT!$A$3:$AH$100,21,FALSE)</f>
        <v>#NAME?</v>
      </c>
      <c r="CB17" s="397" t="e">
        <f ca="1">VLOOKUP($BV17,TACT!$A$3:$AH$100,32,FALSE)</f>
        <v>#NAME?</v>
      </c>
      <c r="CC17" s="398" t="e">
        <f ca="1">VLOOKUP($BV17,TACT!$A$3:$AH$100,33,FALSE)</f>
        <v>#NAME?</v>
      </c>
      <c r="CD17" s="381" t="e">
        <f ca="1">IF(LEFT(VLOOKUP($BV17,TACT!$A$3:$AH$100,6,FALSE),1)="#","-",VLOOKUP($BV17,TACT!$A$3:$AH$100,6,FALSE))</f>
        <v>#NAME?</v>
      </c>
      <c r="CE17" s="381" t="e">
        <f ca="1">IF(LEFT(VLOOKUP($BV17,TACT!$A$3:$AH$100,7,FALSE),1)="#","-",VLOOKUP($BV17,TACT!$A$3:$AH$100,7,FALSE))</f>
        <v>#NAME?</v>
      </c>
      <c r="CF17" s="381" t="e">
        <f ca="1">IF(LEFT(VLOOKUP($BV17,TACT!$A$3:$AH$100,8,FALSE),1)="#","-",VLOOKUP($BV17,TACT!$A$3:$AH$100,8,FALSE))</f>
        <v>#NAME?</v>
      </c>
      <c r="CI17" s="476"/>
      <c r="CJ17" s="179"/>
      <c r="CK17" s="531"/>
      <c r="CL17" s="527"/>
      <c r="CM17" s="527"/>
      <c r="CN17" s="528"/>
      <c r="CO17" s="528"/>
      <c r="CP17" s="528"/>
      <c r="CQ17" s="401"/>
      <c r="CR17" s="527"/>
      <c r="CS17" s="527"/>
      <c r="CT17" s="527"/>
      <c r="CU17" s="528"/>
      <c r="CV17" s="528"/>
      <c r="CW17" s="528"/>
      <c r="CX17" s="451"/>
      <c r="CY17" s="451"/>
      <c r="CZ17" s="476"/>
      <c r="DA17" s="179"/>
      <c r="DB17" s="531"/>
      <c r="DC17" s="527"/>
      <c r="DD17" s="527"/>
      <c r="DE17" s="528"/>
      <c r="DF17" s="528"/>
      <c r="DG17" s="528"/>
      <c r="DH17" s="401"/>
      <c r="DI17" s="527"/>
      <c r="DJ17" s="527"/>
      <c r="DK17" s="527"/>
      <c r="DL17" s="528"/>
      <c r="DM17" s="528"/>
      <c r="DN17" s="528"/>
      <c r="DO17" s="451"/>
      <c r="DP17" s="476"/>
      <c r="DQ17" s="179"/>
      <c r="DR17" s="617"/>
      <c r="DS17" s="592"/>
      <c r="DT17" s="592"/>
      <c r="DU17" s="616"/>
      <c r="DV17" s="616"/>
      <c r="DW17" s="616"/>
      <c r="DX17" s="401"/>
      <c r="DY17" s="592"/>
      <c r="DZ17" s="592"/>
      <c r="EA17" s="592"/>
      <c r="EB17" s="616"/>
      <c r="EC17" s="616"/>
      <c r="ED17" s="616"/>
      <c r="EE17" s="476"/>
      <c r="EF17" s="179"/>
      <c r="EG17" s="592"/>
      <c r="EH17" s="592"/>
      <c r="EI17" s="592"/>
      <c r="EJ17" s="593"/>
      <c r="EK17" s="593"/>
      <c r="EL17" s="593"/>
      <c r="EM17" s="401"/>
      <c r="EN17" s="485"/>
      <c r="EO17" s="485"/>
      <c r="EP17" s="485"/>
      <c r="EQ17" s="485"/>
      <c r="ER17" s="485"/>
      <c r="ES17" s="485"/>
      <c r="EV17" s="476"/>
      <c r="EW17" s="179"/>
      <c r="EX17" s="481" t="s">
        <v>3215</v>
      </c>
      <c r="EY17" s="604"/>
      <c r="EZ17" s="481" t="s">
        <v>3212</v>
      </c>
      <c r="FA17" s="609" t="s">
        <v>3216</v>
      </c>
      <c r="FB17" s="610"/>
      <c r="FC17" s="610"/>
      <c r="FD17" s="611" t="s">
        <v>3217</v>
      </c>
      <c r="FE17" s="612"/>
      <c r="FF17" s="612"/>
      <c r="FG17" s="612"/>
      <c r="FH17" s="614" t="s">
        <v>3218</v>
      </c>
      <c r="FI17" s="485"/>
      <c r="FJ17" s="485"/>
    </row>
    <row r="18" spans="1:166" ht="22.5" customHeight="1">
      <c r="A18" s="476"/>
      <c r="C18" s="565"/>
      <c r="D18" s="565"/>
      <c r="E18" s="565"/>
      <c r="F18" s="565"/>
      <c r="G18" s="565"/>
      <c r="H18" s="565"/>
      <c r="I18" s="565"/>
      <c r="J18" s="565"/>
      <c r="K18" s="565"/>
      <c r="L18" s="565"/>
      <c r="M18" s="565"/>
      <c r="N18" s="565"/>
      <c r="O18" s="565"/>
      <c r="P18" s="64"/>
      <c r="Q18" s="476"/>
      <c r="R18" s="179"/>
      <c r="S18" s="543"/>
      <c r="T18" s="386" t="e">
        <f ca="1">VLOOKUP($AD18,'市場監控 '!$E$7:$W$194,6,FALSE)</f>
        <v>#NAME?</v>
      </c>
      <c r="U18" s="386" t="e">
        <f ca="1">VLOOKUP($AD18,'市場監控 '!$E$7:$W$194,7,FALSE)</f>
        <v>#NAME?</v>
      </c>
      <c r="V18" s="387" t="str">
        <f ca="1">VLOOKUP($AD18,'市場監控 '!$E$7:$W$194,8,FALSE)</f>
        <v>-</v>
      </c>
      <c r="W18" s="388" t="str">
        <f ca="1">VLOOKUP($AD18,'市場監控 '!$E$7:$W$194,10,FALSE)</f>
        <v>-</v>
      </c>
      <c r="X18" s="389" t="str">
        <f ca="1">VLOOKUP($AD18,'市場監控 '!$E$7:$W$194,12,FALSE)</f>
        <v>-</v>
      </c>
      <c r="Y18" s="390" t="str">
        <f ca="1">VLOOKUP($AD18,'市場監控 '!$E$7:$W$194,14,FALSE)</f>
        <v>-</v>
      </c>
      <c r="Z18" s="390" t="str">
        <f ca="1">VLOOKUP($AD18,'市場監控 '!$E$7:$W$194,15,FALSE)</f>
        <v>-</v>
      </c>
      <c r="AA18" s="389" t="e">
        <f ca="1">VLOOKUP($AD18,'市場監控 '!$E$7:$W$194,17,FALSE)</f>
        <v>#NAME?</v>
      </c>
      <c r="AB18" s="389" t="e">
        <f ca="1">VLOOKUP($AD18,'市場監控 '!$E$7:$W$194,18,FALSE)</f>
        <v>#NAME?</v>
      </c>
      <c r="AC18" s="389" t="e">
        <f ca="1">VLOOKUP($AD18,'市場監控 '!$E$7:$W$194,19,FALSE)</f>
        <v>#NAME?</v>
      </c>
      <c r="AD18" s="185" t="s">
        <v>1050</v>
      </c>
      <c r="AE18" s="246" t="s">
        <v>1684</v>
      </c>
      <c r="AF18" s="225"/>
      <c r="AG18" s="225"/>
      <c r="AH18" s="476"/>
      <c r="AI18" s="179"/>
      <c r="AJ18" s="505"/>
      <c r="AK18" s="505"/>
      <c r="AL18" s="505"/>
      <c r="AM18" s="505"/>
      <c r="AN18" s="505"/>
      <c r="AO18" s="505"/>
      <c r="AP18" s="505"/>
      <c r="AQ18" s="505"/>
      <c r="AR18" s="505"/>
      <c r="AS18" s="505"/>
      <c r="AT18" s="505"/>
      <c r="AU18" s="505"/>
      <c r="AV18" s="505"/>
      <c r="AW18" s="505"/>
      <c r="AX18" s="443"/>
      <c r="AY18" s="443"/>
      <c r="AZ18" s="476"/>
      <c r="BA18" s="179"/>
      <c r="BB18" s="404" t="e">
        <f ca="1">VLOOKUP($BD18,NI!$B$5:$AL$2030,6,FALSE)</f>
        <v>#NAME?</v>
      </c>
      <c r="BC18" s="404" t="e">
        <f ca="1">VLOOKUP($BD18,NI!$B$37:$AL$2030,2,FALSE)</f>
        <v>#NAME?</v>
      </c>
      <c r="BD18" s="405" t="e">
        <f ca="1">NI!$B76</f>
        <v>#NAME?</v>
      </c>
      <c r="BE18" s="404" t="e">
        <f ca="1">VLOOKUP($BD18,NI!$B$5:$AL$2030,11,FALSE)</f>
        <v>#NAME?</v>
      </c>
      <c r="BF18" s="406" t="e">
        <f ca="1">VLOOKUP($BD18,NI!$B$5:$AL$2030,12,FALSE)/1000000</f>
        <v>#NAME?</v>
      </c>
      <c r="BG18" s="406"/>
      <c r="BH18" s="406" t="str">
        <f ca="1">IF(ISNUMBER(VLOOKUP($BD18,NI!$B$5:$AL$2030,13,FALSE)),VLOOKUP($BD18,NI!$B$5:$AL$2030,13,FALSE),"-")</f>
        <v>-</v>
      </c>
      <c r="BI18" s="407" t="e">
        <f ca="1">VLOOKUP($BD18,NI!$B$5:$AL$2030,4,FALSE)</f>
        <v>#NAME?</v>
      </c>
      <c r="BJ18" s="406" t="e">
        <f ca="1">VLOOKUP($BD18,NI!$B$5:$AL$2030,3,FALSE)</f>
        <v>#NAME?</v>
      </c>
      <c r="BK18" s="408" t="e">
        <f ca="1">VLOOKUP($BD18,NI!$B$5:$AL$2030,4,FALSE)</f>
        <v>#NAME?</v>
      </c>
      <c r="BL18" s="408" t="e">
        <f ca="1">IF(LEFT(VLOOKUP($BD18,NI!$B$5:$AL$2030,31,FALSE),1)="#","-",VLOOKUP($BD18,NI!$B$5:$AL$2030,31,FALSE))</f>
        <v>#NAME?</v>
      </c>
      <c r="BM18" s="408" t="e">
        <f ca="1">IF(LEFT(VLOOKUP($BD18,NI!$B$5:$AL$2030,32,FALSE),1)="#","-",VLOOKUP($BD18,NI!$B$5:$AL$2030,32,FALSE))</f>
        <v>#NAME?</v>
      </c>
      <c r="BN18" s="408" t="e">
        <f ca="1">IF(LEFT(VLOOKUP($BD18,NI!$B$5:$AL$2030,33,FALSE),1)="#","-",VLOOKUP($BD18,NI!$B$5:$AL$2030,33,FALSE))</f>
        <v>#NAME?</v>
      </c>
      <c r="BO18" s="409" t="e">
        <f ca="1">VLOOKUP($BD18,NI!$B$5:$AL$2030,22,FALSE)</f>
        <v>#NAME?</v>
      </c>
      <c r="BR18" s="476"/>
      <c r="BS18" s="179"/>
      <c r="BT18" s="381" t="e">
        <f ca="1">VLOOKUP($BV18,TACT!$A$3:$AH$100,2,FALSE)</f>
        <v>#NAME?</v>
      </c>
      <c r="BU18" s="381" t="e">
        <f ca="1">VLOOKUP($BV18,TACT!$A$3:$AH$100,3,FALSE)</f>
        <v>#NAME?</v>
      </c>
      <c r="BV18" s="381" t="e">
        <f ca="1">TACT!$A13</f>
        <v>#NAME?</v>
      </c>
      <c r="BW18" s="381" t="e">
        <f ca="1">VLOOKUP($BV18,TACT!$A$3:$AH$100,11,FALSE)</f>
        <v>#NAME?</v>
      </c>
      <c r="BX18" s="396" t="e">
        <f ca="1">VLOOKUP($BV18,TACT!$A$3:$AH$100,5,FALSE)</f>
        <v>#NAME?</v>
      </c>
      <c r="BY18" s="397"/>
      <c r="BZ18" s="381" t="e">
        <f ca="1">VLOOKUP($BV18,TACT!$A$3:$AH$100,4,FALSE)</f>
        <v>#NAME?</v>
      </c>
      <c r="CA18" s="396" t="e">
        <f ca="1">VLOOKUP($BV18,TACT!$A$3:$AH$100,21,FALSE)</f>
        <v>#NAME?</v>
      </c>
      <c r="CB18" s="397" t="e">
        <f ca="1">VLOOKUP($BV18,TACT!$A$3:$AH$100,32,FALSE)</f>
        <v>#NAME?</v>
      </c>
      <c r="CC18" s="398" t="e">
        <f ca="1">VLOOKUP($BV18,TACT!$A$3:$AH$100,33,FALSE)</f>
        <v>#NAME?</v>
      </c>
      <c r="CD18" s="381" t="e">
        <f ca="1">IF(LEFT(VLOOKUP($BV18,TACT!$A$3:$AH$100,6,FALSE),1)="#","-",VLOOKUP($BV18,TACT!$A$3:$AH$100,6,FALSE))</f>
        <v>#NAME?</v>
      </c>
      <c r="CE18" s="381" t="e">
        <f ca="1">IF(LEFT(VLOOKUP($BV18,TACT!$A$3:$AH$100,7,FALSE),1)="#","-",VLOOKUP($BV18,TACT!$A$3:$AH$100,7,FALSE))</f>
        <v>#NAME?</v>
      </c>
      <c r="CF18" s="381" t="e">
        <f ca="1">IF(LEFT(VLOOKUP($BV18,TACT!$A$3:$AH$100,8,FALSE),1)="#","-",VLOOKUP($BV18,TACT!$A$3:$AH$100,8,FALSE))</f>
        <v>#NAME?</v>
      </c>
      <c r="CI18" s="476"/>
      <c r="CJ18" s="179"/>
      <c r="CK18" s="531"/>
      <c r="CL18" s="527"/>
      <c r="CM18" s="527"/>
      <c r="CN18" s="528"/>
      <c r="CO18" s="528"/>
      <c r="CP18" s="528"/>
      <c r="CQ18" s="401"/>
      <c r="CR18" s="527"/>
      <c r="CS18" s="527"/>
      <c r="CT18" s="527"/>
      <c r="CU18" s="528"/>
      <c r="CV18" s="528"/>
      <c r="CW18" s="528"/>
      <c r="CX18" s="451"/>
      <c r="CY18" s="451"/>
      <c r="CZ18" s="476"/>
      <c r="DA18" s="179"/>
      <c r="DB18" s="531"/>
      <c r="DC18" s="527"/>
      <c r="DD18" s="527"/>
      <c r="DE18" s="528"/>
      <c r="DF18" s="528"/>
      <c r="DG18" s="528"/>
      <c r="DH18" s="401"/>
      <c r="DI18" s="527"/>
      <c r="DJ18" s="527"/>
      <c r="DK18" s="527"/>
      <c r="DL18" s="528"/>
      <c r="DM18" s="528"/>
      <c r="DN18" s="528"/>
      <c r="DO18" s="451"/>
      <c r="DP18" s="476"/>
      <c r="DQ18" s="179"/>
      <c r="DR18" s="617"/>
      <c r="DS18" s="592"/>
      <c r="DT18" s="592"/>
      <c r="DU18" s="616"/>
      <c r="DV18" s="616"/>
      <c r="DW18" s="616"/>
      <c r="DX18" s="401"/>
      <c r="DY18" s="592"/>
      <c r="DZ18" s="592"/>
      <c r="EA18" s="592"/>
      <c r="EB18" s="616"/>
      <c r="EC18" s="616"/>
      <c r="ED18" s="616"/>
      <c r="EE18" s="476"/>
      <c r="EF18" s="179"/>
      <c r="EG18" s="592"/>
      <c r="EH18" s="592"/>
      <c r="EI18" s="592"/>
      <c r="EJ18" s="593"/>
      <c r="EK18" s="593"/>
      <c r="EL18" s="593"/>
      <c r="EM18" s="401"/>
      <c r="EN18" s="483" t="s">
        <v>3120</v>
      </c>
      <c r="EO18" s="483">
        <v>10</v>
      </c>
      <c r="EP18" s="483">
        <v>2</v>
      </c>
      <c r="EQ18" s="483">
        <v>10</v>
      </c>
      <c r="ER18" s="483" t="s">
        <v>3126</v>
      </c>
      <c r="ES18" s="485"/>
      <c r="EV18" s="476"/>
      <c r="EW18" s="179"/>
      <c r="EX18" s="604"/>
      <c r="EY18" s="604"/>
      <c r="EZ18" s="604"/>
      <c r="FA18" s="610"/>
      <c r="FB18" s="610"/>
      <c r="FC18" s="610"/>
      <c r="FD18" s="612"/>
      <c r="FE18" s="612"/>
      <c r="FF18" s="612"/>
      <c r="FG18" s="612"/>
      <c r="FH18" s="485"/>
      <c r="FI18" s="485"/>
      <c r="FJ18" s="485"/>
    </row>
    <row r="19" spans="1:166" ht="22.5" customHeight="1">
      <c r="A19" s="476"/>
      <c r="C19" s="565"/>
      <c r="D19" s="565"/>
      <c r="E19" s="565"/>
      <c r="F19" s="565"/>
      <c r="G19" s="565"/>
      <c r="H19" s="565"/>
      <c r="I19" s="565"/>
      <c r="J19" s="565"/>
      <c r="K19" s="565"/>
      <c r="L19" s="565"/>
      <c r="M19" s="565"/>
      <c r="N19" s="565"/>
      <c r="O19" s="565"/>
      <c r="P19" s="64"/>
      <c r="Q19" s="476"/>
      <c r="R19" s="179"/>
      <c r="S19" s="543"/>
      <c r="T19" s="386" t="e">
        <f ca="1">VLOOKUP($AD19,'市場監控 '!$E$7:$W$194,6,FALSE)</f>
        <v>#NAME?</v>
      </c>
      <c r="U19" s="386" t="e">
        <f ca="1">VLOOKUP($AD19,'市場監控 '!$E$7:$W$194,7,FALSE)</f>
        <v>#NAME?</v>
      </c>
      <c r="V19" s="387" t="str">
        <f ca="1">VLOOKUP($AD19,'市場監控 '!$E$7:$W$194,8,FALSE)</f>
        <v>-</v>
      </c>
      <c r="W19" s="388" t="str">
        <f ca="1">VLOOKUP($AD19,'市場監控 '!$E$7:$W$194,10,FALSE)</f>
        <v>-</v>
      </c>
      <c r="X19" s="389" t="str">
        <f ca="1">VLOOKUP($AD19,'市場監控 '!$E$7:$W$194,12,FALSE)</f>
        <v>-</v>
      </c>
      <c r="Y19" s="390" t="str">
        <f ca="1">VLOOKUP($AD19,'市場監控 '!$E$7:$W$194,14,FALSE)</f>
        <v>-</v>
      </c>
      <c r="Z19" s="390" t="str">
        <f ca="1">VLOOKUP($AD19,'市場監控 '!$E$7:$W$194,15,FALSE)</f>
        <v>-</v>
      </c>
      <c r="AA19" s="389" t="e">
        <f ca="1">VLOOKUP($AD19,'市場監控 '!$E$7:$W$194,17,FALSE)</f>
        <v>#NAME?</v>
      </c>
      <c r="AB19" s="389" t="e">
        <f ca="1">VLOOKUP($AD19,'市場監控 '!$E$7:$W$194,18,FALSE)</f>
        <v>#NAME?</v>
      </c>
      <c r="AC19" s="389" t="e">
        <f ca="1">VLOOKUP($AD19,'市場監控 '!$E$7:$W$194,19,FALSE)</f>
        <v>#NAME?</v>
      </c>
      <c r="AD19" s="185" t="s">
        <v>1201</v>
      </c>
      <c r="AE19" s="246" t="s">
        <v>1686</v>
      </c>
      <c r="AF19" s="225"/>
      <c r="AG19" s="225"/>
      <c r="AH19" s="476"/>
      <c r="AI19" s="179"/>
      <c r="AJ19" s="505"/>
      <c r="AK19" s="505"/>
      <c r="AL19" s="505"/>
      <c r="AM19" s="505"/>
      <c r="AN19" s="505"/>
      <c r="AO19" s="505"/>
      <c r="AP19" s="505"/>
      <c r="AQ19" s="505"/>
      <c r="AR19" s="505"/>
      <c r="AS19" s="505"/>
      <c r="AT19" s="505"/>
      <c r="AU19" s="505"/>
      <c r="AV19" s="505"/>
      <c r="AW19" s="505"/>
      <c r="AX19" s="443"/>
      <c r="AY19" s="443"/>
      <c r="AZ19" s="476"/>
      <c r="BA19" s="179"/>
      <c r="BB19" s="404" t="e">
        <f ca="1">VLOOKUP($BD19,NI!$B$5:$AL$2030,6,FALSE)</f>
        <v>#NAME?</v>
      </c>
      <c r="BC19" s="404" t="e">
        <f ca="1">VLOOKUP($BD19,NI!$B$37:$AL$2030,2,FALSE)</f>
        <v>#NAME?</v>
      </c>
      <c r="BD19" s="405" t="e">
        <f ca="1">NI!$B77</f>
        <v>#NAME?</v>
      </c>
      <c r="BE19" s="404" t="e">
        <f ca="1">VLOOKUP($BD19,NI!$B$5:$AL$2030,11,FALSE)</f>
        <v>#NAME?</v>
      </c>
      <c r="BF19" s="406" t="e">
        <f ca="1">VLOOKUP($BD19,NI!$B$5:$AL$2030,12,FALSE)/1000000</f>
        <v>#NAME?</v>
      </c>
      <c r="BG19" s="406"/>
      <c r="BH19" s="406" t="str">
        <f ca="1">IF(ISNUMBER(VLOOKUP($BD19,NI!$B$5:$AL$2030,13,FALSE)),VLOOKUP($BD19,NI!$B$5:$AL$2030,13,FALSE),"-")</f>
        <v>-</v>
      </c>
      <c r="BI19" s="407" t="e">
        <f ca="1">VLOOKUP($BD19,NI!$B$5:$AL$2030,4,FALSE)</f>
        <v>#NAME?</v>
      </c>
      <c r="BJ19" s="406" t="e">
        <f ca="1">VLOOKUP($BD19,NI!$B$5:$AL$2030,3,FALSE)</f>
        <v>#NAME?</v>
      </c>
      <c r="BK19" s="408" t="e">
        <f ca="1">VLOOKUP($BD19,NI!$B$5:$AL$2030,4,FALSE)</f>
        <v>#NAME?</v>
      </c>
      <c r="BL19" s="408" t="e">
        <f ca="1">IF(LEFT(VLOOKUP($BD19,NI!$B$5:$AL$2030,31,FALSE),1)="#","-",VLOOKUP($BD19,NI!$B$5:$AL$2030,31,FALSE))</f>
        <v>#NAME?</v>
      </c>
      <c r="BM19" s="408" t="e">
        <f ca="1">IF(LEFT(VLOOKUP($BD19,NI!$B$5:$AL$2030,32,FALSE),1)="#","-",VLOOKUP($BD19,NI!$B$5:$AL$2030,32,FALSE))</f>
        <v>#NAME?</v>
      </c>
      <c r="BN19" s="408" t="e">
        <f ca="1">IF(LEFT(VLOOKUP($BD19,NI!$B$5:$AL$2030,33,FALSE),1)="#","-",VLOOKUP($BD19,NI!$B$5:$AL$2030,33,FALSE))</f>
        <v>#NAME?</v>
      </c>
      <c r="BO19" s="409" t="e">
        <f ca="1">VLOOKUP($BD19,NI!$B$5:$AL$2030,22,FALSE)</f>
        <v>#NAME?</v>
      </c>
      <c r="BR19" s="476"/>
      <c r="BS19" s="179"/>
      <c r="BT19" s="381" t="e">
        <f ca="1">VLOOKUP($BV19,TACT!$A$3:$AH$100,2,FALSE)</f>
        <v>#NAME?</v>
      </c>
      <c r="BU19" s="381" t="e">
        <f ca="1">VLOOKUP($BV19,TACT!$A$3:$AH$100,3,FALSE)</f>
        <v>#NAME?</v>
      </c>
      <c r="BV19" s="381" t="e">
        <f ca="1">TACT!$A14</f>
        <v>#NAME?</v>
      </c>
      <c r="BW19" s="381" t="e">
        <f ca="1">VLOOKUP($BV19,TACT!$A$3:$AH$100,11,FALSE)</f>
        <v>#NAME?</v>
      </c>
      <c r="BX19" s="396" t="e">
        <f ca="1">VLOOKUP($BV19,TACT!$A$3:$AH$100,5,FALSE)</f>
        <v>#NAME?</v>
      </c>
      <c r="BY19" s="397"/>
      <c r="BZ19" s="381" t="e">
        <f ca="1">VLOOKUP($BV19,TACT!$A$3:$AH$100,4,FALSE)</f>
        <v>#NAME?</v>
      </c>
      <c r="CA19" s="396" t="e">
        <f ca="1">VLOOKUP($BV19,TACT!$A$3:$AH$100,21,FALSE)</f>
        <v>#NAME?</v>
      </c>
      <c r="CB19" s="397" t="e">
        <f ca="1">VLOOKUP($BV19,TACT!$A$3:$AH$100,32,FALSE)</f>
        <v>#NAME?</v>
      </c>
      <c r="CC19" s="398" t="e">
        <f ca="1">VLOOKUP($BV19,TACT!$A$3:$AH$100,33,FALSE)</f>
        <v>#NAME?</v>
      </c>
      <c r="CD19" s="381" t="e">
        <f ca="1">IF(LEFT(VLOOKUP($BV19,TACT!$A$3:$AH$100,6,FALSE),1)="#","-",VLOOKUP($BV19,TACT!$A$3:$AH$100,6,FALSE))</f>
        <v>#NAME?</v>
      </c>
      <c r="CE19" s="381" t="e">
        <f ca="1">IF(LEFT(VLOOKUP($BV19,TACT!$A$3:$AH$100,7,FALSE),1)="#","-",VLOOKUP($BV19,TACT!$A$3:$AH$100,7,FALSE))</f>
        <v>#NAME?</v>
      </c>
      <c r="CF19" s="381" t="e">
        <f ca="1">IF(LEFT(VLOOKUP($BV19,TACT!$A$3:$AH$100,8,FALSE),1)="#","-",VLOOKUP($BV19,TACT!$A$3:$AH$100,8,FALSE))</f>
        <v>#NAME?</v>
      </c>
      <c r="CI19" s="476"/>
      <c r="CJ19" s="179"/>
      <c r="CK19" s="531"/>
      <c r="CL19" s="527"/>
      <c r="CM19" s="527"/>
      <c r="CN19" s="528"/>
      <c r="CO19" s="528"/>
      <c r="CP19" s="528"/>
      <c r="CQ19" s="401"/>
      <c r="CR19" s="527"/>
      <c r="CS19" s="527"/>
      <c r="CT19" s="527"/>
      <c r="CU19" s="528"/>
      <c r="CV19" s="528"/>
      <c r="CW19" s="528"/>
      <c r="CX19" s="451"/>
      <c r="CY19" s="451"/>
      <c r="CZ19" s="476"/>
      <c r="DA19" s="179"/>
      <c r="DB19" s="531"/>
      <c r="DC19" s="527"/>
      <c r="DD19" s="527"/>
      <c r="DE19" s="528"/>
      <c r="DF19" s="528"/>
      <c r="DG19" s="528"/>
      <c r="DH19" s="401"/>
      <c r="DI19" s="527"/>
      <c r="DJ19" s="527"/>
      <c r="DK19" s="527"/>
      <c r="DL19" s="528"/>
      <c r="DM19" s="528"/>
      <c r="DN19" s="528"/>
      <c r="DO19" s="451"/>
      <c r="DP19" s="476"/>
      <c r="DQ19" s="179"/>
      <c r="DR19" s="617"/>
      <c r="DS19" s="592"/>
      <c r="DT19" s="592"/>
      <c r="DU19" s="616"/>
      <c r="DV19" s="616"/>
      <c r="DW19" s="616"/>
      <c r="DX19" s="401"/>
      <c r="DY19" s="592"/>
      <c r="DZ19" s="592"/>
      <c r="EA19" s="592"/>
      <c r="EB19" s="616"/>
      <c r="EC19" s="616"/>
      <c r="ED19" s="616"/>
      <c r="EE19" s="476"/>
      <c r="EF19" s="179"/>
      <c r="EG19" s="592"/>
      <c r="EH19" s="592"/>
      <c r="EI19" s="592"/>
      <c r="EJ19" s="593"/>
      <c r="EK19" s="593"/>
      <c r="EL19" s="593"/>
      <c r="EM19" s="401"/>
      <c r="EN19" s="580"/>
      <c r="EO19" s="485"/>
      <c r="EP19" s="485"/>
      <c r="EQ19" s="485"/>
      <c r="ER19" s="485"/>
      <c r="ES19" s="485"/>
      <c r="EV19" s="476"/>
      <c r="EW19" s="179"/>
      <c r="EX19" s="604"/>
      <c r="EY19" s="604"/>
      <c r="EZ19" s="604"/>
      <c r="FA19" s="610"/>
      <c r="FB19" s="610"/>
      <c r="FC19" s="610"/>
      <c r="FD19" s="612"/>
      <c r="FE19" s="612"/>
      <c r="FF19" s="612"/>
      <c r="FG19" s="612"/>
      <c r="FH19" s="485"/>
      <c r="FI19" s="485"/>
      <c r="FJ19" s="485"/>
    </row>
    <row r="20" spans="1:166" ht="22.5" customHeight="1">
      <c r="A20" s="476"/>
      <c r="C20" s="565"/>
      <c r="D20" s="565"/>
      <c r="E20" s="565"/>
      <c r="F20" s="565"/>
      <c r="G20" s="565"/>
      <c r="H20" s="565"/>
      <c r="I20" s="565"/>
      <c r="J20" s="565"/>
      <c r="K20" s="565"/>
      <c r="L20" s="565"/>
      <c r="M20" s="565"/>
      <c r="N20" s="565"/>
      <c r="O20" s="565"/>
      <c r="P20" s="64"/>
      <c r="Q20" s="476"/>
      <c r="R20" s="179"/>
      <c r="S20" s="543"/>
      <c r="T20" s="386" t="e">
        <f ca="1">VLOOKUP($AD20,'市場監控 '!$E$7:$W$194,6,FALSE)</f>
        <v>#NAME?</v>
      </c>
      <c r="U20" s="386" t="e">
        <f ca="1">VLOOKUP($AD20,'市場監控 '!$E$7:$W$194,7,FALSE)</f>
        <v>#NAME?</v>
      </c>
      <c r="V20" s="387" t="str">
        <f ca="1">VLOOKUP($AD20,'市場監控 '!$E$7:$W$194,8,FALSE)</f>
        <v>-</v>
      </c>
      <c r="W20" s="388" t="str">
        <f ca="1">VLOOKUP($AD20,'市場監控 '!$E$7:$W$194,10,FALSE)</f>
        <v>-</v>
      </c>
      <c r="X20" s="389" t="str">
        <f ca="1">VLOOKUP($AD20,'市場監控 '!$E$7:$W$194,12,FALSE)</f>
        <v>-</v>
      </c>
      <c r="Y20" s="390" t="str">
        <f ca="1">VLOOKUP($AD20,'市場監控 '!$E$7:$W$194,14,FALSE)</f>
        <v>-</v>
      </c>
      <c r="Z20" s="390" t="str">
        <f ca="1">VLOOKUP($AD20,'市場監控 '!$E$7:$W$194,15,FALSE)</f>
        <v>-</v>
      </c>
      <c r="AA20" s="389" t="e">
        <f ca="1">VLOOKUP($AD20,'市場監控 '!$E$7:$W$194,17,FALSE)</f>
        <v>#NAME?</v>
      </c>
      <c r="AB20" s="389" t="e">
        <f ca="1">VLOOKUP($AD20,'市場監控 '!$E$7:$W$194,18,FALSE)</f>
        <v>#NAME?</v>
      </c>
      <c r="AC20" s="389" t="e">
        <f ca="1">VLOOKUP($AD20,'市場監控 '!$E$7:$W$194,19,FALSE)</f>
        <v>#NAME?</v>
      </c>
      <c r="AD20" s="185" t="s">
        <v>1055</v>
      </c>
      <c r="AE20" s="246" t="s">
        <v>1688</v>
      </c>
      <c r="AF20" s="225"/>
      <c r="AG20" s="225"/>
      <c r="AH20" s="476"/>
      <c r="AI20" s="179"/>
      <c r="AJ20" s="505"/>
      <c r="AK20" s="505"/>
      <c r="AL20" s="505"/>
      <c r="AM20" s="505"/>
      <c r="AN20" s="505"/>
      <c r="AO20" s="505"/>
      <c r="AP20" s="505"/>
      <c r="AQ20" s="505"/>
      <c r="AR20" s="505"/>
      <c r="AS20" s="505"/>
      <c r="AT20" s="505"/>
      <c r="AU20" s="505"/>
      <c r="AV20" s="505"/>
      <c r="AW20" s="505"/>
      <c r="AX20" s="443"/>
      <c r="AY20" s="443"/>
      <c r="AZ20" s="476"/>
      <c r="BA20" s="179"/>
      <c r="BB20" s="404" t="e">
        <f ca="1">VLOOKUP($BD20,NI!$B$5:$AL$2030,6,FALSE)</f>
        <v>#NAME?</v>
      </c>
      <c r="BC20" s="404" t="e">
        <f ca="1">VLOOKUP($BD20,NI!$B$37:$AL$2030,2,FALSE)</f>
        <v>#NAME?</v>
      </c>
      <c r="BD20" s="405" t="e">
        <f ca="1">NI!$B78</f>
        <v>#NAME?</v>
      </c>
      <c r="BE20" s="404" t="e">
        <f ca="1">VLOOKUP($BD20,NI!$B$5:$AL$2030,11,FALSE)</f>
        <v>#NAME?</v>
      </c>
      <c r="BF20" s="406" t="e">
        <f ca="1">VLOOKUP($BD20,NI!$B$5:$AL$2030,12,FALSE)/1000000</f>
        <v>#NAME?</v>
      </c>
      <c r="BG20" s="406"/>
      <c r="BH20" s="406" t="str">
        <f ca="1">IF(ISNUMBER(VLOOKUP($BD20,NI!$B$5:$AL$2030,13,FALSE)),VLOOKUP($BD20,NI!$B$5:$AL$2030,13,FALSE),"-")</f>
        <v>-</v>
      </c>
      <c r="BI20" s="407" t="e">
        <f ca="1">VLOOKUP($BD20,NI!$B$5:$AL$2030,4,FALSE)</f>
        <v>#NAME?</v>
      </c>
      <c r="BJ20" s="406" t="e">
        <f ca="1">VLOOKUP($BD20,NI!$B$5:$AL$2030,3,FALSE)</f>
        <v>#NAME?</v>
      </c>
      <c r="BK20" s="408" t="e">
        <f ca="1">VLOOKUP($BD20,NI!$B$5:$AL$2030,4,FALSE)</f>
        <v>#NAME?</v>
      </c>
      <c r="BL20" s="408" t="e">
        <f ca="1">IF(LEFT(VLOOKUP($BD20,NI!$B$5:$AL$2030,31,FALSE),1)="#","-",VLOOKUP($BD20,NI!$B$5:$AL$2030,31,FALSE))</f>
        <v>#NAME?</v>
      </c>
      <c r="BM20" s="408" t="e">
        <f ca="1">IF(LEFT(VLOOKUP($BD20,NI!$B$5:$AL$2030,32,FALSE),1)="#","-",VLOOKUP($BD20,NI!$B$5:$AL$2030,32,FALSE))</f>
        <v>#NAME?</v>
      </c>
      <c r="BN20" s="408" t="e">
        <f ca="1">IF(LEFT(VLOOKUP($BD20,NI!$B$5:$AL$2030,33,FALSE),1)="#","-",VLOOKUP($BD20,NI!$B$5:$AL$2030,33,FALSE))</f>
        <v>#NAME?</v>
      </c>
      <c r="BO20" s="409" t="e">
        <f ca="1">VLOOKUP($BD20,NI!$B$5:$AL$2030,22,FALSE)</f>
        <v>#NAME?</v>
      </c>
      <c r="BR20" s="476"/>
      <c r="BS20" s="179"/>
      <c r="BT20" s="381" t="e">
        <f ca="1">VLOOKUP($BV20,TACT!$A$3:$AH$100,2,FALSE)</f>
        <v>#NAME?</v>
      </c>
      <c r="BU20" s="381" t="e">
        <f ca="1">VLOOKUP($BV20,TACT!$A$3:$AH$100,3,FALSE)</f>
        <v>#NAME?</v>
      </c>
      <c r="BV20" s="381" t="e">
        <f ca="1">TACT!$A15</f>
        <v>#NAME?</v>
      </c>
      <c r="BW20" s="381" t="e">
        <f ca="1">VLOOKUP($BV20,TACT!$A$3:$AH$100,11,FALSE)</f>
        <v>#NAME?</v>
      </c>
      <c r="BX20" s="396" t="e">
        <f ca="1">VLOOKUP($BV20,TACT!$A$3:$AH$100,5,FALSE)</f>
        <v>#NAME?</v>
      </c>
      <c r="BY20" s="397"/>
      <c r="BZ20" s="381" t="e">
        <f ca="1">VLOOKUP($BV20,TACT!$A$3:$AH$100,4,FALSE)</f>
        <v>#NAME?</v>
      </c>
      <c r="CA20" s="396" t="e">
        <f ca="1">VLOOKUP($BV20,TACT!$A$3:$AH$100,21,FALSE)</f>
        <v>#NAME?</v>
      </c>
      <c r="CB20" s="397" t="e">
        <f ca="1">VLOOKUP($BV20,TACT!$A$3:$AH$100,32,FALSE)</f>
        <v>#NAME?</v>
      </c>
      <c r="CC20" s="398" t="e">
        <f ca="1">VLOOKUP($BV20,TACT!$A$3:$AH$100,33,FALSE)</f>
        <v>#NAME?</v>
      </c>
      <c r="CD20" s="381" t="e">
        <f ca="1">IF(LEFT(VLOOKUP($BV20,TACT!$A$3:$AH$100,6,FALSE),1)="#","-",VLOOKUP($BV20,TACT!$A$3:$AH$100,6,FALSE))</f>
        <v>#NAME?</v>
      </c>
      <c r="CE20" s="381" t="e">
        <f ca="1">IF(LEFT(VLOOKUP($BV20,TACT!$A$3:$AH$100,7,FALSE),1)="#","-",VLOOKUP($BV20,TACT!$A$3:$AH$100,7,FALSE))</f>
        <v>#NAME?</v>
      </c>
      <c r="CF20" s="381" t="e">
        <f ca="1">IF(LEFT(VLOOKUP($BV20,TACT!$A$3:$AH$100,8,FALSE),1)="#","-",VLOOKUP($BV20,TACT!$A$3:$AH$100,8,FALSE))</f>
        <v>#NAME?</v>
      </c>
      <c r="CI20" s="476"/>
      <c r="CJ20" s="179"/>
      <c r="CK20" s="531"/>
      <c r="CL20" s="527"/>
      <c r="CM20" s="527"/>
      <c r="CN20" s="528"/>
      <c r="CO20" s="528"/>
      <c r="CP20" s="528"/>
      <c r="CQ20" s="401"/>
      <c r="CR20" s="527"/>
      <c r="CS20" s="527"/>
      <c r="CT20" s="527"/>
      <c r="CU20" s="528"/>
      <c r="CV20" s="528"/>
      <c r="CW20" s="528"/>
      <c r="CX20" s="451"/>
      <c r="CY20" s="451"/>
      <c r="CZ20" s="476"/>
      <c r="DA20" s="179"/>
      <c r="DB20" s="531"/>
      <c r="DC20" s="527"/>
      <c r="DD20" s="527"/>
      <c r="DE20" s="528"/>
      <c r="DF20" s="528"/>
      <c r="DG20" s="528"/>
      <c r="DH20" s="401"/>
      <c r="DI20" s="527"/>
      <c r="DJ20" s="527"/>
      <c r="DK20" s="527"/>
      <c r="DL20" s="528"/>
      <c r="DM20" s="528"/>
      <c r="DN20" s="528"/>
      <c r="DO20" s="451"/>
      <c r="DP20" s="476"/>
      <c r="DQ20" s="179"/>
      <c r="DR20" s="617"/>
      <c r="DS20" s="592"/>
      <c r="DT20" s="592"/>
      <c r="DU20" s="616"/>
      <c r="DV20" s="616"/>
      <c r="DW20" s="616"/>
      <c r="DX20" s="401"/>
      <c r="DY20" s="592"/>
      <c r="DZ20" s="592"/>
      <c r="EA20" s="592"/>
      <c r="EB20" s="616"/>
      <c r="EC20" s="616"/>
      <c r="ED20" s="616"/>
      <c r="EE20" s="476"/>
      <c r="EF20" s="179"/>
      <c r="EG20" s="592"/>
      <c r="EH20" s="592"/>
      <c r="EI20" s="592"/>
      <c r="EJ20" s="593"/>
      <c r="EK20" s="593"/>
      <c r="EL20" s="593"/>
      <c r="EM20" s="401"/>
      <c r="EN20" s="580"/>
      <c r="EO20" s="485"/>
      <c r="EP20" s="485"/>
      <c r="EQ20" s="485"/>
      <c r="ER20" s="485"/>
      <c r="ES20" s="485"/>
      <c r="EV20" s="476"/>
      <c r="EW20" s="179"/>
      <c r="EX20" s="482"/>
      <c r="EY20" s="482"/>
      <c r="EZ20" s="482"/>
      <c r="FA20" s="610"/>
      <c r="FB20" s="610"/>
      <c r="FC20" s="610"/>
      <c r="FD20" s="612"/>
      <c r="FE20" s="612"/>
      <c r="FF20" s="612"/>
      <c r="FG20" s="612"/>
      <c r="FH20" s="485"/>
      <c r="FI20" s="485"/>
      <c r="FJ20" s="485"/>
    </row>
    <row r="21" spans="1:166" ht="22.5" customHeight="1">
      <c r="A21" s="476"/>
      <c r="C21" s="565"/>
      <c r="D21" s="565"/>
      <c r="E21" s="565"/>
      <c r="F21" s="565"/>
      <c r="G21" s="565"/>
      <c r="H21" s="565"/>
      <c r="I21" s="565"/>
      <c r="J21" s="565"/>
      <c r="K21" s="565"/>
      <c r="L21" s="565"/>
      <c r="M21" s="565"/>
      <c r="N21" s="565"/>
      <c r="O21" s="565"/>
      <c r="P21" s="64"/>
      <c r="Q21" s="476"/>
      <c r="R21" s="179"/>
      <c r="S21" s="543"/>
      <c r="T21" s="386" t="e">
        <f ca="1">VLOOKUP($AD21,'市場監控 '!$E$7:$W$194,6,FALSE)</f>
        <v>#NAME?</v>
      </c>
      <c r="U21" s="386" t="e">
        <f ca="1">VLOOKUP($AD21,'市場監控 '!$E$7:$W$194,7,FALSE)</f>
        <v>#NAME?</v>
      </c>
      <c r="V21" s="387" t="str">
        <f ca="1">VLOOKUP($AD21,'市場監控 '!$E$7:$W$194,8,FALSE)</f>
        <v>-</v>
      </c>
      <c r="W21" s="388" t="str">
        <f ca="1">VLOOKUP($AD21,'市場監控 '!$E$7:$W$194,10,FALSE)</f>
        <v>-</v>
      </c>
      <c r="X21" s="389" t="str">
        <f ca="1">VLOOKUP($AD21,'市場監控 '!$E$7:$W$194,12,FALSE)</f>
        <v>-</v>
      </c>
      <c r="Y21" s="390" t="str">
        <f ca="1">VLOOKUP($AD21,'市場監控 '!$E$7:$W$194,14,FALSE)</f>
        <v>-</v>
      </c>
      <c r="Z21" s="390" t="str">
        <f ca="1">VLOOKUP($AD21,'市場監控 '!$E$7:$W$194,15,FALSE)</f>
        <v>-</v>
      </c>
      <c r="AA21" s="389" t="e">
        <f ca="1">VLOOKUP($AD21,'市場監控 '!$E$7:$W$194,17,FALSE)</f>
        <v>#NAME?</v>
      </c>
      <c r="AB21" s="389" t="e">
        <f ca="1">VLOOKUP($AD21,'市場監控 '!$E$7:$W$194,18,FALSE)</f>
        <v>#NAME?</v>
      </c>
      <c r="AC21" s="389" t="e">
        <f ca="1">VLOOKUP($AD21,'市場監控 '!$E$7:$W$194,19,FALSE)</f>
        <v>#NAME?</v>
      </c>
      <c r="AD21" s="185" t="s">
        <v>1065</v>
      </c>
      <c r="AE21" s="246" t="s">
        <v>1690</v>
      </c>
      <c r="AF21" s="225"/>
      <c r="AG21" s="225"/>
      <c r="AH21" s="476"/>
      <c r="AI21" s="179"/>
      <c r="AJ21" s="505"/>
      <c r="AK21" s="505"/>
      <c r="AL21" s="505"/>
      <c r="AM21" s="505"/>
      <c r="AN21" s="505"/>
      <c r="AO21" s="505"/>
      <c r="AP21" s="505"/>
      <c r="AQ21" s="505"/>
      <c r="AR21" s="505"/>
      <c r="AS21" s="505"/>
      <c r="AT21" s="505"/>
      <c r="AU21" s="505"/>
      <c r="AV21" s="505"/>
      <c r="AW21" s="505"/>
      <c r="AX21" s="443"/>
      <c r="AY21" s="443"/>
      <c r="AZ21" s="476"/>
      <c r="BA21" s="179"/>
      <c r="BB21" s="404" t="e">
        <f ca="1">VLOOKUP($BD21,NI!$B$5:$AL$2030,6,FALSE)</f>
        <v>#NAME?</v>
      </c>
      <c r="BC21" s="404" t="e">
        <f ca="1">VLOOKUP($BD21,NI!$B$37:$AL$2030,2,FALSE)</f>
        <v>#NAME?</v>
      </c>
      <c r="BD21" s="405" t="e">
        <f ca="1">NI!$B79</f>
        <v>#NAME?</v>
      </c>
      <c r="BE21" s="404" t="e">
        <f ca="1">VLOOKUP($BD21,NI!$B$5:$AL$2030,11,FALSE)</f>
        <v>#NAME?</v>
      </c>
      <c r="BF21" s="406" t="e">
        <f ca="1">VLOOKUP($BD21,NI!$B$5:$AL$2030,12,FALSE)/1000000</f>
        <v>#NAME?</v>
      </c>
      <c r="BG21" s="406"/>
      <c r="BH21" s="406" t="str">
        <f ca="1">IF(ISNUMBER(VLOOKUP($BD21,NI!$B$5:$AL$2030,13,FALSE)),VLOOKUP($BD21,NI!$B$5:$AL$2030,13,FALSE),"-")</f>
        <v>-</v>
      </c>
      <c r="BI21" s="407" t="e">
        <f ca="1">VLOOKUP($BD21,NI!$B$5:$AL$2030,4,FALSE)</f>
        <v>#NAME?</v>
      </c>
      <c r="BJ21" s="406" t="e">
        <f ca="1">VLOOKUP($BD21,NI!$B$5:$AL$2030,3,FALSE)</f>
        <v>#NAME?</v>
      </c>
      <c r="BK21" s="408" t="e">
        <f ca="1">VLOOKUP($BD21,NI!$B$5:$AL$2030,4,FALSE)</f>
        <v>#NAME?</v>
      </c>
      <c r="BL21" s="408" t="e">
        <f ca="1">IF(LEFT(VLOOKUP($BD21,NI!$B$5:$AL$2030,31,FALSE),1)="#","-",VLOOKUP($BD21,NI!$B$5:$AL$2030,31,FALSE))</f>
        <v>#NAME?</v>
      </c>
      <c r="BM21" s="408" t="e">
        <f ca="1">IF(LEFT(VLOOKUP($BD21,NI!$B$5:$AL$2030,32,FALSE),1)="#","-",VLOOKUP($BD21,NI!$B$5:$AL$2030,32,FALSE))</f>
        <v>#NAME?</v>
      </c>
      <c r="BN21" s="408" t="e">
        <f ca="1">IF(LEFT(VLOOKUP($BD21,NI!$B$5:$AL$2030,33,FALSE),1)="#","-",VLOOKUP($BD21,NI!$B$5:$AL$2030,33,FALSE))</f>
        <v>#NAME?</v>
      </c>
      <c r="BO21" s="409" t="e">
        <f ca="1">VLOOKUP($BD21,NI!$B$5:$AL$2030,22,FALSE)</f>
        <v>#NAME?</v>
      </c>
      <c r="BR21" s="476"/>
      <c r="BS21" s="179"/>
      <c r="BT21" s="381" t="e">
        <f ca="1">VLOOKUP($BV21,TACT!$A$3:$AH$100,2,FALSE)</f>
        <v>#NAME?</v>
      </c>
      <c r="BU21" s="381" t="e">
        <f ca="1">VLOOKUP($BV21,TACT!$A$3:$AH$100,3,FALSE)</f>
        <v>#NAME?</v>
      </c>
      <c r="BV21" s="381" t="e">
        <f ca="1">TACT!$A16</f>
        <v>#NAME?</v>
      </c>
      <c r="BW21" s="381" t="e">
        <f ca="1">VLOOKUP($BV21,TACT!$A$3:$AH$100,11,FALSE)</f>
        <v>#NAME?</v>
      </c>
      <c r="BX21" s="396" t="e">
        <f ca="1">VLOOKUP($BV21,TACT!$A$3:$AH$100,5,FALSE)</f>
        <v>#NAME?</v>
      </c>
      <c r="BY21" s="397"/>
      <c r="BZ21" s="381" t="e">
        <f ca="1">VLOOKUP($BV21,TACT!$A$3:$AH$100,4,FALSE)</f>
        <v>#NAME?</v>
      </c>
      <c r="CA21" s="396" t="e">
        <f ca="1">VLOOKUP($BV21,TACT!$A$3:$AH$100,21,FALSE)</f>
        <v>#NAME?</v>
      </c>
      <c r="CB21" s="397" t="e">
        <f ca="1">VLOOKUP($BV21,TACT!$A$3:$AH$100,32,FALSE)</f>
        <v>#NAME?</v>
      </c>
      <c r="CC21" s="398" t="e">
        <f ca="1">VLOOKUP($BV21,TACT!$A$3:$AH$100,33,FALSE)</f>
        <v>#NAME?</v>
      </c>
      <c r="CD21" s="381" t="e">
        <f ca="1">IF(LEFT(VLOOKUP($BV21,TACT!$A$3:$AH$100,6,FALSE),1)="#","-",VLOOKUP($BV21,TACT!$A$3:$AH$100,6,FALSE))</f>
        <v>#NAME?</v>
      </c>
      <c r="CE21" s="381" t="e">
        <f ca="1">IF(LEFT(VLOOKUP($BV21,TACT!$A$3:$AH$100,7,FALSE),1)="#","-",VLOOKUP($BV21,TACT!$A$3:$AH$100,7,FALSE))</f>
        <v>#NAME?</v>
      </c>
      <c r="CF21" s="381" t="e">
        <f ca="1">IF(LEFT(VLOOKUP($BV21,TACT!$A$3:$AH$100,8,FALSE),1)="#","-",VLOOKUP($BV21,TACT!$A$3:$AH$100,8,FALSE))</f>
        <v>#NAME?</v>
      </c>
      <c r="CI21" s="476"/>
      <c r="CJ21" s="179"/>
      <c r="CK21" s="531"/>
      <c r="CL21" s="527"/>
      <c r="CM21" s="527"/>
      <c r="CN21" s="528"/>
      <c r="CO21" s="528"/>
      <c r="CP21" s="528"/>
      <c r="CQ21" s="401"/>
      <c r="CR21" s="527"/>
      <c r="CS21" s="527"/>
      <c r="CT21" s="527"/>
      <c r="CU21" s="528"/>
      <c r="CV21" s="528"/>
      <c r="CW21" s="528"/>
      <c r="CX21" s="451"/>
      <c r="CY21" s="451"/>
      <c r="CZ21" s="476"/>
      <c r="DA21" s="179"/>
      <c r="DB21" s="531"/>
      <c r="DC21" s="527"/>
      <c r="DD21" s="527"/>
      <c r="DE21" s="528"/>
      <c r="DF21" s="528"/>
      <c r="DG21" s="528"/>
      <c r="DH21" s="401"/>
      <c r="DI21" s="527"/>
      <c r="DJ21" s="527"/>
      <c r="DK21" s="527"/>
      <c r="DL21" s="528"/>
      <c r="DM21" s="528"/>
      <c r="DN21" s="528"/>
      <c r="DO21" s="451"/>
      <c r="DP21" s="476"/>
      <c r="DQ21" s="179"/>
      <c r="DR21" s="617"/>
      <c r="DS21" s="592"/>
      <c r="DT21" s="592"/>
      <c r="DU21" s="616"/>
      <c r="DV21" s="616"/>
      <c r="DW21" s="616"/>
      <c r="DX21" s="401"/>
      <c r="DY21" s="592"/>
      <c r="DZ21" s="592"/>
      <c r="EA21" s="592"/>
      <c r="EB21" s="616"/>
      <c r="EC21" s="616"/>
      <c r="ED21" s="616"/>
      <c r="EE21" s="476"/>
      <c r="EF21" s="179"/>
      <c r="EG21" s="592"/>
      <c r="EH21" s="592"/>
      <c r="EI21" s="592"/>
      <c r="EJ21" s="593"/>
      <c r="EK21" s="593"/>
      <c r="EL21" s="593"/>
      <c r="EM21" s="401"/>
      <c r="EN21" s="483" t="s">
        <v>3121</v>
      </c>
      <c r="EO21" s="483">
        <v>7</v>
      </c>
      <c r="EP21" s="483">
        <v>2</v>
      </c>
      <c r="EQ21" s="483">
        <v>3</v>
      </c>
      <c r="ER21" s="483" t="s">
        <v>3127</v>
      </c>
      <c r="ES21" s="580"/>
      <c r="EV21" s="476"/>
      <c r="EW21" s="179"/>
      <c r="EX21" s="482"/>
      <c r="EY21" s="482"/>
      <c r="EZ21" s="482"/>
      <c r="FA21" s="610"/>
      <c r="FB21" s="610"/>
      <c r="FC21" s="610"/>
      <c r="FD21" s="612"/>
      <c r="FE21" s="612"/>
      <c r="FF21" s="612"/>
      <c r="FG21" s="612"/>
      <c r="FH21" s="485"/>
      <c r="FI21" s="485"/>
      <c r="FJ21" s="485"/>
    </row>
    <row r="22" spans="1:166" ht="22.5" customHeight="1">
      <c r="A22" s="476"/>
      <c r="C22" s="565"/>
      <c r="D22" s="565"/>
      <c r="E22" s="565"/>
      <c r="F22" s="565"/>
      <c r="G22" s="565"/>
      <c r="H22" s="565"/>
      <c r="I22" s="565"/>
      <c r="J22" s="565"/>
      <c r="K22" s="565"/>
      <c r="L22" s="565"/>
      <c r="M22" s="565"/>
      <c r="N22" s="565"/>
      <c r="O22" s="565"/>
      <c r="P22" s="64"/>
      <c r="Q22" s="476"/>
      <c r="R22" s="179"/>
      <c r="S22" s="543"/>
      <c r="T22" s="386" t="e">
        <f ca="1">VLOOKUP($AD22,'市場監控 '!$E$7:$W$194,6,FALSE)</f>
        <v>#NAME?</v>
      </c>
      <c r="U22" s="386" t="e">
        <f ca="1">VLOOKUP($AD22,'市場監控 '!$E$7:$W$194,7,FALSE)</f>
        <v>#NAME?</v>
      </c>
      <c r="V22" s="387" t="str">
        <f ca="1">VLOOKUP($AD22,'市場監控 '!$E$7:$W$194,8,FALSE)</f>
        <v>-</v>
      </c>
      <c r="W22" s="388" t="str">
        <f ca="1">VLOOKUP($AD22,'市場監控 '!$E$7:$W$194,10,FALSE)</f>
        <v>-</v>
      </c>
      <c r="X22" s="389" t="str">
        <f ca="1">VLOOKUP($AD22,'市場監控 '!$E$7:$W$194,12,FALSE)</f>
        <v>-</v>
      </c>
      <c r="Y22" s="390" t="str">
        <f ca="1">VLOOKUP($AD22,'市場監控 '!$E$7:$W$194,14,FALSE)</f>
        <v>-</v>
      </c>
      <c r="Z22" s="390" t="str">
        <f ca="1">VLOOKUP($AD22,'市場監控 '!$E$7:$W$194,15,FALSE)</f>
        <v>-</v>
      </c>
      <c r="AA22" s="389" t="e">
        <f ca="1">VLOOKUP($AD22,'市場監控 '!$E$7:$W$194,17,FALSE)</f>
        <v>#NAME?</v>
      </c>
      <c r="AB22" s="389" t="e">
        <f ca="1">VLOOKUP($AD22,'市場監控 '!$E$7:$W$194,18,FALSE)</f>
        <v>#NAME?</v>
      </c>
      <c r="AC22" s="389" t="e">
        <f ca="1">VLOOKUP($AD22,'市場監控 '!$E$7:$W$194,19,FALSE)</f>
        <v>#NAME?</v>
      </c>
      <c r="AD22" s="185" t="s">
        <v>1205</v>
      </c>
      <c r="AE22" s="246" t="s">
        <v>1692</v>
      </c>
      <c r="AF22" s="225"/>
      <c r="AG22" s="225"/>
      <c r="AH22" s="476"/>
      <c r="AI22" s="179"/>
      <c r="AJ22" s="505"/>
      <c r="AK22" s="505"/>
      <c r="AL22" s="505"/>
      <c r="AM22" s="505"/>
      <c r="AN22" s="505"/>
      <c r="AO22" s="505"/>
      <c r="AP22" s="505"/>
      <c r="AQ22" s="505"/>
      <c r="AR22" s="505"/>
      <c r="AS22" s="505"/>
      <c r="AT22" s="505"/>
      <c r="AU22" s="505"/>
      <c r="AV22" s="505"/>
      <c r="AW22" s="505"/>
      <c r="AX22" s="443"/>
      <c r="AY22" s="443"/>
      <c r="AZ22" s="476"/>
      <c r="BA22" s="179"/>
      <c r="BB22" s="404" t="e">
        <f ca="1">VLOOKUP($BD22,NI!$B$5:$AL$2030,6,FALSE)</f>
        <v>#NAME?</v>
      </c>
      <c r="BC22" s="404" t="e">
        <f ca="1">VLOOKUP($BD22,NI!$B$37:$AL$2030,2,FALSE)</f>
        <v>#NAME?</v>
      </c>
      <c r="BD22" s="405" t="e">
        <f ca="1">NI!$B80</f>
        <v>#NAME?</v>
      </c>
      <c r="BE22" s="404" t="e">
        <f ca="1">VLOOKUP($BD22,NI!$B$5:$AL$2030,11,FALSE)</f>
        <v>#NAME?</v>
      </c>
      <c r="BF22" s="406" t="e">
        <f ca="1">VLOOKUP($BD22,NI!$B$5:$AL$2030,12,FALSE)/1000000</f>
        <v>#NAME?</v>
      </c>
      <c r="BG22" s="406"/>
      <c r="BH22" s="406" t="str">
        <f ca="1">IF(ISNUMBER(VLOOKUP($BD22,NI!$B$5:$AL$2030,13,FALSE)),VLOOKUP($BD22,NI!$B$5:$AL$2030,13,FALSE),"-")</f>
        <v>-</v>
      </c>
      <c r="BI22" s="407" t="e">
        <f ca="1">VLOOKUP($BD22,NI!$B$5:$AL$2030,4,FALSE)</f>
        <v>#NAME?</v>
      </c>
      <c r="BJ22" s="406" t="e">
        <f ca="1">VLOOKUP($BD22,NI!$B$5:$AL$2030,3,FALSE)</f>
        <v>#NAME?</v>
      </c>
      <c r="BK22" s="408" t="e">
        <f ca="1">VLOOKUP($BD22,NI!$B$5:$AL$2030,4,FALSE)</f>
        <v>#NAME?</v>
      </c>
      <c r="BL22" s="408" t="e">
        <f ca="1">IF(LEFT(VLOOKUP($BD22,NI!$B$5:$AL$2030,31,FALSE),1)="#","-",VLOOKUP($BD22,NI!$B$5:$AL$2030,31,FALSE))</f>
        <v>#NAME?</v>
      </c>
      <c r="BM22" s="408" t="e">
        <f ca="1">IF(LEFT(VLOOKUP($BD22,NI!$B$5:$AL$2030,32,FALSE),1)="#","-",VLOOKUP($BD22,NI!$B$5:$AL$2030,32,FALSE))</f>
        <v>#NAME?</v>
      </c>
      <c r="BN22" s="408" t="e">
        <f ca="1">IF(LEFT(VLOOKUP($BD22,NI!$B$5:$AL$2030,33,FALSE),1)="#","-",VLOOKUP($BD22,NI!$B$5:$AL$2030,33,FALSE))</f>
        <v>#NAME?</v>
      </c>
      <c r="BO22" s="409" t="e">
        <f ca="1">VLOOKUP($BD22,NI!$B$5:$AL$2030,22,FALSE)</f>
        <v>#NAME?</v>
      </c>
      <c r="BR22" s="476"/>
      <c r="BS22" s="179"/>
      <c r="BT22" s="381" t="e">
        <f ca="1">VLOOKUP($BV22,TACT!$A$3:$AH$100,2,FALSE)</f>
        <v>#NAME?</v>
      </c>
      <c r="BU22" s="381" t="e">
        <f ca="1">VLOOKUP($BV22,TACT!$A$3:$AH$100,3,FALSE)</f>
        <v>#NAME?</v>
      </c>
      <c r="BV22" s="381" t="e">
        <f ca="1">TACT!$A17</f>
        <v>#NAME?</v>
      </c>
      <c r="BW22" s="381" t="e">
        <f ca="1">VLOOKUP($BV22,TACT!$A$3:$AH$100,11,FALSE)</f>
        <v>#NAME?</v>
      </c>
      <c r="BX22" s="396" t="e">
        <f ca="1">VLOOKUP($BV22,TACT!$A$3:$AH$100,5,FALSE)</f>
        <v>#NAME?</v>
      </c>
      <c r="BY22" s="397"/>
      <c r="BZ22" s="381" t="e">
        <f ca="1">VLOOKUP($BV22,TACT!$A$3:$AH$100,4,FALSE)</f>
        <v>#NAME?</v>
      </c>
      <c r="CA22" s="396" t="e">
        <f ca="1">VLOOKUP($BV22,TACT!$A$3:$AH$100,21,FALSE)</f>
        <v>#NAME?</v>
      </c>
      <c r="CB22" s="397" t="e">
        <f ca="1">VLOOKUP($BV22,TACT!$A$3:$AH$100,32,FALSE)</f>
        <v>#NAME?</v>
      </c>
      <c r="CC22" s="398" t="e">
        <f ca="1">VLOOKUP($BV22,TACT!$A$3:$AH$100,33,FALSE)</f>
        <v>#NAME?</v>
      </c>
      <c r="CD22" s="381" t="e">
        <f ca="1">IF(LEFT(VLOOKUP($BV22,TACT!$A$3:$AH$100,6,FALSE),1)="#","-",VLOOKUP($BV22,TACT!$A$3:$AH$100,6,FALSE))</f>
        <v>#NAME?</v>
      </c>
      <c r="CE22" s="381" t="e">
        <f ca="1">IF(LEFT(VLOOKUP($BV22,TACT!$A$3:$AH$100,7,FALSE),1)="#","-",VLOOKUP($BV22,TACT!$A$3:$AH$100,7,FALSE))</f>
        <v>#NAME?</v>
      </c>
      <c r="CF22" s="381" t="e">
        <f ca="1">IF(LEFT(VLOOKUP($BV22,TACT!$A$3:$AH$100,8,FALSE),1)="#","-",VLOOKUP($BV22,TACT!$A$3:$AH$100,8,FALSE))</f>
        <v>#NAME?</v>
      </c>
      <c r="CI22" s="476"/>
      <c r="CJ22" s="179"/>
      <c r="CK22" s="520"/>
      <c r="CL22" s="521"/>
      <c r="CM22" s="521"/>
      <c r="CN22" s="521"/>
      <c r="CO22" s="521"/>
      <c r="CP22" s="521"/>
      <c r="CQ22" s="399"/>
      <c r="CR22" s="521"/>
      <c r="CS22" s="521"/>
      <c r="CT22" s="521"/>
      <c r="CU22" s="521"/>
      <c r="CV22" s="521"/>
      <c r="CW22" s="521"/>
      <c r="CX22" s="399"/>
      <c r="CY22" s="399"/>
      <c r="CZ22" s="476"/>
      <c r="DA22" s="179"/>
      <c r="DB22" s="520"/>
      <c r="DC22" s="521"/>
      <c r="DD22" s="521"/>
      <c r="DE22" s="521"/>
      <c r="DF22" s="521"/>
      <c r="DG22" s="521"/>
      <c r="DH22" s="399"/>
      <c r="DI22" s="521"/>
      <c r="DJ22" s="521"/>
      <c r="DK22" s="521"/>
      <c r="DL22" s="521"/>
      <c r="DM22" s="521"/>
      <c r="DN22" s="521"/>
      <c r="DO22"/>
      <c r="DP22" s="476"/>
      <c r="DQ22" s="179"/>
      <c r="DR22" s="532"/>
      <c r="DS22" s="485"/>
      <c r="DT22" s="485"/>
      <c r="DU22" s="485"/>
      <c r="DV22" s="485"/>
      <c r="DW22" s="485"/>
      <c r="DX22" s="399"/>
      <c r="DY22" s="485"/>
      <c r="DZ22" s="485"/>
      <c r="EA22" s="485"/>
      <c r="EB22" s="485"/>
      <c r="EC22" s="485"/>
      <c r="ED22" s="485"/>
      <c r="EE22" s="476"/>
      <c r="EF22" s="179"/>
      <c r="EG22" s="594"/>
      <c r="EH22" s="594"/>
      <c r="EI22" s="594"/>
      <c r="EJ22" s="594"/>
      <c r="EK22" s="594"/>
      <c r="EL22" s="594"/>
      <c r="EM22" s="401"/>
      <c r="EN22" s="580"/>
      <c r="EO22" s="580"/>
      <c r="EP22" s="580"/>
      <c r="EQ22" s="580"/>
      <c r="ER22" s="580"/>
      <c r="ES22" s="580"/>
      <c r="EV22" s="476"/>
      <c r="EW22" s="179"/>
      <c r="EX22" s="482"/>
      <c r="EY22" s="482"/>
      <c r="EZ22" s="482"/>
      <c r="FA22" s="610"/>
      <c r="FB22" s="610"/>
      <c r="FC22" s="610"/>
      <c r="FD22" s="485"/>
      <c r="FE22" s="485"/>
      <c r="FF22" s="485"/>
      <c r="FG22" s="485"/>
      <c r="FH22" s="485"/>
      <c r="FI22" s="485"/>
      <c r="FJ22" s="485"/>
    </row>
    <row r="23" spans="1:166" ht="22.5" customHeight="1">
      <c r="A23" s="476"/>
      <c r="C23" s="565"/>
      <c r="D23" s="565"/>
      <c r="E23" s="565"/>
      <c r="F23" s="565"/>
      <c r="G23" s="565"/>
      <c r="H23" s="565"/>
      <c r="I23" s="565"/>
      <c r="J23" s="565"/>
      <c r="K23" s="565"/>
      <c r="L23" s="565"/>
      <c r="M23" s="565"/>
      <c r="N23" s="565"/>
      <c r="O23" s="565"/>
      <c r="P23" s="64"/>
      <c r="Q23" s="476"/>
      <c r="R23" s="179"/>
      <c r="S23" s="543"/>
      <c r="T23" s="386" t="e">
        <f ca="1">VLOOKUP($AD23,'市場監控 '!$E$7:$W$194,6,FALSE)</f>
        <v>#NAME?</v>
      </c>
      <c r="U23" s="386" t="e">
        <f ca="1">VLOOKUP($AD23,'市場監控 '!$E$7:$W$194,7,FALSE)</f>
        <v>#NAME?</v>
      </c>
      <c r="V23" s="387" t="str">
        <f ca="1">VLOOKUP($AD23,'市場監控 '!$E$7:$W$194,8,FALSE)</f>
        <v>-</v>
      </c>
      <c r="W23" s="388" t="str">
        <f ca="1">VLOOKUP($AD23,'市場監控 '!$E$7:$W$194,10,FALSE)</f>
        <v>-</v>
      </c>
      <c r="X23" s="389" t="str">
        <f ca="1">VLOOKUP($AD23,'市場監控 '!$E$7:$W$194,12,FALSE)</f>
        <v>-</v>
      </c>
      <c r="Y23" s="390" t="str">
        <f ca="1">VLOOKUP($AD23,'市場監控 '!$E$7:$W$194,14,FALSE)</f>
        <v>-</v>
      </c>
      <c r="Z23" s="390" t="str">
        <f ca="1">VLOOKUP($AD23,'市場監控 '!$E$7:$W$194,15,FALSE)</f>
        <v>-</v>
      </c>
      <c r="AA23" s="389" t="e">
        <f ca="1">VLOOKUP($AD23,'市場監控 '!$E$7:$W$194,17,FALSE)</f>
        <v>#NAME?</v>
      </c>
      <c r="AB23" s="389" t="e">
        <f ca="1">VLOOKUP($AD23,'市場監控 '!$E$7:$W$194,18,FALSE)</f>
        <v>#NAME?</v>
      </c>
      <c r="AC23" s="389" t="e">
        <f ca="1">VLOOKUP($AD23,'市場監控 '!$E$7:$W$194,19,FALSE)</f>
        <v>#NAME?</v>
      </c>
      <c r="AD23" s="185" t="s">
        <v>1206</v>
      </c>
      <c r="AE23" s="246" t="s">
        <v>1694</v>
      </c>
      <c r="AF23" s="225"/>
      <c r="AG23" s="225"/>
      <c r="AH23" s="476"/>
      <c r="AI23" s="179"/>
      <c r="AJ23" s="505"/>
      <c r="AK23" s="505"/>
      <c r="AL23" s="505"/>
      <c r="AM23" s="505"/>
      <c r="AN23" s="505"/>
      <c r="AO23" s="505"/>
      <c r="AP23" s="505"/>
      <c r="AQ23" s="505"/>
      <c r="AR23" s="505"/>
      <c r="AS23" s="505"/>
      <c r="AT23" s="505"/>
      <c r="AU23" s="505"/>
      <c r="AV23" s="505"/>
      <c r="AW23" s="505"/>
      <c r="AX23" s="443"/>
      <c r="AY23" s="443"/>
      <c r="AZ23" s="476"/>
      <c r="BA23" s="179"/>
      <c r="BB23" s="404" t="e">
        <f ca="1">VLOOKUP($BD23,NI!$B$5:$AL$2030,6,FALSE)</f>
        <v>#NAME?</v>
      </c>
      <c r="BC23" s="404" t="e">
        <f ca="1">VLOOKUP($BD23,NI!$B$37:$AL$2030,2,FALSE)</f>
        <v>#NAME?</v>
      </c>
      <c r="BD23" s="405" t="e">
        <f ca="1">NI!$B81</f>
        <v>#NAME?</v>
      </c>
      <c r="BE23" s="404" t="e">
        <f ca="1">VLOOKUP($BD23,NI!$B$5:$AL$2030,11,FALSE)</f>
        <v>#NAME?</v>
      </c>
      <c r="BF23" s="406" t="e">
        <f ca="1">VLOOKUP($BD23,NI!$B$5:$AL$2030,12,FALSE)/1000000</f>
        <v>#NAME?</v>
      </c>
      <c r="BG23" s="406"/>
      <c r="BH23" s="406" t="str">
        <f ca="1">IF(ISNUMBER(VLOOKUP($BD23,NI!$B$5:$AL$2030,13,FALSE)),VLOOKUP($BD23,NI!$B$5:$AL$2030,13,FALSE),"-")</f>
        <v>-</v>
      </c>
      <c r="BI23" s="407" t="e">
        <f ca="1">VLOOKUP($BD23,NI!$B$5:$AL$2030,4,FALSE)</f>
        <v>#NAME?</v>
      </c>
      <c r="BJ23" s="406" t="e">
        <f ca="1">VLOOKUP($BD23,NI!$B$5:$AL$2030,3,FALSE)</f>
        <v>#NAME?</v>
      </c>
      <c r="BK23" s="408" t="e">
        <f ca="1">VLOOKUP($BD23,NI!$B$5:$AL$2030,4,FALSE)</f>
        <v>#NAME?</v>
      </c>
      <c r="BL23" s="408" t="e">
        <f ca="1">IF(LEFT(VLOOKUP($BD23,NI!$B$5:$AL$2030,31,FALSE),1)="#","-",VLOOKUP($BD23,NI!$B$5:$AL$2030,31,FALSE))</f>
        <v>#NAME?</v>
      </c>
      <c r="BM23" s="408" t="e">
        <f ca="1">IF(LEFT(VLOOKUP($BD23,NI!$B$5:$AL$2030,32,FALSE),1)="#","-",VLOOKUP($BD23,NI!$B$5:$AL$2030,32,FALSE))</f>
        <v>#NAME?</v>
      </c>
      <c r="BN23" s="408" t="e">
        <f ca="1">IF(LEFT(VLOOKUP($BD23,NI!$B$5:$AL$2030,33,FALSE),1)="#","-",VLOOKUP($BD23,NI!$B$5:$AL$2030,33,FALSE))</f>
        <v>#NAME?</v>
      </c>
      <c r="BO23" s="409" t="e">
        <f ca="1">VLOOKUP($BD23,NI!$B$5:$AL$2030,22,FALSE)</f>
        <v>#NAME?</v>
      </c>
      <c r="BR23" s="476"/>
      <c r="BS23" s="179"/>
      <c r="BT23" s="381" t="e">
        <f ca="1">VLOOKUP($BV23,TACT!$A$3:$AH$100,2,FALSE)</f>
        <v>#NAME?</v>
      </c>
      <c r="BU23" s="381" t="e">
        <f ca="1">VLOOKUP($BV23,TACT!$A$3:$AH$100,3,FALSE)</f>
        <v>#NAME?</v>
      </c>
      <c r="BV23" s="381" t="e">
        <f ca="1">TACT!$A18</f>
        <v>#NAME?</v>
      </c>
      <c r="BW23" s="381" t="e">
        <f ca="1">VLOOKUP($BV23,TACT!$A$3:$AH$100,11,FALSE)</f>
        <v>#NAME?</v>
      </c>
      <c r="BX23" s="396" t="e">
        <f ca="1">VLOOKUP($BV23,TACT!$A$3:$AH$100,5,FALSE)</f>
        <v>#NAME?</v>
      </c>
      <c r="BY23" s="397"/>
      <c r="BZ23" s="381" t="e">
        <f ca="1">VLOOKUP($BV23,TACT!$A$3:$AH$100,4,FALSE)</f>
        <v>#NAME?</v>
      </c>
      <c r="CA23" s="396" t="e">
        <f ca="1">VLOOKUP($BV23,TACT!$A$3:$AH$100,21,FALSE)</f>
        <v>#NAME?</v>
      </c>
      <c r="CB23" s="397" t="e">
        <f ca="1">VLOOKUP($BV23,TACT!$A$3:$AH$100,32,FALSE)</f>
        <v>#NAME?</v>
      </c>
      <c r="CC23" s="398" t="e">
        <f ca="1">VLOOKUP($BV23,TACT!$A$3:$AH$100,33,FALSE)</f>
        <v>#NAME?</v>
      </c>
      <c r="CD23" s="381" t="e">
        <f ca="1">IF(LEFT(VLOOKUP($BV23,TACT!$A$3:$AH$100,6,FALSE),1)="#","-",VLOOKUP($BV23,TACT!$A$3:$AH$100,6,FALSE))</f>
        <v>#NAME?</v>
      </c>
      <c r="CE23" s="381" t="e">
        <f ca="1">IF(LEFT(VLOOKUP($BV23,TACT!$A$3:$AH$100,7,FALSE),1)="#","-",VLOOKUP($BV23,TACT!$A$3:$AH$100,7,FALSE))</f>
        <v>#NAME?</v>
      </c>
      <c r="CF23" s="381" t="e">
        <f ca="1">IF(LEFT(VLOOKUP($BV23,TACT!$A$3:$AH$100,8,FALSE),1)="#","-",VLOOKUP($BV23,TACT!$A$3:$AH$100,8,FALSE))</f>
        <v>#NAME?</v>
      </c>
      <c r="CI23" s="476"/>
      <c r="CJ23" s="179"/>
      <c r="CK23" s="520"/>
      <c r="CL23" s="521"/>
      <c r="CM23" s="521"/>
      <c r="CN23" s="521"/>
      <c r="CO23" s="521"/>
      <c r="CP23" s="521"/>
      <c r="CQ23" s="399"/>
      <c r="CR23" s="529"/>
      <c r="CS23" s="529"/>
      <c r="CT23" s="529"/>
      <c r="CU23" s="529"/>
      <c r="CV23" s="529"/>
      <c r="CW23" s="529"/>
      <c r="CX23" s="399"/>
      <c r="CY23" s="399"/>
      <c r="CZ23" s="476"/>
      <c r="DA23" s="179"/>
      <c r="DB23" s="520"/>
      <c r="DC23" s="521"/>
      <c r="DD23" s="521"/>
      <c r="DE23" s="521"/>
      <c r="DF23" s="521"/>
      <c r="DG23" s="521"/>
      <c r="DH23" s="399"/>
      <c r="DI23" s="529"/>
      <c r="DJ23" s="529"/>
      <c r="DK23" s="529"/>
      <c r="DL23" s="529"/>
      <c r="DM23" s="529"/>
      <c r="DN23" s="529"/>
      <c r="DO23"/>
      <c r="DP23" s="476"/>
      <c r="DQ23" s="179"/>
      <c r="DR23" s="618"/>
      <c r="DS23" s="562"/>
      <c r="DT23" s="562"/>
      <c r="DU23" s="562"/>
      <c r="DV23" s="562"/>
      <c r="DW23" s="562"/>
      <c r="DX23" s="399"/>
      <c r="DY23" s="562"/>
      <c r="DZ23" s="562"/>
      <c r="EA23" s="562"/>
      <c r="EB23" s="562"/>
      <c r="EC23" s="562"/>
      <c r="ED23" s="562"/>
      <c r="EE23" s="476"/>
      <c r="EF23" s="179"/>
      <c r="EG23" s="594"/>
      <c r="EH23" s="594"/>
      <c r="EI23" s="594"/>
      <c r="EJ23" s="594"/>
      <c r="EK23" s="594"/>
      <c r="EL23" s="594"/>
      <c r="EM23" s="401"/>
      <c r="EN23" s="580"/>
      <c r="EO23" s="580"/>
      <c r="EP23" s="580"/>
      <c r="EQ23" s="580"/>
      <c r="ER23" s="580"/>
      <c r="ES23" s="580"/>
      <c r="EV23" s="476"/>
      <c r="EW23" s="179"/>
      <c r="EX23" s="482"/>
      <c r="EY23" s="482"/>
      <c r="EZ23" s="482"/>
      <c r="FA23" s="610"/>
      <c r="FB23" s="610"/>
      <c r="FC23" s="610"/>
      <c r="FD23" s="485"/>
      <c r="FE23" s="485"/>
      <c r="FF23" s="485"/>
      <c r="FG23" s="485"/>
      <c r="FH23" s="485"/>
      <c r="FI23" s="485"/>
      <c r="FJ23" s="485"/>
    </row>
    <row r="24" spans="1:166" ht="22.5" customHeight="1">
      <c r="A24" s="476"/>
      <c r="C24" s="565"/>
      <c r="D24" s="565"/>
      <c r="E24" s="565"/>
      <c r="F24" s="565"/>
      <c r="G24" s="565"/>
      <c r="H24" s="565"/>
      <c r="I24" s="565"/>
      <c r="J24" s="565"/>
      <c r="K24" s="565"/>
      <c r="L24" s="565"/>
      <c r="M24" s="565"/>
      <c r="N24" s="565"/>
      <c r="O24" s="565"/>
      <c r="P24" s="64"/>
      <c r="Q24" s="476"/>
      <c r="R24" s="179"/>
      <c r="S24" s="543"/>
      <c r="T24" s="386" t="e">
        <f ca="1">VLOOKUP($AD24,'市場監控 '!$E$7:$W$194,6,FALSE)</f>
        <v>#NAME?</v>
      </c>
      <c r="U24" s="386" t="e">
        <f ca="1">VLOOKUP($AD24,'市場監控 '!$E$7:$W$194,7,FALSE)</f>
        <v>#NAME?</v>
      </c>
      <c r="V24" s="387" t="str">
        <f ca="1">VLOOKUP($AD24,'市場監控 '!$E$7:$W$194,8,FALSE)</f>
        <v>-</v>
      </c>
      <c r="W24" s="388" t="str">
        <f ca="1">VLOOKUP($AD24,'市場監控 '!$E$7:$W$194,10,FALSE)</f>
        <v>-</v>
      </c>
      <c r="X24" s="389" t="str">
        <f ca="1">VLOOKUP($AD24,'市場監控 '!$E$7:$W$194,12,FALSE)</f>
        <v>-</v>
      </c>
      <c r="Y24" s="390" t="str">
        <f ca="1">VLOOKUP($AD24,'市場監控 '!$E$7:$W$194,14,FALSE)</f>
        <v>-</v>
      </c>
      <c r="Z24" s="390" t="str">
        <f ca="1">VLOOKUP($AD24,'市場監控 '!$E$7:$W$194,15,FALSE)</f>
        <v>-</v>
      </c>
      <c r="AA24" s="389" t="e">
        <f ca="1">VLOOKUP($AD24,'市場監控 '!$E$7:$W$194,17,FALSE)</f>
        <v>#NAME?</v>
      </c>
      <c r="AB24" s="389" t="e">
        <f ca="1">VLOOKUP($AD24,'市場監控 '!$E$7:$W$194,18,FALSE)</f>
        <v>#NAME?</v>
      </c>
      <c r="AC24" s="389" t="e">
        <f ca="1">VLOOKUP($AD24,'市場監控 '!$E$7:$W$194,19,FALSE)</f>
        <v>#NAME?</v>
      </c>
      <c r="AD24" s="185" t="s">
        <v>1208</v>
      </c>
      <c r="AE24" s="246" t="s">
        <v>1696</v>
      </c>
      <c r="AF24" s="225"/>
      <c r="AG24" s="225"/>
      <c r="AH24" s="476"/>
      <c r="AI24" s="179"/>
      <c r="AJ24" s="505"/>
      <c r="AK24" s="505"/>
      <c r="AL24" s="505"/>
      <c r="AM24" s="505"/>
      <c r="AN24" s="505"/>
      <c r="AO24" s="505"/>
      <c r="AP24" s="505"/>
      <c r="AQ24" s="505"/>
      <c r="AR24" s="505"/>
      <c r="AS24" s="505"/>
      <c r="AT24" s="505"/>
      <c r="AU24" s="505"/>
      <c r="AV24" s="505"/>
      <c r="AW24" s="505"/>
      <c r="AX24" s="443"/>
      <c r="AY24" s="443"/>
      <c r="AZ24" s="476"/>
      <c r="BA24" s="179"/>
      <c r="BB24" s="404" t="e">
        <f ca="1">VLOOKUP($BD24,NI!$B$5:$AL$2030,6,FALSE)</f>
        <v>#NAME?</v>
      </c>
      <c r="BC24" s="404" t="e">
        <f ca="1">VLOOKUP($BD24,NI!$B$37:$AL$2030,2,FALSE)</f>
        <v>#NAME?</v>
      </c>
      <c r="BD24" s="405" t="e">
        <f ca="1">NI!$B82</f>
        <v>#NAME?</v>
      </c>
      <c r="BE24" s="404" t="e">
        <f ca="1">VLOOKUP($BD24,NI!$B$5:$AL$2030,11,FALSE)</f>
        <v>#NAME?</v>
      </c>
      <c r="BF24" s="406" t="e">
        <f ca="1">VLOOKUP($BD24,NI!$B$5:$AL$2030,12,FALSE)/1000000</f>
        <v>#NAME?</v>
      </c>
      <c r="BG24" s="406"/>
      <c r="BH24" s="406" t="str">
        <f ca="1">IF(ISNUMBER(VLOOKUP($BD24,NI!$B$5:$AL$2030,13,FALSE)),VLOOKUP($BD24,NI!$B$5:$AL$2030,13,FALSE),"-")</f>
        <v>-</v>
      </c>
      <c r="BI24" s="407" t="e">
        <f ca="1">VLOOKUP($BD24,NI!$B$5:$AL$2030,4,FALSE)</f>
        <v>#NAME?</v>
      </c>
      <c r="BJ24" s="406" t="e">
        <f ca="1">VLOOKUP($BD24,NI!$B$5:$AL$2030,3,FALSE)</f>
        <v>#NAME?</v>
      </c>
      <c r="BK24" s="408" t="e">
        <f ca="1">VLOOKUP($BD24,NI!$B$5:$AL$2030,4,FALSE)</f>
        <v>#NAME?</v>
      </c>
      <c r="BL24" s="408" t="e">
        <f ca="1">IF(LEFT(VLOOKUP($BD24,NI!$B$5:$AL$2030,31,FALSE),1)="#","-",VLOOKUP($BD24,NI!$B$5:$AL$2030,31,FALSE))</f>
        <v>#NAME?</v>
      </c>
      <c r="BM24" s="408" t="e">
        <f ca="1">IF(LEFT(VLOOKUP($BD24,NI!$B$5:$AL$2030,32,FALSE),1)="#","-",VLOOKUP($BD24,NI!$B$5:$AL$2030,32,FALSE))</f>
        <v>#NAME?</v>
      </c>
      <c r="BN24" s="408" t="e">
        <f ca="1">IF(LEFT(VLOOKUP($BD24,NI!$B$5:$AL$2030,33,FALSE),1)="#","-",VLOOKUP($BD24,NI!$B$5:$AL$2030,33,FALSE))</f>
        <v>#NAME?</v>
      </c>
      <c r="BO24" s="409" t="e">
        <f ca="1">VLOOKUP($BD24,NI!$B$5:$AL$2030,22,FALSE)</f>
        <v>#NAME?</v>
      </c>
      <c r="BR24" s="476"/>
      <c r="BS24" s="179"/>
      <c r="BT24" s="381" t="e">
        <f ca="1">VLOOKUP($BV24,TACT!$A$3:$AH$100,2,FALSE)</f>
        <v>#NAME?</v>
      </c>
      <c r="BU24" s="381" t="e">
        <f ca="1">VLOOKUP($BV24,TACT!$A$3:$AH$100,3,FALSE)</f>
        <v>#NAME?</v>
      </c>
      <c r="BV24" s="381" t="e">
        <f ca="1">TACT!$A19</f>
        <v>#NAME?</v>
      </c>
      <c r="BW24" s="381" t="e">
        <f ca="1">VLOOKUP($BV24,TACT!$A$3:$AH$100,11,FALSE)</f>
        <v>#NAME?</v>
      </c>
      <c r="BX24" s="396" t="e">
        <f ca="1">VLOOKUP($BV24,TACT!$A$3:$AH$100,5,FALSE)</f>
        <v>#NAME?</v>
      </c>
      <c r="BY24" s="397"/>
      <c r="BZ24" s="381" t="e">
        <f ca="1">VLOOKUP($BV24,TACT!$A$3:$AH$100,4,FALSE)</f>
        <v>#NAME?</v>
      </c>
      <c r="CA24" s="396" t="e">
        <f ca="1">VLOOKUP($BV24,TACT!$A$3:$AH$100,21,FALSE)</f>
        <v>#NAME?</v>
      </c>
      <c r="CB24" s="397" t="e">
        <f ca="1">VLOOKUP($BV24,TACT!$A$3:$AH$100,32,FALSE)</f>
        <v>#NAME?</v>
      </c>
      <c r="CC24" s="398" t="e">
        <f ca="1">VLOOKUP($BV24,TACT!$A$3:$AH$100,33,FALSE)</f>
        <v>#NAME?</v>
      </c>
      <c r="CD24" s="381" t="e">
        <f ca="1">IF(LEFT(VLOOKUP($BV24,TACT!$A$3:$AH$100,6,FALSE),1)="#","-",VLOOKUP($BV24,TACT!$A$3:$AH$100,6,FALSE))</f>
        <v>#NAME?</v>
      </c>
      <c r="CE24" s="381" t="e">
        <f ca="1">IF(LEFT(VLOOKUP($BV24,TACT!$A$3:$AH$100,7,FALSE),1)="#","-",VLOOKUP($BV24,TACT!$A$3:$AH$100,7,FALSE))</f>
        <v>#NAME?</v>
      </c>
      <c r="CF24" s="381" t="e">
        <f ca="1">IF(LEFT(VLOOKUP($BV24,TACT!$A$3:$AH$100,8,FALSE),1)="#","-",VLOOKUP($BV24,TACT!$A$3:$AH$100,8,FALSE))</f>
        <v>#NAME?</v>
      </c>
      <c r="CI24" s="476"/>
      <c r="CJ24" s="179"/>
      <c r="CK24" s="532"/>
      <c r="CL24" s="485"/>
      <c r="CM24" s="485"/>
      <c r="CN24" s="485"/>
      <c r="CO24" s="485"/>
      <c r="CP24" s="485"/>
      <c r="CQ24" s="399"/>
      <c r="CR24" s="485"/>
      <c r="CS24" s="485"/>
      <c r="CT24" s="485"/>
      <c r="CU24" s="485"/>
      <c r="CV24" s="485"/>
      <c r="CW24" s="485"/>
      <c r="CX24" s="399"/>
      <c r="CY24" s="399"/>
      <c r="CZ24" s="476"/>
      <c r="DA24" s="179"/>
      <c r="DB24" s="520"/>
      <c r="DC24" s="521"/>
      <c r="DD24" s="521"/>
      <c r="DE24" s="521"/>
      <c r="DF24" s="521"/>
      <c r="DG24" s="521"/>
      <c r="DH24" s="399"/>
      <c r="DI24" s="521"/>
      <c r="DJ24" s="521"/>
      <c r="DK24" s="521"/>
      <c r="DL24" s="521"/>
      <c r="DM24" s="521"/>
      <c r="DN24" s="521"/>
      <c r="DO24" s="399"/>
      <c r="DP24" s="476"/>
      <c r="DQ24" s="179"/>
      <c r="DR24" s="477"/>
      <c r="DS24" s="478"/>
      <c r="DT24" s="478"/>
      <c r="DU24" s="478"/>
      <c r="DV24" s="478"/>
      <c r="DW24" s="478"/>
      <c r="DX24" s="399"/>
      <c r="DY24" s="619"/>
      <c r="DZ24" s="620"/>
      <c r="EA24" s="620"/>
      <c r="EB24" s="620"/>
      <c r="EC24" s="620"/>
      <c r="ED24" s="620"/>
      <c r="EE24" s="476"/>
      <c r="EF24" s="179"/>
      <c r="EG24" s="485"/>
      <c r="EH24" s="485"/>
      <c r="EI24" s="485"/>
      <c r="EJ24" s="485"/>
      <c r="EK24" s="485"/>
      <c r="EL24" s="485"/>
      <c r="EM24" s="399"/>
      <c r="EN24" s="483" t="s">
        <v>3122</v>
      </c>
      <c r="EO24" s="483">
        <v>7</v>
      </c>
      <c r="EP24" s="483">
        <v>1</v>
      </c>
      <c r="EQ24" s="483">
        <v>2</v>
      </c>
      <c r="ER24" s="483" t="s">
        <v>3128</v>
      </c>
      <c r="ES24" s="482"/>
      <c r="EV24" s="476"/>
      <c r="EW24" s="179"/>
      <c r="EX24" s="482"/>
      <c r="EY24" s="482"/>
      <c r="EZ24" s="482"/>
      <c r="FA24" s="610"/>
      <c r="FB24" s="610"/>
      <c r="FC24" s="610"/>
      <c r="FD24" s="485"/>
      <c r="FE24" s="485"/>
      <c r="FF24" s="485"/>
      <c r="FG24" s="485"/>
      <c r="FH24" s="485"/>
      <c r="FI24" s="485"/>
      <c r="FJ24" s="485"/>
    </row>
    <row r="25" spans="1:166" ht="22.5" customHeight="1">
      <c r="A25" s="476"/>
      <c r="C25" s="565"/>
      <c r="D25" s="565"/>
      <c r="E25" s="565"/>
      <c r="F25" s="565"/>
      <c r="G25" s="565"/>
      <c r="H25" s="565"/>
      <c r="I25" s="565"/>
      <c r="J25" s="565"/>
      <c r="K25" s="565"/>
      <c r="L25" s="565"/>
      <c r="M25" s="565"/>
      <c r="N25" s="565"/>
      <c r="O25" s="565"/>
      <c r="P25" s="64"/>
      <c r="Q25" s="476"/>
      <c r="R25" s="179"/>
      <c r="S25" s="543"/>
      <c r="T25" s="386" t="e">
        <f ca="1">VLOOKUP($AD25,'市場監控 '!$E$7:$W$194,6,FALSE)</f>
        <v>#NAME?</v>
      </c>
      <c r="U25" s="386" t="e">
        <f ca="1">VLOOKUP($AD25,'市場監控 '!$E$7:$W$194,7,FALSE)</f>
        <v>#NAME?</v>
      </c>
      <c r="V25" s="387" t="str">
        <f ca="1">VLOOKUP($AD25,'市場監控 '!$E$7:$W$194,8,FALSE)</f>
        <v>-</v>
      </c>
      <c r="W25" s="388" t="str">
        <f ca="1">VLOOKUP($AD25,'市場監控 '!$E$7:$W$194,10,FALSE)</f>
        <v>-</v>
      </c>
      <c r="X25" s="389" t="str">
        <f ca="1">VLOOKUP($AD25,'市場監控 '!$E$7:$W$194,12,FALSE)</f>
        <v>-</v>
      </c>
      <c r="Y25" s="390" t="str">
        <f ca="1">VLOOKUP($AD25,'市場監控 '!$E$7:$W$194,14,FALSE)</f>
        <v>-</v>
      </c>
      <c r="Z25" s="390" t="str">
        <f ca="1">VLOOKUP($AD25,'市場監控 '!$E$7:$W$194,15,FALSE)</f>
        <v>-</v>
      </c>
      <c r="AA25" s="389" t="e">
        <f ca="1">VLOOKUP($AD25,'市場監控 '!$E$7:$W$194,17,FALSE)</f>
        <v>#NAME?</v>
      </c>
      <c r="AB25" s="389" t="e">
        <f ca="1">VLOOKUP($AD25,'市場監控 '!$E$7:$W$194,18,FALSE)</f>
        <v>#NAME?</v>
      </c>
      <c r="AC25" s="389" t="e">
        <f ca="1">VLOOKUP($AD25,'市場監控 '!$E$7:$W$194,19,FALSE)</f>
        <v>#NAME?</v>
      </c>
      <c r="AD25" s="185" t="s">
        <v>1210</v>
      </c>
      <c r="AE25" s="246" t="s">
        <v>1698</v>
      </c>
      <c r="AF25" s="225"/>
      <c r="AG25" s="225"/>
      <c r="AH25" s="476"/>
      <c r="AI25" s="179"/>
      <c r="AJ25" s="505"/>
      <c r="AK25" s="505"/>
      <c r="AL25" s="505"/>
      <c r="AM25" s="505"/>
      <c r="AN25" s="505"/>
      <c r="AO25" s="505"/>
      <c r="AP25" s="505"/>
      <c r="AQ25" s="505"/>
      <c r="AR25" s="505"/>
      <c r="AS25" s="505"/>
      <c r="AT25" s="505"/>
      <c r="AU25" s="505"/>
      <c r="AV25" s="505"/>
      <c r="AW25" s="505"/>
      <c r="AX25" s="443"/>
      <c r="AY25" s="443"/>
      <c r="AZ25" s="476"/>
      <c r="BA25" s="179"/>
      <c r="BB25" s="404" t="e">
        <f ca="1">VLOOKUP($BD25,NI!$B$5:$AL$2030,6,FALSE)</f>
        <v>#NAME?</v>
      </c>
      <c r="BC25" s="404" t="e">
        <f ca="1">VLOOKUP($BD25,NI!$B$37:$AL$2030,2,FALSE)</f>
        <v>#NAME?</v>
      </c>
      <c r="BD25" s="405" t="e">
        <f ca="1">NI!$B83</f>
        <v>#NAME?</v>
      </c>
      <c r="BE25" s="404" t="e">
        <f ca="1">VLOOKUP($BD25,NI!$B$5:$AL$2030,11,FALSE)</f>
        <v>#NAME?</v>
      </c>
      <c r="BF25" s="406" t="e">
        <f ca="1">VLOOKUP($BD25,NI!$B$5:$AL$2030,12,FALSE)/1000000</f>
        <v>#NAME?</v>
      </c>
      <c r="BG25" s="406"/>
      <c r="BH25" s="406" t="str">
        <f ca="1">IF(ISNUMBER(VLOOKUP($BD25,NI!$B$5:$AL$2030,13,FALSE)),VLOOKUP($BD25,NI!$B$5:$AL$2030,13,FALSE),"-")</f>
        <v>-</v>
      </c>
      <c r="BI25" s="407" t="e">
        <f ca="1">VLOOKUP($BD25,NI!$B$5:$AL$2030,4,FALSE)</f>
        <v>#NAME?</v>
      </c>
      <c r="BJ25" s="406" t="e">
        <f ca="1">VLOOKUP($BD25,NI!$B$5:$AL$2030,3,FALSE)</f>
        <v>#NAME?</v>
      </c>
      <c r="BK25" s="408" t="e">
        <f ca="1">VLOOKUP($BD25,NI!$B$5:$AL$2030,4,FALSE)</f>
        <v>#NAME?</v>
      </c>
      <c r="BL25" s="408" t="e">
        <f ca="1">IF(LEFT(VLOOKUP($BD25,NI!$B$5:$AL$2030,31,FALSE),1)="#","-",VLOOKUP($BD25,NI!$B$5:$AL$2030,31,FALSE))</f>
        <v>#NAME?</v>
      </c>
      <c r="BM25" s="408" t="e">
        <f ca="1">IF(LEFT(VLOOKUP($BD25,NI!$B$5:$AL$2030,32,FALSE),1)="#","-",VLOOKUP($BD25,NI!$B$5:$AL$2030,32,FALSE))</f>
        <v>#NAME?</v>
      </c>
      <c r="BN25" s="408" t="e">
        <f ca="1">IF(LEFT(VLOOKUP($BD25,NI!$B$5:$AL$2030,33,FALSE),1)="#","-",VLOOKUP($BD25,NI!$B$5:$AL$2030,33,FALSE))</f>
        <v>#NAME?</v>
      </c>
      <c r="BO25" s="409" t="e">
        <f ca="1">VLOOKUP($BD25,NI!$B$5:$AL$2030,22,FALSE)</f>
        <v>#NAME?</v>
      </c>
      <c r="BR25" s="476"/>
      <c r="BS25" s="179"/>
      <c r="BT25" s="381" t="e">
        <f ca="1">VLOOKUP($BV25,TACT!$A$3:$AH$100,2,FALSE)</f>
        <v>#NAME?</v>
      </c>
      <c r="BU25" s="381" t="e">
        <f ca="1">VLOOKUP($BV25,TACT!$A$3:$AH$100,3,FALSE)</f>
        <v>#NAME?</v>
      </c>
      <c r="BV25" s="381" t="e">
        <f ca="1">TACT!$A20</f>
        <v>#NAME?</v>
      </c>
      <c r="BW25" s="381" t="e">
        <f ca="1">VLOOKUP($BV25,TACT!$A$3:$AH$100,11,FALSE)</f>
        <v>#NAME?</v>
      </c>
      <c r="BX25" s="396" t="e">
        <f ca="1">VLOOKUP($BV25,TACT!$A$3:$AH$100,5,FALSE)</f>
        <v>#NAME?</v>
      </c>
      <c r="BY25" s="397"/>
      <c r="BZ25" s="381" t="e">
        <f ca="1">VLOOKUP($BV25,TACT!$A$3:$AH$100,4,FALSE)</f>
        <v>#NAME?</v>
      </c>
      <c r="CA25" s="396" t="e">
        <f ca="1">VLOOKUP($BV25,TACT!$A$3:$AH$100,21,FALSE)</f>
        <v>#NAME?</v>
      </c>
      <c r="CB25" s="397" t="e">
        <f ca="1">VLOOKUP($BV25,TACT!$A$3:$AH$100,32,FALSE)</f>
        <v>#NAME?</v>
      </c>
      <c r="CC25" s="398" t="e">
        <f ca="1">VLOOKUP($BV25,TACT!$A$3:$AH$100,33,FALSE)</f>
        <v>#NAME?</v>
      </c>
      <c r="CD25" s="381" t="e">
        <f ca="1">IF(LEFT(VLOOKUP($BV25,TACT!$A$3:$AH$100,6,FALSE),1)="#","-",VLOOKUP($BV25,TACT!$A$3:$AH$100,6,FALSE))</f>
        <v>#NAME?</v>
      </c>
      <c r="CE25" s="381" t="e">
        <f ca="1">IF(LEFT(VLOOKUP($BV25,TACT!$A$3:$AH$100,7,FALSE),1)="#","-",VLOOKUP($BV25,TACT!$A$3:$AH$100,7,FALSE))</f>
        <v>#NAME?</v>
      </c>
      <c r="CF25" s="381" t="e">
        <f ca="1">IF(LEFT(VLOOKUP($BV25,TACT!$A$3:$AH$100,8,FALSE),1)="#","-",VLOOKUP($BV25,TACT!$A$3:$AH$100,8,FALSE))</f>
        <v>#NAME?</v>
      </c>
      <c r="CI25" s="476"/>
      <c r="CJ25" s="179"/>
      <c r="CK25" s="532"/>
      <c r="CL25" s="485"/>
      <c r="CM25" s="485"/>
      <c r="CN25" s="485"/>
      <c r="CO25" s="485"/>
      <c r="CP25" s="485"/>
      <c r="CQ25" s="399"/>
      <c r="CR25" s="485"/>
      <c r="CS25" s="485"/>
      <c r="CT25" s="485"/>
      <c r="CU25" s="485"/>
      <c r="CV25" s="485"/>
      <c r="CW25" s="485"/>
      <c r="CX25" s="399"/>
      <c r="CY25" s="399"/>
      <c r="CZ25" s="476"/>
      <c r="DA25" s="179"/>
      <c r="DB25" s="520"/>
      <c r="DC25" s="521"/>
      <c r="DD25" s="521"/>
      <c r="DE25" s="521"/>
      <c r="DF25" s="521"/>
      <c r="DG25" s="521"/>
      <c r="DH25" s="399"/>
      <c r="DI25" s="521"/>
      <c r="DJ25" s="521"/>
      <c r="DK25" s="521"/>
      <c r="DL25" s="521"/>
      <c r="DM25" s="521"/>
      <c r="DN25" s="521"/>
      <c r="DO25" s="399"/>
      <c r="DP25" s="476"/>
      <c r="DQ25" s="179"/>
      <c r="DR25" s="479"/>
      <c r="DS25" s="480"/>
      <c r="DT25" s="480"/>
      <c r="DU25" s="480"/>
      <c r="DV25" s="480"/>
      <c r="DW25" s="480"/>
      <c r="DX25" s="399"/>
      <c r="DY25" s="621"/>
      <c r="DZ25" s="622"/>
      <c r="EA25" s="622"/>
      <c r="EB25" s="622"/>
      <c r="EC25" s="622"/>
      <c r="ED25" s="622"/>
      <c r="EE25" s="476"/>
      <c r="EF25" s="179"/>
      <c r="EG25" s="485"/>
      <c r="EH25" s="485"/>
      <c r="EI25" s="485"/>
      <c r="EJ25" s="485"/>
      <c r="EK25" s="485"/>
      <c r="EL25" s="485"/>
      <c r="EM25" s="399"/>
      <c r="EN25" s="482"/>
      <c r="EO25" s="482"/>
      <c r="EP25" s="482"/>
      <c r="EQ25" s="482"/>
      <c r="ER25" s="482"/>
      <c r="ES25" s="482"/>
      <c r="EV25" s="476"/>
      <c r="EW25" s="179"/>
      <c r="EX25" s="481" t="s">
        <v>3211</v>
      </c>
      <c r="EY25" s="604"/>
      <c r="EZ25" s="481" t="s">
        <v>3212</v>
      </c>
      <c r="FA25" s="609" t="s">
        <v>3213</v>
      </c>
      <c r="FB25" s="610"/>
      <c r="FC25" s="610"/>
      <c r="FD25" s="611" t="s">
        <v>3214</v>
      </c>
      <c r="FE25" s="612"/>
      <c r="FF25" s="612"/>
      <c r="FG25" s="612"/>
      <c r="FH25" s="485"/>
      <c r="FI25" s="485"/>
      <c r="FJ25" s="485"/>
    </row>
    <row r="26" spans="1:166" ht="22.5" customHeight="1">
      <c r="A26" s="476"/>
      <c r="C26" s="565"/>
      <c r="D26" s="565"/>
      <c r="E26" s="565"/>
      <c r="F26" s="565"/>
      <c r="G26" s="565"/>
      <c r="H26" s="565"/>
      <c r="I26" s="565"/>
      <c r="J26" s="565"/>
      <c r="K26" s="565"/>
      <c r="L26" s="565"/>
      <c r="M26" s="565"/>
      <c r="N26" s="565"/>
      <c r="O26" s="565"/>
      <c r="P26" s="64"/>
      <c r="Q26" s="476"/>
      <c r="R26" s="179"/>
      <c r="S26" s="543"/>
      <c r="T26" s="386" t="e">
        <f ca="1">VLOOKUP($AD26,'市場監控 '!$E$7:$W$194,6,FALSE)</f>
        <v>#NAME?</v>
      </c>
      <c r="U26" s="386" t="e">
        <f ca="1">VLOOKUP($AD26,'市場監控 '!$E$7:$W$194,7,FALSE)</f>
        <v>#NAME?</v>
      </c>
      <c r="V26" s="387" t="str">
        <f ca="1">VLOOKUP($AD26,'市場監控 '!$E$7:$W$194,8,FALSE)</f>
        <v>-</v>
      </c>
      <c r="W26" s="388" t="str">
        <f ca="1">VLOOKUP($AD26,'市場監控 '!$E$7:$W$194,10,FALSE)</f>
        <v>-</v>
      </c>
      <c r="X26" s="389" t="str">
        <f ca="1">VLOOKUP($AD26,'市場監控 '!$E$7:$W$194,12,FALSE)</f>
        <v>-</v>
      </c>
      <c r="Y26" s="390" t="str">
        <f ca="1">VLOOKUP($AD26,'市場監控 '!$E$7:$W$194,14,FALSE)</f>
        <v>-</v>
      </c>
      <c r="Z26" s="390" t="str">
        <f ca="1">VLOOKUP($AD26,'市場監控 '!$E$7:$W$194,15,FALSE)</f>
        <v>-</v>
      </c>
      <c r="AA26" s="389" t="e">
        <f ca="1">VLOOKUP($AD26,'市場監控 '!$E$7:$W$194,17,FALSE)</f>
        <v>#NAME?</v>
      </c>
      <c r="AB26" s="389" t="e">
        <f ca="1">VLOOKUP($AD26,'市場監控 '!$E$7:$W$194,18,FALSE)</f>
        <v>#NAME?</v>
      </c>
      <c r="AC26" s="389" t="e">
        <f ca="1">VLOOKUP($AD26,'市場監控 '!$E$7:$W$194,19,FALSE)</f>
        <v>#NAME?</v>
      </c>
      <c r="AD26" s="185" t="s">
        <v>1850</v>
      </c>
      <c r="AE26" s="269" t="s">
        <v>1700</v>
      </c>
      <c r="AF26" s="225"/>
      <c r="AG26" s="225"/>
      <c r="AH26" s="476"/>
      <c r="AI26" s="179"/>
      <c r="AJ26" s="505"/>
      <c r="AK26" s="505"/>
      <c r="AL26" s="505"/>
      <c r="AM26" s="505"/>
      <c r="AN26" s="505"/>
      <c r="AO26" s="505"/>
      <c r="AP26" s="505"/>
      <c r="AQ26" s="505"/>
      <c r="AR26" s="505"/>
      <c r="AS26" s="505"/>
      <c r="AT26" s="505"/>
      <c r="AU26" s="505"/>
      <c r="AV26" s="505"/>
      <c r="AW26" s="505"/>
      <c r="AX26" s="443"/>
      <c r="AY26" s="443"/>
      <c r="AZ26" s="476"/>
      <c r="BA26" s="179"/>
      <c r="BB26" s="404" t="e">
        <f ca="1">VLOOKUP($BD26,NI!$B$5:$AL$2030,6,FALSE)</f>
        <v>#NAME?</v>
      </c>
      <c r="BC26" s="404" t="e">
        <f ca="1">VLOOKUP($BD26,NI!$B$37:$AL$2030,2,FALSE)</f>
        <v>#NAME?</v>
      </c>
      <c r="BD26" s="405" t="e">
        <f ca="1">NI!$B84</f>
        <v>#NAME?</v>
      </c>
      <c r="BE26" s="404" t="e">
        <f ca="1">VLOOKUP($BD26,NI!$B$5:$AL$2030,11,FALSE)</f>
        <v>#NAME?</v>
      </c>
      <c r="BF26" s="406" t="e">
        <f ca="1">VLOOKUP($BD26,NI!$B$5:$AL$2030,12,FALSE)/1000000</f>
        <v>#NAME?</v>
      </c>
      <c r="BG26" s="406"/>
      <c r="BH26" s="406" t="str">
        <f ca="1">IF(ISNUMBER(VLOOKUP($BD26,NI!$B$5:$AL$2030,13,FALSE)),VLOOKUP($BD26,NI!$B$5:$AL$2030,13,FALSE),"-")</f>
        <v>-</v>
      </c>
      <c r="BI26" s="407" t="e">
        <f ca="1">VLOOKUP($BD26,NI!$B$5:$AL$2030,4,FALSE)</f>
        <v>#NAME?</v>
      </c>
      <c r="BJ26" s="406" t="e">
        <f ca="1">VLOOKUP($BD26,NI!$B$5:$AL$2030,3,FALSE)</f>
        <v>#NAME?</v>
      </c>
      <c r="BK26" s="408" t="e">
        <f ca="1">VLOOKUP($BD26,NI!$B$5:$AL$2030,4,FALSE)</f>
        <v>#NAME?</v>
      </c>
      <c r="BL26" s="408" t="e">
        <f ca="1">IF(LEFT(VLOOKUP($BD26,NI!$B$5:$AL$2030,31,FALSE),1)="#","-",VLOOKUP($BD26,NI!$B$5:$AL$2030,31,FALSE))</f>
        <v>#NAME?</v>
      </c>
      <c r="BM26" s="408" t="e">
        <f ca="1">IF(LEFT(VLOOKUP($BD26,NI!$B$5:$AL$2030,32,FALSE),1)="#","-",VLOOKUP($BD26,NI!$B$5:$AL$2030,32,FALSE))</f>
        <v>#NAME?</v>
      </c>
      <c r="BN26" s="408" t="e">
        <f ca="1">IF(LEFT(VLOOKUP($BD26,NI!$B$5:$AL$2030,33,FALSE),1)="#","-",VLOOKUP($BD26,NI!$B$5:$AL$2030,33,FALSE))</f>
        <v>#NAME?</v>
      </c>
      <c r="BO26" s="409" t="e">
        <f ca="1">VLOOKUP($BD26,NI!$B$5:$AL$2030,22,FALSE)</f>
        <v>#NAME?</v>
      </c>
      <c r="BR26" s="476"/>
      <c r="BS26" s="179"/>
      <c r="BT26" s="381" t="e">
        <f ca="1">VLOOKUP($BV26,TACT!$A$3:$AH$100,2,FALSE)</f>
        <v>#NAME?</v>
      </c>
      <c r="BU26" s="381" t="e">
        <f ca="1">VLOOKUP($BV26,TACT!$A$3:$AH$100,3,FALSE)</f>
        <v>#NAME?</v>
      </c>
      <c r="BV26" s="381" t="e">
        <f ca="1">TACT!$A21</f>
        <v>#NAME?</v>
      </c>
      <c r="BW26" s="381" t="e">
        <f ca="1">VLOOKUP($BV26,TACT!$A$3:$AH$100,11,FALSE)</f>
        <v>#NAME?</v>
      </c>
      <c r="BX26" s="396" t="e">
        <f ca="1">VLOOKUP($BV26,TACT!$A$3:$AH$100,5,FALSE)</f>
        <v>#NAME?</v>
      </c>
      <c r="BY26" s="397"/>
      <c r="BZ26" s="381" t="e">
        <f ca="1">VLOOKUP($BV26,TACT!$A$3:$AH$100,4,FALSE)</f>
        <v>#NAME?</v>
      </c>
      <c r="CA26" s="396" t="e">
        <f ca="1">VLOOKUP($BV26,TACT!$A$3:$AH$100,21,FALSE)</f>
        <v>#NAME?</v>
      </c>
      <c r="CB26" s="397" t="e">
        <f ca="1">VLOOKUP($BV26,TACT!$A$3:$AH$100,32,FALSE)</f>
        <v>#NAME?</v>
      </c>
      <c r="CC26" s="398" t="e">
        <f ca="1">VLOOKUP($BV26,TACT!$A$3:$AH$100,33,FALSE)</f>
        <v>#NAME?</v>
      </c>
      <c r="CD26" s="381" t="e">
        <f ca="1">IF(LEFT(VLOOKUP($BV26,TACT!$A$3:$AH$100,6,FALSE),1)="#","-",VLOOKUP($BV26,TACT!$A$3:$AH$100,6,FALSE))</f>
        <v>#NAME?</v>
      </c>
      <c r="CE26" s="381" t="e">
        <f ca="1">IF(LEFT(VLOOKUP($BV26,TACT!$A$3:$AH$100,7,FALSE),1)="#","-",VLOOKUP($BV26,TACT!$A$3:$AH$100,7,FALSE))</f>
        <v>#NAME?</v>
      </c>
      <c r="CF26" s="381" t="e">
        <f ca="1">IF(LEFT(VLOOKUP($BV26,TACT!$A$3:$AH$100,8,FALSE),1)="#","-",VLOOKUP($BV26,TACT!$A$3:$AH$100,8,FALSE))</f>
        <v>#NAME?</v>
      </c>
      <c r="CI26" s="476"/>
      <c r="CJ26" s="179"/>
      <c r="CK26" s="532"/>
      <c r="CL26" s="485"/>
      <c r="CM26" s="485"/>
      <c r="CN26" s="485"/>
      <c r="CO26" s="485"/>
      <c r="CP26" s="485"/>
      <c r="CQ26" s="399"/>
      <c r="CR26" s="485"/>
      <c r="CS26" s="485"/>
      <c r="CT26" s="485"/>
      <c r="CU26" s="485"/>
      <c r="CV26" s="485"/>
      <c r="CW26" s="485"/>
      <c r="CX26" s="451"/>
      <c r="CY26" s="451"/>
      <c r="CZ26" s="476"/>
      <c r="DA26" s="179"/>
      <c r="DB26" s="520"/>
      <c r="DC26" s="521"/>
      <c r="DD26" s="521"/>
      <c r="DE26" s="521"/>
      <c r="DF26" s="521"/>
      <c r="DG26" s="521"/>
      <c r="DH26" s="399"/>
      <c r="DI26" s="521"/>
      <c r="DJ26" s="521"/>
      <c r="DK26" s="521"/>
      <c r="DL26" s="521"/>
      <c r="DM26" s="521"/>
      <c r="DN26" s="521"/>
      <c r="DO26" s="451"/>
      <c r="DP26" s="476"/>
      <c r="DQ26" s="179"/>
      <c r="DR26" s="591"/>
      <c r="DS26" s="592"/>
      <c r="DT26" s="592"/>
      <c r="DU26" s="616"/>
      <c r="DV26" s="616"/>
      <c r="DW26" s="616"/>
      <c r="DX26" s="399"/>
      <c r="DY26" s="591"/>
      <c r="DZ26" s="592"/>
      <c r="EA26" s="592"/>
      <c r="EB26" s="616"/>
      <c r="EC26" s="616"/>
      <c r="ED26" s="616"/>
      <c r="EE26" s="476"/>
      <c r="EF26" s="179"/>
      <c r="EG26" s="485"/>
      <c r="EH26" s="485"/>
      <c r="EI26" s="485"/>
      <c r="EJ26" s="485"/>
      <c r="EK26" s="485"/>
      <c r="EL26" s="485"/>
      <c r="EN26" s="482"/>
      <c r="EO26" s="482"/>
      <c r="EP26" s="482"/>
      <c r="EQ26" s="482"/>
      <c r="ER26" s="482"/>
      <c r="ES26" s="482"/>
      <c r="EV26" s="476"/>
      <c r="EW26" s="179"/>
      <c r="EX26" s="604"/>
      <c r="EY26" s="604"/>
      <c r="EZ26" s="604"/>
      <c r="FA26" s="610"/>
      <c r="FB26" s="610"/>
      <c r="FC26" s="610"/>
      <c r="FD26" s="612"/>
      <c r="FE26" s="612"/>
      <c r="FF26" s="612"/>
      <c r="FG26" s="612"/>
      <c r="FH26" s="485"/>
      <c r="FI26" s="485"/>
      <c r="FJ26" s="485"/>
    </row>
    <row r="27" spans="1:166" ht="22.5" customHeight="1">
      <c r="A27" s="476"/>
      <c r="C27" s="565"/>
      <c r="D27" s="565"/>
      <c r="E27" s="565"/>
      <c r="F27" s="565"/>
      <c r="G27" s="565"/>
      <c r="H27" s="565"/>
      <c r="I27" s="565"/>
      <c r="J27" s="565"/>
      <c r="K27" s="565"/>
      <c r="L27" s="565"/>
      <c r="M27" s="565"/>
      <c r="N27" s="565"/>
      <c r="O27" s="565"/>
      <c r="P27" s="64"/>
      <c r="Q27" s="476"/>
      <c r="R27" s="179"/>
      <c r="S27" s="543"/>
      <c r="T27" s="386" t="e">
        <f ca="1">VLOOKUP($AD27,'市場監控 '!$E$7:$W$194,6,FALSE)</f>
        <v>#NAME?</v>
      </c>
      <c r="U27" s="386" t="e">
        <f ca="1">VLOOKUP($AD27,'市場監控 '!$E$7:$W$194,7,FALSE)</f>
        <v>#NAME?</v>
      </c>
      <c r="V27" s="387" t="str">
        <f ca="1">VLOOKUP($AD27,'市場監控 '!$E$7:$W$194,8,FALSE)</f>
        <v>-</v>
      </c>
      <c r="W27" s="388" t="str">
        <f ca="1">VLOOKUP($AD27,'市場監控 '!$E$7:$W$194,10,FALSE)</f>
        <v>-</v>
      </c>
      <c r="X27" s="389" t="str">
        <f ca="1">VLOOKUP($AD27,'市場監控 '!$E$7:$W$194,12,FALSE)</f>
        <v>-</v>
      </c>
      <c r="Y27" s="390" t="str">
        <f ca="1">VLOOKUP($AD27,'市場監控 '!$E$7:$W$194,14,FALSE)</f>
        <v>-</v>
      </c>
      <c r="Z27" s="390" t="str">
        <f ca="1">VLOOKUP($AD27,'市場監控 '!$E$7:$W$194,15,FALSE)</f>
        <v>-</v>
      </c>
      <c r="AA27" s="389" t="e">
        <f ca="1">VLOOKUP($AD27,'市場監控 '!$E$7:$W$194,17,FALSE)</f>
        <v>#NAME?</v>
      </c>
      <c r="AB27" s="389" t="e">
        <f ca="1">VLOOKUP($AD27,'市場監控 '!$E$7:$W$194,18,FALSE)</f>
        <v>#NAME?</v>
      </c>
      <c r="AC27" s="389" t="e">
        <f ca="1">VLOOKUP($AD27,'市場監控 '!$E$7:$W$194,19,FALSE)</f>
        <v>#NAME?</v>
      </c>
      <c r="AD27" s="185" t="s">
        <v>1851</v>
      </c>
      <c r="AE27" s="246" t="s">
        <v>1702</v>
      </c>
      <c r="AF27" s="225"/>
      <c r="AG27" s="225"/>
      <c r="AH27" s="476"/>
      <c r="AI27" s="179"/>
      <c r="AJ27" s="505"/>
      <c r="AK27" s="505"/>
      <c r="AL27" s="505"/>
      <c r="AM27" s="505"/>
      <c r="AN27" s="505"/>
      <c r="AO27" s="505"/>
      <c r="AP27" s="505"/>
      <c r="AQ27" s="505"/>
      <c r="AR27" s="505"/>
      <c r="AS27" s="505"/>
      <c r="AT27" s="505"/>
      <c r="AU27" s="505"/>
      <c r="AV27" s="505"/>
      <c r="AW27" s="505"/>
      <c r="AX27" s="443"/>
      <c r="AY27" s="443"/>
      <c r="AZ27" s="476"/>
      <c r="BA27" s="179"/>
      <c r="BB27" s="404" t="e">
        <f ca="1">VLOOKUP($BD27,NI!$B$5:$AL$2030,6,FALSE)</f>
        <v>#NAME?</v>
      </c>
      <c r="BC27" s="404" t="e">
        <f ca="1">VLOOKUP($BD27,NI!$B$37:$AL$2030,2,FALSE)</f>
        <v>#NAME?</v>
      </c>
      <c r="BD27" s="405" t="e">
        <f ca="1">NI!$B85</f>
        <v>#NAME?</v>
      </c>
      <c r="BE27" s="404" t="e">
        <f ca="1">VLOOKUP($BD27,NI!$B$5:$AL$2030,11,FALSE)</f>
        <v>#NAME?</v>
      </c>
      <c r="BF27" s="406" t="e">
        <f ca="1">VLOOKUP($BD27,NI!$B$5:$AL$2030,12,FALSE)/1000000</f>
        <v>#NAME?</v>
      </c>
      <c r="BG27" s="406"/>
      <c r="BH27" s="406" t="str">
        <f ca="1">IF(ISNUMBER(VLOOKUP($BD27,NI!$B$5:$AL$2030,13,FALSE)),VLOOKUP($BD27,NI!$B$5:$AL$2030,13,FALSE),"-")</f>
        <v>-</v>
      </c>
      <c r="BI27" s="407" t="e">
        <f ca="1">VLOOKUP($BD27,NI!$B$5:$AL$2030,4,FALSE)</f>
        <v>#NAME?</v>
      </c>
      <c r="BJ27" s="406" t="e">
        <f ca="1">VLOOKUP($BD27,NI!$B$5:$AL$2030,3,FALSE)</f>
        <v>#NAME?</v>
      </c>
      <c r="BK27" s="408" t="e">
        <f ca="1">VLOOKUP($BD27,NI!$B$5:$AL$2030,4,FALSE)</f>
        <v>#NAME?</v>
      </c>
      <c r="BL27" s="408" t="e">
        <f ca="1">IF(LEFT(VLOOKUP($BD27,NI!$B$5:$AL$2030,31,FALSE),1)="#","-",VLOOKUP($BD27,NI!$B$5:$AL$2030,31,FALSE))</f>
        <v>#NAME?</v>
      </c>
      <c r="BM27" s="408" t="e">
        <f ca="1">IF(LEFT(VLOOKUP($BD27,NI!$B$5:$AL$2030,32,FALSE),1)="#","-",VLOOKUP($BD27,NI!$B$5:$AL$2030,32,FALSE))</f>
        <v>#NAME?</v>
      </c>
      <c r="BN27" s="408" t="e">
        <f ca="1">IF(LEFT(VLOOKUP($BD27,NI!$B$5:$AL$2030,33,FALSE),1)="#","-",VLOOKUP($BD27,NI!$B$5:$AL$2030,33,FALSE))</f>
        <v>#NAME?</v>
      </c>
      <c r="BO27" s="409" t="e">
        <f ca="1">VLOOKUP($BD27,NI!$B$5:$AL$2030,22,FALSE)</f>
        <v>#NAME?</v>
      </c>
      <c r="BR27" s="476"/>
      <c r="BS27" s="179"/>
      <c r="BT27" s="381" t="e">
        <f ca="1">VLOOKUP($BV27,TACT!$A$3:$AH$100,2,FALSE)</f>
        <v>#NAME?</v>
      </c>
      <c r="BU27" s="381" t="e">
        <f ca="1">VLOOKUP($BV27,TACT!$A$3:$AH$100,3,FALSE)</f>
        <v>#NAME?</v>
      </c>
      <c r="BV27" s="381" t="e">
        <f ca="1">TACT!$A22</f>
        <v>#NAME?</v>
      </c>
      <c r="BW27" s="381" t="e">
        <f ca="1">VLOOKUP($BV27,TACT!$A$3:$AH$100,11,FALSE)</f>
        <v>#NAME?</v>
      </c>
      <c r="BX27" s="396" t="e">
        <f ca="1">VLOOKUP($BV27,TACT!$A$3:$AH$100,5,FALSE)</f>
        <v>#NAME?</v>
      </c>
      <c r="BY27" s="397"/>
      <c r="BZ27" s="381" t="e">
        <f ca="1">VLOOKUP($BV27,TACT!$A$3:$AH$100,4,FALSE)</f>
        <v>#NAME?</v>
      </c>
      <c r="CA27" s="396" t="e">
        <f ca="1">VLOOKUP($BV27,TACT!$A$3:$AH$100,21,FALSE)</f>
        <v>#NAME?</v>
      </c>
      <c r="CB27" s="397" t="e">
        <f ca="1">VLOOKUP($BV27,TACT!$A$3:$AH$100,32,FALSE)</f>
        <v>#NAME?</v>
      </c>
      <c r="CC27" s="398" t="e">
        <f ca="1">VLOOKUP($BV27,TACT!$A$3:$AH$100,33,FALSE)</f>
        <v>#NAME?</v>
      </c>
      <c r="CD27" s="381" t="e">
        <f ca="1">IF(LEFT(VLOOKUP($BV27,TACT!$A$3:$AH$100,6,FALSE),1)="#","-",VLOOKUP($BV27,TACT!$A$3:$AH$100,6,FALSE))</f>
        <v>#NAME?</v>
      </c>
      <c r="CE27" s="381" t="e">
        <f ca="1">IF(LEFT(VLOOKUP($BV27,TACT!$A$3:$AH$100,7,FALSE),1)="#","-",VLOOKUP($BV27,TACT!$A$3:$AH$100,7,FALSE))</f>
        <v>#NAME?</v>
      </c>
      <c r="CF27" s="381" t="e">
        <f ca="1">IF(LEFT(VLOOKUP($BV27,TACT!$A$3:$AH$100,8,FALSE),1)="#","-",VLOOKUP($BV27,TACT!$A$3:$AH$100,8,FALSE))</f>
        <v>#NAME?</v>
      </c>
      <c r="CI27" s="476"/>
      <c r="CJ27" s="179"/>
      <c r="CK27" s="532"/>
      <c r="CL27" s="485"/>
      <c r="CM27" s="485"/>
      <c r="CN27" s="485"/>
      <c r="CO27" s="485"/>
      <c r="CP27" s="485"/>
      <c r="CQ27" s="399"/>
      <c r="CR27" s="485"/>
      <c r="CS27" s="485"/>
      <c r="CT27" s="485"/>
      <c r="CU27" s="485"/>
      <c r="CV27" s="485"/>
      <c r="CW27" s="485"/>
      <c r="CX27" s="451"/>
      <c r="CY27" s="451"/>
      <c r="CZ27" s="476"/>
      <c r="DA27" s="179"/>
      <c r="DB27" s="520"/>
      <c r="DC27" s="521"/>
      <c r="DD27" s="521"/>
      <c r="DE27" s="521"/>
      <c r="DF27" s="521"/>
      <c r="DG27" s="521"/>
      <c r="DH27" s="399"/>
      <c r="DI27" s="521"/>
      <c r="DJ27" s="521"/>
      <c r="DK27" s="521"/>
      <c r="DL27" s="521"/>
      <c r="DM27" s="521"/>
      <c r="DN27" s="521"/>
      <c r="DO27" s="451"/>
      <c r="DP27" s="476"/>
      <c r="DQ27" s="179"/>
      <c r="DR27" s="592"/>
      <c r="DS27" s="592"/>
      <c r="DT27" s="592"/>
      <c r="DU27" s="616"/>
      <c r="DV27" s="616"/>
      <c r="DW27" s="616"/>
      <c r="DX27" s="399"/>
      <c r="DY27" s="592"/>
      <c r="DZ27" s="592"/>
      <c r="EA27" s="592"/>
      <c r="EB27" s="616"/>
      <c r="EC27" s="616"/>
      <c r="ED27" s="616"/>
      <c r="EE27" s="476"/>
      <c r="EF27" s="179"/>
      <c r="EG27" s="485"/>
      <c r="EH27" s="485"/>
      <c r="EI27" s="485"/>
      <c r="EJ27" s="485"/>
      <c r="EK27" s="485"/>
      <c r="EL27" s="485"/>
      <c r="EV27" s="476"/>
      <c r="EW27" s="179"/>
      <c r="EX27" s="604"/>
      <c r="EY27" s="604"/>
      <c r="EZ27" s="604"/>
      <c r="FA27" s="610"/>
      <c r="FB27" s="610"/>
      <c r="FC27" s="610"/>
      <c r="FD27" s="612"/>
      <c r="FE27" s="612"/>
      <c r="FF27" s="612"/>
      <c r="FG27" s="612"/>
      <c r="FH27" s="485"/>
      <c r="FI27" s="485"/>
      <c r="FJ27" s="485"/>
    </row>
    <row r="28" spans="1:166" ht="22.5" customHeight="1">
      <c r="A28" s="476"/>
      <c r="C28" s="565"/>
      <c r="D28" s="565"/>
      <c r="E28" s="565"/>
      <c r="F28" s="565"/>
      <c r="G28" s="565"/>
      <c r="H28" s="565"/>
      <c r="I28" s="565"/>
      <c r="J28" s="565"/>
      <c r="K28" s="565"/>
      <c r="L28" s="565"/>
      <c r="M28" s="565"/>
      <c r="N28" s="565"/>
      <c r="O28" s="565"/>
      <c r="P28" s="64"/>
      <c r="Q28" s="476"/>
      <c r="R28" s="179"/>
      <c r="S28" s="543"/>
      <c r="T28" s="386" t="e">
        <f ca="1">VLOOKUP($AD28,'市場監控 '!$E$7:$W$194,6,FALSE)</f>
        <v>#NAME?</v>
      </c>
      <c r="U28" s="386" t="e">
        <f ca="1">VLOOKUP($AD28,'市場監控 '!$E$7:$W$194,7,FALSE)</f>
        <v>#NAME?</v>
      </c>
      <c r="V28" s="387" t="str">
        <f ca="1">VLOOKUP($AD28,'市場監控 '!$E$7:$W$194,8,FALSE)</f>
        <v>-</v>
      </c>
      <c r="W28" s="388" t="str">
        <f ca="1">VLOOKUP($AD28,'市場監控 '!$E$7:$W$194,10,FALSE)</f>
        <v>-</v>
      </c>
      <c r="X28" s="389" t="str">
        <f ca="1">VLOOKUP($AD28,'市場監控 '!$E$7:$W$194,12,FALSE)</f>
        <v>-</v>
      </c>
      <c r="Y28" s="390" t="str">
        <f ca="1">VLOOKUP($AD28,'市場監控 '!$E$7:$W$194,14,FALSE)</f>
        <v>-</v>
      </c>
      <c r="Z28" s="390" t="str">
        <f ca="1">VLOOKUP($AD28,'市場監控 '!$E$7:$W$194,15,FALSE)</f>
        <v>-</v>
      </c>
      <c r="AA28" s="389" t="e">
        <f ca="1">VLOOKUP($AD28,'市場監控 '!$E$7:$W$194,17,FALSE)</f>
        <v>#NAME?</v>
      </c>
      <c r="AB28" s="389" t="e">
        <f ca="1">VLOOKUP($AD28,'市場監控 '!$E$7:$W$194,18,FALSE)</f>
        <v>#NAME?</v>
      </c>
      <c r="AC28" s="389" t="e">
        <f ca="1">VLOOKUP($AD28,'市場監控 '!$E$7:$W$194,19,FALSE)</f>
        <v>#NAME?</v>
      </c>
      <c r="AD28" s="185" t="s">
        <v>1200</v>
      </c>
      <c r="AE28" s="246" t="s">
        <v>1704</v>
      </c>
      <c r="AF28" s="225"/>
      <c r="AG28" s="225"/>
      <c r="AH28" s="476"/>
      <c r="AI28" s="179"/>
      <c r="AJ28" s="505"/>
      <c r="AK28" s="505"/>
      <c r="AL28" s="505"/>
      <c r="AM28" s="505"/>
      <c r="AN28" s="505"/>
      <c r="AO28" s="505"/>
      <c r="AP28" s="505"/>
      <c r="AQ28" s="505"/>
      <c r="AR28" s="505"/>
      <c r="AS28" s="505"/>
      <c r="AT28" s="505"/>
      <c r="AU28" s="505"/>
      <c r="AV28" s="505"/>
      <c r="AW28" s="505"/>
      <c r="AX28" s="443"/>
      <c r="AY28" s="443"/>
      <c r="AZ28" s="476"/>
      <c r="BA28" s="179"/>
      <c r="BB28" s="404" t="e">
        <f ca="1">VLOOKUP($BD28,NI!$B$5:$AL$2030,6,FALSE)</f>
        <v>#NAME?</v>
      </c>
      <c r="BC28" s="404" t="e">
        <f ca="1">VLOOKUP($BD28,NI!$B$37:$AL$2030,2,FALSE)</f>
        <v>#NAME?</v>
      </c>
      <c r="BD28" s="405" t="e">
        <f ca="1">NI!$B86</f>
        <v>#NAME?</v>
      </c>
      <c r="BE28" s="404" t="e">
        <f ca="1">VLOOKUP($BD28,NI!$B$5:$AL$2030,11,FALSE)</f>
        <v>#NAME?</v>
      </c>
      <c r="BF28" s="406" t="e">
        <f ca="1">VLOOKUP($BD28,NI!$B$5:$AL$2030,12,FALSE)/1000000</f>
        <v>#NAME?</v>
      </c>
      <c r="BG28" s="406"/>
      <c r="BH28" s="406" t="str">
        <f ca="1">IF(ISNUMBER(VLOOKUP($BD28,NI!$B$5:$AL$2030,13,FALSE)),VLOOKUP($BD28,NI!$B$5:$AL$2030,13,FALSE),"-")</f>
        <v>-</v>
      </c>
      <c r="BI28" s="407" t="e">
        <f ca="1">VLOOKUP($BD28,NI!$B$5:$AL$2030,4,FALSE)</f>
        <v>#NAME?</v>
      </c>
      <c r="BJ28" s="406" t="e">
        <f ca="1">VLOOKUP($BD28,NI!$B$5:$AL$2030,3,FALSE)</f>
        <v>#NAME?</v>
      </c>
      <c r="BK28" s="408" t="e">
        <f ca="1">VLOOKUP($BD28,NI!$B$5:$AL$2030,4,FALSE)</f>
        <v>#NAME?</v>
      </c>
      <c r="BL28" s="408" t="e">
        <f ca="1">IF(LEFT(VLOOKUP($BD28,NI!$B$5:$AL$2030,31,FALSE),1)="#","-",VLOOKUP($BD28,NI!$B$5:$AL$2030,31,FALSE))</f>
        <v>#NAME?</v>
      </c>
      <c r="BM28" s="408" t="e">
        <f ca="1">IF(LEFT(VLOOKUP($BD28,NI!$B$5:$AL$2030,32,FALSE),1)="#","-",VLOOKUP($BD28,NI!$B$5:$AL$2030,32,FALSE))</f>
        <v>#NAME?</v>
      </c>
      <c r="BN28" s="408" t="e">
        <f ca="1">IF(LEFT(VLOOKUP($BD28,NI!$B$5:$AL$2030,33,FALSE),1)="#","-",VLOOKUP($BD28,NI!$B$5:$AL$2030,33,FALSE))</f>
        <v>#NAME?</v>
      </c>
      <c r="BO28" s="409" t="e">
        <f ca="1">VLOOKUP($BD28,NI!$B$5:$AL$2030,22,FALSE)</f>
        <v>#NAME?</v>
      </c>
      <c r="BR28" s="476"/>
      <c r="BS28" s="179"/>
      <c r="BT28" s="381"/>
      <c r="BU28" s="381"/>
      <c r="BV28" s="381"/>
      <c r="BW28" s="381"/>
      <c r="BX28" s="381"/>
      <c r="BY28" s="381"/>
      <c r="BZ28" s="381"/>
      <c r="CA28" s="381"/>
      <c r="CB28" s="381"/>
      <c r="CC28" s="381"/>
      <c r="CD28" s="381"/>
      <c r="CE28" s="381"/>
      <c r="CF28" s="381"/>
      <c r="CI28" s="476"/>
      <c r="CJ28" s="179"/>
      <c r="CK28" s="458"/>
      <c r="CL28" s="459"/>
      <c r="CM28" s="459"/>
      <c r="CN28" s="459"/>
      <c r="CO28" s="459"/>
      <c r="CP28" s="459"/>
      <c r="CQ28" s="399"/>
      <c r="CR28" s="459"/>
      <c r="CS28" s="459"/>
      <c r="CT28" s="459"/>
      <c r="CU28" s="459"/>
      <c r="CV28" s="459"/>
      <c r="CW28" s="459"/>
      <c r="CX28" s="451"/>
      <c r="CY28" s="451"/>
      <c r="CZ28" s="476"/>
      <c r="DA28" s="179"/>
      <c r="DB28" s="456"/>
      <c r="DC28"/>
      <c r="DD28"/>
      <c r="DE28"/>
      <c r="DF28"/>
      <c r="DG28"/>
      <c r="DH28" s="399"/>
      <c r="DI28"/>
      <c r="DJ28"/>
      <c r="DK28"/>
      <c r="DL28"/>
      <c r="DM28"/>
      <c r="DN28"/>
      <c r="DO28" s="451"/>
      <c r="DP28" s="476"/>
      <c r="DQ28" s="179"/>
      <c r="DR28" s="592"/>
      <c r="DS28" s="592"/>
      <c r="DT28" s="592"/>
      <c r="DU28" s="616"/>
      <c r="DV28" s="616"/>
      <c r="DW28" s="616"/>
      <c r="DX28" s="399"/>
      <c r="DY28" s="592"/>
      <c r="DZ28" s="592"/>
      <c r="EA28" s="592"/>
      <c r="EB28" s="616"/>
      <c r="EC28" s="616"/>
      <c r="ED28" s="616"/>
      <c r="EE28" s="476"/>
      <c r="EF28" s="179"/>
      <c r="EG28" s="485"/>
      <c r="EH28" s="485"/>
      <c r="EI28" s="485"/>
      <c r="EJ28" s="485"/>
      <c r="EK28" s="485"/>
      <c r="EL28" s="485"/>
      <c r="EV28" s="476"/>
      <c r="EW28" s="179"/>
      <c r="EX28" s="482"/>
      <c r="EY28" s="482"/>
      <c r="EZ28" s="482"/>
      <c r="FA28" s="610"/>
      <c r="FB28" s="610"/>
      <c r="FC28" s="610"/>
      <c r="FD28" s="612"/>
      <c r="FE28" s="612"/>
      <c r="FF28" s="612"/>
      <c r="FG28" s="612"/>
      <c r="FH28" s="485"/>
      <c r="FI28" s="485"/>
      <c r="FJ28" s="485"/>
    </row>
    <row r="29" spans="1:166" ht="22.5" customHeight="1">
      <c r="A29" s="476"/>
      <c r="C29" s="565"/>
      <c r="D29" s="565"/>
      <c r="E29" s="565"/>
      <c r="F29" s="565"/>
      <c r="G29" s="565"/>
      <c r="H29" s="565"/>
      <c r="I29" s="565"/>
      <c r="J29" s="565"/>
      <c r="K29" s="565"/>
      <c r="L29" s="565"/>
      <c r="M29" s="565"/>
      <c r="N29" s="565"/>
      <c r="O29" s="565"/>
      <c r="P29" s="64"/>
      <c r="Q29" s="476"/>
      <c r="R29" s="179"/>
      <c r="S29" s="543"/>
      <c r="T29" s="386" t="e">
        <f ca="1">VLOOKUP($AD29,'市場監控 '!$E$7:$W$194,6,FALSE)</f>
        <v>#NAME?</v>
      </c>
      <c r="U29" s="386" t="e">
        <f ca="1">VLOOKUP($AD29,'市場監控 '!$E$7:$W$194,7,FALSE)</f>
        <v>#NAME?</v>
      </c>
      <c r="V29" s="387" t="str">
        <f ca="1">VLOOKUP($AD29,'市場監控 '!$E$7:$W$194,8,FALSE)</f>
        <v>-</v>
      </c>
      <c r="W29" s="388" t="str">
        <f ca="1">VLOOKUP($AD29,'市場監控 '!$E$7:$W$194,10,FALSE)</f>
        <v>-</v>
      </c>
      <c r="X29" s="389" t="str">
        <f ca="1">VLOOKUP($AD29,'市場監控 '!$E$7:$W$194,12,FALSE)</f>
        <v>-</v>
      </c>
      <c r="Y29" s="390" t="str">
        <f ca="1">VLOOKUP($AD29,'市場監控 '!$E$7:$W$194,14,FALSE)</f>
        <v>-</v>
      </c>
      <c r="Z29" s="390" t="str">
        <f ca="1">VLOOKUP($AD29,'市場監控 '!$E$7:$W$194,15,FALSE)</f>
        <v>-</v>
      </c>
      <c r="AA29" s="389" t="e">
        <f ca="1">VLOOKUP($AD29,'市場監控 '!$E$7:$W$194,17,FALSE)</f>
        <v>#NAME?</v>
      </c>
      <c r="AB29" s="389" t="e">
        <f ca="1">VLOOKUP($AD29,'市場監控 '!$E$7:$W$194,18,FALSE)</f>
        <v>#NAME?</v>
      </c>
      <c r="AC29" s="389" t="e">
        <f ca="1">VLOOKUP($AD29,'市場監控 '!$E$7:$W$194,19,FALSE)</f>
        <v>#NAME?</v>
      </c>
      <c r="AD29" s="185" t="s">
        <v>1054</v>
      </c>
      <c r="AE29" s="246" t="s">
        <v>1706</v>
      </c>
      <c r="AF29" s="225"/>
      <c r="AG29" s="225"/>
      <c r="AH29" s="476"/>
      <c r="AI29" s="179"/>
      <c r="AJ29" s="505"/>
      <c r="AK29" s="505"/>
      <c r="AL29" s="505"/>
      <c r="AM29" s="505"/>
      <c r="AN29" s="505"/>
      <c r="AO29" s="505"/>
      <c r="AP29" s="505"/>
      <c r="AQ29" s="505"/>
      <c r="AR29" s="505"/>
      <c r="AS29" s="505"/>
      <c r="AT29" s="505"/>
      <c r="AU29" s="505"/>
      <c r="AV29" s="505"/>
      <c r="AW29" s="505"/>
      <c r="AX29" s="443"/>
      <c r="AY29" s="443"/>
      <c r="AZ29" s="476"/>
      <c r="BA29" s="179"/>
      <c r="BB29" s="404" t="e">
        <f ca="1">VLOOKUP($BD29,NI!$B$5:$AL$2030,6,FALSE)</f>
        <v>#NAME?</v>
      </c>
      <c r="BC29" s="404" t="e">
        <f ca="1">VLOOKUP($BD29,NI!$B$37:$AL$2030,2,FALSE)</f>
        <v>#NAME?</v>
      </c>
      <c r="BD29" s="405" t="e">
        <f ca="1">NI!$B87</f>
        <v>#NAME?</v>
      </c>
      <c r="BE29" s="404" t="e">
        <f ca="1">VLOOKUP($BD29,NI!$B$5:$AL$2030,11,FALSE)</f>
        <v>#NAME?</v>
      </c>
      <c r="BF29" s="406" t="e">
        <f ca="1">VLOOKUP($BD29,NI!$B$5:$AL$2030,12,FALSE)/1000000</f>
        <v>#NAME?</v>
      </c>
      <c r="BG29" s="406"/>
      <c r="BH29" s="406" t="str">
        <f ca="1">IF(ISNUMBER(VLOOKUP($BD29,NI!$B$5:$AL$2030,13,FALSE)),VLOOKUP($BD29,NI!$B$5:$AL$2030,13,FALSE),"-")</f>
        <v>-</v>
      </c>
      <c r="BI29" s="407" t="e">
        <f ca="1">VLOOKUP($BD29,NI!$B$5:$AL$2030,4,FALSE)</f>
        <v>#NAME?</v>
      </c>
      <c r="BJ29" s="406" t="e">
        <f ca="1">VLOOKUP($BD29,NI!$B$5:$AL$2030,3,FALSE)</f>
        <v>#NAME?</v>
      </c>
      <c r="BK29" s="408" t="e">
        <f ca="1">VLOOKUP($BD29,NI!$B$5:$AL$2030,4,FALSE)</f>
        <v>#NAME?</v>
      </c>
      <c r="BL29" s="408" t="e">
        <f ca="1">IF(LEFT(VLOOKUP($BD29,NI!$B$5:$AL$2030,31,FALSE),1)="#","-",VLOOKUP($BD29,NI!$B$5:$AL$2030,31,FALSE))</f>
        <v>#NAME?</v>
      </c>
      <c r="BM29" s="408" t="e">
        <f ca="1">IF(LEFT(VLOOKUP($BD29,NI!$B$5:$AL$2030,32,FALSE),1)="#","-",VLOOKUP($BD29,NI!$B$5:$AL$2030,32,FALSE))</f>
        <v>#NAME?</v>
      </c>
      <c r="BN29" s="408" t="e">
        <f ca="1">IF(LEFT(VLOOKUP($BD29,NI!$B$5:$AL$2030,33,FALSE),1)="#","-",VLOOKUP($BD29,NI!$B$5:$AL$2030,33,FALSE))</f>
        <v>#NAME?</v>
      </c>
      <c r="BO29" s="409" t="e">
        <f ca="1">VLOOKUP($BD29,NI!$B$5:$AL$2030,22,FALSE)</f>
        <v>#NAME?</v>
      </c>
      <c r="BR29" s="476"/>
      <c r="BS29" s="179"/>
      <c r="BT29" s="380"/>
      <c r="BU29" s="380"/>
      <c r="BV29" s="380"/>
      <c r="BW29" s="380"/>
      <c r="BX29" s="380"/>
      <c r="BY29" s="380"/>
      <c r="BZ29" s="380"/>
      <c r="CA29" s="380"/>
      <c r="CB29" s="380"/>
      <c r="CC29" s="380"/>
      <c r="CD29" s="380"/>
      <c r="CE29" s="380"/>
      <c r="CF29" s="380"/>
      <c r="CI29" s="476"/>
      <c r="CJ29" s="179"/>
      <c r="CK29" s="518" t="s">
        <v>3941</v>
      </c>
      <c r="CL29" s="519"/>
      <c r="CM29" s="519"/>
      <c r="CN29" s="519"/>
      <c r="CO29" s="519"/>
      <c r="CP29" s="519"/>
      <c r="CQ29" s="459"/>
      <c r="CR29" s="518" t="s">
        <v>3943</v>
      </c>
      <c r="CS29" s="519"/>
      <c r="CT29" s="519"/>
      <c r="CU29" s="519"/>
      <c r="CV29" s="519"/>
      <c r="CW29" s="519"/>
      <c r="CX29" s="451"/>
      <c r="CY29" s="451"/>
      <c r="CZ29" s="476"/>
      <c r="DA29" s="179"/>
      <c r="DB29" s="518" t="s">
        <v>3695</v>
      </c>
      <c r="DC29" s="519"/>
      <c r="DD29" s="519"/>
      <c r="DE29" s="519"/>
      <c r="DF29" s="519"/>
      <c r="DG29" s="519"/>
      <c r="DH29" s="459"/>
      <c r="DI29" s="518" t="s">
        <v>3697</v>
      </c>
      <c r="DJ29" s="519"/>
      <c r="DK29" s="519"/>
      <c r="DL29" s="519"/>
      <c r="DM29" s="519"/>
      <c r="DN29" s="519"/>
      <c r="DO29" s="451"/>
      <c r="DP29" s="476"/>
      <c r="DQ29" s="179"/>
      <c r="DR29" s="592"/>
      <c r="DS29" s="592"/>
      <c r="DT29" s="592"/>
      <c r="DU29" s="616"/>
      <c r="DV29" s="616"/>
      <c r="DW29" s="616"/>
      <c r="DX29" s="399"/>
      <c r="DY29" s="592"/>
      <c r="DZ29" s="592"/>
      <c r="EA29" s="592"/>
      <c r="EB29" s="616"/>
      <c r="EC29" s="616"/>
      <c r="ED29" s="616"/>
      <c r="EE29" s="476"/>
      <c r="EF29" s="179"/>
      <c r="EG29" s="562"/>
      <c r="EH29" s="562"/>
      <c r="EI29" s="562"/>
      <c r="EJ29" s="562"/>
      <c r="EK29" s="562"/>
      <c r="EL29" s="562"/>
      <c r="EV29" s="476"/>
      <c r="EW29" s="179"/>
      <c r="EX29" s="482"/>
      <c r="EY29" s="482"/>
      <c r="EZ29" s="482"/>
      <c r="FA29" s="610"/>
      <c r="FB29" s="610"/>
      <c r="FC29" s="610"/>
      <c r="FD29" s="612"/>
      <c r="FE29" s="612"/>
      <c r="FF29" s="612"/>
      <c r="FG29" s="612"/>
      <c r="FH29" s="485"/>
      <c r="FI29" s="485"/>
      <c r="FJ29" s="485"/>
    </row>
    <row r="30" spans="1:166" ht="22.5" customHeight="1">
      <c r="A30" s="476"/>
      <c r="C30" s="565"/>
      <c r="D30" s="565"/>
      <c r="E30" s="565"/>
      <c r="F30" s="565"/>
      <c r="G30" s="565"/>
      <c r="H30" s="565"/>
      <c r="I30" s="565"/>
      <c r="J30" s="565"/>
      <c r="K30" s="565"/>
      <c r="L30" s="565"/>
      <c r="M30" s="565"/>
      <c r="N30" s="565"/>
      <c r="O30" s="565"/>
      <c r="P30" s="64"/>
      <c r="Q30" s="476"/>
      <c r="R30" s="179"/>
      <c r="S30" s="543"/>
      <c r="T30" s="386" t="e">
        <f ca="1">VLOOKUP($AD30,'市場監控 '!$E$7:$W$194,6,FALSE)</f>
        <v>#NAME?</v>
      </c>
      <c r="U30" s="386" t="e">
        <f ca="1">VLOOKUP($AD30,'市場監控 '!$E$7:$W$194,7,FALSE)</f>
        <v>#NAME?</v>
      </c>
      <c r="V30" s="387" t="str">
        <f ca="1">VLOOKUP($AD30,'市場監控 '!$E$7:$W$194,8,FALSE)</f>
        <v>-</v>
      </c>
      <c r="W30" s="388" t="str">
        <f ca="1">VLOOKUP($AD30,'市場監控 '!$E$7:$W$194,10,FALSE)</f>
        <v>-</v>
      </c>
      <c r="X30" s="389" t="str">
        <f ca="1">VLOOKUP($AD30,'市場監控 '!$E$7:$W$194,12,FALSE)</f>
        <v>-</v>
      </c>
      <c r="Y30" s="390" t="str">
        <f ca="1">VLOOKUP($AD30,'市場監控 '!$E$7:$W$194,14,FALSE)</f>
        <v>-</v>
      </c>
      <c r="Z30" s="390" t="str">
        <f ca="1">VLOOKUP($AD30,'市場監控 '!$E$7:$W$194,15,FALSE)</f>
        <v>-</v>
      </c>
      <c r="AA30" s="389" t="e">
        <f ca="1">VLOOKUP($AD30,'市場監控 '!$E$7:$W$194,17,FALSE)</f>
        <v>#NAME?</v>
      </c>
      <c r="AB30" s="389" t="e">
        <f ca="1">VLOOKUP($AD30,'市場監控 '!$E$7:$W$194,18,FALSE)</f>
        <v>#NAME?</v>
      </c>
      <c r="AC30" s="389" t="e">
        <f ca="1">VLOOKUP($AD30,'市場監控 '!$E$7:$W$194,19,FALSE)</f>
        <v>#NAME?</v>
      </c>
      <c r="AD30" s="185" t="s">
        <v>1202</v>
      </c>
      <c r="AE30" s="246" t="s">
        <v>1708</v>
      </c>
      <c r="AF30" s="225"/>
      <c r="AG30" s="225"/>
      <c r="AH30" s="476"/>
      <c r="AI30" s="179"/>
      <c r="AJ30" s="506"/>
      <c r="AK30" s="506"/>
      <c r="AL30" s="506"/>
      <c r="AM30" s="506"/>
      <c r="AN30" s="506"/>
      <c r="AO30" s="506"/>
      <c r="AP30" s="506"/>
      <c r="AQ30" s="506"/>
      <c r="AR30" s="506"/>
      <c r="AS30" s="506"/>
      <c r="AT30" s="506"/>
      <c r="AU30" s="506"/>
      <c r="AV30" s="506"/>
      <c r="AW30" s="506"/>
      <c r="AX30"/>
      <c r="AY30"/>
      <c r="AZ30" s="476"/>
      <c r="BA30" s="179"/>
      <c r="BB30" s="404" t="e">
        <f ca="1">VLOOKUP($BD30,NI!$B$5:$AL$2030,6,FALSE)</f>
        <v>#NAME?</v>
      </c>
      <c r="BC30" s="404" t="e">
        <f ca="1">VLOOKUP($BD30,NI!$B$37:$AL$2030,2,FALSE)</f>
        <v>#NAME?</v>
      </c>
      <c r="BD30" s="405" t="e">
        <f ca="1">NI!$B88</f>
        <v>#NAME?</v>
      </c>
      <c r="BE30" s="404" t="e">
        <f ca="1">VLOOKUP($BD30,NI!$B$5:$AL$2030,11,FALSE)</f>
        <v>#NAME?</v>
      </c>
      <c r="BF30" s="406" t="e">
        <f ca="1">VLOOKUP($BD30,NI!$B$5:$AL$2030,12,FALSE)/1000000</f>
        <v>#NAME?</v>
      </c>
      <c r="BG30" s="406"/>
      <c r="BH30" s="406" t="str">
        <f ca="1">IF(ISNUMBER(VLOOKUP($BD30,NI!$B$5:$AL$2030,13,FALSE)),VLOOKUP($BD30,NI!$B$5:$AL$2030,13,FALSE),"-")</f>
        <v>-</v>
      </c>
      <c r="BI30" s="407" t="e">
        <f ca="1">VLOOKUP($BD30,NI!$B$5:$AL$2030,4,FALSE)</f>
        <v>#NAME?</v>
      </c>
      <c r="BJ30" s="406" t="e">
        <f ca="1">VLOOKUP($BD30,NI!$B$5:$AL$2030,3,FALSE)</f>
        <v>#NAME?</v>
      </c>
      <c r="BK30" s="408" t="e">
        <f ca="1">VLOOKUP($BD30,NI!$B$5:$AL$2030,4,FALSE)</f>
        <v>#NAME?</v>
      </c>
      <c r="BL30" s="408" t="e">
        <f ca="1">IF(LEFT(VLOOKUP($BD30,NI!$B$5:$AL$2030,31,FALSE),1)="#","-",VLOOKUP($BD30,NI!$B$5:$AL$2030,31,FALSE))</f>
        <v>#NAME?</v>
      </c>
      <c r="BM30" s="408" t="e">
        <f ca="1">IF(LEFT(VLOOKUP($BD30,NI!$B$5:$AL$2030,32,FALSE),1)="#","-",VLOOKUP($BD30,NI!$B$5:$AL$2030,32,FALSE))</f>
        <v>#NAME?</v>
      </c>
      <c r="BN30" s="408" t="e">
        <f ca="1">IF(LEFT(VLOOKUP($BD30,NI!$B$5:$AL$2030,33,FALSE),1)="#","-",VLOOKUP($BD30,NI!$B$5:$AL$2030,33,FALSE))</f>
        <v>#NAME?</v>
      </c>
      <c r="BO30" s="409" t="e">
        <f ca="1">VLOOKUP($BD30,NI!$B$5:$AL$2030,22,FALSE)</f>
        <v>#NAME?</v>
      </c>
      <c r="BR30" s="476"/>
      <c r="BS30" s="179"/>
      <c r="BT30" s="380"/>
      <c r="BU30" s="380"/>
      <c r="BV30" s="380"/>
      <c r="BW30" s="383"/>
      <c r="BX30" s="383"/>
      <c r="BY30" s="383"/>
      <c r="BZ30" s="383"/>
      <c r="CA30" s="380"/>
      <c r="CB30" s="380"/>
      <c r="CC30" s="380"/>
      <c r="CD30" s="380"/>
      <c r="CE30" s="380"/>
      <c r="CF30" s="380"/>
      <c r="CI30" s="476"/>
      <c r="CJ30" s="179"/>
      <c r="CK30" s="520"/>
      <c r="CL30" s="521"/>
      <c r="CM30" s="521"/>
      <c r="CN30" s="521"/>
      <c r="CO30" s="521"/>
      <c r="CP30" s="521"/>
      <c r="CQ30" s="459"/>
      <c r="CR30" s="520"/>
      <c r="CS30" s="521"/>
      <c r="CT30" s="521"/>
      <c r="CU30" s="521"/>
      <c r="CV30" s="521"/>
      <c r="CW30" s="521"/>
      <c r="CX30" s="451"/>
      <c r="CY30" s="451"/>
      <c r="CZ30" s="476"/>
      <c r="DA30" s="179"/>
      <c r="DB30" s="520"/>
      <c r="DC30" s="521"/>
      <c r="DD30" s="521"/>
      <c r="DE30" s="521"/>
      <c r="DF30" s="521"/>
      <c r="DG30" s="521"/>
      <c r="DH30" s="459"/>
      <c r="DI30" s="520"/>
      <c r="DJ30" s="521"/>
      <c r="DK30" s="521"/>
      <c r="DL30" s="521"/>
      <c r="DM30" s="521"/>
      <c r="DN30" s="521"/>
      <c r="DO30" s="451"/>
      <c r="DP30" s="476"/>
      <c r="DQ30" s="179"/>
      <c r="DR30" s="592"/>
      <c r="DS30" s="592"/>
      <c r="DT30" s="592"/>
      <c r="DU30" s="616"/>
      <c r="DV30" s="616"/>
      <c r="DW30" s="616"/>
      <c r="DX30" s="399"/>
      <c r="DY30" s="592"/>
      <c r="DZ30" s="592"/>
      <c r="EA30" s="592"/>
      <c r="EB30" s="616"/>
      <c r="EC30" s="616"/>
      <c r="ED30" s="616"/>
      <c r="EE30" s="476"/>
      <c r="EF30" s="179"/>
      <c r="EG30" s="485"/>
      <c r="EH30" s="485"/>
      <c r="EI30" s="485"/>
      <c r="EJ30" s="485"/>
      <c r="EK30" s="485"/>
      <c r="EL30" s="485"/>
      <c r="EV30" s="476"/>
      <c r="EW30" s="179"/>
      <c r="EX30" s="482"/>
      <c r="EY30" s="482"/>
      <c r="EZ30" s="482"/>
      <c r="FA30" s="610"/>
      <c r="FB30" s="610"/>
      <c r="FC30" s="610"/>
      <c r="FD30" s="485"/>
      <c r="FE30" s="485"/>
      <c r="FF30" s="485"/>
      <c r="FG30" s="485"/>
      <c r="FH30" s="485"/>
      <c r="FI30" s="485"/>
      <c r="FJ30" s="485"/>
    </row>
    <row r="31" spans="1:166" ht="22.5" customHeight="1">
      <c r="A31" s="476"/>
      <c r="C31" s="565"/>
      <c r="D31" s="565"/>
      <c r="E31" s="565"/>
      <c r="F31" s="565"/>
      <c r="G31" s="565"/>
      <c r="H31" s="565"/>
      <c r="I31" s="565"/>
      <c r="J31" s="565"/>
      <c r="K31" s="565"/>
      <c r="L31" s="565"/>
      <c r="M31" s="565"/>
      <c r="N31" s="565"/>
      <c r="O31" s="565"/>
      <c r="P31" s="64"/>
      <c r="Q31" s="476"/>
      <c r="R31" s="179"/>
      <c r="S31" s="543"/>
      <c r="T31" s="386" t="e">
        <f ca="1">VLOOKUP($AD31,'市場監控 '!$E$7:$W$194,6,FALSE)</f>
        <v>#NAME?</v>
      </c>
      <c r="U31" s="386" t="e">
        <f ca="1">VLOOKUP($AD31,'市場監控 '!$E$7:$W$194,7,FALSE)</f>
        <v>#NAME?</v>
      </c>
      <c r="V31" s="387" t="str">
        <f ca="1">VLOOKUP($AD31,'市場監控 '!$E$7:$W$194,8,FALSE)</f>
        <v>-</v>
      </c>
      <c r="W31" s="388" t="str">
        <f ca="1">VLOOKUP($AD31,'市場監控 '!$E$7:$W$194,10,FALSE)</f>
        <v>-</v>
      </c>
      <c r="X31" s="389" t="str">
        <f ca="1">VLOOKUP($AD31,'市場監控 '!$E$7:$W$194,12,FALSE)</f>
        <v>-</v>
      </c>
      <c r="Y31" s="390" t="str">
        <f ca="1">VLOOKUP($AD31,'市場監控 '!$E$7:$W$194,14,FALSE)</f>
        <v>-</v>
      </c>
      <c r="Z31" s="390" t="str">
        <f ca="1">VLOOKUP($AD31,'市場監控 '!$E$7:$W$194,15,FALSE)</f>
        <v>-</v>
      </c>
      <c r="AA31" s="389" t="e">
        <f ca="1">VLOOKUP($AD31,'市場監控 '!$E$7:$W$194,17,FALSE)</f>
        <v>#NAME?</v>
      </c>
      <c r="AB31" s="389" t="e">
        <f ca="1">VLOOKUP($AD31,'市場監控 '!$E$7:$W$194,18,FALSE)</f>
        <v>#NAME?</v>
      </c>
      <c r="AC31" s="389" t="e">
        <f ca="1">VLOOKUP($AD31,'市場監控 '!$E$7:$W$194,19,FALSE)</f>
        <v>#NAME?</v>
      </c>
      <c r="AD31" s="185" t="s">
        <v>1068</v>
      </c>
      <c r="AE31" s="246" t="s">
        <v>1710</v>
      </c>
      <c r="AF31" s="225"/>
      <c r="AG31" s="225"/>
      <c r="AH31" s="476"/>
      <c r="AI31" s="179"/>
      <c r="AJ31" s="506"/>
      <c r="AK31" s="506"/>
      <c r="AL31" s="506"/>
      <c r="AM31" s="506"/>
      <c r="AN31" s="506"/>
      <c r="AO31" s="506"/>
      <c r="AP31" s="506"/>
      <c r="AQ31" s="506"/>
      <c r="AR31" s="506"/>
      <c r="AS31" s="506"/>
      <c r="AT31" s="506"/>
      <c r="AU31" s="506"/>
      <c r="AV31" s="506"/>
      <c r="AW31" s="506"/>
      <c r="AX31"/>
      <c r="AY31"/>
      <c r="AZ31" s="476"/>
      <c r="BA31" s="179"/>
      <c r="BB31" s="404" t="e">
        <f ca="1">VLOOKUP($BD31,NI!$B$5:$AL$2030,6,FALSE)</f>
        <v>#NAME?</v>
      </c>
      <c r="BC31" s="404" t="e">
        <f ca="1">VLOOKUP($BD31,NI!$B$37:$AL$2030,2,FALSE)</f>
        <v>#NAME?</v>
      </c>
      <c r="BD31" s="405" t="e">
        <f ca="1">NI!$B89</f>
        <v>#NAME?</v>
      </c>
      <c r="BE31" s="404" t="e">
        <f ca="1">VLOOKUP($BD31,NI!$B$5:$AL$2030,11,FALSE)</f>
        <v>#NAME?</v>
      </c>
      <c r="BF31" s="406" t="e">
        <f ca="1">VLOOKUP($BD31,NI!$B$5:$AL$2030,12,FALSE)/1000000</f>
        <v>#NAME?</v>
      </c>
      <c r="BG31" s="406"/>
      <c r="BH31" s="406" t="str">
        <f ca="1">IF(ISNUMBER(VLOOKUP($BD31,NI!$B$5:$AL$2030,13,FALSE)),VLOOKUP($BD31,NI!$B$5:$AL$2030,13,FALSE),"-")</f>
        <v>-</v>
      </c>
      <c r="BI31" s="407" t="e">
        <f ca="1">VLOOKUP($BD31,NI!$B$5:$AL$2030,4,FALSE)</f>
        <v>#NAME?</v>
      </c>
      <c r="BJ31" s="406" t="e">
        <f ca="1">VLOOKUP($BD31,NI!$B$5:$AL$2030,3,FALSE)</f>
        <v>#NAME?</v>
      </c>
      <c r="BK31" s="408" t="e">
        <f ca="1">VLOOKUP($BD31,NI!$B$5:$AL$2030,4,FALSE)</f>
        <v>#NAME?</v>
      </c>
      <c r="BL31" s="408" t="e">
        <f ca="1">IF(LEFT(VLOOKUP($BD31,NI!$B$5:$AL$2030,31,FALSE),1)="#","-",VLOOKUP($BD31,NI!$B$5:$AL$2030,31,FALSE))</f>
        <v>#NAME?</v>
      </c>
      <c r="BM31" s="408" t="e">
        <f ca="1">IF(LEFT(VLOOKUP($BD31,NI!$B$5:$AL$2030,32,FALSE),1)="#","-",VLOOKUP($BD31,NI!$B$5:$AL$2030,32,FALSE))</f>
        <v>#NAME?</v>
      </c>
      <c r="BN31" s="408" t="e">
        <f ca="1">IF(LEFT(VLOOKUP($BD31,NI!$B$5:$AL$2030,33,FALSE),1)="#","-",VLOOKUP($BD31,NI!$B$5:$AL$2030,33,FALSE))</f>
        <v>#NAME?</v>
      </c>
      <c r="BO31" s="409" t="e">
        <f ca="1">VLOOKUP($BD31,NI!$B$5:$AL$2030,22,FALSE)</f>
        <v>#NAME?</v>
      </c>
      <c r="BR31" s="476"/>
      <c r="BS31" s="179"/>
      <c r="BT31" s="380"/>
      <c r="BU31" s="380"/>
      <c r="BV31" s="380"/>
      <c r="BW31" s="383"/>
      <c r="BX31" s="383"/>
      <c r="BY31" s="383"/>
      <c r="BZ31" s="383"/>
      <c r="CA31" s="380"/>
      <c r="CB31" s="380"/>
      <c r="CC31" s="380"/>
      <c r="CD31" s="380"/>
      <c r="CE31" s="380"/>
      <c r="CF31" s="380"/>
      <c r="CI31" s="476"/>
      <c r="CJ31" s="179"/>
      <c r="CK31" s="526" t="s">
        <v>3942</v>
      </c>
      <c r="CL31" s="527"/>
      <c r="CM31" s="527"/>
      <c r="CN31" s="528"/>
      <c r="CO31" s="528"/>
      <c r="CP31" s="528"/>
      <c r="CQ31" s="399"/>
      <c r="CR31" s="526" t="s">
        <v>3944</v>
      </c>
      <c r="CS31" s="527"/>
      <c r="CT31" s="527"/>
      <c r="CU31" s="528"/>
      <c r="CV31" s="528"/>
      <c r="CW31" s="528"/>
      <c r="CX31" s="451"/>
      <c r="CY31" s="451"/>
      <c r="CZ31" s="476"/>
      <c r="DA31" s="179"/>
      <c r="DB31" s="526" t="s">
        <v>3696</v>
      </c>
      <c r="DC31" s="527"/>
      <c r="DD31" s="527"/>
      <c r="DE31" s="528"/>
      <c r="DF31" s="528"/>
      <c r="DG31" s="528"/>
      <c r="DH31" s="459"/>
      <c r="DI31" s="526" t="s">
        <v>3698</v>
      </c>
      <c r="DJ31" s="527"/>
      <c r="DK31" s="527"/>
      <c r="DL31" s="528"/>
      <c r="DM31" s="528"/>
      <c r="DN31" s="528"/>
      <c r="DO31" s="451"/>
      <c r="DP31" s="476"/>
      <c r="DQ31" s="179"/>
      <c r="DR31" s="592"/>
      <c r="DS31" s="592"/>
      <c r="DT31" s="592"/>
      <c r="DU31" s="616"/>
      <c r="DV31" s="616"/>
      <c r="DW31" s="616"/>
      <c r="DX31" s="399"/>
      <c r="DY31" s="592"/>
      <c r="DZ31" s="592"/>
      <c r="EA31" s="592"/>
      <c r="EB31" s="616"/>
      <c r="EC31" s="616"/>
      <c r="ED31" s="616"/>
      <c r="EE31" s="476"/>
      <c r="EF31" s="179"/>
      <c r="EG31" s="485"/>
      <c r="EH31" s="485"/>
      <c r="EI31" s="485"/>
      <c r="EJ31" s="485"/>
      <c r="EK31" s="485"/>
      <c r="EL31" s="485"/>
      <c r="EV31" s="476"/>
      <c r="EW31" s="179"/>
      <c r="EX31" s="482"/>
      <c r="EY31" s="482"/>
      <c r="EZ31" s="482"/>
      <c r="FA31" s="610"/>
      <c r="FB31" s="610"/>
      <c r="FC31" s="610"/>
      <c r="FD31" s="485"/>
      <c r="FE31" s="485"/>
      <c r="FF31" s="485"/>
      <c r="FG31" s="485"/>
      <c r="FH31" s="485"/>
      <c r="FI31" s="485"/>
      <c r="FJ31" s="485"/>
    </row>
    <row r="32" spans="1:166" ht="22.5" customHeight="1">
      <c r="A32" s="476"/>
      <c r="C32" s="565"/>
      <c r="D32" s="565"/>
      <c r="E32" s="565"/>
      <c r="F32" s="565"/>
      <c r="G32" s="565"/>
      <c r="H32" s="565"/>
      <c r="I32" s="565"/>
      <c r="J32" s="565"/>
      <c r="K32" s="565"/>
      <c r="L32" s="565"/>
      <c r="M32" s="565"/>
      <c r="N32" s="565"/>
      <c r="O32" s="565"/>
      <c r="P32" s="21"/>
      <c r="Q32" s="476"/>
      <c r="R32" s="179"/>
      <c r="S32" s="543"/>
      <c r="T32" s="386" t="e">
        <f ca="1">VLOOKUP($AD32,'市場監控 '!$E$7:$W$194,6,FALSE)</f>
        <v>#NAME?</v>
      </c>
      <c r="U32" s="386" t="e">
        <f ca="1">VLOOKUP($AD32,'市場監控 '!$E$7:$W$194,7,FALSE)</f>
        <v>#NAME?</v>
      </c>
      <c r="V32" s="387" t="str">
        <f ca="1">VLOOKUP($AD32,'市場監控 '!$E$7:$W$194,8,FALSE)</f>
        <v>-</v>
      </c>
      <c r="W32" s="388" t="str">
        <f ca="1">VLOOKUP($AD32,'市場監控 '!$E$7:$W$194,10,FALSE)</f>
        <v>-</v>
      </c>
      <c r="X32" s="389" t="str">
        <f ca="1">VLOOKUP($AD32,'市場監控 '!$E$7:$W$194,12,FALSE)</f>
        <v>-</v>
      </c>
      <c r="Y32" s="390" t="str">
        <f ca="1">VLOOKUP($AD32,'市場監控 '!$E$7:$W$194,14,FALSE)</f>
        <v>-</v>
      </c>
      <c r="Z32" s="390" t="str">
        <f ca="1">VLOOKUP($AD32,'市場監控 '!$E$7:$W$194,15,FALSE)</f>
        <v>-</v>
      </c>
      <c r="AA32" s="389" t="e">
        <f ca="1">VLOOKUP($AD32,'市場監控 '!$E$7:$W$194,17,FALSE)</f>
        <v>#NAME?</v>
      </c>
      <c r="AB32" s="389" t="e">
        <f ca="1">VLOOKUP($AD32,'市場監控 '!$E$7:$W$194,18,FALSE)</f>
        <v>#NAME?</v>
      </c>
      <c r="AC32" s="389" t="e">
        <f ca="1">VLOOKUP($AD32,'市場監控 '!$E$7:$W$194,19,FALSE)</f>
        <v>#NAME?</v>
      </c>
      <c r="AD32" s="369" t="s">
        <v>1207</v>
      </c>
      <c r="AE32" s="246" t="s">
        <v>1712</v>
      </c>
      <c r="AF32" s="225"/>
      <c r="AG32" s="225"/>
      <c r="AH32" s="476"/>
      <c r="AI32" s="179"/>
      <c r="AJ32" s="506"/>
      <c r="AK32" s="506"/>
      <c r="AL32" s="506"/>
      <c r="AM32" s="506"/>
      <c r="AN32" s="506"/>
      <c r="AO32" s="506"/>
      <c r="AP32" s="506"/>
      <c r="AQ32" s="506"/>
      <c r="AR32" s="506"/>
      <c r="AS32" s="506"/>
      <c r="AT32" s="506"/>
      <c r="AU32" s="506"/>
      <c r="AV32" s="506"/>
      <c r="AW32" s="506"/>
      <c r="AX32"/>
      <c r="AY32"/>
      <c r="AZ32" s="476"/>
      <c r="BA32" s="179"/>
      <c r="BB32" s="404"/>
      <c r="BC32" s="404"/>
      <c r="BD32" s="405"/>
      <c r="BE32" s="404"/>
      <c r="BF32" s="406"/>
      <c r="BG32" s="406"/>
      <c r="BH32" s="406"/>
      <c r="BI32" s="407"/>
      <c r="BJ32" s="406"/>
      <c r="BK32" s="408"/>
      <c r="BL32" s="408"/>
      <c r="BM32" s="408"/>
      <c r="BN32" s="408"/>
      <c r="BO32" s="409"/>
      <c r="BR32" s="476"/>
      <c r="BS32" s="179"/>
      <c r="BT32" s="383"/>
      <c r="BU32" s="383"/>
      <c r="BV32" s="383"/>
      <c r="BW32" s="383"/>
      <c r="BX32" s="383"/>
      <c r="BY32" s="383"/>
      <c r="BZ32" s="383"/>
      <c r="CA32" s="383"/>
      <c r="CB32" s="383"/>
      <c r="CC32" s="383"/>
      <c r="CD32" s="383"/>
      <c r="CE32" s="383"/>
      <c r="CF32" s="383"/>
      <c r="CI32" s="476"/>
      <c r="CJ32" s="179"/>
      <c r="CK32" s="527"/>
      <c r="CL32" s="527"/>
      <c r="CM32" s="527"/>
      <c r="CN32" s="528"/>
      <c r="CO32" s="528"/>
      <c r="CP32" s="528"/>
      <c r="CQ32" s="399"/>
      <c r="CR32" s="527"/>
      <c r="CS32" s="527"/>
      <c r="CT32" s="527"/>
      <c r="CU32" s="528"/>
      <c r="CV32" s="528"/>
      <c r="CW32" s="528"/>
      <c r="CX32" s="451"/>
      <c r="CY32" s="451"/>
      <c r="CZ32" s="476"/>
      <c r="DA32" s="179"/>
      <c r="DB32" s="527"/>
      <c r="DC32" s="527"/>
      <c r="DD32" s="527"/>
      <c r="DE32" s="528"/>
      <c r="DF32" s="528"/>
      <c r="DG32" s="528"/>
      <c r="DH32" s="459"/>
      <c r="DI32" s="527"/>
      <c r="DJ32" s="527"/>
      <c r="DK32" s="527"/>
      <c r="DL32" s="528"/>
      <c r="DM32" s="528"/>
      <c r="DN32" s="528"/>
      <c r="DO32" s="451"/>
      <c r="DP32" s="476"/>
      <c r="DQ32" s="179"/>
      <c r="DR32" s="592"/>
      <c r="DS32" s="592"/>
      <c r="DT32" s="592"/>
      <c r="DU32" s="616"/>
      <c r="DV32" s="616"/>
      <c r="DW32" s="616"/>
      <c r="DX32" s="439"/>
      <c r="DY32" s="592"/>
      <c r="DZ32" s="592"/>
      <c r="EA32" s="592"/>
      <c r="EB32" s="616"/>
      <c r="EC32" s="616"/>
      <c r="ED32" s="616"/>
      <c r="EE32" s="476"/>
      <c r="EF32" s="179"/>
      <c r="EG32" s="485"/>
      <c r="EH32" s="485"/>
      <c r="EI32" s="485"/>
      <c r="EJ32" s="485"/>
      <c r="EK32" s="485"/>
      <c r="EL32" s="485"/>
      <c r="EV32" s="476"/>
      <c r="EW32" s="179"/>
      <c r="EX32" s="482"/>
      <c r="EY32" s="482"/>
      <c r="EZ32" s="482"/>
      <c r="FA32" s="610"/>
      <c r="FB32" s="610"/>
      <c r="FC32" s="610"/>
      <c r="FD32" s="485"/>
      <c r="FE32" s="485"/>
      <c r="FF32" s="485"/>
      <c r="FG32" s="485"/>
      <c r="FH32" s="485"/>
      <c r="FI32" s="485"/>
      <c r="FJ32" s="485"/>
    </row>
    <row r="33" spans="1:166" ht="22.5" customHeight="1">
      <c r="A33" s="476"/>
      <c r="C33" s="565"/>
      <c r="D33" s="565"/>
      <c r="E33" s="565"/>
      <c r="F33" s="565"/>
      <c r="G33" s="565"/>
      <c r="H33" s="565"/>
      <c r="I33" s="565"/>
      <c r="J33" s="565"/>
      <c r="K33" s="565"/>
      <c r="L33" s="565"/>
      <c r="M33" s="565"/>
      <c r="N33" s="565"/>
      <c r="O33" s="565"/>
      <c r="P33"/>
      <c r="Q33" s="476"/>
      <c r="R33" s="179"/>
      <c r="S33" s="543"/>
      <c r="T33" s="386" t="e">
        <f ca="1">VLOOKUP($AD33,'市場監控 '!$E$7:$W$194,6,FALSE)</f>
        <v>#NAME?</v>
      </c>
      <c r="U33" s="386" t="e">
        <f ca="1">VLOOKUP($AD33,'市場監控 '!$E$7:$W$194,7,FALSE)</f>
        <v>#NAME?</v>
      </c>
      <c r="V33" s="387" t="str">
        <f ca="1">VLOOKUP($AD33,'市場監控 '!$E$7:$W$194,8,FALSE)</f>
        <v>-</v>
      </c>
      <c r="W33" s="388" t="str">
        <f ca="1">VLOOKUP($AD33,'市場監控 '!$E$7:$W$194,10,FALSE)</f>
        <v>-</v>
      </c>
      <c r="X33" s="389" t="str">
        <f ca="1">VLOOKUP($AD33,'市場監控 '!$E$7:$W$194,12,FALSE)</f>
        <v>-</v>
      </c>
      <c r="Y33" s="390" t="str">
        <f ca="1">VLOOKUP($AD33,'市場監控 '!$E$7:$W$194,14,FALSE)</f>
        <v>-</v>
      </c>
      <c r="Z33" s="390" t="str">
        <f ca="1">VLOOKUP($AD33,'市場監控 '!$E$7:$W$194,15,FALSE)</f>
        <v>-</v>
      </c>
      <c r="AA33" s="389" t="e">
        <f ca="1">VLOOKUP($AD33,'市場監控 '!$E$7:$W$194,17,FALSE)</f>
        <v>#NAME?</v>
      </c>
      <c r="AB33" s="389" t="e">
        <f ca="1">VLOOKUP($AD33,'市場監控 '!$E$7:$W$194,18,FALSE)</f>
        <v>#NAME?</v>
      </c>
      <c r="AC33" s="389" t="e">
        <f ca="1">VLOOKUP($AD33,'市場監控 '!$E$7:$W$194,19,FALSE)</f>
        <v>#NAME?</v>
      </c>
      <c r="AD33" s="369" t="s">
        <v>1080</v>
      </c>
      <c r="AE33" s="246" t="s">
        <v>1714</v>
      </c>
      <c r="AF33" s="225"/>
      <c r="AG33" s="225"/>
      <c r="AH33" s="476"/>
      <c r="AI33" s="179"/>
      <c r="AJ33" s="506"/>
      <c r="AK33" s="506"/>
      <c r="AL33" s="506"/>
      <c r="AM33" s="506"/>
      <c r="AN33" s="506"/>
      <c r="AO33" s="506"/>
      <c r="AP33" s="506"/>
      <c r="AQ33" s="506"/>
      <c r="AR33" s="506"/>
      <c r="AS33" s="506"/>
      <c r="AT33" s="506"/>
      <c r="AU33" s="506"/>
      <c r="AV33" s="506"/>
      <c r="AW33" s="506"/>
      <c r="AX33"/>
      <c r="AY33"/>
      <c r="AZ33" s="476"/>
      <c r="BA33" s="179"/>
      <c r="BB33" s="404"/>
      <c r="BC33" s="404"/>
      <c r="BD33" s="405"/>
      <c r="BE33" s="404"/>
      <c r="BF33" s="406"/>
      <c r="BG33" s="406"/>
      <c r="BH33" s="406"/>
      <c r="BI33" s="407"/>
      <c r="BJ33" s="406"/>
      <c r="BK33" s="408"/>
      <c r="BL33" s="408"/>
      <c r="BM33" s="408"/>
      <c r="BN33" s="408"/>
      <c r="BO33" s="409"/>
      <c r="BR33" s="476"/>
      <c r="BS33" s="179"/>
      <c r="BT33" s="384"/>
      <c r="BU33" s="384"/>
      <c r="BV33" s="384"/>
      <c r="BW33" s="383"/>
      <c r="BX33" s="383"/>
      <c r="BY33" s="383"/>
      <c r="BZ33" s="383"/>
      <c r="CA33" s="384"/>
      <c r="CB33" s="384"/>
      <c r="CC33" s="384"/>
      <c r="CD33" s="384"/>
      <c r="CE33" s="384"/>
      <c r="CF33" s="384"/>
      <c r="CI33" s="476"/>
      <c r="CJ33" s="179"/>
      <c r="CK33" s="527"/>
      <c r="CL33" s="527"/>
      <c r="CM33" s="527"/>
      <c r="CN33" s="528"/>
      <c r="CO33" s="528"/>
      <c r="CP33" s="528"/>
      <c r="CQ33" s="399"/>
      <c r="CR33" s="527"/>
      <c r="CS33" s="527"/>
      <c r="CT33" s="527"/>
      <c r="CU33" s="528"/>
      <c r="CV33" s="528"/>
      <c r="CW33" s="528"/>
      <c r="CX33" s="451"/>
      <c r="CY33" s="451"/>
      <c r="CZ33" s="476"/>
      <c r="DA33" s="179"/>
      <c r="DB33" s="527"/>
      <c r="DC33" s="527"/>
      <c r="DD33" s="527"/>
      <c r="DE33" s="528"/>
      <c r="DF33" s="528"/>
      <c r="DG33" s="528"/>
      <c r="DH33" s="459"/>
      <c r="DI33" s="527"/>
      <c r="DJ33" s="527"/>
      <c r="DK33" s="527"/>
      <c r="DL33" s="528"/>
      <c r="DM33" s="528"/>
      <c r="DN33" s="528"/>
      <c r="DO33" s="451"/>
      <c r="DP33" s="476"/>
      <c r="DQ33" s="179"/>
      <c r="DR33" s="592"/>
      <c r="DS33" s="592"/>
      <c r="DT33" s="592"/>
      <c r="DU33" s="616"/>
      <c r="DV33" s="616"/>
      <c r="DW33" s="616"/>
      <c r="DX33" s="401"/>
      <c r="DY33" s="592"/>
      <c r="DZ33" s="592"/>
      <c r="EA33" s="592"/>
      <c r="EB33" s="616"/>
      <c r="EC33" s="616"/>
      <c r="ED33" s="616"/>
      <c r="EE33" s="476"/>
      <c r="EF33" s="179"/>
      <c r="EG33" s="485"/>
      <c r="EH33" s="485"/>
      <c r="EI33" s="485"/>
      <c r="EJ33" s="485"/>
      <c r="EK33" s="485"/>
      <c r="EL33" s="485"/>
      <c r="EV33" s="476"/>
      <c r="EW33" s="179"/>
      <c r="EX33" s="450"/>
      <c r="EY33" s="450"/>
      <c r="EZ33" s="450"/>
      <c r="FA33" s="5"/>
      <c r="FB33" s="5"/>
      <c r="FC33" s="5"/>
      <c r="FD33"/>
      <c r="FE33"/>
      <c r="FF33"/>
      <c r="FG33"/>
      <c r="FH33"/>
      <c r="FI33"/>
      <c r="FJ33"/>
    </row>
    <row r="34" spans="1:166" ht="22.5" customHeight="1">
      <c r="A34" s="476"/>
      <c r="C34" s="565"/>
      <c r="D34" s="565"/>
      <c r="E34" s="565"/>
      <c r="F34" s="565"/>
      <c r="G34" s="565"/>
      <c r="H34" s="565"/>
      <c r="I34" s="565"/>
      <c r="J34" s="565"/>
      <c r="K34" s="565"/>
      <c r="L34" s="565"/>
      <c r="M34" s="565"/>
      <c r="N34" s="565"/>
      <c r="O34" s="565"/>
      <c r="P34"/>
      <c r="Q34" s="476"/>
      <c r="R34" s="179"/>
      <c r="S34" s="543"/>
      <c r="T34" s="386" t="e">
        <f ca="1">VLOOKUP($AD34,'市場監控 '!$E$7:$W$194,6,FALSE)</f>
        <v>#NAME?</v>
      </c>
      <c r="U34" s="386" t="e">
        <f ca="1">VLOOKUP($AD34,'市場監控 '!$E$7:$W$194,7,FALSE)</f>
        <v>#NAME?</v>
      </c>
      <c r="V34" s="387" t="str">
        <f ca="1">VLOOKUP($AD34,'市場監控 '!$E$7:$W$194,8,FALSE)</f>
        <v>-</v>
      </c>
      <c r="W34" s="388" t="str">
        <f ca="1">VLOOKUP($AD34,'市場監控 '!$E$7:$W$194,10,FALSE)</f>
        <v>-</v>
      </c>
      <c r="X34" s="389" t="str">
        <f ca="1">VLOOKUP($AD34,'市場監控 '!$E$7:$W$194,12,FALSE)</f>
        <v>-</v>
      </c>
      <c r="Y34" s="390" t="str">
        <f ca="1">VLOOKUP($AD34,'市場監控 '!$E$7:$W$194,14,FALSE)</f>
        <v>-</v>
      </c>
      <c r="Z34" s="390" t="str">
        <f ca="1">VLOOKUP($AD34,'市場監控 '!$E$7:$W$194,15,FALSE)</f>
        <v>-</v>
      </c>
      <c r="AA34" s="389" t="e">
        <f ca="1">VLOOKUP($AD34,'市場監控 '!$E$7:$W$194,17,FALSE)</f>
        <v>#NAME?</v>
      </c>
      <c r="AB34" s="389" t="e">
        <f ca="1">VLOOKUP($AD34,'市場監控 '!$E$7:$W$194,18,FALSE)</f>
        <v>#NAME?</v>
      </c>
      <c r="AC34" s="389" t="e">
        <f ca="1">VLOOKUP($AD34,'市場監控 '!$E$7:$W$194,19,FALSE)</f>
        <v>#NAME?</v>
      </c>
      <c r="AD34" s="370" t="s">
        <v>1053</v>
      </c>
      <c r="AE34" s="246" t="s">
        <v>1716</v>
      </c>
      <c r="AF34" s="225"/>
      <c r="AG34" s="225"/>
      <c r="AH34" s="476"/>
      <c r="AI34" s="179"/>
      <c r="AJ34" s="506"/>
      <c r="AK34" s="506"/>
      <c r="AL34" s="506"/>
      <c r="AM34" s="506"/>
      <c r="AN34" s="506"/>
      <c r="AO34" s="506"/>
      <c r="AP34" s="506"/>
      <c r="AQ34" s="506"/>
      <c r="AR34" s="506"/>
      <c r="AS34" s="506"/>
      <c r="AT34" s="506"/>
      <c r="AU34" s="506"/>
      <c r="AV34" s="506"/>
      <c r="AW34" s="506"/>
      <c r="AX34"/>
      <c r="AY34"/>
      <c r="AZ34" s="476"/>
      <c r="BA34" s="179"/>
      <c r="BB34" s="404"/>
      <c r="BC34" s="404"/>
      <c r="BD34" s="405"/>
      <c r="BE34" s="404"/>
      <c r="BF34" s="406"/>
      <c r="BG34" s="406"/>
      <c r="BH34" s="406"/>
      <c r="BI34" s="407"/>
      <c r="BJ34" s="406"/>
      <c r="BK34" s="408"/>
      <c r="BL34" s="408"/>
      <c r="BM34" s="408"/>
      <c r="BN34" s="408"/>
      <c r="BO34" s="409"/>
      <c r="BR34" s="476"/>
      <c r="BS34" s="179"/>
      <c r="BT34" s="21"/>
      <c r="BU34" s="21"/>
      <c r="BV34" s="21"/>
      <c r="BW34" s="21"/>
      <c r="BX34" s="21"/>
      <c r="BY34" s="21"/>
      <c r="BZ34" s="21"/>
      <c r="CA34" s="21"/>
      <c r="CB34" s="21"/>
      <c r="CC34" s="21"/>
      <c r="CD34" s="21"/>
      <c r="CE34" s="21"/>
      <c r="CF34" s="21"/>
      <c r="CI34" s="476"/>
      <c r="CJ34" s="179"/>
      <c r="CK34" s="527"/>
      <c r="CL34" s="527"/>
      <c r="CM34" s="527"/>
      <c r="CN34" s="528"/>
      <c r="CO34" s="528"/>
      <c r="CP34" s="528"/>
      <c r="CQ34" s="399"/>
      <c r="CR34" s="527"/>
      <c r="CS34" s="527"/>
      <c r="CT34" s="527"/>
      <c r="CU34" s="528"/>
      <c r="CV34" s="528"/>
      <c r="CW34" s="528"/>
      <c r="CX34" s="451"/>
      <c r="CY34" s="451"/>
      <c r="CZ34" s="476"/>
      <c r="DA34" s="179"/>
      <c r="DB34" s="527"/>
      <c r="DC34" s="527"/>
      <c r="DD34" s="527"/>
      <c r="DE34" s="528"/>
      <c r="DF34" s="528"/>
      <c r="DG34" s="528"/>
      <c r="DH34" s="459"/>
      <c r="DI34" s="527"/>
      <c r="DJ34" s="527"/>
      <c r="DK34" s="527"/>
      <c r="DL34" s="528"/>
      <c r="DM34" s="528"/>
      <c r="DN34" s="528"/>
      <c r="DO34" s="451"/>
      <c r="DP34" s="476"/>
      <c r="DQ34" s="179"/>
      <c r="DR34" s="592"/>
      <c r="DS34" s="592"/>
      <c r="DT34" s="592"/>
      <c r="DU34" s="616"/>
      <c r="DV34" s="616"/>
      <c r="DW34" s="616"/>
      <c r="DX34" s="439"/>
      <c r="DY34" s="592"/>
      <c r="DZ34" s="592"/>
      <c r="EA34" s="592"/>
      <c r="EB34" s="616"/>
      <c r="EC34" s="616"/>
      <c r="ED34" s="616"/>
      <c r="EE34" s="476"/>
      <c r="EF34" s="179"/>
      <c r="EV34" s="476"/>
      <c r="EW34" s="179"/>
    </row>
    <row r="35" spans="1:166" ht="22.5" customHeight="1">
      <c r="A35" s="476"/>
      <c r="C35" s="480"/>
      <c r="D35" s="480"/>
      <c r="E35" s="480"/>
      <c r="F35" s="480"/>
      <c r="G35" s="480"/>
      <c r="H35" s="480"/>
      <c r="I35" s="480"/>
      <c r="J35" s="480"/>
      <c r="K35" s="480"/>
      <c r="L35" s="480"/>
      <c r="M35" s="480"/>
      <c r="N35" s="480"/>
      <c r="O35" s="480"/>
      <c r="P35"/>
      <c r="Q35" s="476"/>
      <c r="R35" s="179"/>
      <c r="S35" s="543"/>
      <c r="T35" s="386" t="e">
        <f ca="1">VLOOKUP($AD35,'市場監控 '!$E$7:$W$194,6,FALSE)</f>
        <v>#NAME?</v>
      </c>
      <c r="U35" s="386" t="e">
        <f ca="1">VLOOKUP($AD35,'市場監控 '!$E$7:$W$194,7,FALSE)</f>
        <v>#NAME?</v>
      </c>
      <c r="V35" s="387" t="str">
        <f ca="1">VLOOKUP($AD35,'市場監控 '!$E$7:$W$194,8,FALSE)</f>
        <v>-</v>
      </c>
      <c r="W35" s="388" t="str">
        <f ca="1">VLOOKUP($AD35,'市場監控 '!$E$7:$W$194,10,FALSE)</f>
        <v>-</v>
      </c>
      <c r="X35" s="389" t="str">
        <f ca="1">VLOOKUP($AD35,'市場監控 '!$E$7:$W$194,12,FALSE)</f>
        <v>-</v>
      </c>
      <c r="Y35" s="390" t="str">
        <f ca="1">VLOOKUP($AD35,'市場監控 '!$E$7:$W$194,14,FALSE)</f>
        <v>-</v>
      </c>
      <c r="Z35" s="390" t="str">
        <f ca="1">VLOOKUP($AD35,'市場監控 '!$E$7:$W$194,15,FALSE)</f>
        <v>-</v>
      </c>
      <c r="AA35" s="389" t="e">
        <f ca="1">VLOOKUP($AD35,'市場監控 '!$E$7:$W$194,17,FALSE)</f>
        <v>#NAME?</v>
      </c>
      <c r="AB35" s="389" t="e">
        <f ca="1">VLOOKUP($AD35,'市場監控 '!$E$7:$W$194,18,FALSE)</f>
        <v>#NAME?</v>
      </c>
      <c r="AC35" s="389" t="e">
        <f ca="1">VLOOKUP($AD35,'市場監控 '!$E$7:$W$194,19,FALSE)</f>
        <v>#NAME?</v>
      </c>
      <c r="AD35" s="369" t="s">
        <v>1056</v>
      </c>
      <c r="AE35" s="246" t="s">
        <v>1718</v>
      </c>
      <c r="AF35" s="225"/>
      <c r="AG35" s="225"/>
      <c r="AH35" s="476"/>
      <c r="AI35" s="179"/>
      <c r="AJ35" s="506"/>
      <c r="AK35" s="506"/>
      <c r="AL35" s="506"/>
      <c r="AM35" s="506"/>
      <c r="AN35" s="506"/>
      <c r="AO35" s="506"/>
      <c r="AP35" s="506"/>
      <c r="AQ35" s="506"/>
      <c r="AR35" s="506"/>
      <c r="AS35" s="506"/>
      <c r="AT35" s="506"/>
      <c r="AU35" s="506"/>
      <c r="AV35" s="506"/>
      <c r="AW35" s="506"/>
      <c r="AX35"/>
      <c r="AY35"/>
      <c r="AZ35" s="476"/>
      <c r="BA35" s="179"/>
      <c r="BB35" s="404"/>
      <c r="BC35" s="404"/>
      <c r="BD35" s="405"/>
      <c r="BE35" s="404"/>
      <c r="BF35" s="406"/>
      <c r="BG35" s="406"/>
      <c r="BH35" s="406"/>
      <c r="BI35" s="407"/>
      <c r="BJ35" s="406"/>
      <c r="BK35" s="408"/>
      <c r="BL35" s="408"/>
      <c r="BM35" s="408"/>
      <c r="BN35" s="408"/>
      <c r="BO35" s="409"/>
      <c r="BR35" s="476"/>
      <c r="BS35" s="179"/>
      <c r="BT35" s="21"/>
      <c r="BU35" s="21"/>
      <c r="CA35" s="21"/>
      <c r="CB35" s="21"/>
      <c r="CC35" s="21"/>
      <c r="CD35" s="21"/>
      <c r="CE35" s="21"/>
      <c r="CF35" s="21"/>
      <c r="CI35" s="476"/>
      <c r="CJ35" s="179"/>
      <c r="CK35" s="527"/>
      <c r="CL35" s="527"/>
      <c r="CM35" s="527"/>
      <c r="CN35" s="528"/>
      <c r="CO35" s="528"/>
      <c r="CP35" s="528"/>
      <c r="CQ35" s="399"/>
      <c r="CR35" s="527"/>
      <c r="CS35" s="527"/>
      <c r="CT35" s="527"/>
      <c r="CU35" s="528"/>
      <c r="CV35" s="528"/>
      <c r="CW35" s="528"/>
      <c r="CX35" s="451"/>
      <c r="CY35" s="451"/>
      <c r="CZ35" s="476"/>
      <c r="DA35" s="179"/>
      <c r="DB35" s="527"/>
      <c r="DC35" s="527"/>
      <c r="DD35" s="527"/>
      <c r="DE35" s="528"/>
      <c r="DF35" s="528"/>
      <c r="DG35" s="528"/>
      <c r="DH35" s="459"/>
      <c r="DI35" s="527"/>
      <c r="DJ35" s="527"/>
      <c r="DK35" s="527"/>
      <c r="DL35" s="528"/>
      <c r="DM35" s="528"/>
      <c r="DN35" s="528"/>
      <c r="DO35" s="451"/>
      <c r="DP35" s="476"/>
      <c r="DQ35" s="179"/>
      <c r="DR35" s="592"/>
      <c r="DS35" s="592"/>
      <c r="DT35" s="592"/>
      <c r="DU35" s="616"/>
      <c r="DV35" s="616"/>
      <c r="DW35" s="616"/>
      <c r="DX35" s="439"/>
      <c r="DY35" s="592"/>
      <c r="DZ35" s="592"/>
      <c r="EA35" s="592"/>
      <c r="EB35" s="616"/>
      <c r="EC35" s="616"/>
      <c r="ED35" s="616"/>
      <c r="EE35" s="476"/>
      <c r="EF35" s="179"/>
      <c r="EV35" s="476"/>
      <c r="EW35" s="179"/>
      <c r="EX35" s="477" t="s">
        <v>3219</v>
      </c>
      <c r="EY35" s="478"/>
      <c r="EZ35" s="478"/>
      <c r="FA35" s="478"/>
      <c r="FB35" s="478"/>
      <c r="FC35" s="478"/>
      <c r="FD35" s="399"/>
      <c r="FE35" s="477" t="s">
        <v>3234</v>
      </c>
      <c r="FF35" s="478"/>
      <c r="FG35" s="478"/>
      <c r="FH35" s="478"/>
      <c r="FI35" s="478"/>
      <c r="FJ35" s="478"/>
    </row>
    <row r="36" spans="1:166" ht="22.5" customHeight="1">
      <c r="A36" s="476"/>
      <c r="C36" s="480"/>
      <c r="D36" s="480"/>
      <c r="E36" s="480"/>
      <c r="F36" s="480"/>
      <c r="G36" s="480"/>
      <c r="H36" s="480"/>
      <c r="I36" s="480"/>
      <c r="J36" s="480"/>
      <c r="K36" s="480"/>
      <c r="L36" s="480"/>
      <c r="M36" s="480"/>
      <c r="N36" s="480"/>
      <c r="O36" s="480"/>
      <c r="P36"/>
      <c r="Q36" s="476"/>
      <c r="R36" s="179"/>
      <c r="S36" s="543"/>
      <c r="T36" s="386" t="e">
        <f ca="1">VLOOKUP($AD36,'市場監控 '!$E$7:$W$194,6,FALSE)</f>
        <v>#NAME?</v>
      </c>
      <c r="U36" s="386" t="e">
        <f ca="1">VLOOKUP($AD36,'市場監控 '!$E$7:$W$194,7,FALSE)</f>
        <v>#NAME?</v>
      </c>
      <c r="V36" s="387" t="str">
        <f ca="1">VLOOKUP($AD36,'市場監控 '!$E$7:$W$194,8,FALSE)</f>
        <v>-</v>
      </c>
      <c r="W36" s="388" t="str">
        <f ca="1">VLOOKUP($AD36,'市場監控 '!$E$7:$W$194,10,FALSE)</f>
        <v>-</v>
      </c>
      <c r="X36" s="389" t="str">
        <f ca="1">VLOOKUP($AD36,'市場監控 '!$E$7:$W$194,12,FALSE)</f>
        <v>-</v>
      </c>
      <c r="Y36" s="390" t="str">
        <f ca="1">VLOOKUP($AD36,'市場監控 '!$E$7:$W$194,14,FALSE)</f>
        <v>-</v>
      </c>
      <c r="Z36" s="390" t="str">
        <f ca="1">VLOOKUP($AD36,'市場監控 '!$E$7:$W$194,15,FALSE)</f>
        <v>-</v>
      </c>
      <c r="AA36" s="389" t="e">
        <f ca="1">VLOOKUP($AD36,'市場監控 '!$E$7:$W$194,17,FALSE)</f>
        <v>#NAME?</v>
      </c>
      <c r="AB36" s="389" t="e">
        <f ca="1">VLOOKUP($AD36,'市場監控 '!$E$7:$W$194,18,FALSE)</f>
        <v>#NAME?</v>
      </c>
      <c r="AC36" s="389" t="e">
        <f ca="1">VLOOKUP($AD36,'市場監控 '!$E$7:$W$194,19,FALSE)</f>
        <v>#NAME?</v>
      </c>
      <c r="AD36" s="369" t="s">
        <v>1057</v>
      </c>
      <c r="AE36" s="246" t="s">
        <v>1720</v>
      </c>
      <c r="AF36" s="225"/>
      <c r="AG36" s="225"/>
      <c r="AH36" s="476"/>
      <c r="AI36" s="179"/>
      <c r="AO36" s="374"/>
      <c r="AZ36" s="476"/>
      <c r="BA36" s="179"/>
      <c r="BB36" s="404"/>
      <c r="BC36" s="404"/>
      <c r="BD36" s="405"/>
      <c r="BE36" s="404"/>
      <c r="BF36" s="406"/>
      <c r="BG36" s="406"/>
      <c r="BH36" s="406"/>
      <c r="BI36" s="407"/>
      <c r="BJ36" s="406"/>
      <c r="BK36" s="408"/>
      <c r="BL36" s="408"/>
      <c r="BM36" s="408"/>
      <c r="BN36" s="408"/>
      <c r="BO36" s="409"/>
      <c r="BR36" s="476"/>
      <c r="BS36" s="179"/>
      <c r="BT36" s="21"/>
      <c r="BU36" s="21"/>
      <c r="BZ36" s="21"/>
      <c r="CA36" s="21"/>
      <c r="CB36" s="21"/>
      <c r="CC36" s="21"/>
      <c r="CD36" s="21"/>
      <c r="CE36" s="21"/>
      <c r="CF36" s="21"/>
      <c r="CI36" s="476"/>
      <c r="CJ36" s="179"/>
      <c r="CK36" s="527"/>
      <c r="CL36" s="527"/>
      <c r="CM36" s="527"/>
      <c r="CN36" s="528"/>
      <c r="CO36" s="528"/>
      <c r="CP36" s="528"/>
      <c r="CQ36" s="399"/>
      <c r="CR36" s="527"/>
      <c r="CS36" s="527"/>
      <c r="CT36" s="527"/>
      <c r="CU36" s="528"/>
      <c r="CV36" s="528"/>
      <c r="CW36" s="528"/>
      <c r="CX36" s="451"/>
      <c r="CY36" s="451"/>
      <c r="CZ36" s="476"/>
      <c r="DA36" s="179"/>
      <c r="DB36" s="527"/>
      <c r="DC36" s="527"/>
      <c r="DD36" s="527"/>
      <c r="DE36" s="528"/>
      <c r="DF36" s="528"/>
      <c r="DG36" s="528"/>
      <c r="DH36" s="459"/>
      <c r="DI36" s="527"/>
      <c r="DJ36" s="527"/>
      <c r="DK36" s="527"/>
      <c r="DL36" s="528"/>
      <c r="DM36" s="528"/>
      <c r="DN36" s="528"/>
      <c r="DO36" s="451"/>
      <c r="DP36" s="476"/>
      <c r="DQ36" s="179"/>
      <c r="DR36" s="592"/>
      <c r="DS36" s="592"/>
      <c r="DT36" s="592"/>
      <c r="DU36" s="616"/>
      <c r="DV36" s="616"/>
      <c r="DW36" s="616"/>
      <c r="DX36" s="439"/>
      <c r="DY36" s="592"/>
      <c r="DZ36" s="592"/>
      <c r="EA36" s="592"/>
      <c r="EB36" s="616"/>
      <c r="EC36" s="616"/>
      <c r="ED36" s="616"/>
      <c r="EE36" s="476"/>
      <c r="EF36" s="179"/>
      <c r="EG36" s="477" t="s">
        <v>3111</v>
      </c>
      <c r="EH36" s="478"/>
      <c r="EI36" s="478"/>
      <c r="EJ36" s="478"/>
      <c r="EK36" s="478"/>
      <c r="EL36" s="478"/>
      <c r="EM36" s="399"/>
      <c r="EN36" s="477" t="s">
        <v>3153</v>
      </c>
      <c r="EO36" s="478"/>
      <c r="EP36" s="478"/>
      <c r="EQ36" s="478"/>
      <c r="ER36" s="478"/>
      <c r="ES36" s="478"/>
      <c r="EV36" s="476"/>
      <c r="EW36" s="179"/>
      <c r="EX36" s="479"/>
      <c r="EY36" s="480"/>
      <c r="EZ36" s="480"/>
      <c r="FA36" s="480"/>
      <c r="FB36" s="480"/>
      <c r="FC36" s="480"/>
      <c r="FD36" s="399"/>
      <c r="FE36" s="479"/>
      <c r="FF36" s="480"/>
      <c r="FG36" s="480"/>
      <c r="FH36" s="480"/>
      <c r="FI36" s="480"/>
      <c r="FJ36" s="480"/>
    </row>
    <row r="37" spans="1:166" ht="22.5" customHeight="1">
      <c r="A37" s="476"/>
      <c r="C37" s="480"/>
      <c r="D37" s="480"/>
      <c r="E37" s="480"/>
      <c r="F37" s="480"/>
      <c r="G37" s="480"/>
      <c r="H37" s="480"/>
      <c r="I37" s="480"/>
      <c r="J37" s="480"/>
      <c r="K37" s="480"/>
      <c r="L37" s="480"/>
      <c r="M37" s="480"/>
      <c r="N37" s="480"/>
      <c r="O37" s="480"/>
      <c r="P37"/>
      <c r="Q37" s="476"/>
      <c r="R37" s="179"/>
      <c r="S37" s="543"/>
      <c r="T37" s="386" t="e">
        <f ca="1">VLOOKUP($AD37,'市場監控 '!$E$7:$W$194,6,FALSE)</f>
        <v>#NAME?</v>
      </c>
      <c r="U37" s="386" t="e">
        <f ca="1">VLOOKUP($AD37,'市場監控 '!$E$7:$W$194,7,FALSE)</f>
        <v>#NAME?</v>
      </c>
      <c r="V37" s="387" t="str">
        <f ca="1">VLOOKUP($AD37,'市場監控 '!$E$7:$W$194,8,FALSE)</f>
        <v>-</v>
      </c>
      <c r="W37" s="388" t="str">
        <f ca="1">VLOOKUP($AD37,'市場監控 '!$E$7:$W$194,10,FALSE)</f>
        <v>-</v>
      </c>
      <c r="X37" s="389" t="str">
        <f ca="1">VLOOKUP($AD37,'市場監控 '!$E$7:$W$194,12,FALSE)</f>
        <v>-</v>
      </c>
      <c r="Y37" s="390" t="str">
        <f ca="1">VLOOKUP($AD37,'市場監控 '!$E$7:$W$194,14,FALSE)</f>
        <v>-</v>
      </c>
      <c r="Z37" s="390" t="str">
        <f ca="1">VLOOKUP($AD37,'市場監控 '!$E$7:$W$194,15,FALSE)</f>
        <v>-</v>
      </c>
      <c r="AA37" s="389" t="e">
        <f ca="1">VLOOKUP($AD37,'市場監控 '!$E$7:$W$194,17,FALSE)</f>
        <v>#NAME?</v>
      </c>
      <c r="AB37" s="389" t="e">
        <f ca="1">VLOOKUP($AD37,'市場監控 '!$E$7:$W$194,18,FALSE)</f>
        <v>#NAME?</v>
      </c>
      <c r="AC37" s="389" t="e">
        <f ca="1">VLOOKUP($AD37,'市場監控 '!$E$7:$W$194,19,FALSE)</f>
        <v>#NAME?</v>
      </c>
      <c r="AD37" s="370" t="s">
        <v>1069</v>
      </c>
      <c r="AE37" s="246" t="s">
        <v>1722</v>
      </c>
      <c r="AF37" s="225"/>
      <c r="AG37" s="225"/>
      <c r="AH37" s="476"/>
      <c r="AI37" s="179"/>
      <c r="AJ37" s="507" t="s">
        <v>1325</v>
      </c>
      <c r="AK37" s="508"/>
      <c r="AL37" s="508"/>
      <c r="AM37" s="508"/>
      <c r="AN37" s="509"/>
      <c r="AO37" s="439"/>
      <c r="AP37" s="575" t="s">
        <v>1337</v>
      </c>
      <c r="AQ37" s="508"/>
      <c r="AR37" s="508"/>
      <c r="AS37" s="508"/>
      <c r="AT37" s="508"/>
      <c r="AU37" s="508"/>
      <c r="AV37" s="508"/>
      <c r="AW37" s="509"/>
      <c r="AX37" s="439"/>
      <c r="AY37" s="439"/>
      <c r="AZ37" s="476"/>
      <c r="BA37" s="179"/>
      <c r="BB37" s="404"/>
      <c r="BC37" s="404"/>
      <c r="BD37" s="405"/>
      <c r="BE37" s="404"/>
      <c r="BF37" s="406"/>
      <c r="BG37" s="406"/>
      <c r="BH37" s="406"/>
      <c r="BI37" s="407"/>
      <c r="BJ37" s="406"/>
      <c r="BK37" s="408"/>
      <c r="BL37" s="408"/>
      <c r="BM37" s="408"/>
      <c r="BN37" s="408"/>
      <c r="BO37" s="409"/>
      <c r="BR37" s="476"/>
      <c r="BS37" s="179"/>
      <c r="BT37" s="497" t="s">
        <v>2905</v>
      </c>
      <c r="BU37" s="498"/>
      <c r="BV37" s="498"/>
      <c r="BW37" s="498"/>
      <c r="BX37" s="498"/>
      <c r="BY37" s="385"/>
      <c r="BZ37" s="497" t="s">
        <v>2906</v>
      </c>
      <c r="CA37" s="498"/>
      <c r="CB37" s="498"/>
      <c r="CC37" s="498"/>
      <c r="CD37" s="498"/>
      <c r="CE37" s="498"/>
      <c r="CF37" s="498"/>
      <c r="CI37" s="476"/>
      <c r="CJ37" s="179"/>
      <c r="CK37" s="527"/>
      <c r="CL37" s="527"/>
      <c r="CM37" s="527"/>
      <c r="CN37" s="528"/>
      <c r="CO37" s="528"/>
      <c r="CP37" s="528"/>
      <c r="CQ37" s="439"/>
      <c r="CR37" s="527"/>
      <c r="CS37" s="527"/>
      <c r="CT37" s="527"/>
      <c r="CU37" s="528"/>
      <c r="CV37" s="528"/>
      <c r="CW37" s="528"/>
      <c r="CX37" s="451"/>
      <c r="CY37" s="451"/>
      <c r="CZ37" s="476"/>
      <c r="DA37" s="179"/>
      <c r="DB37" s="527"/>
      <c r="DC37" s="527"/>
      <c r="DD37" s="527"/>
      <c r="DE37" s="528"/>
      <c r="DF37" s="528"/>
      <c r="DG37" s="528"/>
      <c r="DH37" s="460"/>
      <c r="DI37" s="527"/>
      <c r="DJ37" s="527"/>
      <c r="DK37" s="527"/>
      <c r="DL37" s="528"/>
      <c r="DM37" s="528"/>
      <c r="DN37" s="528"/>
      <c r="DO37" s="451"/>
      <c r="DP37" s="476"/>
      <c r="DQ37" s="179"/>
      <c r="DR37" s="592"/>
      <c r="DS37" s="592"/>
      <c r="DT37" s="592"/>
      <c r="DU37" s="616"/>
      <c r="DV37" s="616"/>
      <c r="DW37" s="616"/>
      <c r="DX37" s="399"/>
      <c r="DY37" s="592"/>
      <c r="DZ37" s="592"/>
      <c r="EA37" s="592"/>
      <c r="EB37" s="616"/>
      <c r="EC37" s="616"/>
      <c r="ED37" s="616"/>
      <c r="EE37" s="476"/>
      <c r="EF37" s="179"/>
      <c r="EG37" s="479"/>
      <c r="EH37" s="480"/>
      <c r="EI37" s="480"/>
      <c r="EJ37" s="480"/>
      <c r="EK37" s="480"/>
      <c r="EL37" s="480"/>
      <c r="EM37" s="399"/>
      <c r="EN37" s="479"/>
      <c r="EO37" s="480"/>
      <c r="EP37" s="480"/>
      <c r="EQ37" s="480"/>
      <c r="ER37" s="480"/>
      <c r="ES37" s="480"/>
      <c r="EV37" s="476"/>
      <c r="EW37" s="179"/>
      <c r="EX37" s="587" t="s">
        <v>3203</v>
      </c>
      <c r="EY37" s="589" t="s">
        <v>3202</v>
      </c>
      <c r="EZ37" s="589"/>
      <c r="FA37" s="589"/>
      <c r="FB37" s="589"/>
      <c r="FC37" s="589"/>
      <c r="FD37" s="399"/>
      <c r="FE37" s="587" t="s">
        <v>3235</v>
      </c>
      <c r="FF37" s="589" t="s">
        <v>878</v>
      </c>
      <c r="FG37" s="489"/>
      <c r="FH37" s="607" t="s">
        <v>3238</v>
      </c>
      <c r="FI37" s="589" t="s">
        <v>3201</v>
      </c>
      <c r="FJ37" s="489"/>
    </row>
    <row r="38" spans="1:166" ht="22.5" customHeight="1">
      <c r="A38" s="476"/>
      <c r="C38" s="480"/>
      <c r="D38" s="480"/>
      <c r="E38" s="480"/>
      <c r="F38" s="480"/>
      <c r="G38" s="480"/>
      <c r="H38" s="480"/>
      <c r="I38" s="480"/>
      <c r="J38" s="480"/>
      <c r="K38" s="480"/>
      <c r="L38" s="480"/>
      <c r="M38" s="480"/>
      <c r="N38" s="480"/>
      <c r="O38" s="480"/>
      <c r="P38"/>
      <c r="Q38" s="476"/>
      <c r="R38" s="179"/>
      <c r="S38" s="543"/>
      <c r="T38" s="386" t="e">
        <f ca="1">VLOOKUP($AD38,'市場監控 '!$E$7:$W$194,6,FALSE)</f>
        <v>#NAME?</v>
      </c>
      <c r="U38" s="386" t="e">
        <f ca="1">VLOOKUP($AD38,'市場監控 '!$E$7:$W$194,7,FALSE)</f>
        <v>#NAME?</v>
      </c>
      <c r="V38" s="387" t="str">
        <f ca="1">VLOOKUP($AD38,'市場監控 '!$E$7:$W$194,8,FALSE)</f>
        <v>-</v>
      </c>
      <c r="W38" s="388" t="str">
        <f ca="1">VLOOKUP($AD38,'市場監控 '!$E$7:$W$194,10,FALSE)</f>
        <v>-</v>
      </c>
      <c r="X38" s="389" t="str">
        <f ca="1">VLOOKUP($AD38,'市場監控 '!$E$7:$W$194,12,FALSE)</f>
        <v>-</v>
      </c>
      <c r="Y38" s="390" t="str">
        <f ca="1">VLOOKUP($AD38,'市場監控 '!$E$7:$W$194,14,FALSE)</f>
        <v>-</v>
      </c>
      <c r="Z38" s="390" t="str">
        <f ca="1">VLOOKUP($AD38,'市場監控 '!$E$7:$W$194,15,FALSE)</f>
        <v>-</v>
      </c>
      <c r="AA38" s="389" t="e">
        <f ca="1">VLOOKUP($AD38,'市場監控 '!$E$7:$W$194,17,FALSE)</f>
        <v>#NAME?</v>
      </c>
      <c r="AB38" s="389" t="e">
        <f ca="1">VLOOKUP($AD38,'市場監控 '!$E$7:$W$194,18,FALSE)</f>
        <v>#NAME?</v>
      </c>
      <c r="AC38" s="389" t="e">
        <f ca="1">VLOOKUP($AD38,'市場監控 '!$E$7:$W$194,19,FALSE)</f>
        <v>#NAME?</v>
      </c>
      <c r="AD38" s="369" t="s">
        <v>1070</v>
      </c>
      <c r="AE38" s="246" t="s">
        <v>1724</v>
      </c>
      <c r="AF38" s="225"/>
      <c r="AG38" s="225"/>
      <c r="AH38" s="476"/>
      <c r="AI38" s="179"/>
      <c r="AJ38" s="494"/>
      <c r="AK38" s="510"/>
      <c r="AL38" s="510"/>
      <c r="AM38" s="510"/>
      <c r="AN38" s="511"/>
      <c r="AO38" s="439"/>
      <c r="AP38" s="510"/>
      <c r="AQ38" s="510"/>
      <c r="AR38" s="510"/>
      <c r="AS38" s="510"/>
      <c r="AT38" s="510"/>
      <c r="AU38" s="510"/>
      <c r="AV38" s="510"/>
      <c r="AW38" s="511"/>
      <c r="AX38" s="439"/>
      <c r="AY38" s="439"/>
      <c r="AZ38" s="476"/>
      <c r="BA38" s="179"/>
      <c r="BB38" s="404"/>
      <c r="BC38" s="404"/>
      <c r="BD38" s="405"/>
      <c r="BE38" s="404"/>
      <c r="BF38" s="406"/>
      <c r="BG38" s="406"/>
      <c r="BH38" s="406"/>
      <c r="BI38" s="407"/>
      <c r="BJ38" s="406"/>
      <c r="BK38" s="408"/>
      <c r="BL38" s="408"/>
      <c r="BM38" s="408"/>
      <c r="BN38" s="408"/>
      <c r="BO38" s="409"/>
      <c r="BR38" s="476"/>
      <c r="BS38" s="179"/>
      <c r="BT38" s="498"/>
      <c r="BU38" s="498"/>
      <c r="BV38" s="498"/>
      <c r="BW38" s="498"/>
      <c r="BX38" s="498"/>
      <c r="BY38" s="382"/>
      <c r="BZ38" s="498"/>
      <c r="CA38" s="498"/>
      <c r="CB38" s="498"/>
      <c r="CC38" s="498"/>
      <c r="CD38" s="498"/>
      <c r="CE38" s="498"/>
      <c r="CF38" s="498"/>
      <c r="CI38" s="476"/>
      <c r="CJ38" s="179"/>
      <c r="CK38" s="527"/>
      <c r="CL38" s="527"/>
      <c r="CM38" s="527"/>
      <c r="CN38" s="528"/>
      <c r="CO38" s="528"/>
      <c r="CP38" s="528"/>
      <c r="CQ38" s="401"/>
      <c r="CR38" s="527"/>
      <c r="CS38" s="527"/>
      <c r="CT38" s="527"/>
      <c r="CU38" s="528"/>
      <c r="CV38" s="528"/>
      <c r="CW38" s="528"/>
      <c r="CX38" s="451"/>
      <c r="CY38" s="451"/>
      <c r="CZ38" s="476"/>
      <c r="DA38" s="179"/>
      <c r="DB38" s="527"/>
      <c r="DC38" s="527"/>
      <c r="DD38" s="527"/>
      <c r="DE38" s="528"/>
      <c r="DF38" s="528"/>
      <c r="DG38" s="528"/>
      <c r="DH38" s="461"/>
      <c r="DI38" s="527"/>
      <c r="DJ38" s="527"/>
      <c r="DK38" s="527"/>
      <c r="DL38" s="528"/>
      <c r="DM38" s="528"/>
      <c r="DN38" s="528"/>
      <c r="DO38" s="451"/>
      <c r="DP38" s="476"/>
      <c r="DQ38" s="179"/>
      <c r="DR38" s="592"/>
      <c r="DS38" s="592"/>
      <c r="DT38" s="592"/>
      <c r="DU38" s="616"/>
      <c r="DV38" s="616"/>
      <c r="DW38" s="616"/>
      <c r="DX38" s="399"/>
      <c r="DY38" s="592"/>
      <c r="DZ38" s="592"/>
      <c r="EA38" s="592"/>
      <c r="EB38" s="616"/>
      <c r="EC38" s="616"/>
      <c r="ED38" s="616"/>
      <c r="EE38" s="476"/>
      <c r="EF38" s="179"/>
      <c r="EG38" s="587" t="s">
        <v>3105</v>
      </c>
      <c r="EH38" s="588"/>
      <c r="EI38" s="589" t="s">
        <v>3130</v>
      </c>
      <c r="EJ38" s="588"/>
      <c r="EK38" s="590" t="s">
        <v>3131</v>
      </c>
      <c r="EL38" s="487"/>
      <c r="EM38" s="399"/>
      <c r="EN38" s="587" t="s">
        <v>3161</v>
      </c>
      <c r="EO38" s="595" t="s">
        <v>3154</v>
      </c>
      <c r="EP38" s="590" t="s">
        <v>3155</v>
      </c>
      <c r="EQ38" s="487"/>
      <c r="ER38" s="589" t="s">
        <v>3156</v>
      </c>
      <c r="ES38" s="489"/>
      <c r="EV38" s="476"/>
      <c r="EW38" s="179"/>
      <c r="EX38" s="588"/>
      <c r="EY38" s="589"/>
      <c r="EZ38" s="589"/>
      <c r="FA38" s="589"/>
      <c r="FB38" s="589"/>
      <c r="FC38" s="589"/>
      <c r="FD38" s="399"/>
      <c r="FE38" s="588"/>
      <c r="FF38" s="489"/>
      <c r="FG38" s="489"/>
      <c r="FH38" s="608"/>
      <c r="FI38" s="489"/>
      <c r="FJ38" s="489"/>
    </row>
    <row r="39" spans="1:166" ht="22.5" customHeight="1" thickBot="1">
      <c r="A39" s="476"/>
      <c r="J39"/>
      <c r="K39"/>
      <c r="L39"/>
      <c r="M39"/>
      <c r="N39"/>
      <c r="O39"/>
      <c r="P39"/>
      <c r="Q39" s="476"/>
      <c r="R39" s="179"/>
      <c r="S39" s="543"/>
      <c r="T39" s="386" t="e">
        <f ca="1">VLOOKUP($AD39,'市場監控 '!$E$7:$W$194,6,FALSE)</f>
        <v>#NAME?</v>
      </c>
      <c r="U39" s="386" t="e">
        <f ca="1">VLOOKUP($AD39,'市場監控 '!$E$7:$W$194,7,FALSE)</f>
        <v>#NAME?</v>
      </c>
      <c r="V39" s="387" t="str">
        <f ca="1">VLOOKUP($AD39,'市場監控 '!$E$7:$W$194,8,FALSE)</f>
        <v>-</v>
      </c>
      <c r="W39" s="388" t="str">
        <f ca="1">VLOOKUP($AD39,'市場監控 '!$E$7:$W$194,10,FALSE)</f>
        <v>-</v>
      </c>
      <c r="X39" s="389" t="str">
        <f ca="1">VLOOKUP($AD39,'市場監控 '!$E$7:$W$194,12,FALSE)</f>
        <v>-</v>
      </c>
      <c r="Y39" s="390" t="str">
        <f ca="1">VLOOKUP($AD39,'市場監控 '!$E$7:$W$194,14,FALSE)</f>
        <v>-</v>
      </c>
      <c r="Z39" s="390" t="str">
        <f ca="1">VLOOKUP($AD39,'市場監控 '!$E$7:$W$194,15,FALSE)</f>
        <v>-</v>
      </c>
      <c r="AA39" s="389" t="e">
        <f ca="1">VLOOKUP($AD39,'市場監控 '!$E$7:$W$194,17,FALSE)</f>
        <v>#NAME?</v>
      </c>
      <c r="AB39" s="389" t="e">
        <f ca="1">VLOOKUP($AD39,'市場監控 '!$E$7:$W$194,18,FALSE)</f>
        <v>#NAME?</v>
      </c>
      <c r="AC39" s="389" t="e">
        <f ca="1">VLOOKUP($AD39,'市場監控 '!$E$7:$W$194,19,FALSE)</f>
        <v>#NAME?</v>
      </c>
      <c r="AD39" s="184" t="s">
        <v>1204</v>
      </c>
      <c r="AE39" s="246" t="s">
        <v>1726</v>
      </c>
      <c r="AF39" s="225"/>
      <c r="AG39" s="225"/>
      <c r="AH39" s="476"/>
      <c r="AI39" s="179"/>
      <c r="AJ39" s="515" t="s">
        <v>1326</v>
      </c>
      <c r="AK39" s="539"/>
      <c r="AL39" s="403">
        <v>45978</v>
      </c>
      <c r="AM39" s="402" t="s">
        <v>1327</v>
      </c>
      <c r="AN39" s="402">
        <v>2024</v>
      </c>
      <c r="AO39" s="383"/>
      <c r="AP39" s="540">
        <v>45978</v>
      </c>
      <c r="AQ39" s="539"/>
      <c r="AR39" s="515" t="s">
        <v>1331</v>
      </c>
      <c r="AS39" s="516"/>
      <c r="AT39" s="516"/>
      <c r="AU39" s="515" t="s">
        <v>1332</v>
      </c>
      <c r="AV39" s="516"/>
      <c r="AW39" s="516"/>
      <c r="AX39" s="380"/>
      <c r="AY39" s="380"/>
      <c r="AZ39" s="476"/>
      <c r="BA39" s="179"/>
      <c r="BB39" s="404"/>
      <c r="BC39" s="404"/>
      <c r="BD39" s="405"/>
      <c r="BE39" s="404"/>
      <c r="BF39" s="406"/>
      <c r="BG39" s="406"/>
      <c r="BH39" s="406"/>
      <c r="BI39" s="407"/>
      <c r="BJ39" s="406"/>
      <c r="BK39" s="408"/>
      <c r="BL39" s="408"/>
      <c r="BM39" s="408"/>
      <c r="BN39" s="408"/>
      <c r="BO39" s="409"/>
      <c r="BR39" s="476"/>
      <c r="BS39" s="179"/>
      <c r="BT39" s="373"/>
      <c r="BU39" s="375"/>
      <c r="BV39" s="375"/>
      <c r="BW39" s="375"/>
      <c r="BX39" s="375"/>
      <c r="BY39" s="375"/>
      <c r="BZ39" s="375"/>
      <c r="CA39" s="375"/>
      <c r="CB39" s="375"/>
      <c r="CC39" s="375"/>
      <c r="CD39" s="375"/>
      <c r="CE39" s="375"/>
      <c r="CF39" s="375"/>
      <c r="CI39" s="476"/>
      <c r="CJ39" s="179"/>
      <c r="CK39" s="527"/>
      <c r="CL39" s="527"/>
      <c r="CM39" s="527"/>
      <c r="CN39" s="528"/>
      <c r="CO39" s="528"/>
      <c r="CP39" s="528"/>
      <c r="CQ39" s="439"/>
      <c r="CR39" s="527"/>
      <c r="CS39" s="527"/>
      <c r="CT39" s="527"/>
      <c r="CU39" s="528"/>
      <c r="CV39" s="528"/>
      <c r="CW39" s="528"/>
      <c r="CX39" s="451"/>
      <c r="CY39" s="451"/>
      <c r="CZ39" s="476"/>
      <c r="DA39" s="179"/>
      <c r="DB39" s="527"/>
      <c r="DC39" s="527"/>
      <c r="DD39" s="527"/>
      <c r="DE39" s="528"/>
      <c r="DF39" s="528"/>
      <c r="DG39" s="528"/>
      <c r="DH39" s="460"/>
      <c r="DI39" s="527"/>
      <c r="DJ39" s="527"/>
      <c r="DK39" s="527"/>
      <c r="DL39" s="528"/>
      <c r="DM39" s="528"/>
      <c r="DN39" s="528"/>
      <c r="DO39" s="451"/>
      <c r="DP39" s="476"/>
      <c r="DQ39" s="179"/>
      <c r="DR39" s="592"/>
      <c r="DS39" s="592"/>
      <c r="DT39" s="592"/>
      <c r="DU39" s="616"/>
      <c r="DV39" s="616"/>
      <c r="DW39" s="616"/>
      <c r="DX39" s="399"/>
      <c r="DY39" s="592"/>
      <c r="DZ39" s="592"/>
      <c r="EA39" s="592"/>
      <c r="EB39" s="616"/>
      <c r="EC39" s="616"/>
      <c r="ED39" s="616"/>
      <c r="EE39" s="476"/>
      <c r="EF39" s="179"/>
      <c r="EG39" s="588"/>
      <c r="EH39" s="588"/>
      <c r="EI39" s="588"/>
      <c r="EJ39" s="588"/>
      <c r="EK39" s="487"/>
      <c r="EL39" s="487"/>
      <c r="EM39" s="399"/>
      <c r="EN39" s="588"/>
      <c r="EO39" s="489"/>
      <c r="EP39" s="487"/>
      <c r="EQ39" s="487"/>
      <c r="ER39" s="489"/>
      <c r="ES39" s="489"/>
      <c r="EV39" s="476"/>
      <c r="EW39" s="179"/>
      <c r="EX39" s="602">
        <v>44993</v>
      </c>
      <c r="EY39" s="603" t="s">
        <v>3220</v>
      </c>
      <c r="EZ39" s="604"/>
      <c r="FA39" s="604"/>
      <c r="FB39" s="604"/>
      <c r="FC39" s="604"/>
      <c r="FD39" s="399"/>
      <c r="FE39" s="481" t="s">
        <v>3236</v>
      </c>
      <c r="FF39" s="481" t="s">
        <v>3237</v>
      </c>
      <c r="FG39" s="482"/>
      <c r="FH39" s="481">
        <v>297.2</v>
      </c>
      <c r="FI39" s="481" t="s">
        <v>3239</v>
      </c>
      <c r="FJ39" s="482"/>
    </row>
    <row r="40" spans="1:166" ht="22.5" customHeight="1" thickTop="1">
      <c r="A40" s="476"/>
      <c r="J40"/>
      <c r="K40"/>
      <c r="L40"/>
      <c r="M40"/>
      <c r="N40"/>
      <c r="O40"/>
      <c r="P40"/>
      <c r="Q40" s="476"/>
      <c r="R40" s="179"/>
      <c r="S40" s="543"/>
      <c r="T40" s="386" t="e">
        <f ca="1">VLOOKUP($AD40,'市場監控 '!$E$7:$W$194,6,FALSE)</f>
        <v>#NAME?</v>
      </c>
      <c r="U40" s="386" t="e">
        <f ca="1">VLOOKUP($AD40,'市場監控 '!$E$7:$W$194,7,FALSE)</f>
        <v>#NAME?</v>
      </c>
      <c r="V40" s="387" t="str">
        <f ca="1">VLOOKUP($AD40,'市場監控 '!$E$7:$W$194,8,FALSE)</f>
        <v>-</v>
      </c>
      <c r="W40" s="388" t="str">
        <f ca="1">VLOOKUP($AD40,'市場監控 '!$E$7:$W$194,10,FALSE)</f>
        <v>-</v>
      </c>
      <c r="X40" s="389" t="str">
        <f ca="1">VLOOKUP($AD40,'市場監控 '!$E$7:$W$194,12,FALSE)</f>
        <v>-</v>
      </c>
      <c r="Y40" s="390" t="str">
        <f ca="1">VLOOKUP($AD40,'市場監控 '!$E$7:$W$194,14,FALSE)</f>
        <v>-</v>
      </c>
      <c r="Z40" s="390" t="str">
        <f ca="1">VLOOKUP($AD40,'市場監控 '!$E$7:$W$194,15,FALSE)</f>
        <v>-</v>
      </c>
      <c r="AA40" s="389" t="e">
        <f ca="1">VLOOKUP($AD40,'市場監控 '!$E$7:$W$194,17,FALSE)</f>
        <v>#NAME?</v>
      </c>
      <c r="AB40" s="389" t="e">
        <f ca="1">VLOOKUP($AD40,'市場監控 '!$E$7:$W$194,18,FALSE)</f>
        <v>#NAME?</v>
      </c>
      <c r="AC40" s="389" t="e">
        <f ca="1">VLOOKUP($AD40,'市場監控 '!$E$7:$W$194,19,FALSE)</f>
        <v>#NAME?</v>
      </c>
      <c r="AD40" s="370" t="s">
        <v>1072</v>
      </c>
      <c r="AE40" s="246" t="s">
        <v>1728</v>
      </c>
      <c r="AF40" s="225"/>
      <c r="AG40" s="225"/>
      <c r="AH40" s="476"/>
      <c r="AI40" s="179"/>
      <c r="AJ40" s="502" t="s">
        <v>1328</v>
      </c>
      <c r="AK40" s="502"/>
      <c r="AL40" s="396">
        <v>2</v>
      </c>
      <c r="AM40" s="381">
        <v>3.1</v>
      </c>
      <c r="AN40" s="381">
        <v>3.5</v>
      </c>
      <c r="AO40" s="381"/>
      <c r="AP40" s="502" t="s">
        <v>1333</v>
      </c>
      <c r="AQ40" s="503"/>
      <c r="AR40" s="512" t="s">
        <v>3949</v>
      </c>
      <c r="AS40" s="503"/>
      <c r="AT40" s="503"/>
      <c r="AU40" s="512" t="s">
        <v>84</v>
      </c>
      <c r="AV40" s="503"/>
      <c r="AW40" s="503"/>
      <c r="AX40" s="380"/>
      <c r="AY40" s="380"/>
      <c r="AZ40" s="476"/>
      <c r="BA40" s="179"/>
      <c r="BB40" s="404"/>
      <c r="BC40" s="404"/>
      <c r="BD40" s="405"/>
      <c r="BE40" s="404"/>
      <c r="BF40" s="406"/>
      <c r="BG40" s="406"/>
      <c r="BH40" s="406"/>
      <c r="BI40" s="407"/>
      <c r="BJ40" s="406"/>
      <c r="BK40" s="408"/>
      <c r="BL40" s="408"/>
      <c r="BM40" s="408"/>
      <c r="BN40" s="408"/>
      <c r="BO40" s="409"/>
      <c r="BR40" s="476"/>
      <c r="BS40" s="179"/>
      <c r="CI40" s="476"/>
      <c r="CJ40" s="179"/>
      <c r="CK40" s="527"/>
      <c r="CL40" s="527"/>
      <c r="CM40" s="527"/>
      <c r="CN40" s="528"/>
      <c r="CO40" s="528"/>
      <c r="CP40" s="528"/>
      <c r="CQ40" s="439"/>
      <c r="CR40" s="527"/>
      <c r="CS40" s="527"/>
      <c r="CT40" s="527"/>
      <c r="CU40" s="528"/>
      <c r="CV40" s="528"/>
      <c r="CW40" s="528"/>
      <c r="CX40" s="451"/>
      <c r="CY40" s="451"/>
      <c r="CZ40" s="476"/>
      <c r="DA40" s="179"/>
      <c r="DB40" s="527"/>
      <c r="DC40" s="527"/>
      <c r="DD40" s="527"/>
      <c r="DE40" s="528"/>
      <c r="DF40" s="528"/>
      <c r="DG40" s="528"/>
      <c r="DH40" s="460"/>
      <c r="DI40" s="527"/>
      <c r="DJ40" s="527"/>
      <c r="DK40" s="527"/>
      <c r="DL40" s="528"/>
      <c r="DM40" s="528"/>
      <c r="DN40" s="528"/>
      <c r="DO40" s="451"/>
      <c r="DP40" s="476"/>
      <c r="DQ40" s="179"/>
      <c r="DR40" s="592"/>
      <c r="DS40" s="592"/>
      <c r="DT40" s="592"/>
      <c r="DU40" s="616"/>
      <c r="DV40" s="616"/>
      <c r="DW40" s="616"/>
      <c r="DX40" s="401"/>
      <c r="DY40" s="592"/>
      <c r="DZ40" s="592"/>
      <c r="EA40" s="592"/>
      <c r="EB40" s="616"/>
      <c r="EC40" s="616"/>
      <c r="ED40" s="616"/>
      <c r="EE40" s="476"/>
      <c r="EF40" s="179"/>
      <c r="EG40" s="481" t="s">
        <v>3132</v>
      </c>
      <c r="EH40" s="482"/>
      <c r="EI40" s="481" t="s">
        <v>3133</v>
      </c>
      <c r="EJ40" s="482"/>
      <c r="EK40" s="481" t="s">
        <v>3134</v>
      </c>
      <c r="EL40" s="482"/>
      <c r="EM40" s="399"/>
      <c r="EN40" s="481" t="s">
        <v>3160</v>
      </c>
      <c r="EO40" s="481" t="s">
        <v>3157</v>
      </c>
      <c r="EP40" s="481" t="s">
        <v>3158</v>
      </c>
      <c r="EQ40" s="482"/>
      <c r="ER40" s="481" t="s">
        <v>3159</v>
      </c>
      <c r="ES40" s="482"/>
      <c r="EV40" s="476"/>
      <c r="EW40" s="179"/>
      <c r="EX40" s="482"/>
      <c r="EY40" s="604"/>
      <c r="EZ40" s="604"/>
      <c r="FA40" s="604"/>
      <c r="FB40" s="604"/>
      <c r="FC40" s="604"/>
      <c r="FD40" s="399"/>
      <c r="FE40" s="601"/>
      <c r="FF40" s="482"/>
      <c r="FG40" s="482"/>
      <c r="FH40" s="485"/>
      <c r="FI40" s="482"/>
      <c r="FJ40" s="482"/>
    </row>
    <row r="41" spans="1:166" ht="22.5" customHeight="1">
      <c r="A41" s="476"/>
      <c r="B41" s="21"/>
      <c r="C41" s="542" t="s">
        <v>866</v>
      </c>
      <c r="D41" s="493"/>
      <c r="E41" s="493"/>
      <c r="F41" s="493"/>
      <c r="G41" s="493"/>
      <c r="H41" s="493"/>
      <c r="I41" s="401"/>
      <c r="J41" s="542" t="s">
        <v>867</v>
      </c>
      <c r="K41" s="493"/>
      <c r="L41" s="493"/>
      <c r="M41" s="493"/>
      <c r="N41" s="493"/>
      <c r="O41" s="493"/>
      <c r="P41"/>
      <c r="Q41" s="476"/>
      <c r="R41" s="179"/>
      <c r="S41" s="543"/>
      <c r="T41" s="386" t="e">
        <f ca="1">VLOOKUP($AD41,'市場監控 '!$E$7:$W$194,6,FALSE)</f>
        <v>#NAME?</v>
      </c>
      <c r="U41" s="386" t="e">
        <f ca="1">VLOOKUP($AD41,'市場監控 '!$E$7:$W$194,7,FALSE)</f>
        <v>#NAME?</v>
      </c>
      <c r="V41" s="387" t="str">
        <f ca="1">VLOOKUP($AD41,'市場監控 '!$E$7:$W$194,8,FALSE)</f>
        <v>-</v>
      </c>
      <c r="W41" s="388" t="str">
        <f ca="1">VLOOKUP($AD41,'市場監控 '!$E$7:$W$194,10,FALSE)</f>
        <v>-</v>
      </c>
      <c r="X41" s="389" t="str">
        <f ca="1">VLOOKUP($AD41,'市場監控 '!$E$7:$W$194,12,FALSE)</f>
        <v>-</v>
      </c>
      <c r="Y41" s="390" t="str">
        <f ca="1">VLOOKUP($AD41,'市場監控 '!$E$7:$W$194,14,FALSE)</f>
        <v>-</v>
      </c>
      <c r="Z41" s="390" t="str">
        <f ca="1">VLOOKUP($AD41,'市場監控 '!$E$7:$W$194,15,FALSE)</f>
        <v>-</v>
      </c>
      <c r="AA41" s="389" t="e">
        <f ca="1">VLOOKUP($AD41,'市場監控 '!$E$7:$W$194,17,FALSE)</f>
        <v>#NAME?</v>
      </c>
      <c r="AB41" s="389" t="e">
        <f ca="1">VLOOKUP($AD41,'市場監控 '!$E$7:$W$194,18,FALSE)</f>
        <v>#NAME?</v>
      </c>
      <c r="AC41" s="389" t="e">
        <f ca="1">VLOOKUP($AD41,'市場監控 '!$E$7:$W$194,19,FALSE)</f>
        <v>#NAME?</v>
      </c>
      <c r="AD41" s="185" t="s">
        <v>1215</v>
      </c>
      <c r="AE41" s="246" t="s">
        <v>1730</v>
      </c>
      <c r="AF41" s="225"/>
      <c r="AG41" s="225"/>
      <c r="AH41" s="476"/>
      <c r="AI41" s="179"/>
      <c r="AJ41" s="517" t="s">
        <v>1329</v>
      </c>
      <c r="AK41" s="517"/>
      <c r="AL41" s="396">
        <v>3.6</v>
      </c>
      <c r="AM41" s="381">
        <v>3.9</v>
      </c>
      <c r="AN41" s="381">
        <v>3.7</v>
      </c>
      <c r="AO41" s="381"/>
      <c r="AP41" s="517" t="s">
        <v>1334</v>
      </c>
      <c r="AQ41" s="514"/>
      <c r="AR41" s="513" t="s">
        <v>3951</v>
      </c>
      <c r="AS41" s="514"/>
      <c r="AT41" s="514"/>
      <c r="AU41" s="513" t="s">
        <v>3950</v>
      </c>
      <c r="AV41" s="514"/>
      <c r="AW41" s="514"/>
      <c r="AX41" s="380"/>
      <c r="AY41" s="380"/>
      <c r="AZ41" s="476"/>
      <c r="BA41" s="179"/>
      <c r="BB41" s="404"/>
      <c r="BC41" s="404"/>
      <c r="BD41" s="405"/>
      <c r="BE41" s="404"/>
      <c r="BF41" s="406"/>
      <c r="BG41" s="406"/>
      <c r="BH41" s="406"/>
      <c r="BI41" s="407"/>
      <c r="BJ41" s="406"/>
      <c r="BK41" s="408"/>
      <c r="BL41" s="408"/>
      <c r="BM41" s="408"/>
      <c r="BN41" s="408"/>
      <c r="BO41" s="409"/>
      <c r="BR41" s="476"/>
      <c r="BS41" s="179"/>
      <c r="CI41" s="476"/>
      <c r="CJ41" s="179"/>
      <c r="CK41" s="527"/>
      <c r="CL41" s="527"/>
      <c r="CM41" s="527"/>
      <c r="CN41" s="528"/>
      <c r="CO41" s="528"/>
      <c r="CP41" s="528"/>
      <c r="CQ41" s="439"/>
      <c r="CR41" s="527"/>
      <c r="CS41" s="527"/>
      <c r="CT41" s="527"/>
      <c r="CU41" s="528"/>
      <c r="CV41" s="528"/>
      <c r="CW41" s="528"/>
      <c r="CX41" s="401"/>
      <c r="CY41" s="401"/>
      <c r="CZ41" s="476"/>
      <c r="DA41" s="179"/>
      <c r="DB41" s="527"/>
      <c r="DC41" s="527"/>
      <c r="DD41" s="527"/>
      <c r="DE41" s="528"/>
      <c r="DF41" s="528"/>
      <c r="DG41" s="528"/>
      <c r="DH41" s="460"/>
      <c r="DI41" s="527"/>
      <c r="DJ41" s="527"/>
      <c r="DK41" s="527"/>
      <c r="DL41" s="528"/>
      <c r="DM41" s="528"/>
      <c r="DN41" s="528"/>
      <c r="DO41"/>
      <c r="DP41" s="476"/>
      <c r="DQ41" s="179"/>
      <c r="DR41" s="485"/>
      <c r="DS41" s="485"/>
      <c r="DT41" s="485"/>
      <c r="DU41" s="485"/>
      <c r="DV41" s="485"/>
      <c r="DW41" s="485"/>
      <c r="DX41" s="401"/>
      <c r="DY41" s="485"/>
      <c r="DZ41" s="485"/>
      <c r="EA41" s="485"/>
      <c r="EB41" s="485"/>
      <c r="EC41" s="485"/>
      <c r="ED41" s="485"/>
      <c r="EE41" s="476"/>
      <c r="EF41" s="179"/>
      <c r="EG41" s="482"/>
      <c r="EH41" s="482"/>
      <c r="EI41" s="482"/>
      <c r="EJ41" s="482"/>
      <c r="EK41" s="482"/>
      <c r="EL41" s="482"/>
      <c r="EM41" s="399"/>
      <c r="EN41" s="482"/>
      <c r="EO41" s="482"/>
      <c r="EP41" s="482"/>
      <c r="EQ41" s="482"/>
      <c r="ER41" s="482"/>
      <c r="ES41" s="482"/>
      <c r="EV41" s="476"/>
      <c r="EW41" s="179"/>
      <c r="EX41" s="482"/>
      <c r="EY41" s="482"/>
      <c r="EZ41" s="482"/>
      <c r="FA41" s="482"/>
      <c r="FB41" s="482"/>
      <c r="FC41" s="482"/>
      <c r="FD41" s="399"/>
      <c r="FE41" s="482"/>
      <c r="FF41" s="482"/>
      <c r="FG41" s="482"/>
      <c r="FH41" s="485"/>
      <c r="FI41" s="482"/>
      <c r="FJ41" s="482"/>
    </row>
    <row r="42" spans="1:166" ht="22.5" customHeight="1" thickBot="1">
      <c r="A42" s="476"/>
      <c r="C42" s="479"/>
      <c r="D42" s="480"/>
      <c r="E42" s="480"/>
      <c r="F42" s="480"/>
      <c r="G42" s="480"/>
      <c r="H42" s="480"/>
      <c r="I42" s="401"/>
      <c r="J42" s="479"/>
      <c r="K42" s="480"/>
      <c r="L42" s="480"/>
      <c r="M42" s="480"/>
      <c r="N42" s="480"/>
      <c r="O42" s="480"/>
      <c r="P42"/>
      <c r="Q42" s="476"/>
      <c r="R42" s="179"/>
      <c r="S42" s="546"/>
      <c r="T42" s="391" t="e">
        <f ca="1">VLOOKUP($AD42,'市場監控 '!$E$7:$W$194,6,FALSE)</f>
        <v>#NAME?</v>
      </c>
      <c r="U42" s="391" t="e">
        <f ca="1">VLOOKUP($AD42,'市場監控 '!$E$7:$W$194,7,FALSE)</f>
        <v>#NAME?</v>
      </c>
      <c r="V42" s="392" t="str">
        <f ca="1">VLOOKUP($AD42,'市場監控 '!$E$7:$W$194,8,FALSE)</f>
        <v>-</v>
      </c>
      <c r="W42" s="393" t="str">
        <f ca="1">VLOOKUP($AD42,'市場監控 '!$E$7:$W$194,10,FALSE)</f>
        <v>-</v>
      </c>
      <c r="X42" s="394" t="str">
        <f ca="1">VLOOKUP($AD42,'市場監控 '!$E$7:$W$194,12,FALSE)</f>
        <v>-</v>
      </c>
      <c r="Y42" s="395" t="str">
        <f ca="1">VLOOKUP($AD42,'市場監控 '!$E$7:$W$194,14,FALSE)</f>
        <v>-</v>
      </c>
      <c r="Z42" s="395" t="str">
        <f ca="1">VLOOKUP($AD42,'市場監控 '!$E$7:$W$194,15,FALSE)</f>
        <v>-</v>
      </c>
      <c r="AA42" s="394" t="e">
        <f ca="1">VLOOKUP($AD42,'市場監控 '!$E$7:$W$194,17,FALSE)</f>
        <v>#NAME?</v>
      </c>
      <c r="AB42" s="394" t="e">
        <f ca="1">VLOOKUP($AD42,'市場監控 '!$E$7:$W$194,18,FALSE)</f>
        <v>#NAME?</v>
      </c>
      <c r="AC42" s="394" t="e">
        <f ca="1">VLOOKUP($AD42,'市場監控 '!$E$7:$W$194,19,FALSE)</f>
        <v>#NAME?</v>
      </c>
      <c r="AD42" s="369" t="s">
        <v>1211</v>
      </c>
      <c r="AE42" s="271" t="s">
        <v>1732</v>
      </c>
      <c r="AF42" s="225"/>
      <c r="AG42" s="225"/>
      <c r="AH42" s="476"/>
      <c r="AI42" s="179"/>
      <c r="AJ42" s="517" t="s">
        <v>1330</v>
      </c>
      <c r="AK42" s="517"/>
      <c r="AL42" s="381">
        <v>-28</v>
      </c>
      <c r="AM42" s="381">
        <v>-27</v>
      </c>
      <c r="AN42" s="381">
        <v>-27</v>
      </c>
      <c r="AO42" s="381"/>
      <c r="AP42" s="517" t="s">
        <v>1335</v>
      </c>
      <c r="AQ42" s="514"/>
      <c r="AR42" s="513" t="s">
        <v>3952</v>
      </c>
      <c r="AS42" s="514"/>
      <c r="AT42" s="514"/>
      <c r="AU42" s="513" t="s">
        <v>3701</v>
      </c>
      <c r="AV42" s="514"/>
      <c r="AW42" s="514"/>
      <c r="AX42" s="380"/>
      <c r="AY42" s="380"/>
      <c r="AZ42" s="476"/>
      <c r="BA42" s="179"/>
      <c r="BB42" s="404"/>
      <c r="BC42" s="404"/>
      <c r="BD42" s="405"/>
      <c r="BE42" s="404"/>
      <c r="BF42" s="406"/>
      <c r="BG42" s="406"/>
      <c r="BH42" s="406"/>
      <c r="BI42" s="407"/>
      <c r="BJ42" s="406"/>
      <c r="BK42" s="408"/>
      <c r="BL42" s="408"/>
      <c r="BM42" s="408"/>
      <c r="BN42" s="408"/>
      <c r="BO42" s="409"/>
      <c r="BR42" s="476"/>
      <c r="BS42" s="179"/>
      <c r="CI42" s="476"/>
      <c r="CJ42" s="179"/>
      <c r="CK42" s="527"/>
      <c r="CL42" s="527"/>
      <c r="CM42" s="527"/>
      <c r="CN42" s="528"/>
      <c r="CO42" s="528"/>
      <c r="CP42" s="528"/>
      <c r="CQ42" s="399"/>
      <c r="CR42" s="527"/>
      <c r="CS42" s="527"/>
      <c r="CT42" s="527"/>
      <c r="CU42" s="528"/>
      <c r="CV42" s="528"/>
      <c r="CW42" s="528"/>
      <c r="CX42" s="401"/>
      <c r="CY42" s="401"/>
      <c r="CZ42" s="476"/>
      <c r="DA42" s="179"/>
      <c r="DB42" s="527"/>
      <c r="DC42" s="527"/>
      <c r="DD42" s="527"/>
      <c r="DE42" s="528"/>
      <c r="DF42" s="528"/>
      <c r="DG42" s="528"/>
      <c r="DH42" s="459"/>
      <c r="DI42" s="527"/>
      <c r="DJ42" s="527"/>
      <c r="DK42" s="527"/>
      <c r="DL42" s="528"/>
      <c r="DM42" s="528"/>
      <c r="DN42" s="528"/>
      <c r="DO42"/>
      <c r="DP42" s="476"/>
      <c r="DQ42" s="179"/>
      <c r="DR42" s="562"/>
      <c r="DS42" s="562"/>
      <c r="DT42" s="562"/>
      <c r="DU42" s="562"/>
      <c r="DV42" s="562"/>
      <c r="DW42" s="562"/>
      <c r="DX42" s="401"/>
      <c r="DY42" s="562"/>
      <c r="DZ42" s="562"/>
      <c r="EA42" s="562"/>
      <c r="EB42" s="562"/>
      <c r="EC42" s="562"/>
      <c r="ED42" s="562"/>
      <c r="EE42" s="476"/>
      <c r="EF42" s="179"/>
      <c r="EG42" s="481" t="s">
        <v>3135</v>
      </c>
      <c r="EH42" s="482"/>
      <c r="EI42" s="481" t="s">
        <v>3137</v>
      </c>
      <c r="EJ42" s="482"/>
      <c r="EK42" s="481" t="s">
        <v>3136</v>
      </c>
      <c r="EL42" s="482"/>
      <c r="EM42" s="399"/>
      <c r="EN42" s="482"/>
      <c r="EO42" s="482"/>
      <c r="EP42" s="482"/>
      <c r="EQ42" s="482"/>
      <c r="ER42" s="482"/>
      <c r="ES42" s="482"/>
      <c r="EV42" s="476"/>
      <c r="EW42" s="179"/>
      <c r="EX42" s="602">
        <v>44994</v>
      </c>
      <c r="EY42" s="603" t="s">
        <v>3221</v>
      </c>
      <c r="EZ42" s="604"/>
      <c r="FA42" s="604"/>
      <c r="FB42" s="604"/>
      <c r="FC42" s="604"/>
      <c r="FD42" s="399"/>
      <c r="FE42" s="481" t="s">
        <v>3240</v>
      </c>
      <c r="FF42" s="481" t="s">
        <v>3248</v>
      </c>
      <c r="FG42" s="482"/>
      <c r="FH42" s="481">
        <v>308.60000000000002</v>
      </c>
      <c r="FI42" s="481" t="s">
        <v>3255</v>
      </c>
      <c r="FJ42" s="482"/>
    </row>
    <row r="43" spans="1:166" ht="22.5" customHeight="1">
      <c r="A43" s="476"/>
      <c r="J43"/>
      <c r="K43"/>
      <c r="L43"/>
      <c r="M43"/>
      <c r="N43"/>
      <c r="O43"/>
      <c r="P43"/>
      <c r="Q43" s="476"/>
      <c r="R43" s="179"/>
      <c r="S43" s="548" t="s">
        <v>1190</v>
      </c>
      <c r="T43" s="428" t="e">
        <f ca="1">VLOOKUP($AD43,'市場監控 '!$E$7:$W$194,6,FALSE)</f>
        <v>#NAME?</v>
      </c>
      <c r="U43" s="428" t="e">
        <f ca="1">VLOOKUP($AD43,'市場監控 '!$E$7:$W$194,7,FALSE)</f>
        <v>#NAME?</v>
      </c>
      <c r="V43" s="387" t="str">
        <f ca="1">VLOOKUP($AD43,'市場監控 '!$E$7:$W$194,8,FALSE)</f>
        <v>-</v>
      </c>
      <c r="W43" s="429" t="str">
        <f ca="1">VLOOKUP($AD43,'市場監控 '!$E$7:$W$194,10,FALSE)</f>
        <v>-</v>
      </c>
      <c r="X43" s="430" t="str">
        <f ca="1">VLOOKUP($AD43,'市場監控 '!$E$7:$W$194,12,FALSE)</f>
        <v>-</v>
      </c>
      <c r="Y43" s="431" t="str">
        <f ca="1">VLOOKUP($AD43,'市場監控 '!$E$7:$W$194,14,FALSE)</f>
        <v>-</v>
      </c>
      <c r="Z43" s="431" t="str">
        <f ca="1">VLOOKUP($AD43,'市場監控 '!$E$7:$W$194,15,FALSE)</f>
        <v>-</v>
      </c>
      <c r="AA43" s="430" t="e">
        <f ca="1">VLOOKUP($AD43,'市場監控 '!$E$7:$W$194,17,FALSE)</f>
        <v>#NAME?</v>
      </c>
      <c r="AB43" s="430" t="e">
        <f ca="1">VLOOKUP($AD43,'市場監控 '!$E$7:$W$194,18,FALSE)</f>
        <v>#NAME?</v>
      </c>
      <c r="AC43" s="430" t="e">
        <f ca="1">VLOOKUP($AD43,'市場監控 '!$E$7:$W$194,19,FALSE)</f>
        <v>#NAME?</v>
      </c>
      <c r="AD43" s="370" t="s">
        <v>1216</v>
      </c>
      <c r="AE43" s="276" t="s">
        <v>1734</v>
      </c>
      <c r="AF43" s="225"/>
      <c r="AG43" s="225"/>
      <c r="AH43" s="476"/>
      <c r="AI43" s="179"/>
      <c r="AJ43" s="517" t="s">
        <v>2913</v>
      </c>
      <c r="AK43" s="517"/>
      <c r="AL43" s="381">
        <v>-40</v>
      </c>
      <c r="AM43" s="381">
        <v>-21</v>
      </c>
      <c r="AN43" s="381">
        <v>-20</v>
      </c>
      <c r="AO43" s="384"/>
      <c r="AP43" s="517" t="s">
        <v>1327</v>
      </c>
      <c r="AQ43" s="514"/>
      <c r="AR43" s="513" t="s">
        <v>3953</v>
      </c>
      <c r="AS43" s="514"/>
      <c r="AT43" s="514"/>
      <c r="AU43" s="513" t="s">
        <v>1336</v>
      </c>
      <c r="AV43" s="514"/>
      <c r="AW43" s="514"/>
      <c r="AX43" s="380"/>
      <c r="AY43" s="380"/>
      <c r="AZ43" s="476"/>
      <c r="BA43" s="179"/>
      <c r="BB43" s="404"/>
      <c r="BC43" s="404"/>
      <c r="BD43" s="405"/>
      <c r="BE43" s="404"/>
      <c r="BF43" s="406"/>
      <c r="BG43" s="406"/>
      <c r="BH43" s="406"/>
      <c r="BI43" s="407"/>
      <c r="BJ43" s="406"/>
      <c r="BK43" s="408"/>
      <c r="BL43" s="408"/>
      <c r="BM43" s="408"/>
      <c r="BN43" s="408"/>
      <c r="BO43" s="409"/>
      <c r="BR43" s="476"/>
      <c r="BS43" s="179"/>
      <c r="CI43" s="476"/>
      <c r="CJ43" s="179"/>
      <c r="CK43" s="527"/>
      <c r="CL43" s="527"/>
      <c r="CM43" s="527"/>
      <c r="CN43" s="528"/>
      <c r="CO43" s="528"/>
      <c r="CP43" s="528"/>
      <c r="CQ43" s="399"/>
      <c r="CR43" s="527"/>
      <c r="CS43" s="527"/>
      <c r="CT43" s="527"/>
      <c r="CU43" s="528"/>
      <c r="CV43" s="528"/>
      <c r="CW43" s="528"/>
      <c r="CX43" s="399"/>
      <c r="CY43" s="399"/>
      <c r="CZ43" s="476"/>
      <c r="DA43" s="179"/>
      <c r="DB43" s="527"/>
      <c r="DC43" s="527"/>
      <c r="DD43" s="527"/>
      <c r="DE43" s="528"/>
      <c r="DF43" s="528"/>
      <c r="DG43" s="528"/>
      <c r="DH43" s="459"/>
      <c r="DI43" s="527"/>
      <c r="DJ43" s="527"/>
      <c r="DK43" s="527"/>
      <c r="DL43" s="528"/>
      <c r="DM43" s="528"/>
      <c r="DN43" s="528"/>
      <c r="DO43" s="399"/>
      <c r="DP43" s="476"/>
      <c r="DQ43" s="179"/>
      <c r="DR43" s="623"/>
      <c r="DS43" s="624"/>
      <c r="DT43" s="624"/>
      <c r="DU43" s="624"/>
      <c r="DV43" s="624"/>
      <c r="DW43" s="624"/>
      <c r="DX43" s="453"/>
      <c r="DY43" s="623"/>
      <c r="DZ43" s="624"/>
      <c r="EA43" s="624"/>
      <c r="EB43" s="624"/>
      <c r="EC43" s="624"/>
      <c r="ED43" s="624"/>
      <c r="EE43" s="476"/>
      <c r="EF43" s="179"/>
      <c r="EG43" s="482"/>
      <c r="EH43" s="482"/>
      <c r="EI43" s="482"/>
      <c r="EJ43" s="482"/>
      <c r="EK43" s="482"/>
      <c r="EL43" s="482"/>
      <c r="EM43" s="399"/>
      <c r="EN43" s="481" t="s">
        <v>3162</v>
      </c>
      <c r="EO43" s="481" t="s">
        <v>3157</v>
      </c>
      <c r="EP43" s="481" t="s">
        <v>3179</v>
      </c>
      <c r="EQ43" s="481"/>
      <c r="ER43" s="481" t="s">
        <v>3196</v>
      </c>
      <c r="ES43" s="481"/>
      <c r="EV43" s="476"/>
      <c r="EW43" s="179"/>
      <c r="EX43" s="482"/>
      <c r="EY43" s="604"/>
      <c r="EZ43" s="604"/>
      <c r="FA43" s="604"/>
      <c r="FB43" s="604"/>
      <c r="FC43" s="604"/>
      <c r="FD43" s="439"/>
      <c r="FE43" s="601"/>
      <c r="FF43" s="482"/>
      <c r="FG43" s="482"/>
      <c r="FH43" s="485"/>
      <c r="FI43" s="482"/>
      <c r="FJ43" s="482"/>
    </row>
    <row r="44" spans="1:166" ht="22.5" customHeight="1">
      <c r="A44" s="476"/>
      <c r="J44"/>
      <c r="K44"/>
      <c r="L44"/>
      <c r="M44"/>
      <c r="N44"/>
      <c r="O44"/>
      <c r="P44"/>
      <c r="Q44" s="476"/>
      <c r="R44" s="179"/>
      <c r="S44" s="549"/>
      <c r="T44" s="386" t="e">
        <f ca="1">VLOOKUP($AD44,'市場監控 '!$E$7:$W$194,6,FALSE)</f>
        <v>#NAME?</v>
      </c>
      <c r="U44" s="386" t="e">
        <f ca="1">VLOOKUP($AD44,'市場監控 '!$E$7:$W$194,7,FALSE)</f>
        <v>#NAME?</v>
      </c>
      <c r="V44" s="387" t="str">
        <f ca="1">VLOOKUP($AD44,'市場監控 '!$E$7:$W$194,8,FALSE)</f>
        <v>-</v>
      </c>
      <c r="W44" s="388" t="str">
        <f ca="1">VLOOKUP($AD44,'市場監控 '!$E$7:$W$194,10,FALSE)</f>
        <v>-</v>
      </c>
      <c r="X44" s="389" t="str">
        <f ca="1">VLOOKUP($AD44,'市場監控 '!$E$7:$W$194,12,FALSE)</f>
        <v>-</v>
      </c>
      <c r="Y44" s="390" t="str">
        <f ca="1">VLOOKUP($AD44,'市場監控 '!$E$7:$W$194,14,FALSE)</f>
        <v>-</v>
      </c>
      <c r="Z44" s="390" t="str">
        <f ca="1">VLOOKUP($AD44,'市場監控 '!$E$7:$W$194,15,FALSE)</f>
        <v>-</v>
      </c>
      <c r="AA44" s="389" t="e">
        <f ca="1">VLOOKUP($AD44,'市場監控 '!$E$7:$W$194,17,FALSE)</f>
        <v>#NAME?</v>
      </c>
      <c r="AB44" s="389" t="e">
        <f ca="1">VLOOKUP($AD44,'市場監控 '!$E$7:$W$194,18,FALSE)</f>
        <v>#NAME?</v>
      </c>
      <c r="AC44" s="389" t="e">
        <f ca="1">VLOOKUP($AD44,'市場監控 '!$E$7:$W$194,19,FALSE)</f>
        <v>#NAME?</v>
      </c>
      <c r="AD44" s="185" t="s">
        <v>1217</v>
      </c>
      <c r="AE44" s="246" t="s">
        <v>1736</v>
      </c>
      <c r="AF44" s="225"/>
      <c r="AG44" s="225"/>
      <c r="AH44" s="476"/>
      <c r="AI44" s="179"/>
      <c r="AJ44" s="27"/>
      <c r="AK44" s="27"/>
      <c r="AL44" s="27"/>
      <c r="AM44" s="27"/>
      <c r="AN44" s="27"/>
      <c r="AO44" s="27"/>
      <c r="AP44" s="27"/>
      <c r="AQ44" s="27"/>
      <c r="AR44" s="27"/>
      <c r="AS44" s="27"/>
      <c r="AT44" s="27"/>
      <c r="AU44" s="27"/>
      <c r="AV44" s="27"/>
      <c r="AW44" s="27"/>
      <c r="AX44" s="27"/>
      <c r="AY44" s="27"/>
      <c r="AZ44" s="476"/>
      <c r="BA44" s="179"/>
      <c r="BB44" s="404"/>
      <c r="BC44" s="404"/>
      <c r="BD44" s="405"/>
      <c r="BE44" s="404"/>
      <c r="BF44" s="406"/>
      <c r="BG44" s="406"/>
      <c r="BH44" s="406"/>
      <c r="BI44" s="407"/>
      <c r="BJ44" s="406"/>
      <c r="BK44" s="408"/>
      <c r="BL44" s="408"/>
      <c r="BM44" s="408"/>
      <c r="BN44" s="408"/>
      <c r="BO44" s="409"/>
      <c r="BR44" s="476"/>
      <c r="BS44" s="179"/>
      <c r="CI44" s="476"/>
      <c r="CJ44" s="179"/>
      <c r="CK44" s="527"/>
      <c r="CL44" s="527"/>
      <c r="CM44" s="527"/>
      <c r="CN44" s="528"/>
      <c r="CO44" s="528"/>
      <c r="CP44" s="528"/>
      <c r="CQ44" s="399"/>
      <c r="CR44" s="527"/>
      <c r="CS44" s="527"/>
      <c r="CT44" s="527"/>
      <c r="CU44" s="528"/>
      <c r="CV44" s="528"/>
      <c r="CW44" s="528"/>
      <c r="CX44" s="399"/>
      <c r="CY44" s="399"/>
      <c r="CZ44" s="476"/>
      <c r="DA44" s="179"/>
      <c r="DB44" s="527"/>
      <c r="DC44" s="527"/>
      <c r="DD44" s="527"/>
      <c r="DE44" s="528"/>
      <c r="DF44" s="528"/>
      <c r="DG44" s="528"/>
      <c r="DH44" s="459"/>
      <c r="DI44" s="527"/>
      <c r="DJ44" s="527"/>
      <c r="DK44" s="527"/>
      <c r="DL44" s="528"/>
      <c r="DM44" s="528"/>
      <c r="DN44" s="528"/>
      <c r="DO44" s="399"/>
      <c r="DP44" s="476"/>
      <c r="DQ44" s="179"/>
      <c r="DR44" s="625"/>
      <c r="DS44" s="626"/>
      <c r="DT44" s="626"/>
      <c r="DU44" s="626"/>
      <c r="DV44" s="626"/>
      <c r="DW44" s="626"/>
      <c r="DX44" s="453"/>
      <c r="DY44" s="625"/>
      <c r="DZ44" s="626"/>
      <c r="EA44" s="626"/>
      <c r="EB44" s="626"/>
      <c r="EC44" s="626"/>
      <c r="ED44" s="626"/>
      <c r="EE44" s="476"/>
      <c r="EF44" s="179"/>
      <c r="EG44" s="481" t="s">
        <v>3138</v>
      </c>
      <c r="EH44" s="482"/>
      <c r="EI44" s="481" t="s">
        <v>3139</v>
      </c>
      <c r="EJ44" s="482"/>
      <c r="EK44" s="481" t="s">
        <v>3140</v>
      </c>
      <c r="EL44" s="482"/>
      <c r="EM44" s="439"/>
      <c r="EN44" s="482"/>
      <c r="EO44" s="481"/>
      <c r="EP44" s="481"/>
      <c r="EQ44" s="481"/>
      <c r="ER44" s="481"/>
      <c r="ES44" s="481"/>
      <c r="EV44" s="476"/>
      <c r="EW44" s="179"/>
      <c r="EX44" s="482"/>
      <c r="EY44" s="482"/>
      <c r="EZ44" s="482"/>
      <c r="FA44" s="482"/>
      <c r="FB44" s="482"/>
      <c r="FC44" s="482"/>
      <c r="FD44" s="401"/>
      <c r="FE44" s="482"/>
      <c r="FF44" s="482"/>
      <c r="FG44" s="482"/>
      <c r="FH44" s="485"/>
      <c r="FI44" s="482"/>
      <c r="FJ44" s="482"/>
    </row>
    <row r="45" spans="1:166" ht="22.5" customHeight="1">
      <c r="A45" s="476"/>
      <c r="J45"/>
      <c r="K45"/>
      <c r="L45"/>
      <c r="M45"/>
      <c r="N45"/>
      <c r="O45"/>
      <c r="P45"/>
      <c r="Q45" s="476"/>
      <c r="R45" s="179"/>
      <c r="S45" s="549"/>
      <c r="T45" s="386" t="e">
        <f ca="1">VLOOKUP($AD45,'市場監控 '!$E$7:$W$194,6,FALSE)</f>
        <v>#NAME?</v>
      </c>
      <c r="U45" s="386" t="e">
        <f ca="1">VLOOKUP($AD45,'市場監控 '!$E$7:$W$194,7,FALSE)</f>
        <v>#NAME?</v>
      </c>
      <c r="V45" s="387" t="str">
        <f ca="1">VLOOKUP($AD45,'市場監控 '!$E$7:$W$194,8,FALSE)</f>
        <v>-</v>
      </c>
      <c r="W45" s="388" t="str">
        <f ca="1">VLOOKUP($AD45,'市場監控 '!$E$7:$W$194,10,FALSE)</f>
        <v>-</v>
      </c>
      <c r="X45" s="389" t="str">
        <f ca="1">VLOOKUP($AD45,'市場監控 '!$E$7:$W$194,12,FALSE)</f>
        <v>-</v>
      </c>
      <c r="Y45" s="390" t="str">
        <f ca="1">VLOOKUP($AD45,'市場監控 '!$E$7:$W$194,14,FALSE)</f>
        <v>-</v>
      </c>
      <c r="Z45" s="390" t="str">
        <f ca="1">VLOOKUP($AD45,'市場監控 '!$E$7:$W$194,15,FALSE)</f>
        <v>-</v>
      </c>
      <c r="AA45" s="389" t="e">
        <f ca="1">VLOOKUP($AD45,'市場監控 '!$E$7:$W$194,17,FALSE)</f>
        <v>#NAME?</v>
      </c>
      <c r="AB45" s="389" t="e">
        <f ca="1">VLOOKUP($AD45,'市場監控 '!$E$7:$W$194,18,FALSE)</f>
        <v>#NAME?</v>
      </c>
      <c r="AC45" s="389" t="e">
        <f ca="1">VLOOKUP($AD45,'市場監控 '!$E$7:$W$194,19,FALSE)</f>
        <v>#NAME?</v>
      </c>
      <c r="AD45" s="185" t="s">
        <v>966</v>
      </c>
      <c r="AE45" s="246" t="s">
        <v>1738</v>
      </c>
      <c r="AF45" s="225"/>
      <c r="AG45" s="225"/>
      <c r="AH45" s="476"/>
      <c r="AI45" s="179"/>
      <c r="AJ45" s="27"/>
      <c r="AK45" s="27"/>
      <c r="AL45" s="27"/>
      <c r="AM45" s="27"/>
      <c r="AN45" s="27"/>
      <c r="AO45" s="27"/>
      <c r="AP45" s="27"/>
      <c r="AQ45" s="27"/>
      <c r="AR45" s="27"/>
      <c r="AS45" s="27"/>
      <c r="AT45" s="27"/>
      <c r="AU45" s="27"/>
      <c r="AV45" s="27"/>
      <c r="AW45" s="27"/>
      <c r="AX45" s="27"/>
      <c r="AY45" s="27"/>
      <c r="AZ45" s="476"/>
      <c r="BA45" s="179"/>
      <c r="BB45" s="404"/>
      <c r="BC45" s="404"/>
      <c r="BD45" s="405"/>
      <c r="BE45" s="404"/>
      <c r="BF45" s="406"/>
      <c r="BG45" s="406"/>
      <c r="BH45" s="406"/>
      <c r="BI45" s="407"/>
      <c r="BJ45" s="406"/>
      <c r="BK45" s="408"/>
      <c r="BL45" s="408"/>
      <c r="BM45" s="408"/>
      <c r="BN45" s="408"/>
      <c r="BO45" s="409"/>
      <c r="BR45" s="476"/>
      <c r="BS45" s="179"/>
      <c r="CI45" s="476"/>
      <c r="CJ45" s="179"/>
      <c r="CK45" s="527"/>
      <c r="CL45" s="527"/>
      <c r="CM45" s="527"/>
      <c r="CN45" s="528"/>
      <c r="CO45" s="528"/>
      <c r="CP45" s="528"/>
      <c r="CQ45" s="401"/>
      <c r="CR45" s="527"/>
      <c r="CS45" s="527"/>
      <c r="CT45" s="527"/>
      <c r="CU45" s="528"/>
      <c r="CV45" s="528"/>
      <c r="CW45" s="528"/>
      <c r="CX45" s="451"/>
      <c r="CY45" s="451"/>
      <c r="CZ45" s="476"/>
      <c r="DA45" s="179"/>
      <c r="DB45" s="527"/>
      <c r="DC45" s="527"/>
      <c r="DD45" s="527"/>
      <c r="DE45" s="528"/>
      <c r="DF45" s="528"/>
      <c r="DG45" s="528"/>
      <c r="DH45" s="461"/>
      <c r="DI45" s="527"/>
      <c r="DJ45" s="527"/>
      <c r="DK45" s="527"/>
      <c r="DL45" s="528"/>
      <c r="DM45" s="528"/>
      <c r="DN45" s="528"/>
      <c r="DO45" s="451"/>
      <c r="DP45" s="476"/>
      <c r="DQ45" s="179"/>
      <c r="DR45" s="627"/>
      <c r="DS45" s="628"/>
      <c r="DT45" s="628"/>
      <c r="DU45" s="629"/>
      <c r="DV45" s="629"/>
      <c r="DW45" s="629"/>
      <c r="DX45" s="453"/>
      <c r="DY45" s="627"/>
      <c r="DZ45" s="628"/>
      <c r="EA45" s="628"/>
      <c r="EB45" s="629"/>
      <c r="EC45" s="629"/>
      <c r="ED45" s="629"/>
      <c r="EE45" s="476"/>
      <c r="EF45" s="179"/>
      <c r="EG45" s="482"/>
      <c r="EH45" s="482"/>
      <c r="EI45" s="482"/>
      <c r="EJ45" s="482"/>
      <c r="EK45" s="482"/>
      <c r="EL45" s="482"/>
      <c r="EM45" s="401"/>
      <c r="EN45" s="482"/>
      <c r="EO45" s="481"/>
      <c r="EP45" s="481"/>
      <c r="EQ45" s="481"/>
      <c r="ER45" s="481"/>
      <c r="ES45" s="481"/>
      <c r="EV45" s="476"/>
      <c r="EW45" s="179"/>
      <c r="EX45" s="602">
        <v>44995</v>
      </c>
      <c r="EY45" s="603" t="s">
        <v>3223</v>
      </c>
      <c r="EZ45" s="604"/>
      <c r="FA45" s="604"/>
      <c r="FB45" s="604"/>
      <c r="FC45" s="604"/>
      <c r="FD45" s="439"/>
      <c r="FE45" s="481" t="s">
        <v>3241</v>
      </c>
      <c r="FF45" s="481" t="s">
        <v>3249</v>
      </c>
      <c r="FG45" s="482"/>
      <c r="FH45" s="481">
        <v>115.9</v>
      </c>
      <c r="FI45" s="481" t="s">
        <v>3255</v>
      </c>
      <c r="FJ45" s="482"/>
    </row>
    <row r="46" spans="1:166" ht="22.5" customHeight="1">
      <c r="A46" s="476"/>
      <c r="J46"/>
      <c r="K46"/>
      <c r="L46"/>
      <c r="M46"/>
      <c r="N46"/>
      <c r="O46"/>
      <c r="P46"/>
      <c r="Q46" s="476"/>
      <c r="R46" s="179"/>
      <c r="S46" s="549"/>
      <c r="T46" s="386" t="e">
        <f ca="1">VLOOKUP($AD46,'市場監控 '!$E$7:$W$194,6,FALSE)</f>
        <v>#NAME?</v>
      </c>
      <c r="U46" s="386" t="e">
        <f ca="1">VLOOKUP($AD46,'市場監控 '!$E$7:$W$194,7,FALSE)</f>
        <v>#NAME?</v>
      </c>
      <c r="V46" s="387" t="str">
        <f ca="1">VLOOKUP($AD46,'市場監控 '!$E$7:$W$194,8,FALSE)</f>
        <v>-</v>
      </c>
      <c r="W46" s="388" t="str">
        <f ca="1">VLOOKUP($AD46,'市場監控 '!$E$7:$W$194,10,FALSE)</f>
        <v>-</v>
      </c>
      <c r="X46" s="389" t="str">
        <f ca="1">VLOOKUP($AD46,'市場監控 '!$E$7:$W$194,12,FALSE)</f>
        <v>-</v>
      </c>
      <c r="Y46" s="390" t="str">
        <f ca="1">VLOOKUP($AD46,'市場監控 '!$E$7:$W$194,14,FALSE)</f>
        <v>-</v>
      </c>
      <c r="Z46" s="390" t="str">
        <f ca="1">VLOOKUP($AD46,'市場監控 '!$E$7:$W$194,15,FALSE)</f>
        <v>-</v>
      </c>
      <c r="AA46" s="389" t="e">
        <f ca="1">VLOOKUP($AD46,'市場監控 '!$E$7:$W$194,17,FALSE)</f>
        <v>#NAME?</v>
      </c>
      <c r="AB46" s="389" t="e">
        <f ca="1">VLOOKUP($AD46,'市場監控 '!$E$7:$W$194,18,FALSE)</f>
        <v>#NAME?</v>
      </c>
      <c r="AC46" s="389" t="e">
        <f ca="1">VLOOKUP($AD46,'市場監控 '!$E$7:$W$194,19,FALSE)</f>
        <v>#NAME?</v>
      </c>
      <c r="AD46" s="185" t="s">
        <v>1218</v>
      </c>
      <c r="AE46" s="246" t="s">
        <v>1740</v>
      </c>
      <c r="AF46" s="225"/>
      <c r="AG46" s="225"/>
      <c r="AH46" s="476"/>
      <c r="AI46" s="179"/>
      <c r="AJ46" s="499" t="s">
        <v>746</v>
      </c>
      <c r="AK46" s="541" t="s">
        <v>1283</v>
      </c>
      <c r="AL46" s="499" t="s">
        <v>493</v>
      </c>
      <c r="AM46" s="541" t="s">
        <v>1284</v>
      </c>
      <c r="AN46" s="541" t="s">
        <v>1464</v>
      </c>
      <c r="AO46" s="400"/>
      <c r="AP46" s="541" t="s">
        <v>1285</v>
      </c>
      <c r="AQ46" s="541" t="s">
        <v>1418</v>
      </c>
      <c r="AR46" s="541" t="s">
        <v>1417</v>
      </c>
      <c r="AS46" s="541" t="s">
        <v>1424</v>
      </c>
      <c r="AT46" s="499" t="s">
        <v>881</v>
      </c>
      <c r="AU46" s="499" t="s">
        <v>882</v>
      </c>
      <c r="AV46" s="499" t="s">
        <v>396</v>
      </c>
      <c r="AW46" s="501" t="s">
        <v>1324</v>
      </c>
      <c r="AX46" s="444"/>
      <c r="AY46" s="444"/>
      <c r="AZ46" s="476"/>
      <c r="BA46" s="179"/>
      <c r="BB46" s="404"/>
      <c r="BC46" s="404"/>
      <c r="BD46" s="405"/>
      <c r="BE46" s="404"/>
      <c r="BF46" s="406"/>
      <c r="BG46" s="406"/>
      <c r="BH46" s="406"/>
      <c r="BI46" s="407"/>
      <c r="BJ46" s="406"/>
      <c r="BK46" s="408"/>
      <c r="BL46" s="408"/>
      <c r="BM46" s="408"/>
      <c r="BN46" s="408"/>
      <c r="BO46" s="409"/>
      <c r="BR46" s="476"/>
      <c r="BS46" s="179"/>
      <c r="CI46" s="476"/>
      <c r="CJ46" s="179"/>
      <c r="CK46" s="521"/>
      <c r="CL46" s="521"/>
      <c r="CM46" s="521"/>
      <c r="CN46" s="521"/>
      <c r="CO46" s="521"/>
      <c r="CP46" s="521"/>
      <c r="CQ46" s="401"/>
      <c r="CR46" s="521"/>
      <c r="CS46" s="521"/>
      <c r="CT46" s="521"/>
      <c r="CU46" s="521"/>
      <c r="CV46" s="521"/>
      <c r="CW46" s="521"/>
      <c r="CX46" s="451"/>
      <c r="CY46" s="451"/>
      <c r="CZ46" s="476"/>
      <c r="DA46" s="179"/>
      <c r="DB46" s="521"/>
      <c r="DC46" s="521"/>
      <c r="DD46" s="521"/>
      <c r="DE46" s="521"/>
      <c r="DF46" s="521"/>
      <c r="DG46" s="521"/>
      <c r="DH46" s="461"/>
      <c r="DI46" s="521"/>
      <c r="DJ46" s="521"/>
      <c r="DK46" s="521"/>
      <c r="DL46" s="521"/>
      <c r="DM46" s="521"/>
      <c r="DN46" s="521"/>
      <c r="DO46" s="451"/>
      <c r="DP46" s="476"/>
      <c r="DQ46" s="179"/>
      <c r="DR46" s="628"/>
      <c r="DS46" s="628"/>
      <c r="DT46" s="628"/>
      <c r="DU46" s="629"/>
      <c r="DV46" s="629"/>
      <c r="DW46" s="629"/>
      <c r="DX46" s="453"/>
      <c r="DY46" s="628"/>
      <c r="DZ46" s="628"/>
      <c r="EA46" s="628"/>
      <c r="EB46" s="629"/>
      <c r="EC46" s="629"/>
      <c r="ED46" s="629"/>
      <c r="EE46" s="476"/>
      <c r="EF46" s="179"/>
      <c r="EG46" s="481" t="s">
        <v>3141</v>
      </c>
      <c r="EH46" s="482"/>
      <c r="EI46" s="481" t="s">
        <v>3142</v>
      </c>
      <c r="EJ46" s="482"/>
      <c r="EK46" s="481" t="s">
        <v>3143</v>
      </c>
      <c r="EL46" s="482"/>
      <c r="EM46" s="439"/>
      <c r="EN46" s="481" t="s">
        <v>3163</v>
      </c>
      <c r="EO46" s="481" t="s">
        <v>3171</v>
      </c>
      <c r="EP46" s="481" t="s">
        <v>3180</v>
      </c>
      <c r="EQ46" s="481"/>
      <c r="ER46" s="481" t="s">
        <v>3188</v>
      </c>
      <c r="ES46" s="481"/>
      <c r="EV46" s="476"/>
      <c r="EW46" s="179"/>
      <c r="EX46" s="482"/>
      <c r="EY46" s="604"/>
      <c r="EZ46" s="604"/>
      <c r="FA46" s="604"/>
      <c r="FB46" s="604"/>
      <c r="FC46" s="604"/>
      <c r="FD46" s="439"/>
      <c r="FE46" s="601"/>
      <c r="FF46" s="482"/>
      <c r="FG46" s="482"/>
      <c r="FH46" s="485"/>
      <c r="FI46" s="482"/>
      <c r="FJ46" s="482"/>
    </row>
    <row r="47" spans="1:166" ht="22.5" customHeight="1" thickBot="1">
      <c r="A47" s="476"/>
      <c r="J47"/>
      <c r="K47"/>
      <c r="L47"/>
      <c r="M47"/>
      <c r="N47"/>
      <c r="O47"/>
      <c r="P47"/>
      <c r="Q47" s="476"/>
      <c r="R47" s="179"/>
      <c r="S47" s="550"/>
      <c r="T47" s="391" t="e">
        <f ca="1">VLOOKUP($AD47,'市場監控 '!$E$7:$W$194,6,FALSE)</f>
        <v>#NAME?</v>
      </c>
      <c r="U47" s="391" t="e">
        <f ca="1">VLOOKUP($AD47,'市場監控 '!$E$7:$W$194,7,FALSE)</f>
        <v>#NAME?</v>
      </c>
      <c r="V47" s="392" t="str">
        <f ca="1">VLOOKUP($AD47,'市場監控 '!$E$7:$W$194,8,FALSE)</f>
        <v>-</v>
      </c>
      <c r="W47" s="393" t="str">
        <f ca="1">VLOOKUP($AD47,'市場監控 '!$E$7:$W$194,10,FALSE)</f>
        <v>-</v>
      </c>
      <c r="X47" s="394" t="str">
        <f ca="1">VLOOKUP($AD47,'市場監控 '!$E$7:$W$194,12,FALSE)</f>
        <v>-</v>
      </c>
      <c r="Y47" s="395" t="str">
        <f ca="1">VLOOKUP($AD47,'市場監控 '!$E$7:$W$194,14,FALSE)</f>
        <v>-</v>
      </c>
      <c r="Z47" s="395" t="str">
        <f ca="1">VLOOKUP($AD47,'市場監控 '!$E$7:$W$194,15,FALSE)</f>
        <v>-</v>
      </c>
      <c r="AA47" s="394" t="e">
        <f ca="1">VLOOKUP($AD47,'市場監控 '!$E$7:$W$194,17,FALSE)</f>
        <v>#NAME?</v>
      </c>
      <c r="AB47" s="394" t="e">
        <f ca="1">VLOOKUP($AD47,'市場監控 '!$E$7:$W$194,18,FALSE)</f>
        <v>#NAME?</v>
      </c>
      <c r="AC47" s="394" t="e">
        <f ca="1">VLOOKUP($AD47,'市場監控 '!$E$7:$W$194,19,FALSE)</f>
        <v>#NAME?</v>
      </c>
      <c r="AD47" s="185" t="s">
        <v>961</v>
      </c>
      <c r="AE47" s="287" t="s">
        <v>1742</v>
      </c>
      <c r="AF47" s="225"/>
      <c r="AG47" s="225"/>
      <c r="AH47" s="476"/>
      <c r="AI47" s="179"/>
      <c r="AJ47" s="500"/>
      <c r="AK47" s="500"/>
      <c r="AL47" s="500"/>
      <c r="AM47" s="500"/>
      <c r="AN47" s="500"/>
      <c r="AO47" s="400"/>
      <c r="AP47" s="500"/>
      <c r="AQ47" s="500"/>
      <c r="AR47" s="500"/>
      <c r="AS47" s="500"/>
      <c r="AT47" s="500"/>
      <c r="AU47" s="500"/>
      <c r="AV47" s="500"/>
      <c r="AW47" s="500"/>
      <c r="AX47" s="439"/>
      <c r="AY47" s="439"/>
      <c r="AZ47" s="476"/>
      <c r="BA47" s="179"/>
      <c r="BB47" s="404"/>
      <c r="BC47" s="404"/>
      <c r="BD47" s="405"/>
      <c r="BE47" s="404"/>
      <c r="BF47" s="406"/>
      <c r="BG47" s="406"/>
      <c r="BH47" s="406"/>
      <c r="BI47" s="407"/>
      <c r="BJ47" s="406"/>
      <c r="BK47" s="408"/>
      <c r="BL47" s="408"/>
      <c r="BM47" s="408"/>
      <c r="BN47" s="408"/>
      <c r="BO47" s="409"/>
      <c r="BR47" s="476"/>
      <c r="BS47" s="179"/>
      <c r="CI47" s="476"/>
      <c r="CJ47" s="179"/>
      <c r="CK47" s="529"/>
      <c r="CL47" s="529"/>
      <c r="CM47" s="529"/>
      <c r="CN47" s="529"/>
      <c r="CO47" s="529"/>
      <c r="CP47" s="529"/>
      <c r="CQ47" s="401"/>
      <c r="CR47" s="529"/>
      <c r="CS47" s="529"/>
      <c r="CT47" s="529"/>
      <c r="CU47" s="529"/>
      <c r="CV47" s="529"/>
      <c r="CW47" s="529"/>
      <c r="CX47" s="451"/>
      <c r="CY47" s="451"/>
      <c r="CZ47" s="476"/>
      <c r="DA47" s="179"/>
      <c r="DB47" s="529"/>
      <c r="DC47" s="529"/>
      <c r="DD47" s="529"/>
      <c r="DE47" s="529"/>
      <c r="DF47" s="529"/>
      <c r="DG47" s="529"/>
      <c r="DH47" s="461"/>
      <c r="DI47" s="529"/>
      <c r="DJ47" s="529"/>
      <c r="DK47" s="529"/>
      <c r="DL47" s="529"/>
      <c r="DM47" s="529"/>
      <c r="DN47" s="529"/>
      <c r="DO47" s="451"/>
      <c r="DP47" s="476"/>
      <c r="DQ47" s="179"/>
      <c r="DR47" s="628"/>
      <c r="DS47" s="628"/>
      <c r="DT47" s="628"/>
      <c r="DU47" s="629"/>
      <c r="DV47" s="629"/>
      <c r="DW47" s="629"/>
      <c r="DX47" s="453"/>
      <c r="DY47" s="628"/>
      <c r="DZ47" s="628"/>
      <c r="EA47" s="628"/>
      <c r="EB47" s="629"/>
      <c r="EC47" s="629"/>
      <c r="ED47" s="629"/>
      <c r="EE47" s="476"/>
      <c r="EF47" s="179"/>
      <c r="EG47" s="482"/>
      <c r="EH47" s="482"/>
      <c r="EI47" s="482"/>
      <c r="EJ47" s="482"/>
      <c r="EK47" s="482"/>
      <c r="EL47" s="482"/>
      <c r="EM47" s="439"/>
      <c r="EN47" s="482"/>
      <c r="EO47" s="481"/>
      <c r="EP47" s="481"/>
      <c r="EQ47" s="481"/>
      <c r="ER47" s="481"/>
      <c r="ES47" s="481"/>
      <c r="EV47" s="476"/>
      <c r="EW47" s="179"/>
      <c r="EX47" s="482"/>
      <c r="EY47" s="482"/>
      <c r="EZ47" s="482"/>
      <c r="FA47" s="482"/>
      <c r="FB47" s="482"/>
      <c r="FC47" s="482"/>
      <c r="FD47" s="439"/>
      <c r="FE47" s="482"/>
      <c r="FF47" s="482"/>
      <c r="FG47" s="482"/>
      <c r="FH47" s="485"/>
      <c r="FI47" s="482"/>
      <c r="FJ47" s="482"/>
    </row>
    <row r="48" spans="1:166" ht="22.5" customHeight="1">
      <c r="A48" s="476"/>
      <c r="J48"/>
      <c r="K48"/>
      <c r="L48"/>
      <c r="M48"/>
      <c r="N48"/>
      <c r="O48"/>
      <c r="P48"/>
      <c r="Q48" s="476"/>
      <c r="R48" s="179"/>
      <c r="S48" s="548" t="s">
        <v>1191</v>
      </c>
      <c r="T48" s="428" t="e">
        <f ca="1">VLOOKUP($AD48,'市場監控 '!$E$7:$W$194,6,FALSE)</f>
        <v>#NAME?</v>
      </c>
      <c r="U48" s="428" t="e">
        <f ca="1">VLOOKUP($AD48,'市場監控 '!$E$7:$W$194,7,FALSE)</f>
        <v>#NAME?</v>
      </c>
      <c r="V48" s="387" t="str">
        <f ca="1">VLOOKUP($AD48,'市場監控 '!$E$7:$W$194,8,FALSE)</f>
        <v>-</v>
      </c>
      <c r="W48" s="429" t="str">
        <f ca="1">VLOOKUP($AD48,'市場監控 '!$E$7:$W$194,10,FALSE)</f>
        <v>-</v>
      </c>
      <c r="X48" s="430" t="str">
        <f ca="1">VLOOKUP($AD48,'市場監控 '!$E$7:$W$194,12,FALSE)</f>
        <v>-</v>
      </c>
      <c r="Y48" s="431" t="str">
        <f ca="1">VLOOKUP($AD48,'市場監控 '!$E$7:$W$194,14,FALSE)</f>
        <v>-</v>
      </c>
      <c r="Z48" s="431" t="str">
        <f ca="1">VLOOKUP($AD48,'市場監控 '!$E$7:$W$194,15,FALSE)</f>
        <v>-</v>
      </c>
      <c r="AA48" s="430" t="e">
        <f ca="1">VLOOKUP($AD48,'市場監控 '!$E$7:$W$194,17,FALSE)</f>
        <v>#NAME?</v>
      </c>
      <c r="AB48" s="430" t="e">
        <f ca="1">VLOOKUP($AD48,'市場監控 '!$E$7:$W$194,18,FALSE)</f>
        <v>#NAME?</v>
      </c>
      <c r="AC48" s="430" t="e">
        <f ca="1">VLOOKUP($AD48,'市場監控 '!$E$7:$W$194,19,FALSE)</f>
        <v>#NAME?</v>
      </c>
      <c r="AD48" s="185" t="s">
        <v>1222</v>
      </c>
      <c r="AE48" s="300" t="s">
        <v>1744</v>
      </c>
      <c r="AF48" s="225"/>
      <c r="AG48" s="225"/>
      <c r="AH48" s="476"/>
      <c r="AI48" s="179"/>
      <c r="AJ48" s="404" t="e">
        <f ca="1">VLOOKUP($AL48,NI!$B$5:$AL$2030,6,FALSE)</f>
        <v>#NAME?</v>
      </c>
      <c r="AK48" s="404" t="e">
        <f ca="1">VLOOKUP($AL48,NI!$B$5:$AL$2030,2,FALSE)</f>
        <v>#NAME?</v>
      </c>
      <c r="AL48" s="405" t="e">
        <f ca="1">NI!B5</f>
        <v>#NAME?</v>
      </c>
      <c r="AM48" s="404" t="e">
        <f ca="1">VLOOKUP($AL48,NI!$B$5:$AL$2030,11,FALSE)</f>
        <v>#NAME?</v>
      </c>
      <c r="AN48" s="406" t="e">
        <f ca="1">VLOOKUP($AL48,NI!$B$5:$AL$2030,12,FALSE)/1000000</f>
        <v>#NAME?</v>
      </c>
      <c r="AO48" s="406"/>
      <c r="AP48" s="406" t="str">
        <f ca="1">IF(ISNUMBER(VLOOKUP($AL48,NI!$B$5:$AL$2030,13,FALSE)),VLOOKUP($AL48,NI!$B$5:$AL$2030,13,FALSE),"-")</f>
        <v>-</v>
      </c>
      <c r="AQ48" s="407" t="e">
        <f ca="1">VLOOKUP($AL48,NI!$B$5:$AL$2030,4,FALSE)</f>
        <v>#NAME?</v>
      </c>
      <c r="AR48" s="406" t="e">
        <f ca="1">VLOOKUP($AL48,NI!$B$5:$AL$2030,3,FALSE)</f>
        <v>#NAME?</v>
      </c>
      <c r="AS48" s="408" t="e">
        <f ca="1">VLOOKUP($AL48,NI!$B$5:$AL$2030,4,FALSE)</f>
        <v>#NAME?</v>
      </c>
      <c r="AT48" s="408" t="e">
        <f ca="1">IF(LEFT(VLOOKUP($AL48,NI!$B$5:$AL$2030,31,FALSE),1)="#","-",VLOOKUP($AL48,NI!$B$5:$AL$2030,31,FALSE))</f>
        <v>#NAME?</v>
      </c>
      <c r="AU48" s="408" t="e">
        <f ca="1">IF(LEFT(VLOOKUP($AL48,NI!$B$5:$AL$2030,32,FALSE),1)="#","-",VLOOKUP($AL48,NI!$B$5:$AL$2030,32,FALSE))</f>
        <v>#NAME?</v>
      </c>
      <c r="AV48" s="408" t="e">
        <f ca="1">IF(LEFT(VLOOKUP($AL48,NI!$B$5:$AL$2030,33,FALSE),1)="#","-",VLOOKUP($AL48,NI!$B$5:$AL$2030,33,FALSE))</f>
        <v>#NAME?</v>
      </c>
      <c r="AW48" s="409" t="e">
        <f ca="1">VLOOKUP($AL48,NI!$B$5:$AL$2030,22,FALSE)</f>
        <v>#NAME?</v>
      </c>
      <c r="AX48" s="409"/>
      <c r="AY48" s="409"/>
      <c r="AZ48" s="476"/>
      <c r="BA48" s="179"/>
      <c r="BB48" s="404"/>
      <c r="BC48" s="404"/>
      <c r="BD48" s="405"/>
      <c r="BE48" s="404"/>
      <c r="BF48" s="406"/>
      <c r="BG48" s="406"/>
      <c r="BH48" s="406"/>
      <c r="BI48" s="407"/>
      <c r="BJ48" s="406"/>
      <c r="BK48" s="408"/>
      <c r="BL48" s="408"/>
      <c r="BM48" s="408"/>
      <c r="BN48" s="408"/>
      <c r="BO48" s="409"/>
      <c r="BR48" s="476"/>
      <c r="BS48" s="179"/>
      <c r="CI48" s="476"/>
      <c r="CJ48" s="179"/>
      <c r="CK48" s="485"/>
      <c r="CL48" s="485"/>
      <c r="CM48" s="485"/>
      <c r="CN48" s="485"/>
      <c r="CO48" s="485"/>
      <c r="CP48" s="485"/>
      <c r="CQ48" s="401"/>
      <c r="CR48" s="485"/>
      <c r="CS48" s="485"/>
      <c r="CT48" s="485"/>
      <c r="CU48" s="485"/>
      <c r="CV48" s="485"/>
      <c r="CW48" s="485"/>
      <c r="CX48" s="451"/>
      <c r="CY48" s="451"/>
      <c r="CZ48" s="476"/>
      <c r="DA48" s="179"/>
      <c r="DB48" s="485"/>
      <c r="DC48" s="485"/>
      <c r="DD48" s="485"/>
      <c r="DE48" s="485"/>
      <c r="DF48" s="485"/>
      <c r="DG48" s="485"/>
      <c r="DH48" s="461"/>
      <c r="DI48" s="485"/>
      <c r="DJ48" s="485"/>
      <c r="DK48" s="485"/>
      <c r="DL48" s="485"/>
      <c r="DM48" s="485"/>
      <c r="DN48" s="485"/>
      <c r="DO48" s="451"/>
      <c r="DP48" s="476"/>
      <c r="DQ48" s="179"/>
      <c r="DR48" s="628"/>
      <c r="DS48" s="628"/>
      <c r="DT48" s="628"/>
      <c r="DU48" s="629"/>
      <c r="DV48" s="629"/>
      <c r="DW48" s="629"/>
      <c r="DX48" s="453"/>
      <c r="DY48" s="628"/>
      <c r="DZ48" s="628"/>
      <c r="EA48" s="628"/>
      <c r="EB48" s="629"/>
      <c r="EC48" s="629"/>
      <c r="ED48" s="629"/>
      <c r="EE48" s="476"/>
      <c r="EF48" s="179"/>
      <c r="EG48" s="481" t="s">
        <v>3144</v>
      </c>
      <c r="EH48" s="482"/>
      <c r="EI48" s="481" t="s">
        <v>3145</v>
      </c>
      <c r="EJ48" s="482"/>
      <c r="EK48" s="481" t="s">
        <v>3146</v>
      </c>
      <c r="EL48" s="482"/>
      <c r="EM48" s="439"/>
      <c r="EN48" s="482"/>
      <c r="EO48" s="481"/>
      <c r="EP48" s="481"/>
      <c r="EQ48" s="481"/>
      <c r="ER48" s="481"/>
      <c r="ES48" s="481"/>
      <c r="EV48" s="476"/>
      <c r="EW48" s="179"/>
      <c r="EX48" s="602">
        <v>44997</v>
      </c>
      <c r="EY48" s="603" t="s">
        <v>3222</v>
      </c>
      <c r="EZ48" s="604"/>
      <c r="FA48" s="604"/>
      <c r="FB48" s="604"/>
      <c r="FC48" s="604"/>
      <c r="FD48" s="399"/>
      <c r="FE48" s="481" t="s">
        <v>3242</v>
      </c>
      <c r="FF48" s="481" t="s">
        <v>3250</v>
      </c>
      <c r="FG48" s="482"/>
      <c r="FH48" s="481">
        <v>12</v>
      </c>
      <c r="FI48" s="481" t="s">
        <v>3256</v>
      </c>
      <c r="FJ48" s="482"/>
    </row>
    <row r="49" spans="1:166" ht="22.5" customHeight="1">
      <c r="A49" s="476"/>
      <c r="J49"/>
      <c r="K49"/>
      <c r="L49"/>
      <c r="M49"/>
      <c r="N49"/>
      <c r="O49"/>
      <c r="P49"/>
      <c r="Q49" s="476"/>
      <c r="R49" s="179"/>
      <c r="S49" s="549"/>
      <c r="T49" s="386" t="e">
        <f ca="1">VLOOKUP($AD49,'市場監控 '!$E$7:$W$194,6,FALSE)</f>
        <v>#NAME?</v>
      </c>
      <c r="U49" s="386" t="e">
        <f ca="1">VLOOKUP($AD49,'市場監控 '!$E$7:$W$194,7,FALSE)</f>
        <v>#NAME?</v>
      </c>
      <c r="V49" s="387" t="str">
        <f ca="1">VLOOKUP($AD49,'市場監控 '!$E$7:$W$194,8,FALSE)</f>
        <v>-</v>
      </c>
      <c r="W49" s="388" t="str">
        <f ca="1">VLOOKUP($AD49,'市場監控 '!$E$7:$W$194,10,FALSE)</f>
        <v>-</v>
      </c>
      <c r="X49" s="389" t="str">
        <f ca="1">VLOOKUP($AD49,'市場監控 '!$E$7:$W$194,12,FALSE)</f>
        <v>-</v>
      </c>
      <c r="Y49" s="390" t="str">
        <f ca="1">VLOOKUP($AD49,'市場監控 '!$E$7:$W$194,14,FALSE)</f>
        <v>-</v>
      </c>
      <c r="Z49" s="390" t="str">
        <f ca="1">VLOOKUP($AD49,'市場監控 '!$E$7:$W$194,15,FALSE)</f>
        <v>-</v>
      </c>
      <c r="AA49" s="389" t="e">
        <f ca="1">VLOOKUP($AD49,'市場監控 '!$E$7:$W$194,17,FALSE)</f>
        <v>#NAME?</v>
      </c>
      <c r="AB49" s="389" t="e">
        <f ca="1">VLOOKUP($AD49,'市場監控 '!$E$7:$W$194,18,FALSE)</f>
        <v>#NAME?</v>
      </c>
      <c r="AC49" s="389" t="e">
        <f ca="1">VLOOKUP($AD49,'市場監控 '!$E$7:$W$194,19,FALSE)</f>
        <v>#NAME?</v>
      </c>
      <c r="AD49" s="185" t="s">
        <v>1221</v>
      </c>
      <c r="AE49" s="300" t="s">
        <v>1746</v>
      </c>
      <c r="AF49" s="225"/>
      <c r="AG49" s="225"/>
      <c r="AH49" s="476"/>
      <c r="AI49" s="179"/>
      <c r="AJ49" s="404" t="e">
        <f ca="1">VLOOKUP($AL49,NI!$B$5:$AL$2030,6,FALSE)</f>
        <v>#NAME?</v>
      </c>
      <c r="AK49" s="404" t="e">
        <f ca="1">VLOOKUP($AL49,NI!$B$5:$AL$2030,2,FALSE)</f>
        <v>#NAME?</v>
      </c>
      <c r="AL49" s="405" t="e">
        <f ca="1">NI!B6</f>
        <v>#NAME?</v>
      </c>
      <c r="AM49" s="404" t="e">
        <f ca="1">VLOOKUP($AL49,NI!$B$5:$AL$2030,11,FALSE)</f>
        <v>#NAME?</v>
      </c>
      <c r="AN49" s="406" t="e">
        <f ca="1">VLOOKUP($AL49,NI!$B$5:$AL$2030,12,FALSE)/1000000</f>
        <v>#NAME?</v>
      </c>
      <c r="AO49" s="406"/>
      <c r="AP49" s="406" t="str">
        <f ca="1">IF(ISNUMBER(VLOOKUP($AL49,NI!$B$5:$AL$2030,13,FALSE)),VLOOKUP($AL49,NI!$B$5:$AL$2030,13,FALSE),"-")</f>
        <v>-</v>
      </c>
      <c r="AQ49" s="407" t="e">
        <f ca="1">VLOOKUP($AL49,NI!$B$5:$AL$2030,4,FALSE)</f>
        <v>#NAME?</v>
      </c>
      <c r="AR49" s="406" t="e">
        <f ca="1">VLOOKUP($AL49,NI!$B$5:$AL$2030,3,FALSE)</f>
        <v>#NAME?</v>
      </c>
      <c r="AS49" s="408" t="e">
        <f ca="1">VLOOKUP($AL49,NI!$B$5:$AL$2030,4,FALSE)</f>
        <v>#NAME?</v>
      </c>
      <c r="AT49" s="408" t="e">
        <f ca="1">IF(LEFT(VLOOKUP($AL49,NI!$B$5:$AL$2030,31,FALSE),1)="#","-",VLOOKUP($AL49,NI!$B$5:$AL$2030,31,FALSE))</f>
        <v>#NAME?</v>
      </c>
      <c r="AU49" s="408" t="e">
        <f ca="1">IF(LEFT(VLOOKUP($AL49,NI!$B$5:$AL$2030,32,FALSE),1)="#","-",VLOOKUP($AL49,NI!$B$5:$AL$2030,32,FALSE))</f>
        <v>#NAME?</v>
      </c>
      <c r="AV49" s="408" t="e">
        <f ca="1">IF(LEFT(VLOOKUP($AL49,NI!$B$5:$AL$2030,33,FALSE),1)="#","-",VLOOKUP($AL49,NI!$B$5:$AL$2030,33,FALSE))</f>
        <v>#NAME?</v>
      </c>
      <c r="AW49" s="409" t="e">
        <f ca="1">VLOOKUP($AL49,NI!$B$5:$AL$2030,22,FALSE)</f>
        <v>#NAME?</v>
      </c>
      <c r="AX49" s="409"/>
      <c r="AY49" s="409"/>
      <c r="AZ49" s="476"/>
      <c r="BA49" s="179"/>
      <c r="BB49" s="404"/>
      <c r="BC49" s="404"/>
      <c r="BD49" s="405"/>
      <c r="BE49" s="404"/>
      <c r="BF49" s="406"/>
      <c r="BG49" s="406"/>
      <c r="BH49" s="406"/>
      <c r="BI49" s="407"/>
      <c r="BJ49" s="406"/>
      <c r="BK49" s="408"/>
      <c r="BL49" s="408"/>
      <c r="BM49" s="408"/>
      <c r="BN49" s="408"/>
      <c r="BO49" s="409"/>
      <c r="BR49" s="476"/>
      <c r="BS49" s="179"/>
      <c r="CI49" s="476"/>
      <c r="CJ49" s="179"/>
      <c r="CK49" s="485"/>
      <c r="CL49" s="485"/>
      <c r="CM49" s="485"/>
      <c r="CN49" s="485"/>
      <c r="CO49" s="485"/>
      <c r="CP49" s="485"/>
      <c r="CQ49" s="401"/>
      <c r="CR49" s="485"/>
      <c r="CS49" s="485"/>
      <c r="CT49" s="485"/>
      <c r="CU49" s="485"/>
      <c r="CV49" s="485"/>
      <c r="CW49" s="485"/>
      <c r="CX49" s="451"/>
      <c r="CY49" s="451"/>
      <c r="CZ49" s="476"/>
      <c r="DA49" s="179"/>
      <c r="DB49" s="485"/>
      <c r="DC49" s="485"/>
      <c r="DD49" s="485"/>
      <c r="DE49" s="485"/>
      <c r="DF49" s="485"/>
      <c r="DG49" s="485"/>
      <c r="DH49" s="461"/>
      <c r="DI49" s="485"/>
      <c r="DJ49" s="485"/>
      <c r="DK49" s="485"/>
      <c r="DL49" s="485"/>
      <c r="DM49" s="485"/>
      <c r="DN49" s="485"/>
      <c r="DO49" s="451"/>
      <c r="DP49" s="476"/>
      <c r="DQ49" s="179"/>
      <c r="DR49" s="628"/>
      <c r="DS49" s="628"/>
      <c r="DT49" s="628"/>
      <c r="DU49" s="629"/>
      <c r="DV49" s="629"/>
      <c r="DW49" s="629"/>
      <c r="DX49" s="453"/>
      <c r="DY49" s="628"/>
      <c r="DZ49" s="628"/>
      <c r="EA49" s="628"/>
      <c r="EB49" s="629"/>
      <c r="EC49" s="629"/>
      <c r="ED49" s="629"/>
      <c r="EE49" s="476"/>
      <c r="EF49" s="179"/>
      <c r="EG49" s="482"/>
      <c r="EH49" s="482"/>
      <c r="EI49" s="482"/>
      <c r="EJ49" s="482"/>
      <c r="EK49" s="482"/>
      <c r="EL49" s="482"/>
      <c r="EM49" s="399"/>
      <c r="EN49" s="481" t="s">
        <v>3164</v>
      </c>
      <c r="EO49" s="481" t="s">
        <v>3172</v>
      </c>
      <c r="EP49" s="481" t="s">
        <v>3181</v>
      </c>
      <c r="EQ49" s="481"/>
      <c r="ER49" s="481" t="s">
        <v>3189</v>
      </c>
      <c r="ES49" s="481"/>
      <c r="EV49" s="476"/>
      <c r="EW49" s="179"/>
      <c r="EX49" s="482"/>
      <c r="EY49" s="604"/>
      <c r="EZ49" s="604"/>
      <c r="FA49" s="604"/>
      <c r="FB49" s="604"/>
      <c r="FC49" s="604"/>
      <c r="FD49" s="399"/>
      <c r="FE49" s="601"/>
      <c r="FF49" s="482"/>
      <c r="FG49" s="482"/>
      <c r="FH49" s="485"/>
      <c r="FI49" s="482"/>
      <c r="FJ49" s="482"/>
    </row>
    <row r="50" spans="1:166" ht="22.5" customHeight="1">
      <c r="A50" s="476"/>
      <c r="J50"/>
      <c r="K50"/>
      <c r="L50"/>
      <c r="M50"/>
      <c r="N50"/>
      <c r="O50"/>
      <c r="P50"/>
      <c r="Q50" s="476"/>
      <c r="R50" s="179"/>
      <c r="S50" s="549"/>
      <c r="T50" s="386" t="e">
        <f ca="1">VLOOKUP($AD50,'市場監控 '!$E$7:$W$194,6,FALSE)</f>
        <v>#NAME?</v>
      </c>
      <c r="U50" s="386" t="e">
        <f ca="1">VLOOKUP($AD50,'市場監控 '!$E$7:$W$194,7,FALSE)</f>
        <v>#NAME?</v>
      </c>
      <c r="V50" s="387" t="str">
        <f ca="1">VLOOKUP($AD50,'市場監控 '!$E$7:$W$194,8,FALSE)</f>
        <v>-</v>
      </c>
      <c r="W50" s="388" t="str">
        <f ca="1">VLOOKUP($AD50,'市場監控 '!$E$7:$W$194,10,FALSE)</f>
        <v>-</v>
      </c>
      <c r="X50" s="389" t="str">
        <f ca="1">VLOOKUP($AD50,'市場監控 '!$E$7:$W$194,12,FALSE)</f>
        <v>-</v>
      </c>
      <c r="Y50" s="390" t="str">
        <f ca="1">VLOOKUP($AD50,'市場監控 '!$E$7:$W$194,14,FALSE)</f>
        <v>-</v>
      </c>
      <c r="Z50" s="390" t="str">
        <f ca="1">VLOOKUP($AD50,'市場監控 '!$E$7:$W$194,15,FALSE)</f>
        <v>-</v>
      </c>
      <c r="AA50" s="389" t="e">
        <f ca="1">VLOOKUP($AD50,'市場監控 '!$E$7:$W$194,17,FALSE)</f>
        <v>#NAME?</v>
      </c>
      <c r="AB50" s="389" t="e">
        <f ca="1">VLOOKUP($AD50,'市場監控 '!$E$7:$W$194,18,FALSE)</f>
        <v>#NAME?</v>
      </c>
      <c r="AC50" s="389" t="e">
        <f ca="1">VLOOKUP($AD50,'市場監控 '!$E$7:$W$194,19,FALSE)</f>
        <v>#NAME?</v>
      </c>
      <c r="AD50" s="185" t="s">
        <v>1225</v>
      </c>
      <c r="AE50" s="300" t="s">
        <v>1748</v>
      </c>
      <c r="AF50" s="225"/>
      <c r="AG50" s="225"/>
      <c r="AH50" s="476"/>
      <c r="AI50" s="179"/>
      <c r="AJ50" s="404" t="e">
        <f ca="1">VLOOKUP($AL50,NI!$B$5:$AL$2030,6,FALSE)</f>
        <v>#NAME?</v>
      </c>
      <c r="AK50" s="404" t="e">
        <f ca="1">VLOOKUP($AL50,NI!$B$5:$AL$2030,2,FALSE)</f>
        <v>#NAME?</v>
      </c>
      <c r="AL50" s="405" t="e">
        <f ca="1">NI!B7</f>
        <v>#NAME?</v>
      </c>
      <c r="AM50" s="404" t="e">
        <f ca="1">VLOOKUP($AL50,NI!$B$5:$AL$2030,11,FALSE)</f>
        <v>#NAME?</v>
      </c>
      <c r="AN50" s="406" t="e">
        <f ca="1">VLOOKUP($AL50,NI!$B$5:$AL$2030,12,FALSE)/1000000</f>
        <v>#NAME?</v>
      </c>
      <c r="AO50" s="406"/>
      <c r="AP50" s="406" t="str">
        <f ca="1">IF(ISNUMBER(VLOOKUP($AL50,NI!$B$5:$AL$2030,13,FALSE)),VLOOKUP($AL50,NI!$B$5:$AL$2030,13,FALSE),"-")</f>
        <v>-</v>
      </c>
      <c r="AQ50" s="407" t="e">
        <f ca="1">VLOOKUP($AL50,NI!$B$5:$AL$2030,4,FALSE)</f>
        <v>#NAME?</v>
      </c>
      <c r="AR50" s="406" t="e">
        <f ca="1">VLOOKUP($AL50,NI!$B$5:$AL$2030,3,FALSE)</f>
        <v>#NAME?</v>
      </c>
      <c r="AS50" s="408" t="e">
        <f ca="1">VLOOKUP($AL50,NI!$B$5:$AL$2030,4,FALSE)</f>
        <v>#NAME?</v>
      </c>
      <c r="AT50" s="408" t="e">
        <f ca="1">IF(LEFT(VLOOKUP($AL50,NI!$B$5:$AL$2030,31,FALSE),1)="#","-",VLOOKUP($AL50,NI!$B$5:$AL$2030,31,FALSE))</f>
        <v>#NAME?</v>
      </c>
      <c r="AU50" s="408" t="e">
        <f ca="1">IF(LEFT(VLOOKUP($AL50,NI!$B$5:$AL$2030,32,FALSE),1)="#","-",VLOOKUP($AL50,NI!$B$5:$AL$2030,32,FALSE))</f>
        <v>#NAME?</v>
      </c>
      <c r="AV50" s="408" t="e">
        <f ca="1">IF(LEFT(VLOOKUP($AL50,NI!$B$5:$AL$2030,33,FALSE),1)="#","-",VLOOKUP($AL50,NI!$B$5:$AL$2030,33,FALSE))</f>
        <v>#NAME?</v>
      </c>
      <c r="AW50" s="409" t="e">
        <f ca="1">VLOOKUP($AL50,NI!$B$5:$AL$2030,22,FALSE)</f>
        <v>#NAME?</v>
      </c>
      <c r="AX50" s="409"/>
      <c r="AY50" s="409"/>
      <c r="AZ50" s="476"/>
      <c r="BA50" s="179"/>
      <c r="BB50" s="404"/>
      <c r="BC50" s="404"/>
      <c r="BD50" s="405"/>
      <c r="BE50" s="404"/>
      <c r="BF50" s="406"/>
      <c r="BG50" s="406"/>
      <c r="BH50" s="406"/>
      <c r="BI50" s="407"/>
      <c r="BJ50" s="406"/>
      <c r="BK50" s="408"/>
      <c r="BL50" s="408"/>
      <c r="BM50" s="408"/>
      <c r="BN50" s="408"/>
      <c r="BO50" s="409"/>
      <c r="BR50" s="476"/>
      <c r="BS50" s="179"/>
      <c r="CI50" s="476"/>
      <c r="CJ50" s="179"/>
      <c r="CK50" s="485"/>
      <c r="CL50" s="485"/>
      <c r="CM50" s="485"/>
      <c r="CN50" s="485"/>
      <c r="CO50" s="485"/>
      <c r="CP50" s="485"/>
      <c r="CQ50" s="401"/>
      <c r="CR50" s="485"/>
      <c r="CS50" s="485"/>
      <c r="CT50" s="485"/>
      <c r="CU50" s="485"/>
      <c r="CV50" s="485"/>
      <c r="CW50" s="485"/>
      <c r="CX50" s="451"/>
      <c r="CY50" s="451"/>
      <c r="CZ50" s="476"/>
      <c r="DA50" s="179"/>
      <c r="DB50" s="485"/>
      <c r="DC50" s="485"/>
      <c r="DD50" s="485"/>
      <c r="DE50" s="485"/>
      <c r="DF50" s="485"/>
      <c r="DG50" s="485"/>
      <c r="DH50" s="461"/>
      <c r="DI50" s="485"/>
      <c r="DJ50" s="485"/>
      <c r="DK50" s="485"/>
      <c r="DL50" s="485"/>
      <c r="DM50" s="485"/>
      <c r="DN50" s="485"/>
      <c r="DO50" s="451"/>
      <c r="DP50" s="476"/>
      <c r="DQ50" s="179"/>
      <c r="DR50" s="628"/>
      <c r="DS50" s="628"/>
      <c r="DT50" s="628"/>
      <c r="DU50" s="629"/>
      <c r="DV50" s="629"/>
      <c r="DW50" s="629"/>
      <c r="DX50" s="453"/>
      <c r="DY50" s="628"/>
      <c r="DZ50" s="628"/>
      <c r="EA50" s="628"/>
      <c r="EB50" s="629"/>
      <c r="EC50" s="629"/>
      <c r="ED50" s="629"/>
      <c r="EE50" s="476"/>
      <c r="EF50" s="179"/>
      <c r="EG50" s="481" t="s">
        <v>3147</v>
      </c>
      <c r="EH50" s="482"/>
      <c r="EI50" s="481" t="s">
        <v>3148</v>
      </c>
      <c r="EJ50" s="482"/>
      <c r="EK50" s="481" t="s">
        <v>3149</v>
      </c>
      <c r="EL50" s="482"/>
      <c r="EM50" s="399"/>
      <c r="EN50" s="482"/>
      <c r="EO50" s="481"/>
      <c r="EP50" s="481"/>
      <c r="EQ50" s="481"/>
      <c r="ER50" s="481"/>
      <c r="ES50" s="481"/>
      <c r="EV50" s="476"/>
      <c r="EW50" s="179"/>
      <c r="EX50" s="482"/>
      <c r="EY50" s="482"/>
      <c r="EZ50" s="482"/>
      <c r="FA50" s="482"/>
      <c r="FB50" s="482"/>
      <c r="FC50" s="482"/>
      <c r="FD50" s="399"/>
      <c r="FE50" s="482"/>
      <c r="FF50" s="482"/>
      <c r="FG50" s="482"/>
      <c r="FH50" s="485"/>
      <c r="FI50" s="482"/>
      <c r="FJ50" s="482"/>
    </row>
    <row r="51" spans="1:166" ht="22.5" customHeight="1">
      <c r="A51" s="476"/>
      <c r="J51"/>
      <c r="K51"/>
      <c r="L51"/>
      <c r="M51"/>
      <c r="N51"/>
      <c r="O51"/>
      <c r="P51"/>
      <c r="Q51" s="476"/>
      <c r="R51" s="179"/>
      <c r="S51" s="549"/>
      <c r="T51" s="386" t="e">
        <f ca="1">VLOOKUP($AD51,'市場監控 '!$E$7:$W$194,6,FALSE)</f>
        <v>#NAME?</v>
      </c>
      <c r="U51" s="386" t="e">
        <f ca="1">VLOOKUP($AD51,'市場監控 '!$E$7:$W$194,7,FALSE)</f>
        <v>#NAME?</v>
      </c>
      <c r="V51" s="387" t="str">
        <f ca="1">VLOOKUP($AD51,'市場監控 '!$E$7:$W$194,8,FALSE)</f>
        <v>-</v>
      </c>
      <c r="W51" s="388" t="str">
        <f ca="1">VLOOKUP($AD51,'市場監控 '!$E$7:$W$194,10,FALSE)</f>
        <v>-</v>
      </c>
      <c r="X51" s="389" t="str">
        <f ca="1">VLOOKUP($AD51,'市場監控 '!$E$7:$W$194,12,FALSE)</f>
        <v>-</v>
      </c>
      <c r="Y51" s="390" t="str">
        <f ca="1">VLOOKUP($AD51,'市場監控 '!$E$7:$W$194,14,FALSE)</f>
        <v>-</v>
      </c>
      <c r="Z51" s="390" t="str">
        <f ca="1">VLOOKUP($AD51,'市場監控 '!$E$7:$W$194,15,FALSE)</f>
        <v>-</v>
      </c>
      <c r="AA51" s="389" t="e">
        <f ca="1">VLOOKUP($AD51,'市場監控 '!$E$7:$W$194,17,FALSE)</f>
        <v>#NAME?</v>
      </c>
      <c r="AB51" s="389" t="e">
        <f ca="1">VLOOKUP($AD51,'市場監控 '!$E$7:$W$194,18,FALSE)</f>
        <v>#NAME?</v>
      </c>
      <c r="AC51" s="389" t="e">
        <f ca="1">VLOOKUP($AD51,'市場監控 '!$E$7:$W$194,19,FALSE)</f>
        <v>#NAME?</v>
      </c>
      <c r="AD51" s="185" t="s">
        <v>1219</v>
      </c>
      <c r="AE51" s="300" t="s">
        <v>1750</v>
      </c>
      <c r="AF51" s="225"/>
      <c r="AG51" s="225"/>
      <c r="AH51" s="476"/>
      <c r="AI51" s="179"/>
      <c r="AJ51" s="404" t="e">
        <f ca="1">VLOOKUP($AL51,NI!$B$5:$AL$2030,6,FALSE)</f>
        <v>#NAME?</v>
      </c>
      <c r="AK51" s="404" t="e">
        <f ca="1">VLOOKUP($AL51,NI!$B$5:$AL$2030,2,FALSE)</f>
        <v>#NAME?</v>
      </c>
      <c r="AL51" s="405" t="e">
        <f ca="1">NI!B8</f>
        <v>#NAME?</v>
      </c>
      <c r="AM51" s="404" t="e">
        <f ca="1">VLOOKUP($AL51,NI!$B$5:$AL$2030,11,FALSE)</f>
        <v>#NAME?</v>
      </c>
      <c r="AN51" s="406" t="e">
        <f ca="1">VLOOKUP($AL51,NI!$B$5:$AL$2030,12,FALSE)/1000000</f>
        <v>#NAME?</v>
      </c>
      <c r="AO51" s="406"/>
      <c r="AP51" s="406" t="str">
        <f ca="1">IF(ISNUMBER(VLOOKUP($AL51,NI!$B$5:$AL$2030,13,FALSE)),VLOOKUP($AL51,NI!$B$5:$AL$2030,13,FALSE),"-")</f>
        <v>-</v>
      </c>
      <c r="AQ51" s="407" t="e">
        <f ca="1">VLOOKUP($AL51,NI!$B$5:$AL$2030,4,FALSE)</f>
        <v>#NAME?</v>
      </c>
      <c r="AR51" s="406" t="e">
        <f ca="1">VLOOKUP($AL51,NI!$B$5:$AL$2030,3,FALSE)</f>
        <v>#NAME?</v>
      </c>
      <c r="AS51" s="408" t="e">
        <f ca="1">VLOOKUP($AL51,NI!$B$5:$AL$2030,4,FALSE)</f>
        <v>#NAME?</v>
      </c>
      <c r="AT51" s="408" t="e">
        <f ca="1">IF(LEFT(VLOOKUP($AL51,NI!$B$5:$AL$2030,31,FALSE),1)="#","-",VLOOKUP($AL51,NI!$B$5:$AL$2030,31,FALSE))</f>
        <v>#NAME?</v>
      </c>
      <c r="AU51" s="408" t="e">
        <f ca="1">IF(LEFT(VLOOKUP($AL51,NI!$B$5:$AL$2030,32,FALSE),1)="#","-",VLOOKUP($AL51,NI!$B$5:$AL$2030,32,FALSE))</f>
        <v>#NAME?</v>
      </c>
      <c r="AV51" s="408" t="e">
        <f ca="1">IF(LEFT(VLOOKUP($AL51,NI!$B$5:$AL$2030,33,FALSE),1)="#","-",VLOOKUP($AL51,NI!$B$5:$AL$2030,33,FALSE))</f>
        <v>#NAME?</v>
      </c>
      <c r="AW51" s="409" t="e">
        <f ca="1">VLOOKUP($AL51,NI!$B$5:$AL$2030,22,FALSE)</f>
        <v>#NAME?</v>
      </c>
      <c r="AX51" s="409"/>
      <c r="AY51" s="409"/>
      <c r="AZ51" s="476"/>
      <c r="BA51" s="179"/>
      <c r="BB51" s="404"/>
      <c r="BC51" s="404"/>
      <c r="BD51" s="405"/>
      <c r="BE51" s="404"/>
      <c r="BF51" s="406"/>
      <c r="BG51" s="406"/>
      <c r="BH51" s="406"/>
      <c r="BI51" s="407"/>
      <c r="BJ51" s="406"/>
      <c r="BK51" s="408"/>
      <c r="BL51" s="408"/>
      <c r="BM51" s="408"/>
      <c r="BN51" s="408"/>
      <c r="BO51" s="409"/>
      <c r="BR51" s="476"/>
      <c r="BS51" s="179"/>
      <c r="CI51" s="476"/>
      <c r="CJ51" s="179"/>
      <c r="CK51" s="485"/>
      <c r="CL51" s="485"/>
      <c r="CM51" s="485"/>
      <c r="CN51" s="485"/>
      <c r="CO51" s="485"/>
      <c r="CP51" s="485"/>
      <c r="CQ51" s="401"/>
      <c r="CR51" s="485"/>
      <c r="CS51" s="485"/>
      <c r="CT51" s="485"/>
      <c r="CU51" s="485"/>
      <c r="CV51" s="485"/>
      <c r="CW51" s="485"/>
      <c r="CX51" s="451"/>
      <c r="CY51" s="451"/>
      <c r="CZ51" s="476"/>
      <c r="DA51" s="179"/>
      <c r="DB51" s="485"/>
      <c r="DC51" s="485"/>
      <c r="DD51" s="485"/>
      <c r="DE51" s="485"/>
      <c r="DF51" s="485"/>
      <c r="DG51" s="485"/>
      <c r="DH51" s="461"/>
      <c r="DI51" s="485"/>
      <c r="DJ51" s="485"/>
      <c r="DK51" s="485"/>
      <c r="DL51" s="485"/>
      <c r="DM51" s="485"/>
      <c r="DN51" s="485"/>
      <c r="DO51" s="451"/>
      <c r="DP51" s="476"/>
      <c r="DQ51" s="179"/>
      <c r="DR51" s="628"/>
      <c r="DS51" s="628"/>
      <c r="DT51" s="628"/>
      <c r="DU51" s="629"/>
      <c r="DV51" s="629"/>
      <c r="DW51" s="629"/>
      <c r="DX51" s="453"/>
      <c r="DY51" s="628"/>
      <c r="DZ51" s="628"/>
      <c r="EA51" s="628"/>
      <c r="EB51" s="629"/>
      <c r="EC51" s="629"/>
      <c r="ED51" s="629"/>
      <c r="EE51" s="476"/>
      <c r="EF51" s="179"/>
      <c r="EG51" s="482"/>
      <c r="EH51" s="482"/>
      <c r="EI51" s="482"/>
      <c r="EJ51" s="482"/>
      <c r="EK51" s="482"/>
      <c r="EL51" s="482"/>
      <c r="EM51" s="399"/>
      <c r="EN51" s="482"/>
      <c r="EO51" s="481"/>
      <c r="EP51" s="481"/>
      <c r="EQ51" s="481"/>
      <c r="ER51" s="481"/>
      <c r="ES51" s="481"/>
      <c r="EV51" s="476"/>
      <c r="EW51" s="179"/>
      <c r="EX51" s="602">
        <v>45000</v>
      </c>
      <c r="EY51" s="603" t="s">
        <v>3225</v>
      </c>
      <c r="EZ51" s="604"/>
      <c r="FA51" s="604"/>
      <c r="FB51" s="604"/>
      <c r="FC51" s="604"/>
      <c r="FD51" s="401"/>
      <c r="FE51" s="481" t="s">
        <v>3243</v>
      </c>
      <c r="FF51" s="481" t="s">
        <v>3251</v>
      </c>
      <c r="FG51" s="482"/>
      <c r="FH51" s="481">
        <v>20</v>
      </c>
      <c r="FI51" s="481" t="s">
        <v>3256</v>
      </c>
      <c r="FJ51" s="482"/>
    </row>
    <row r="52" spans="1:166" ht="22.5" customHeight="1">
      <c r="A52" s="476"/>
      <c r="J52"/>
      <c r="K52"/>
      <c r="L52"/>
      <c r="M52"/>
      <c r="N52"/>
      <c r="O52"/>
      <c r="P52"/>
      <c r="Q52" s="476"/>
      <c r="R52" s="179"/>
      <c r="S52" s="549"/>
      <c r="T52" s="386" t="e">
        <f ca="1">VLOOKUP($AD52,'市場監控 '!$E$7:$W$194,6,FALSE)</f>
        <v>#NAME?</v>
      </c>
      <c r="U52" s="386" t="e">
        <f ca="1">VLOOKUP($AD52,'市場監控 '!$E$7:$W$194,7,FALSE)</f>
        <v>#NAME?</v>
      </c>
      <c r="V52" s="387" t="str">
        <f ca="1">VLOOKUP($AD52,'市場監控 '!$E$7:$W$194,8,FALSE)</f>
        <v>-</v>
      </c>
      <c r="W52" s="388" t="str">
        <f ca="1">VLOOKUP($AD52,'市場監控 '!$E$7:$W$194,10,FALSE)</f>
        <v>-</v>
      </c>
      <c r="X52" s="389" t="str">
        <f ca="1">VLOOKUP($AD52,'市場監控 '!$E$7:$W$194,12,FALSE)</f>
        <v>-</v>
      </c>
      <c r="Y52" s="390" t="str">
        <f ca="1">VLOOKUP($AD52,'市場監控 '!$E$7:$W$194,14,FALSE)</f>
        <v>-</v>
      </c>
      <c r="Z52" s="390" t="str">
        <f ca="1">VLOOKUP($AD52,'市場監控 '!$E$7:$W$194,15,FALSE)</f>
        <v>-</v>
      </c>
      <c r="AA52" s="389" t="e">
        <f ca="1">VLOOKUP($AD52,'市場監控 '!$E$7:$W$194,17,FALSE)</f>
        <v>#NAME?</v>
      </c>
      <c r="AB52" s="389" t="e">
        <f ca="1">VLOOKUP($AD52,'市場監控 '!$E$7:$W$194,18,FALSE)</f>
        <v>#NAME?</v>
      </c>
      <c r="AC52" s="389" t="e">
        <f ca="1">VLOOKUP($AD52,'市場監控 '!$E$7:$W$194,19,FALSE)</f>
        <v>#NAME?</v>
      </c>
      <c r="AD52" s="185" t="s">
        <v>1223</v>
      </c>
      <c r="AE52" s="300" t="s">
        <v>1752</v>
      </c>
      <c r="AF52" s="225"/>
      <c r="AG52" s="225"/>
      <c r="AH52" s="476"/>
      <c r="AI52" s="179"/>
      <c r="AJ52" s="404" t="e">
        <f ca="1">VLOOKUP($AL52,NI!$B$5:$AL$2030,6,FALSE)</f>
        <v>#NAME?</v>
      </c>
      <c r="AK52" s="404" t="e">
        <f ca="1">VLOOKUP($AL52,NI!$B$5:$AL$2030,2,FALSE)</f>
        <v>#NAME?</v>
      </c>
      <c r="AL52" s="405" t="e">
        <f ca="1">NI!B9</f>
        <v>#NAME?</v>
      </c>
      <c r="AM52" s="404" t="e">
        <f ca="1">VLOOKUP($AL52,NI!$B$5:$AL$2030,11,FALSE)</f>
        <v>#NAME?</v>
      </c>
      <c r="AN52" s="406" t="e">
        <f ca="1">VLOOKUP($AL52,NI!$B$5:$AL$2030,12,FALSE)/1000000</f>
        <v>#NAME?</v>
      </c>
      <c r="AO52" s="406"/>
      <c r="AP52" s="406" t="str">
        <f ca="1">IF(ISNUMBER(VLOOKUP($AL52,NI!$B$5:$AL$2030,13,FALSE)),VLOOKUP($AL52,NI!$B$5:$AL$2030,13,FALSE),"-")</f>
        <v>-</v>
      </c>
      <c r="AQ52" s="407" t="e">
        <f ca="1">VLOOKUP($AL52,NI!$B$5:$AL$2030,4,FALSE)</f>
        <v>#NAME?</v>
      </c>
      <c r="AR52" s="406" t="e">
        <f ca="1">VLOOKUP($AL52,NI!$B$5:$AL$2030,3,FALSE)</f>
        <v>#NAME?</v>
      </c>
      <c r="AS52" s="408" t="e">
        <f ca="1">VLOOKUP($AL52,NI!$B$5:$AL$2030,4,FALSE)</f>
        <v>#NAME?</v>
      </c>
      <c r="AT52" s="408" t="e">
        <f ca="1">IF(LEFT(VLOOKUP($AL52,NI!$B$5:$AL$2030,31,FALSE),1)="#","-",VLOOKUP($AL52,NI!$B$5:$AL$2030,31,FALSE))</f>
        <v>#NAME?</v>
      </c>
      <c r="AU52" s="408" t="e">
        <f ca="1">IF(LEFT(VLOOKUP($AL52,NI!$B$5:$AL$2030,32,FALSE),1)="#","-",VLOOKUP($AL52,NI!$B$5:$AL$2030,32,FALSE))</f>
        <v>#NAME?</v>
      </c>
      <c r="AV52" s="408" t="e">
        <f ca="1">IF(LEFT(VLOOKUP($AL52,NI!$B$5:$AL$2030,33,FALSE),1)="#","-",VLOOKUP($AL52,NI!$B$5:$AL$2030,33,FALSE))</f>
        <v>#NAME?</v>
      </c>
      <c r="AW52" s="409" t="e">
        <f ca="1">VLOOKUP($AL52,NI!$B$5:$AL$2030,22,FALSE)</f>
        <v>#NAME?</v>
      </c>
      <c r="AX52" s="409"/>
      <c r="AY52" s="409"/>
      <c r="AZ52" s="476"/>
      <c r="BA52" s="179"/>
      <c r="BB52" s="404"/>
      <c r="BC52" s="404"/>
      <c r="BD52" s="405"/>
      <c r="BE52" s="404"/>
      <c r="BF52" s="406"/>
      <c r="BG52" s="406"/>
      <c r="BH52" s="406"/>
      <c r="BI52" s="407"/>
      <c r="BJ52" s="406"/>
      <c r="BK52" s="408"/>
      <c r="BL52" s="408"/>
      <c r="BM52" s="408"/>
      <c r="BN52" s="408"/>
      <c r="BO52" s="409"/>
      <c r="BR52" s="476"/>
      <c r="BS52" s="179"/>
      <c r="CI52" s="476"/>
      <c r="CJ52" s="179"/>
      <c r="CK52" s="459"/>
      <c r="CL52" s="459"/>
      <c r="CM52" s="459"/>
      <c r="CN52" s="459"/>
      <c r="CO52" s="459"/>
      <c r="CP52" s="459"/>
      <c r="CQ52" s="401"/>
      <c r="CR52" s="463"/>
      <c r="CS52" s="463"/>
      <c r="CT52" s="463"/>
      <c r="CU52" s="463"/>
      <c r="CV52" s="463"/>
      <c r="CW52" s="463"/>
      <c r="CX52" s="451"/>
      <c r="CY52" s="451"/>
      <c r="CZ52" s="476"/>
      <c r="DA52" s="179"/>
      <c r="DB52" s="459"/>
      <c r="DC52" s="459"/>
      <c r="DD52" s="459"/>
      <c r="DE52" s="459"/>
      <c r="DF52" s="459"/>
      <c r="DG52" s="459"/>
      <c r="DH52" s="461"/>
      <c r="DI52" s="459"/>
      <c r="DJ52" s="459"/>
      <c r="DK52" s="459"/>
      <c r="DL52" s="459"/>
      <c r="DM52" s="459"/>
      <c r="DN52" s="459"/>
      <c r="DO52" s="451"/>
      <c r="DP52" s="476"/>
      <c r="DQ52" s="179"/>
      <c r="DR52" s="628"/>
      <c r="DS52" s="628"/>
      <c r="DT52" s="628"/>
      <c r="DU52" s="629"/>
      <c r="DV52" s="629"/>
      <c r="DW52" s="629"/>
      <c r="DX52" s="453"/>
      <c r="DY52" s="628"/>
      <c r="DZ52" s="628"/>
      <c r="EA52" s="628"/>
      <c r="EB52" s="629"/>
      <c r="EC52" s="629"/>
      <c r="ED52" s="629"/>
      <c r="EE52" s="476"/>
      <c r="EF52" s="179"/>
      <c r="EG52" s="481" t="s">
        <v>3129</v>
      </c>
      <c r="EH52" s="482"/>
      <c r="EI52" s="481" t="s">
        <v>3150</v>
      </c>
      <c r="EJ52" s="482"/>
      <c r="EK52" s="481" t="s">
        <v>3151</v>
      </c>
      <c r="EL52" s="482"/>
      <c r="EM52" s="401"/>
      <c r="EN52" s="481" t="s">
        <v>3165</v>
      </c>
      <c r="EO52" s="481" t="s">
        <v>3173</v>
      </c>
      <c r="EP52" s="481" t="s">
        <v>3182</v>
      </c>
      <c r="EQ52" s="481"/>
      <c r="ER52" s="481" t="s">
        <v>3190</v>
      </c>
      <c r="ES52" s="481"/>
      <c r="EV52" s="476"/>
      <c r="EW52" s="179"/>
      <c r="EX52" s="482"/>
      <c r="EY52" s="604"/>
      <c r="EZ52" s="604"/>
      <c r="FA52" s="604"/>
      <c r="FB52" s="604"/>
      <c r="FC52" s="604"/>
      <c r="FD52" s="401"/>
      <c r="FE52" s="601"/>
      <c r="FF52" s="482"/>
      <c r="FG52" s="482"/>
      <c r="FH52" s="485"/>
      <c r="FI52" s="482"/>
      <c r="FJ52" s="482"/>
    </row>
    <row r="53" spans="1:166" ht="22.5" customHeight="1">
      <c r="A53" s="476"/>
      <c r="J53"/>
      <c r="K53"/>
      <c r="L53"/>
      <c r="M53"/>
      <c r="N53"/>
      <c r="O53"/>
      <c r="P53"/>
      <c r="Q53" s="476"/>
      <c r="R53" s="179"/>
      <c r="S53" s="549"/>
      <c r="T53" s="386" t="e">
        <f ca="1">VLOOKUP($AD53,'市場監控 '!$E$7:$W$194,6,FALSE)</f>
        <v>#NAME?</v>
      </c>
      <c r="U53" s="386" t="e">
        <f ca="1">VLOOKUP($AD53,'市場監控 '!$E$7:$W$194,7,FALSE)</f>
        <v>#NAME?</v>
      </c>
      <c r="V53" s="387" t="str">
        <f ca="1">VLOOKUP($AD53,'市場監控 '!$E$7:$W$194,8,FALSE)</f>
        <v>-</v>
      </c>
      <c r="W53" s="388" t="str">
        <f ca="1">VLOOKUP($AD53,'市場監控 '!$E$7:$W$194,10,FALSE)</f>
        <v>-</v>
      </c>
      <c r="X53" s="389" t="str">
        <f ca="1">VLOOKUP($AD53,'市場監控 '!$E$7:$W$194,12,FALSE)</f>
        <v>-</v>
      </c>
      <c r="Y53" s="390" t="str">
        <f ca="1">VLOOKUP($AD53,'市場監控 '!$E$7:$W$194,14,FALSE)</f>
        <v>-</v>
      </c>
      <c r="Z53" s="390" t="str">
        <f ca="1">VLOOKUP($AD53,'市場監控 '!$E$7:$W$194,15,FALSE)</f>
        <v>-</v>
      </c>
      <c r="AA53" s="389" t="e">
        <f ca="1">VLOOKUP($AD53,'市場監控 '!$E$7:$W$194,17,FALSE)</f>
        <v>#NAME?</v>
      </c>
      <c r="AB53" s="389" t="e">
        <f ca="1">VLOOKUP($AD53,'市場監控 '!$E$7:$W$194,18,FALSE)</f>
        <v>#NAME?</v>
      </c>
      <c r="AC53" s="389" t="e">
        <f ca="1">VLOOKUP($AD53,'市場監控 '!$E$7:$W$194,19,FALSE)</f>
        <v>#NAME?</v>
      </c>
      <c r="AD53" s="185" t="s">
        <v>1220</v>
      </c>
      <c r="AE53" s="300" t="s">
        <v>1754</v>
      </c>
      <c r="AF53" s="225"/>
      <c r="AG53" s="225"/>
      <c r="AH53" s="476"/>
      <c r="AI53" s="179"/>
      <c r="AJ53" s="404" t="e">
        <f ca="1">VLOOKUP($AL53,NI!$B$5:$AL$2030,6,FALSE)</f>
        <v>#NAME?</v>
      </c>
      <c r="AK53" s="404" t="e">
        <f ca="1">VLOOKUP($AL53,NI!$B$5:$AL$2030,2,FALSE)</f>
        <v>#NAME?</v>
      </c>
      <c r="AL53" s="405" t="e">
        <f ca="1">NI!B10</f>
        <v>#NAME?</v>
      </c>
      <c r="AM53" s="404" t="e">
        <f ca="1">VLOOKUP($AL53,NI!$B$5:$AL$2030,11,FALSE)</f>
        <v>#NAME?</v>
      </c>
      <c r="AN53" s="406" t="e">
        <f ca="1">VLOOKUP($AL53,NI!$B$5:$AL$2030,12,FALSE)/1000000</f>
        <v>#NAME?</v>
      </c>
      <c r="AO53" s="406"/>
      <c r="AP53" s="406" t="str">
        <f ca="1">IF(ISNUMBER(VLOOKUP($AL53,NI!$B$5:$AL$2030,13,FALSE)),VLOOKUP($AL53,NI!$B$5:$AL$2030,13,FALSE),"-")</f>
        <v>-</v>
      </c>
      <c r="AQ53" s="407" t="e">
        <f ca="1">VLOOKUP($AL53,NI!$B$5:$AL$2030,4,FALSE)</f>
        <v>#NAME?</v>
      </c>
      <c r="AR53" s="406" t="e">
        <f ca="1">VLOOKUP($AL53,NI!$B$5:$AL$2030,3,FALSE)</f>
        <v>#NAME?</v>
      </c>
      <c r="AS53" s="408" t="e">
        <f ca="1">VLOOKUP($AL53,NI!$B$5:$AL$2030,4,FALSE)</f>
        <v>#NAME?</v>
      </c>
      <c r="AT53" s="408" t="e">
        <f ca="1">IF(LEFT(VLOOKUP($AL53,NI!$B$5:$AL$2030,31,FALSE),1)="#","-",VLOOKUP($AL53,NI!$B$5:$AL$2030,31,FALSE))</f>
        <v>#NAME?</v>
      </c>
      <c r="AU53" s="408" t="e">
        <f ca="1">IF(LEFT(VLOOKUP($AL53,NI!$B$5:$AL$2030,32,FALSE),1)="#","-",VLOOKUP($AL53,NI!$B$5:$AL$2030,32,FALSE))</f>
        <v>#NAME?</v>
      </c>
      <c r="AV53" s="408" t="e">
        <f ca="1">IF(LEFT(VLOOKUP($AL53,NI!$B$5:$AL$2030,33,FALSE),1)="#","-",VLOOKUP($AL53,NI!$B$5:$AL$2030,33,FALSE))</f>
        <v>#NAME?</v>
      </c>
      <c r="AW53" s="409" t="e">
        <f ca="1">VLOOKUP($AL53,NI!$B$5:$AL$2030,22,FALSE)</f>
        <v>#NAME?</v>
      </c>
      <c r="AX53" s="409"/>
      <c r="AY53" s="409"/>
      <c r="AZ53" s="476"/>
      <c r="BA53" s="179"/>
      <c r="BB53" s="404"/>
      <c r="BC53" s="404"/>
      <c r="BD53" s="405"/>
      <c r="BE53" s="404"/>
      <c r="BF53" s="406"/>
      <c r="BG53" s="406"/>
      <c r="BH53" s="406"/>
      <c r="BI53" s="407"/>
      <c r="BJ53" s="406"/>
      <c r="BK53" s="408"/>
      <c r="BL53" s="408"/>
      <c r="BM53" s="408"/>
      <c r="BN53" s="408"/>
      <c r="BO53" s="409"/>
      <c r="BR53" s="476"/>
      <c r="BS53" s="179"/>
      <c r="CI53" s="476"/>
      <c r="CJ53" s="179"/>
      <c r="CK53" s="518" t="s">
        <v>3945</v>
      </c>
      <c r="CL53" s="519"/>
      <c r="CM53" s="519"/>
      <c r="CN53" s="519"/>
      <c r="CO53" s="519"/>
      <c r="CP53" s="519"/>
      <c r="CQ53" s="461"/>
      <c r="CR53" s="522"/>
      <c r="CS53" s="523"/>
      <c r="CT53" s="523"/>
      <c r="CU53" s="523"/>
      <c r="CV53" s="523"/>
      <c r="CW53" s="523"/>
      <c r="CX53" s="451"/>
      <c r="CY53" s="451"/>
      <c r="CZ53" s="476"/>
      <c r="DA53" s="179"/>
      <c r="DB53" s="518" t="s">
        <v>3699</v>
      </c>
      <c r="DC53" s="519"/>
      <c r="DD53" s="519"/>
      <c r="DE53" s="519"/>
      <c r="DF53" s="519"/>
      <c r="DG53" s="519"/>
      <c r="DH53" s="461"/>
      <c r="DI53" s="518" t="s">
        <v>3702</v>
      </c>
      <c r="DJ53" s="519"/>
      <c r="DK53" s="519"/>
      <c r="DL53" s="519"/>
      <c r="DM53" s="519"/>
      <c r="DN53" s="519"/>
      <c r="DO53" s="451"/>
      <c r="DP53" s="476"/>
      <c r="DQ53" s="179"/>
      <c r="DR53" s="628"/>
      <c r="DS53" s="628"/>
      <c r="DT53" s="628"/>
      <c r="DU53" s="629"/>
      <c r="DV53" s="629"/>
      <c r="DW53" s="629"/>
      <c r="DX53" s="453"/>
      <c r="DY53" s="628"/>
      <c r="DZ53" s="628"/>
      <c r="EA53" s="628"/>
      <c r="EB53" s="629"/>
      <c r="EC53" s="629"/>
      <c r="ED53" s="629"/>
      <c r="EE53" s="476"/>
      <c r="EF53" s="179"/>
      <c r="EG53" s="482"/>
      <c r="EH53" s="482"/>
      <c r="EI53" s="482"/>
      <c r="EJ53" s="482"/>
      <c r="EK53" s="482"/>
      <c r="EL53" s="482"/>
      <c r="EM53" s="401"/>
      <c r="EN53" s="482"/>
      <c r="EO53" s="481"/>
      <c r="EP53" s="481"/>
      <c r="EQ53" s="481"/>
      <c r="ER53" s="481"/>
      <c r="ES53" s="481"/>
      <c r="EV53" s="476"/>
      <c r="EW53" s="179"/>
      <c r="EX53" s="482"/>
      <c r="EY53" s="482"/>
      <c r="EZ53" s="482"/>
      <c r="FA53" s="482"/>
      <c r="FB53" s="482"/>
      <c r="FC53" s="482"/>
      <c r="FD53" s="449"/>
      <c r="FE53" s="482"/>
      <c r="FF53" s="482"/>
      <c r="FG53" s="482"/>
      <c r="FH53" s="485"/>
      <c r="FI53" s="482"/>
      <c r="FJ53" s="482"/>
    </row>
    <row r="54" spans="1:166" ht="22.5" customHeight="1">
      <c r="A54" s="476"/>
      <c r="B54" s="39">
        <v>1</v>
      </c>
      <c r="J54"/>
      <c r="K54"/>
      <c r="L54"/>
      <c r="M54"/>
      <c r="N54"/>
      <c r="O54"/>
      <c r="P54"/>
      <c r="Q54" s="476"/>
      <c r="R54" s="179"/>
      <c r="S54" s="549"/>
      <c r="T54" s="386" t="e">
        <f ca="1">VLOOKUP($AD54,'市場監控 '!$E$7:$W$194,6,FALSE)</f>
        <v>#NAME?</v>
      </c>
      <c r="U54" s="386" t="e">
        <f ca="1">VLOOKUP($AD54,'市場監控 '!$E$7:$W$194,7,FALSE)</f>
        <v>#NAME?</v>
      </c>
      <c r="V54" s="387" t="str">
        <f ca="1">VLOOKUP($AD54,'市場監控 '!$E$7:$W$194,8,FALSE)</f>
        <v>-</v>
      </c>
      <c r="W54" s="388" t="str">
        <f ca="1">VLOOKUP($AD54,'市場監控 '!$E$7:$W$194,10,FALSE)</f>
        <v>-</v>
      </c>
      <c r="X54" s="389" t="str">
        <f ca="1">VLOOKUP($AD54,'市場監控 '!$E$7:$W$194,12,FALSE)</f>
        <v>-</v>
      </c>
      <c r="Y54" s="390" t="str">
        <f ca="1">VLOOKUP($AD54,'市場監控 '!$E$7:$W$194,14,FALSE)</f>
        <v>-</v>
      </c>
      <c r="Z54" s="390" t="str">
        <f ca="1">VLOOKUP($AD54,'市場監控 '!$E$7:$W$194,15,FALSE)</f>
        <v>-</v>
      </c>
      <c r="AA54" s="389" t="e">
        <f ca="1">VLOOKUP($AD54,'市場監控 '!$E$7:$W$194,17,FALSE)</f>
        <v>#NAME?</v>
      </c>
      <c r="AB54" s="389" t="e">
        <f ca="1">VLOOKUP($AD54,'市場監控 '!$E$7:$W$194,18,FALSE)</f>
        <v>#NAME?</v>
      </c>
      <c r="AC54" s="389" t="e">
        <f ca="1">VLOOKUP($AD54,'市場監控 '!$E$7:$W$194,19,FALSE)</f>
        <v>#NAME?</v>
      </c>
      <c r="AD54" s="185" t="s">
        <v>1224</v>
      </c>
      <c r="AE54" s="300" t="s">
        <v>1756</v>
      </c>
      <c r="AF54" s="225"/>
      <c r="AG54" s="225"/>
      <c r="AH54" s="476"/>
      <c r="AI54" s="179"/>
      <c r="AJ54" s="404" t="e">
        <f ca="1">VLOOKUP($AL54,NI!$B$5:$AL$2030,6,FALSE)</f>
        <v>#NAME?</v>
      </c>
      <c r="AK54" s="404" t="e">
        <f ca="1">VLOOKUP($AL54,NI!$B$5:$AL$2030,2,FALSE)</f>
        <v>#NAME?</v>
      </c>
      <c r="AL54" s="405" t="e">
        <f ca="1">NI!B11</f>
        <v>#NAME?</v>
      </c>
      <c r="AM54" s="404" t="e">
        <f ca="1">VLOOKUP($AL54,NI!$B$5:$AL$2030,11,FALSE)</f>
        <v>#NAME?</v>
      </c>
      <c r="AN54" s="406" t="e">
        <f ca="1">VLOOKUP($AL54,NI!$B$5:$AL$2030,12,FALSE)/1000000</f>
        <v>#NAME?</v>
      </c>
      <c r="AO54" s="406"/>
      <c r="AP54" s="406" t="str">
        <f ca="1">IF(ISNUMBER(VLOOKUP($AL54,NI!$B$5:$AL$2030,13,FALSE)),VLOOKUP($AL54,NI!$B$5:$AL$2030,13,FALSE),"-")</f>
        <v>-</v>
      </c>
      <c r="AQ54" s="407" t="e">
        <f ca="1">VLOOKUP($AL54,NI!$B$5:$AL$2030,4,FALSE)</f>
        <v>#NAME?</v>
      </c>
      <c r="AR54" s="406" t="e">
        <f ca="1">VLOOKUP($AL54,NI!$B$5:$AL$2030,3,FALSE)</f>
        <v>#NAME?</v>
      </c>
      <c r="AS54" s="408" t="e">
        <f ca="1">VLOOKUP($AL54,NI!$B$5:$AL$2030,4,FALSE)</f>
        <v>#NAME?</v>
      </c>
      <c r="AT54" s="408" t="e">
        <f ca="1">IF(LEFT(VLOOKUP($AL54,NI!$B$5:$AL$2030,31,FALSE),1)="#","-",VLOOKUP($AL54,NI!$B$5:$AL$2030,31,FALSE))</f>
        <v>#NAME?</v>
      </c>
      <c r="AU54" s="408" t="e">
        <f ca="1">IF(LEFT(VLOOKUP($AL54,NI!$B$5:$AL$2030,32,FALSE),1)="#","-",VLOOKUP($AL54,NI!$B$5:$AL$2030,32,FALSE))</f>
        <v>#NAME?</v>
      </c>
      <c r="AV54" s="408" t="e">
        <f ca="1">IF(LEFT(VLOOKUP($AL54,NI!$B$5:$AL$2030,33,FALSE),1)="#","-",VLOOKUP($AL54,NI!$B$5:$AL$2030,33,FALSE))</f>
        <v>#NAME?</v>
      </c>
      <c r="AW54" s="409" t="e">
        <f ca="1">VLOOKUP($AL54,NI!$B$5:$AL$2030,22,FALSE)</f>
        <v>#NAME?</v>
      </c>
      <c r="AX54" s="409"/>
      <c r="AY54" s="409"/>
      <c r="AZ54" s="476"/>
      <c r="BA54" s="179"/>
      <c r="BB54" s="404"/>
      <c r="BC54" s="404"/>
      <c r="BD54" s="405"/>
      <c r="BE54" s="404"/>
      <c r="BF54" s="406"/>
      <c r="BG54" s="406"/>
      <c r="BH54" s="406"/>
      <c r="BI54" s="407"/>
      <c r="BJ54" s="406"/>
      <c r="BK54" s="408"/>
      <c r="BL54" s="408"/>
      <c r="BM54" s="408"/>
      <c r="BN54" s="408"/>
      <c r="BO54" s="409"/>
      <c r="BR54" s="476"/>
      <c r="BS54" s="179"/>
      <c r="CI54" s="476"/>
      <c r="CJ54" s="179"/>
      <c r="CK54" s="520"/>
      <c r="CL54" s="521"/>
      <c r="CM54" s="521"/>
      <c r="CN54" s="521"/>
      <c r="CO54" s="521"/>
      <c r="CP54" s="521"/>
      <c r="CQ54" s="461"/>
      <c r="CR54" s="524"/>
      <c r="CS54" s="525"/>
      <c r="CT54" s="525"/>
      <c r="CU54" s="525"/>
      <c r="CV54" s="525"/>
      <c r="CW54" s="525"/>
      <c r="CX54" s="451"/>
      <c r="CY54" s="451"/>
      <c r="CZ54" s="476"/>
      <c r="DA54" s="179"/>
      <c r="DB54" s="520"/>
      <c r="DC54" s="521"/>
      <c r="DD54" s="521"/>
      <c r="DE54" s="521"/>
      <c r="DF54" s="521"/>
      <c r="DG54" s="521"/>
      <c r="DH54" s="461"/>
      <c r="DI54" s="520"/>
      <c r="DJ54" s="521"/>
      <c r="DK54" s="521"/>
      <c r="DL54" s="521"/>
      <c r="DM54" s="521"/>
      <c r="DN54" s="521"/>
      <c r="DO54" s="451"/>
      <c r="DP54" s="476"/>
      <c r="DQ54" s="179"/>
      <c r="DR54" s="628"/>
      <c r="DS54" s="628"/>
      <c r="DT54" s="628"/>
      <c r="DU54" s="629"/>
      <c r="DV54" s="629"/>
      <c r="DW54" s="629"/>
      <c r="DX54" s="453"/>
      <c r="DY54" s="628"/>
      <c r="DZ54" s="628"/>
      <c r="EA54" s="628"/>
      <c r="EB54" s="629"/>
      <c r="EC54" s="629"/>
      <c r="ED54" s="629"/>
      <c r="EE54" s="476"/>
      <c r="EF54" s="179"/>
      <c r="EG54" s="485"/>
      <c r="EH54" s="485"/>
      <c r="EI54" s="485"/>
      <c r="EJ54" s="485"/>
      <c r="EK54" s="485"/>
      <c r="EL54" s="485"/>
      <c r="EM54" s="449"/>
      <c r="EN54" s="482"/>
      <c r="EO54" s="481"/>
      <c r="EP54" s="481"/>
      <c r="EQ54" s="481"/>
      <c r="ER54" s="481"/>
      <c r="ES54" s="481"/>
      <c r="EV54" s="476"/>
      <c r="EW54" s="179"/>
      <c r="EX54" s="602">
        <v>45002</v>
      </c>
      <c r="EY54" s="603" t="s">
        <v>3224</v>
      </c>
      <c r="EZ54" s="604"/>
      <c r="FA54" s="604"/>
      <c r="FB54" s="604"/>
      <c r="FC54" s="604"/>
      <c r="FD54" s="449"/>
      <c r="FE54" s="481" t="s">
        <v>3244</v>
      </c>
      <c r="FF54" s="481" t="s">
        <v>3252</v>
      </c>
      <c r="FG54" s="482"/>
      <c r="FH54" s="481">
        <v>15</v>
      </c>
      <c r="FI54" s="481" t="s">
        <v>3256</v>
      </c>
      <c r="FJ54" s="482"/>
    </row>
    <row r="55" spans="1:166" ht="22.5" customHeight="1">
      <c r="A55" s="476"/>
      <c r="B55" s="39">
        <f>+B54+1</f>
        <v>2</v>
      </c>
      <c r="I55" s="194"/>
      <c r="J55"/>
      <c r="K55"/>
      <c r="L55"/>
      <c r="M55"/>
      <c r="N55"/>
      <c r="O55"/>
      <c r="P55"/>
      <c r="Q55" s="476"/>
      <c r="R55" s="179"/>
      <c r="S55" s="549"/>
      <c r="T55" s="386" t="e">
        <f ca="1">VLOOKUP($AD55,'市場監控 '!$E$7:$W$194,6,FALSE)</f>
        <v>#NAME?</v>
      </c>
      <c r="U55" s="386" t="e">
        <f ca="1">VLOOKUP($AD55,'市場監控 '!$E$7:$W$194,7,FALSE)</f>
        <v>#NAME?</v>
      </c>
      <c r="V55" s="387" t="str">
        <f ca="1">VLOOKUP($AD55,'市場監控 '!$E$7:$W$194,8,FALSE)</f>
        <v>-</v>
      </c>
      <c r="W55" s="388" t="str">
        <f ca="1">VLOOKUP($AD55,'市場監控 '!$E$7:$W$194,10,FALSE)</f>
        <v>-</v>
      </c>
      <c r="X55" s="389" t="str">
        <f ca="1">VLOOKUP($AD55,'市場監控 '!$E$7:$W$194,12,FALSE)</f>
        <v>-</v>
      </c>
      <c r="Y55" s="390" t="str">
        <f ca="1">VLOOKUP($AD55,'市場監控 '!$E$7:$W$194,14,FALSE)</f>
        <v>-</v>
      </c>
      <c r="Z55" s="390" t="str">
        <f ca="1">VLOOKUP($AD55,'市場監控 '!$E$7:$W$194,15,FALSE)</f>
        <v>-</v>
      </c>
      <c r="AA55" s="389" t="e">
        <f ca="1">VLOOKUP($AD55,'市場監控 '!$E$7:$W$194,17,FALSE)</f>
        <v>#NAME?</v>
      </c>
      <c r="AB55" s="389" t="e">
        <f ca="1">VLOOKUP($AD55,'市場監控 '!$E$7:$W$194,18,FALSE)</f>
        <v>#NAME?</v>
      </c>
      <c r="AC55" s="389" t="e">
        <f ca="1">VLOOKUP($AD55,'市場監控 '!$E$7:$W$194,19,FALSE)</f>
        <v>#NAME?</v>
      </c>
      <c r="AD55" s="185" t="s">
        <v>1854</v>
      </c>
      <c r="AE55" s="300" t="s">
        <v>1758</v>
      </c>
      <c r="AF55" s="225"/>
      <c r="AG55" s="225"/>
      <c r="AH55" s="476"/>
      <c r="AI55" s="179"/>
      <c r="AJ55" s="404" t="e">
        <f ca="1">VLOOKUP($AL55,NI!$B$5:$AL$2030,6,FALSE)</f>
        <v>#NAME?</v>
      </c>
      <c r="AK55" s="404" t="e">
        <f ca="1">VLOOKUP($AL55,NI!$B$5:$AL$2030,2,FALSE)</f>
        <v>#NAME?</v>
      </c>
      <c r="AL55" s="405" t="e">
        <f ca="1">NI!B12</f>
        <v>#NAME?</v>
      </c>
      <c r="AM55" s="404" t="e">
        <f ca="1">VLOOKUP($AL55,NI!$B$5:$AL$2030,11,FALSE)</f>
        <v>#NAME?</v>
      </c>
      <c r="AN55" s="406" t="e">
        <f ca="1">VLOOKUP($AL55,NI!$B$5:$AL$2030,12,FALSE)/1000000</f>
        <v>#NAME?</v>
      </c>
      <c r="AO55" s="406"/>
      <c r="AP55" s="406" t="str">
        <f ca="1">IF(ISNUMBER(VLOOKUP($AL55,NI!$B$5:$AL$2030,13,FALSE)),VLOOKUP($AL55,NI!$B$5:$AL$2030,13,FALSE),"-")</f>
        <v>-</v>
      </c>
      <c r="AQ55" s="407" t="e">
        <f ca="1">VLOOKUP($AL55,NI!$B$5:$AL$2030,4,FALSE)</f>
        <v>#NAME?</v>
      </c>
      <c r="AR55" s="406" t="e">
        <f ca="1">VLOOKUP($AL55,NI!$B$5:$AL$2030,3,FALSE)</f>
        <v>#NAME?</v>
      </c>
      <c r="AS55" s="408" t="e">
        <f ca="1">VLOOKUP($AL55,NI!$B$5:$AL$2030,4,FALSE)</f>
        <v>#NAME?</v>
      </c>
      <c r="AT55" s="408" t="e">
        <f ca="1">IF(LEFT(VLOOKUP($AL55,NI!$B$5:$AL$2030,31,FALSE),1)="#","-",VLOOKUP($AL55,NI!$B$5:$AL$2030,31,FALSE))</f>
        <v>#NAME?</v>
      </c>
      <c r="AU55" s="408" t="e">
        <f ca="1">IF(LEFT(VLOOKUP($AL55,NI!$B$5:$AL$2030,32,FALSE),1)="#","-",VLOOKUP($AL55,NI!$B$5:$AL$2030,32,FALSE))</f>
        <v>#NAME?</v>
      </c>
      <c r="AV55" s="408" t="e">
        <f ca="1">IF(LEFT(VLOOKUP($AL55,NI!$B$5:$AL$2030,33,FALSE),1)="#","-",VLOOKUP($AL55,NI!$B$5:$AL$2030,33,FALSE))</f>
        <v>#NAME?</v>
      </c>
      <c r="AW55" s="409" t="e">
        <f ca="1">VLOOKUP($AL55,NI!$B$5:$AL$2030,22,FALSE)</f>
        <v>#NAME?</v>
      </c>
      <c r="AX55" s="409"/>
      <c r="AY55" s="409"/>
      <c r="AZ55" s="476"/>
      <c r="BA55" s="179"/>
      <c r="BB55" s="404"/>
      <c r="BC55" s="404"/>
      <c r="BD55" s="405"/>
      <c r="BE55" s="404"/>
      <c r="BF55" s="406"/>
      <c r="BG55" s="406"/>
      <c r="BH55" s="406"/>
      <c r="BI55" s="407"/>
      <c r="BJ55" s="406"/>
      <c r="BK55" s="408"/>
      <c r="BL55" s="408"/>
      <c r="BM55" s="408"/>
      <c r="BN55" s="408"/>
      <c r="BO55" s="409"/>
      <c r="BR55" s="476"/>
      <c r="BS55" s="179"/>
      <c r="CI55" s="476"/>
      <c r="CJ55" s="179"/>
      <c r="CK55" s="526" t="s">
        <v>3946</v>
      </c>
      <c r="CL55" s="527"/>
      <c r="CM55" s="527"/>
      <c r="CN55" s="533"/>
      <c r="CO55" s="533"/>
      <c r="CP55" s="533"/>
      <c r="CQ55" s="401"/>
      <c r="CR55" s="526"/>
      <c r="CS55" s="527"/>
      <c r="CT55" s="527"/>
      <c r="CU55" s="528"/>
      <c r="CV55" s="528"/>
      <c r="CW55" s="528"/>
      <c r="CX55" s="451"/>
      <c r="CY55" s="451"/>
      <c r="CZ55" s="476"/>
      <c r="DA55" s="179"/>
      <c r="DB55" s="526" t="s">
        <v>3700</v>
      </c>
      <c r="DC55" s="527"/>
      <c r="DD55" s="527"/>
      <c r="DE55" s="528"/>
      <c r="DF55" s="528"/>
      <c r="DG55" s="528"/>
      <c r="DH55" s="461"/>
      <c r="DI55" s="526" t="s">
        <v>3703</v>
      </c>
      <c r="DJ55" s="527"/>
      <c r="DK55" s="527"/>
      <c r="DL55" s="528"/>
      <c r="DM55" s="528"/>
      <c r="DN55" s="528"/>
      <c r="DO55" s="451"/>
      <c r="DP55" s="476"/>
      <c r="DQ55" s="179"/>
      <c r="DR55" s="628"/>
      <c r="DS55" s="628"/>
      <c r="DT55" s="628"/>
      <c r="DU55" s="629"/>
      <c r="DV55" s="629"/>
      <c r="DW55" s="629"/>
      <c r="DX55" s="453"/>
      <c r="DY55" s="628"/>
      <c r="DZ55" s="628"/>
      <c r="EA55" s="628"/>
      <c r="EB55" s="629"/>
      <c r="EC55" s="629"/>
      <c r="ED55" s="629"/>
      <c r="EE55" s="476"/>
      <c r="EF55" s="179"/>
      <c r="EG55" s="485"/>
      <c r="EH55" s="485"/>
      <c r="EI55" s="485"/>
      <c r="EJ55" s="485"/>
      <c r="EK55" s="485"/>
      <c r="EL55" s="485"/>
      <c r="EM55" s="449"/>
      <c r="EN55" s="481" t="s">
        <v>3166</v>
      </c>
      <c r="EO55" s="481" t="s">
        <v>3174</v>
      </c>
      <c r="EP55" s="481" t="s">
        <v>3183</v>
      </c>
      <c r="EQ55" s="481"/>
      <c r="ER55" s="481" t="s">
        <v>3191</v>
      </c>
      <c r="ES55" s="481"/>
      <c r="EV55" s="476"/>
      <c r="EW55" s="179"/>
      <c r="EX55" s="482"/>
      <c r="EY55" s="604"/>
      <c r="EZ55" s="604"/>
      <c r="FA55" s="604"/>
      <c r="FB55" s="604"/>
      <c r="FC55" s="604"/>
      <c r="FD55" s="449"/>
      <c r="FE55" s="601"/>
      <c r="FF55" s="482"/>
      <c r="FG55" s="482"/>
      <c r="FH55" s="485"/>
      <c r="FI55" s="482"/>
      <c r="FJ55" s="482"/>
    </row>
    <row r="56" spans="1:166" ht="22.5" customHeight="1">
      <c r="A56" s="476"/>
      <c r="B56" s="39">
        <f>+B55+1</f>
        <v>3</v>
      </c>
      <c r="I56" s="194"/>
      <c r="J56"/>
      <c r="K56"/>
      <c r="L56"/>
      <c r="M56"/>
      <c r="N56"/>
      <c r="O56"/>
      <c r="P56"/>
      <c r="Q56" s="476"/>
      <c r="R56" s="179"/>
      <c r="S56" s="549"/>
      <c r="T56" s="386" t="e">
        <f ca="1">VLOOKUP($AD56,'市場監控 '!$E$7:$W$194,6,FALSE)</f>
        <v>#NAME?</v>
      </c>
      <c r="U56" s="386" t="e">
        <f ca="1">VLOOKUP($AD56,'市場監控 '!$E$7:$W$194,7,FALSE)</f>
        <v>#NAME?</v>
      </c>
      <c r="V56" s="387" t="str">
        <f ca="1">VLOOKUP($AD56,'市場監控 '!$E$7:$W$194,8,FALSE)</f>
        <v>-</v>
      </c>
      <c r="W56" s="388" t="str">
        <f ca="1">VLOOKUP($AD56,'市場監控 '!$E$7:$W$194,10,FALSE)</f>
        <v>-</v>
      </c>
      <c r="X56" s="389" t="str">
        <f ca="1">VLOOKUP($AD56,'市場監控 '!$E$7:$W$194,12,FALSE)</f>
        <v>-</v>
      </c>
      <c r="Y56" s="390" t="str">
        <f ca="1">VLOOKUP($AD56,'市場監控 '!$E$7:$W$194,14,FALSE)</f>
        <v>-</v>
      </c>
      <c r="Z56" s="390" t="str">
        <f ca="1">VLOOKUP($AD56,'市場監控 '!$E$7:$W$194,15,FALSE)</f>
        <v>-</v>
      </c>
      <c r="AA56" s="389" t="e">
        <f ca="1">VLOOKUP($AD56,'市場監控 '!$E$7:$W$194,17,FALSE)</f>
        <v>#NAME?</v>
      </c>
      <c r="AB56" s="389" t="e">
        <f ca="1">VLOOKUP($AD56,'市場監控 '!$E$7:$W$194,18,FALSE)</f>
        <v>#NAME?</v>
      </c>
      <c r="AC56" s="389" t="e">
        <f ca="1">VLOOKUP($AD56,'市場監控 '!$E$7:$W$194,19,FALSE)</f>
        <v>#NAME?</v>
      </c>
      <c r="AD56" s="185" t="s">
        <v>1855</v>
      </c>
      <c r="AE56" s="300" t="s">
        <v>1760</v>
      </c>
      <c r="AF56" s="225"/>
      <c r="AG56" s="225"/>
      <c r="AH56" s="476"/>
      <c r="AI56" s="179"/>
      <c r="AJ56" s="404" t="e">
        <f ca="1">VLOOKUP($AL56,NI!$B$5:$AL$2030,6,FALSE)</f>
        <v>#NAME?</v>
      </c>
      <c r="AK56" s="404" t="e">
        <f ca="1">VLOOKUP($AL56,NI!$B$5:$AL$2030,2,FALSE)</f>
        <v>#NAME?</v>
      </c>
      <c r="AL56" s="405" t="e">
        <f ca="1">NI!B13</f>
        <v>#NAME?</v>
      </c>
      <c r="AM56" s="404" t="e">
        <f ca="1">VLOOKUP($AL56,NI!$B$5:$AL$2030,11,FALSE)</f>
        <v>#NAME?</v>
      </c>
      <c r="AN56" s="406" t="e">
        <f ca="1">VLOOKUP($AL56,NI!$B$5:$AL$2030,12,FALSE)/1000000</f>
        <v>#NAME?</v>
      </c>
      <c r="AO56" s="406"/>
      <c r="AP56" s="406" t="str">
        <f ca="1">IF(ISNUMBER(VLOOKUP($AL56,NI!$B$5:$AL$2030,13,FALSE)),VLOOKUP($AL56,NI!$B$5:$AL$2030,13,FALSE),"-")</f>
        <v>-</v>
      </c>
      <c r="AQ56" s="407" t="e">
        <f ca="1">VLOOKUP($AL56,NI!$B$5:$AL$2030,4,FALSE)</f>
        <v>#NAME?</v>
      </c>
      <c r="AR56" s="406" t="e">
        <f ca="1">VLOOKUP($AL56,NI!$B$5:$AL$2030,3,FALSE)</f>
        <v>#NAME?</v>
      </c>
      <c r="AS56" s="408" t="e">
        <f ca="1">VLOOKUP($AL56,NI!$B$5:$AL$2030,4,FALSE)</f>
        <v>#NAME?</v>
      </c>
      <c r="AT56" s="408" t="e">
        <f ca="1">IF(LEFT(VLOOKUP($AL56,NI!$B$5:$AL$2030,31,FALSE),1)="#","-",VLOOKUP($AL56,NI!$B$5:$AL$2030,31,FALSE))</f>
        <v>#NAME?</v>
      </c>
      <c r="AU56" s="408" t="e">
        <f ca="1">IF(LEFT(VLOOKUP($AL56,NI!$B$5:$AL$2030,32,FALSE),1)="#","-",VLOOKUP($AL56,NI!$B$5:$AL$2030,32,FALSE))</f>
        <v>#NAME?</v>
      </c>
      <c r="AV56" s="408" t="e">
        <f ca="1">IF(LEFT(VLOOKUP($AL56,NI!$B$5:$AL$2030,33,FALSE),1)="#","-",VLOOKUP($AL56,NI!$B$5:$AL$2030,33,FALSE))</f>
        <v>#NAME?</v>
      </c>
      <c r="AW56" s="409" t="e">
        <f ca="1">VLOOKUP($AL56,NI!$B$5:$AL$2030,22,FALSE)</f>
        <v>#NAME?</v>
      </c>
      <c r="AX56" s="409"/>
      <c r="AY56" s="409"/>
      <c r="AZ56" s="476"/>
      <c r="BA56" s="179"/>
      <c r="BB56" s="404"/>
      <c r="BC56" s="404"/>
      <c r="BD56" s="405"/>
      <c r="BE56" s="404"/>
      <c r="BF56" s="406"/>
      <c r="BG56" s="406"/>
      <c r="BH56" s="406"/>
      <c r="BI56" s="407"/>
      <c r="BJ56" s="406"/>
      <c r="BK56" s="408"/>
      <c r="BL56" s="408"/>
      <c r="BM56" s="408"/>
      <c r="BN56" s="408"/>
      <c r="BO56" s="409"/>
      <c r="BR56" s="476"/>
      <c r="BS56" s="179"/>
      <c r="CI56" s="476"/>
      <c r="CJ56" s="179"/>
      <c r="CK56" s="527"/>
      <c r="CL56" s="527"/>
      <c r="CM56" s="527"/>
      <c r="CN56" s="533"/>
      <c r="CO56" s="533"/>
      <c r="CP56" s="533"/>
      <c r="CQ56" s="401"/>
      <c r="CR56" s="527"/>
      <c r="CS56" s="527"/>
      <c r="CT56" s="527"/>
      <c r="CU56" s="528"/>
      <c r="CV56" s="528"/>
      <c r="CW56" s="528"/>
      <c r="CX56" s="451"/>
      <c r="CY56" s="451"/>
      <c r="CZ56" s="476"/>
      <c r="DA56" s="179"/>
      <c r="DB56" s="527"/>
      <c r="DC56" s="527"/>
      <c r="DD56" s="527"/>
      <c r="DE56" s="528"/>
      <c r="DF56" s="528"/>
      <c r="DG56" s="528"/>
      <c r="DH56" s="461"/>
      <c r="DI56" s="527"/>
      <c r="DJ56" s="527"/>
      <c r="DK56" s="527"/>
      <c r="DL56" s="528"/>
      <c r="DM56" s="528"/>
      <c r="DN56" s="528"/>
      <c r="DO56" s="451"/>
      <c r="DP56" s="476"/>
      <c r="DQ56" s="179"/>
      <c r="DR56" s="628"/>
      <c r="DS56" s="628"/>
      <c r="DT56" s="628"/>
      <c r="DU56" s="629"/>
      <c r="DV56" s="629"/>
      <c r="DW56" s="629"/>
      <c r="DX56" s="453"/>
      <c r="DY56" s="628"/>
      <c r="DZ56" s="628"/>
      <c r="EA56" s="628"/>
      <c r="EB56" s="629"/>
      <c r="EC56" s="629"/>
      <c r="ED56" s="629"/>
      <c r="EE56" s="476"/>
      <c r="EF56" s="179"/>
      <c r="EG56" s="485"/>
      <c r="EH56" s="485"/>
      <c r="EI56" s="485"/>
      <c r="EJ56" s="485"/>
      <c r="EK56" s="485"/>
      <c r="EL56" s="485"/>
      <c r="EM56" s="449"/>
      <c r="EN56" s="482"/>
      <c r="EO56" s="481"/>
      <c r="EP56" s="481"/>
      <c r="EQ56" s="481"/>
      <c r="ER56" s="481"/>
      <c r="ES56" s="481"/>
      <c r="EV56" s="476"/>
      <c r="EW56" s="179"/>
      <c r="EX56" s="482"/>
      <c r="EY56" s="482"/>
      <c r="EZ56" s="482"/>
      <c r="FA56" s="482"/>
      <c r="FB56" s="482"/>
      <c r="FC56" s="482"/>
      <c r="FD56" s="449"/>
      <c r="FE56" s="482"/>
      <c r="FF56" s="482"/>
      <c r="FG56" s="482"/>
      <c r="FH56" s="485"/>
      <c r="FI56" s="482"/>
      <c r="FJ56" s="482"/>
    </row>
    <row r="57" spans="1:166" ht="22.5" customHeight="1" thickBot="1">
      <c r="A57" s="476"/>
      <c r="B57" s="39">
        <f t="shared" ref="B57:B71" si="0">+B56+1</f>
        <v>4</v>
      </c>
      <c r="I57" s="194"/>
      <c r="J57"/>
      <c r="K57"/>
      <c r="L57"/>
      <c r="M57"/>
      <c r="N57"/>
      <c r="O57"/>
      <c r="P57"/>
      <c r="Q57" s="476"/>
      <c r="R57" s="179"/>
      <c r="S57" s="550"/>
      <c r="T57" s="391" t="e">
        <f ca="1">VLOOKUP($AD57,'市場監控 '!$E$7:$W$194,6,FALSE)</f>
        <v>#NAME?</v>
      </c>
      <c r="U57" s="391" t="e">
        <f ca="1">VLOOKUP($AD57,'市場監控 '!$E$7:$W$194,7,FALSE)</f>
        <v>#NAME?</v>
      </c>
      <c r="V57" s="392" t="str">
        <f ca="1">VLOOKUP($AD57,'市場監控 '!$E$7:$W$194,8,FALSE)</f>
        <v>-</v>
      </c>
      <c r="W57" s="393" t="str">
        <f ca="1">VLOOKUP($AD57,'市場監控 '!$E$7:$W$194,10,FALSE)</f>
        <v>-</v>
      </c>
      <c r="X57" s="394" t="str">
        <f ca="1">VLOOKUP($AD57,'市場監控 '!$E$7:$W$194,12,FALSE)</f>
        <v>-</v>
      </c>
      <c r="Y57" s="395" t="str">
        <f ca="1">VLOOKUP($AD57,'市場監控 '!$E$7:$W$194,14,FALSE)</f>
        <v>-</v>
      </c>
      <c r="Z57" s="395" t="str">
        <f ca="1">VLOOKUP($AD57,'市場監控 '!$E$7:$W$194,15,FALSE)</f>
        <v>-</v>
      </c>
      <c r="AA57" s="394" t="e">
        <f ca="1">VLOOKUP($AD57,'市場監控 '!$E$7:$W$194,17,FALSE)</f>
        <v>#NAME?</v>
      </c>
      <c r="AB57" s="394" t="e">
        <f ca="1">VLOOKUP($AD57,'市場監控 '!$E$7:$W$194,18,FALSE)</f>
        <v>#NAME?</v>
      </c>
      <c r="AC57" s="394" t="e">
        <f ca="1">VLOOKUP($AD57,'市場監控 '!$E$7:$W$194,19,FALSE)</f>
        <v>#NAME?</v>
      </c>
      <c r="AD57" s="185" t="s">
        <v>1853</v>
      </c>
      <c r="AE57" s="300" t="s">
        <v>1762</v>
      </c>
      <c r="AF57" s="225"/>
      <c r="AG57" s="225"/>
      <c r="AH57" s="476"/>
      <c r="AI57" s="179"/>
      <c r="AJ57" s="404" t="e">
        <f ca="1">VLOOKUP($AL57,NI!$B$5:$AL$2030,6,FALSE)</f>
        <v>#NAME?</v>
      </c>
      <c r="AK57" s="404" t="e">
        <f ca="1">VLOOKUP($AL57,NI!$B$5:$AL$2030,2,FALSE)</f>
        <v>#NAME?</v>
      </c>
      <c r="AL57" s="405" t="e">
        <f ca="1">NI!B14</f>
        <v>#NAME?</v>
      </c>
      <c r="AM57" s="404" t="e">
        <f ca="1">VLOOKUP($AL57,NI!$B$5:$AL$2030,11,FALSE)</f>
        <v>#NAME?</v>
      </c>
      <c r="AN57" s="406" t="e">
        <f ca="1">VLOOKUP($AL57,NI!$B$5:$AL$2030,12,FALSE)/1000000</f>
        <v>#NAME?</v>
      </c>
      <c r="AO57" s="406"/>
      <c r="AP57" s="406" t="str">
        <f ca="1">IF(ISNUMBER(VLOOKUP($AL57,NI!$B$5:$AL$2030,13,FALSE)),VLOOKUP($AL57,NI!$B$5:$AL$2030,13,FALSE),"-")</f>
        <v>-</v>
      </c>
      <c r="AQ57" s="407" t="e">
        <f ca="1">VLOOKUP($AL57,NI!$B$5:$AL$2030,4,FALSE)</f>
        <v>#NAME?</v>
      </c>
      <c r="AR57" s="406" t="e">
        <f ca="1">VLOOKUP($AL57,NI!$B$5:$AL$2030,3,FALSE)</f>
        <v>#NAME?</v>
      </c>
      <c r="AS57" s="408" t="e">
        <f ca="1">VLOOKUP($AL57,NI!$B$5:$AL$2030,4,FALSE)</f>
        <v>#NAME?</v>
      </c>
      <c r="AT57" s="408" t="e">
        <f ca="1">IF(LEFT(VLOOKUP($AL57,NI!$B$5:$AL$2030,31,FALSE),1)="#","-",VLOOKUP($AL57,NI!$B$5:$AL$2030,31,FALSE))</f>
        <v>#NAME?</v>
      </c>
      <c r="AU57" s="408" t="e">
        <f ca="1">IF(LEFT(VLOOKUP($AL57,NI!$B$5:$AL$2030,32,FALSE),1)="#","-",VLOOKUP($AL57,NI!$B$5:$AL$2030,32,FALSE))</f>
        <v>#NAME?</v>
      </c>
      <c r="AV57" s="408" t="e">
        <f ca="1">IF(LEFT(VLOOKUP($AL57,NI!$B$5:$AL$2030,33,FALSE),1)="#","-",VLOOKUP($AL57,NI!$B$5:$AL$2030,33,FALSE))</f>
        <v>#NAME?</v>
      </c>
      <c r="AW57" s="409" t="e">
        <f ca="1">VLOOKUP($AL57,NI!$B$5:$AL$2030,22,FALSE)</f>
        <v>#NAME?</v>
      </c>
      <c r="AX57" s="409"/>
      <c r="AY57" s="409"/>
      <c r="AZ57" s="476"/>
      <c r="BA57" s="179"/>
      <c r="BR57" s="476"/>
      <c r="BS57" s="179"/>
      <c r="CI57" s="476"/>
      <c r="CJ57" s="179"/>
      <c r="CK57" s="527"/>
      <c r="CL57" s="527"/>
      <c r="CM57" s="527"/>
      <c r="CN57" s="533"/>
      <c r="CO57" s="533"/>
      <c r="CP57" s="533"/>
      <c r="CQ57" s="401"/>
      <c r="CR57" s="527"/>
      <c r="CS57" s="527"/>
      <c r="CT57" s="527"/>
      <c r="CU57" s="528"/>
      <c r="CV57" s="528"/>
      <c r="CW57" s="528"/>
      <c r="CX57" s="451"/>
      <c r="CY57" s="451"/>
      <c r="CZ57" s="476"/>
      <c r="DA57" s="179"/>
      <c r="DB57" s="527"/>
      <c r="DC57" s="527"/>
      <c r="DD57" s="527"/>
      <c r="DE57" s="528"/>
      <c r="DF57" s="528"/>
      <c r="DG57" s="528"/>
      <c r="DH57" s="461"/>
      <c r="DI57" s="527"/>
      <c r="DJ57" s="527"/>
      <c r="DK57" s="527"/>
      <c r="DL57" s="528"/>
      <c r="DM57" s="528"/>
      <c r="DN57" s="528"/>
      <c r="DO57" s="451"/>
      <c r="DP57" s="476"/>
      <c r="DQ57" s="179"/>
      <c r="DR57" s="628"/>
      <c r="DS57" s="628"/>
      <c r="DT57" s="628"/>
      <c r="DU57" s="629"/>
      <c r="DV57" s="629"/>
      <c r="DW57" s="629"/>
      <c r="DX57" s="453"/>
      <c r="DY57" s="628"/>
      <c r="DZ57" s="628"/>
      <c r="EA57" s="628"/>
      <c r="EB57" s="629"/>
      <c r="EC57" s="629"/>
      <c r="ED57" s="629"/>
      <c r="EE57" s="476"/>
      <c r="EF57" s="179"/>
      <c r="EG57" s="485"/>
      <c r="EH57" s="485"/>
      <c r="EI57" s="485"/>
      <c r="EJ57" s="485"/>
      <c r="EK57" s="485"/>
      <c r="EL57" s="485"/>
      <c r="EM57" s="449"/>
      <c r="EN57" s="482"/>
      <c r="EO57" s="481"/>
      <c r="EP57" s="481"/>
      <c r="EQ57" s="481"/>
      <c r="ER57" s="481"/>
      <c r="ES57" s="481"/>
      <c r="EV57" s="476"/>
      <c r="EW57" s="179"/>
      <c r="EX57" s="602" t="s">
        <v>3228</v>
      </c>
      <c r="EY57" s="603" t="s">
        <v>3226</v>
      </c>
      <c r="EZ57" s="604"/>
      <c r="FA57" s="604"/>
      <c r="FB57" s="604"/>
      <c r="FC57" s="604"/>
      <c r="FD57" s="449"/>
      <c r="FE57" s="481" t="s">
        <v>3245</v>
      </c>
      <c r="FF57" s="481" t="s">
        <v>3253</v>
      </c>
      <c r="FG57" s="482"/>
      <c r="FH57" s="481">
        <v>10</v>
      </c>
      <c r="FI57" s="481" t="s">
        <v>3256</v>
      </c>
      <c r="FJ57" s="482"/>
    </row>
    <row r="58" spans="1:166" ht="22.5" customHeight="1">
      <c r="A58" s="476"/>
      <c r="B58" s="39">
        <f t="shared" si="0"/>
        <v>5</v>
      </c>
      <c r="I58" s="194"/>
      <c r="J58"/>
      <c r="K58"/>
      <c r="L58"/>
      <c r="M58"/>
      <c r="N58"/>
      <c r="O58"/>
      <c r="Q58" s="476"/>
      <c r="R58" s="179"/>
      <c r="S58" s="548" t="s">
        <v>1192</v>
      </c>
      <c r="T58" s="428" t="e">
        <f ca="1">VLOOKUP($AD58,'市場監控 '!$E$7:$W$194,6,FALSE)</f>
        <v>#NAME?</v>
      </c>
      <c r="U58" s="428" t="e">
        <f ca="1">VLOOKUP($AD58,'市場監控 '!$E$7:$W$194,7,FALSE)</f>
        <v>#NAME?</v>
      </c>
      <c r="V58" s="387" t="str">
        <f ca="1">VLOOKUP($AD58,'市場監控 '!$E$7:$W$194,8,FALSE)</f>
        <v>-</v>
      </c>
      <c r="W58" s="429" t="str">
        <f ca="1">VLOOKUP($AD58,'市場監控 '!$E$7:$W$194,10,FALSE)</f>
        <v>-</v>
      </c>
      <c r="X58" s="430" t="str">
        <f ca="1">VLOOKUP($AD58,'市場監控 '!$E$7:$W$194,12,FALSE)</f>
        <v>-</v>
      </c>
      <c r="Y58" s="431" t="str">
        <f ca="1">VLOOKUP($AD58,'市場監控 '!$E$7:$W$194,14,FALSE)</f>
        <v>-</v>
      </c>
      <c r="Z58" s="431" t="str">
        <f ca="1">VLOOKUP($AD58,'市場監控 '!$E$7:$W$194,15,FALSE)</f>
        <v>-</v>
      </c>
      <c r="AA58" s="430" t="e">
        <f ca="1">VLOOKUP($AD58,'市場監控 '!$E$7:$W$194,17,FALSE)</f>
        <v>#NAME?</v>
      </c>
      <c r="AB58" s="430" t="e">
        <f ca="1">VLOOKUP($AD58,'市場監控 '!$E$7:$W$194,18,FALSE)</f>
        <v>#NAME?</v>
      </c>
      <c r="AC58" s="430" t="e">
        <f ca="1">VLOOKUP($AD58,'市場監控 '!$E$7:$W$194,19,FALSE)</f>
        <v>#NAME?</v>
      </c>
      <c r="AD58" s="185" t="s">
        <v>1227</v>
      </c>
      <c r="AE58" s="276" t="s">
        <v>1764</v>
      </c>
      <c r="AF58" s="225"/>
      <c r="AG58" s="225"/>
      <c r="AH58" s="476"/>
      <c r="AI58" s="179"/>
      <c r="AJ58" s="404" t="e">
        <f ca="1">VLOOKUP($AL58,NI!$B$5:$AL$2030,6,FALSE)</f>
        <v>#NAME?</v>
      </c>
      <c r="AK58" s="404" t="e">
        <f ca="1">VLOOKUP($AL58,NI!$B$5:$AL$2030,2,FALSE)</f>
        <v>#NAME?</v>
      </c>
      <c r="AL58" s="405" t="e">
        <f ca="1">NI!B15</f>
        <v>#NAME?</v>
      </c>
      <c r="AM58" s="404" t="e">
        <f ca="1">VLOOKUP($AL58,NI!$B$5:$AL$2030,11,FALSE)</f>
        <v>#NAME?</v>
      </c>
      <c r="AN58" s="406" t="e">
        <f ca="1">VLOOKUP($AL58,NI!$B$5:$AL$2030,12,FALSE)/1000000</f>
        <v>#NAME?</v>
      </c>
      <c r="AO58" s="406"/>
      <c r="AP58" s="406" t="str">
        <f ca="1">IF(ISNUMBER(VLOOKUP($AL58,NI!$B$5:$AL$2030,13,FALSE)),VLOOKUP($AL58,NI!$B$5:$AL$2030,13,FALSE),"-")</f>
        <v>-</v>
      </c>
      <c r="AQ58" s="407" t="e">
        <f ca="1">VLOOKUP($AL58,NI!$B$5:$AL$2030,4,FALSE)</f>
        <v>#NAME?</v>
      </c>
      <c r="AR58" s="406" t="e">
        <f ca="1">VLOOKUP($AL58,NI!$B$5:$AL$2030,3,FALSE)</f>
        <v>#NAME?</v>
      </c>
      <c r="AS58" s="408" t="e">
        <f ca="1">VLOOKUP($AL58,NI!$B$5:$AL$2030,4,FALSE)</f>
        <v>#NAME?</v>
      </c>
      <c r="AT58" s="408" t="e">
        <f ca="1">IF(LEFT(VLOOKUP($AL58,NI!$B$5:$AL$2030,31,FALSE),1)="#","-",VLOOKUP($AL58,NI!$B$5:$AL$2030,31,FALSE))</f>
        <v>#NAME?</v>
      </c>
      <c r="AU58" s="408" t="e">
        <f ca="1">IF(LEFT(VLOOKUP($AL58,NI!$B$5:$AL$2030,32,FALSE),1)="#","-",VLOOKUP($AL58,NI!$B$5:$AL$2030,32,FALSE))</f>
        <v>#NAME?</v>
      </c>
      <c r="AV58" s="408" t="e">
        <f ca="1">IF(LEFT(VLOOKUP($AL58,NI!$B$5:$AL$2030,33,FALSE),1)="#","-",VLOOKUP($AL58,NI!$B$5:$AL$2030,33,FALSE))</f>
        <v>#NAME?</v>
      </c>
      <c r="AW58" s="409" t="e">
        <f ca="1">VLOOKUP($AL58,NI!$B$5:$AL$2030,22,FALSE)</f>
        <v>#NAME?</v>
      </c>
      <c r="AX58" s="409"/>
      <c r="AY58" s="409"/>
      <c r="AZ58" s="476"/>
      <c r="BA58" s="179"/>
      <c r="BR58" s="476"/>
      <c r="BS58" s="179"/>
      <c r="CI58" s="476"/>
      <c r="CJ58" s="179"/>
      <c r="CK58" s="527"/>
      <c r="CL58" s="527"/>
      <c r="CM58" s="527"/>
      <c r="CN58" s="533"/>
      <c r="CO58" s="533"/>
      <c r="CP58" s="533"/>
      <c r="CQ58" s="401"/>
      <c r="CR58" s="527"/>
      <c r="CS58" s="527"/>
      <c r="CT58" s="527"/>
      <c r="CU58" s="528"/>
      <c r="CV58" s="528"/>
      <c r="CW58" s="528"/>
      <c r="CX58" s="451"/>
      <c r="CY58" s="451"/>
      <c r="CZ58" s="476"/>
      <c r="DA58" s="179"/>
      <c r="DB58" s="527"/>
      <c r="DC58" s="527"/>
      <c r="DD58" s="527"/>
      <c r="DE58" s="528"/>
      <c r="DF58" s="528"/>
      <c r="DG58" s="528"/>
      <c r="DH58" s="461"/>
      <c r="DI58" s="527"/>
      <c r="DJ58" s="527"/>
      <c r="DK58" s="527"/>
      <c r="DL58" s="528"/>
      <c r="DM58" s="528"/>
      <c r="DN58" s="528"/>
      <c r="DO58" s="451"/>
      <c r="DP58" s="476"/>
      <c r="DQ58" s="179"/>
      <c r="DR58" s="628"/>
      <c r="DS58" s="628"/>
      <c r="DT58" s="628"/>
      <c r="DU58" s="629"/>
      <c r="DV58" s="629"/>
      <c r="DW58" s="629"/>
      <c r="DX58" s="453"/>
      <c r="DY58" s="628"/>
      <c r="DZ58" s="628"/>
      <c r="EA58" s="628"/>
      <c r="EB58" s="629"/>
      <c r="EC58" s="629"/>
      <c r="ED58" s="629"/>
      <c r="EE58" s="476"/>
      <c r="EF58" s="179"/>
      <c r="EG58" s="485"/>
      <c r="EH58" s="485"/>
      <c r="EI58" s="485"/>
      <c r="EJ58" s="485"/>
      <c r="EK58" s="485"/>
      <c r="EL58" s="485"/>
      <c r="EM58" s="449"/>
      <c r="EN58" s="481" t="s">
        <v>3167</v>
      </c>
      <c r="EO58" s="481" t="s">
        <v>3175</v>
      </c>
      <c r="EP58" s="481" t="s">
        <v>3184</v>
      </c>
      <c r="EQ58" s="481"/>
      <c r="ER58" s="481" t="s">
        <v>3192</v>
      </c>
      <c r="ES58" s="481"/>
      <c r="EV58" s="476"/>
      <c r="EW58" s="179"/>
      <c r="EX58" s="482"/>
      <c r="EY58" s="604"/>
      <c r="EZ58" s="604"/>
      <c r="FA58" s="604"/>
      <c r="FB58" s="604"/>
      <c r="FC58" s="604"/>
      <c r="FD58" s="449"/>
      <c r="FE58" s="601"/>
      <c r="FF58" s="482"/>
      <c r="FG58" s="482"/>
      <c r="FH58" s="485"/>
      <c r="FI58" s="482"/>
      <c r="FJ58" s="482"/>
    </row>
    <row r="59" spans="1:166" ht="22.5" customHeight="1" thickBot="1">
      <c r="A59" s="476"/>
      <c r="B59" s="39">
        <f t="shared" si="0"/>
        <v>6</v>
      </c>
      <c r="I59" s="194"/>
      <c r="J59"/>
      <c r="K59"/>
      <c r="L59"/>
      <c r="M59"/>
      <c r="N59"/>
      <c r="O59"/>
      <c r="P59" s="16"/>
      <c r="Q59" s="476"/>
      <c r="R59" s="179"/>
      <c r="S59" s="550"/>
      <c r="T59" s="391" t="e">
        <f ca="1">VLOOKUP($AD59,'市場監控 '!$E$7:$W$194,6,FALSE)</f>
        <v>#NAME?</v>
      </c>
      <c r="U59" s="391" t="e">
        <f ca="1">VLOOKUP($AD59,'市場監控 '!$E$7:$W$194,7,FALSE)</f>
        <v>#NAME?</v>
      </c>
      <c r="V59" s="392" t="str">
        <f ca="1">VLOOKUP($AD59,'市場監控 '!$E$7:$W$194,8,FALSE)</f>
        <v>-</v>
      </c>
      <c r="W59" s="393" t="str">
        <f ca="1">VLOOKUP($AD59,'市場監控 '!$E$7:$W$194,10,FALSE)</f>
        <v>-</v>
      </c>
      <c r="X59" s="394" t="str">
        <f ca="1">VLOOKUP($AD59,'市場監控 '!$E$7:$W$194,12,FALSE)</f>
        <v>-</v>
      </c>
      <c r="Y59" s="395" t="str">
        <f ca="1">VLOOKUP($AD59,'市場監控 '!$E$7:$W$194,14,FALSE)</f>
        <v>-</v>
      </c>
      <c r="Z59" s="395" t="str">
        <f ca="1">VLOOKUP($AD59,'市場監控 '!$E$7:$W$194,15,FALSE)</f>
        <v>-</v>
      </c>
      <c r="AA59" s="394" t="e">
        <f ca="1">VLOOKUP($AD59,'市場監控 '!$E$7:$W$194,17,FALSE)</f>
        <v>#NAME?</v>
      </c>
      <c r="AB59" s="394" t="e">
        <f ca="1">VLOOKUP($AD59,'市場監控 '!$E$7:$W$194,18,FALSE)</f>
        <v>#NAME?</v>
      </c>
      <c r="AC59" s="394" t="e">
        <f ca="1">VLOOKUP($AD59,'市場監控 '!$E$7:$W$194,19,FALSE)</f>
        <v>#NAME?</v>
      </c>
      <c r="AD59" s="185" t="s">
        <v>1226</v>
      </c>
      <c r="AE59" s="287" t="s">
        <v>1766</v>
      </c>
      <c r="AF59" s="225"/>
      <c r="AG59" s="225"/>
      <c r="AH59" s="476"/>
      <c r="AI59" s="179"/>
      <c r="AJ59" s="404" t="e">
        <f ca="1">VLOOKUP($AL59,NI!$B$5:$AL$2030,6,FALSE)</f>
        <v>#NAME?</v>
      </c>
      <c r="AK59" s="404" t="e">
        <f ca="1">VLOOKUP($AL59,NI!$B$5:$AL$2030,2,FALSE)</f>
        <v>#NAME?</v>
      </c>
      <c r="AL59" s="405" t="e">
        <f ca="1">NI!B16</f>
        <v>#NAME?</v>
      </c>
      <c r="AM59" s="404" t="e">
        <f ca="1">VLOOKUP($AL59,NI!$B$5:$AL$2030,11,FALSE)</f>
        <v>#NAME?</v>
      </c>
      <c r="AN59" s="406" t="e">
        <f ca="1">VLOOKUP($AL59,NI!$B$5:$AL$2030,12,FALSE)/1000000</f>
        <v>#NAME?</v>
      </c>
      <c r="AO59" s="406"/>
      <c r="AP59" s="406" t="str">
        <f ca="1">IF(ISNUMBER(VLOOKUP($AL59,NI!$B$5:$AL$2030,13,FALSE)),VLOOKUP($AL59,NI!$B$5:$AL$2030,13,FALSE),"-")</f>
        <v>-</v>
      </c>
      <c r="AQ59" s="407" t="e">
        <f ca="1">VLOOKUP($AL59,NI!$B$5:$AL$2030,4,FALSE)</f>
        <v>#NAME?</v>
      </c>
      <c r="AR59" s="406" t="e">
        <f ca="1">VLOOKUP($AL59,NI!$B$5:$AL$2030,3,FALSE)</f>
        <v>#NAME?</v>
      </c>
      <c r="AS59" s="408" t="e">
        <f ca="1">VLOOKUP($AL59,NI!$B$5:$AL$2030,4,FALSE)</f>
        <v>#NAME?</v>
      </c>
      <c r="AT59" s="408" t="e">
        <f ca="1">IF(LEFT(VLOOKUP($AL59,NI!$B$5:$AL$2030,31,FALSE),1)="#","-",VLOOKUP($AL59,NI!$B$5:$AL$2030,31,FALSE))</f>
        <v>#NAME?</v>
      </c>
      <c r="AU59" s="408" t="e">
        <f ca="1">IF(LEFT(VLOOKUP($AL59,NI!$B$5:$AL$2030,32,FALSE),1)="#","-",VLOOKUP($AL59,NI!$B$5:$AL$2030,32,FALSE))</f>
        <v>#NAME?</v>
      </c>
      <c r="AV59" s="408" t="e">
        <f ca="1">IF(LEFT(VLOOKUP($AL59,NI!$B$5:$AL$2030,33,FALSE),1)="#","-",VLOOKUP($AL59,NI!$B$5:$AL$2030,33,FALSE))</f>
        <v>#NAME?</v>
      </c>
      <c r="AW59" s="409" t="e">
        <f ca="1">VLOOKUP($AL59,NI!$B$5:$AL$2030,22,FALSE)</f>
        <v>#NAME?</v>
      </c>
      <c r="AX59" s="409"/>
      <c r="AY59" s="409"/>
      <c r="AZ59" s="476"/>
      <c r="BA59" s="179"/>
      <c r="BR59" s="476"/>
      <c r="BS59" s="179"/>
      <c r="BT59" s="497" t="s">
        <v>2907</v>
      </c>
      <c r="BU59" s="498"/>
      <c r="BV59" s="498"/>
      <c r="BW59" s="498"/>
      <c r="BX59" s="498"/>
      <c r="BY59" s="385"/>
      <c r="BZ59" s="497" t="s">
        <v>2910</v>
      </c>
      <c r="CA59" s="498"/>
      <c r="CB59" s="498"/>
      <c r="CC59" s="498"/>
      <c r="CD59" s="498"/>
      <c r="CE59" s="498"/>
      <c r="CF59" s="498"/>
      <c r="CI59" s="476"/>
      <c r="CJ59" s="179"/>
      <c r="CK59" s="527"/>
      <c r="CL59" s="527"/>
      <c r="CM59" s="527"/>
      <c r="CN59" s="533"/>
      <c r="CO59" s="533"/>
      <c r="CP59" s="533"/>
      <c r="CQ59" s="401"/>
      <c r="CR59" s="527"/>
      <c r="CS59" s="527"/>
      <c r="CT59" s="527"/>
      <c r="CU59" s="528"/>
      <c r="CV59" s="528"/>
      <c r="CW59" s="528"/>
      <c r="CX59" s="451"/>
      <c r="CY59" s="451"/>
      <c r="CZ59" s="476"/>
      <c r="DA59" s="179"/>
      <c r="DB59" s="527"/>
      <c r="DC59" s="527"/>
      <c r="DD59" s="527"/>
      <c r="DE59" s="528"/>
      <c r="DF59" s="528"/>
      <c r="DG59" s="528"/>
      <c r="DH59" s="461"/>
      <c r="DI59" s="527"/>
      <c r="DJ59" s="527"/>
      <c r="DK59" s="527"/>
      <c r="DL59" s="528"/>
      <c r="DM59" s="528"/>
      <c r="DN59" s="528"/>
      <c r="DO59" s="451"/>
      <c r="DP59" s="476"/>
      <c r="DQ59" s="179"/>
      <c r="DR59" s="628"/>
      <c r="DS59" s="628"/>
      <c r="DT59" s="628"/>
      <c r="DU59" s="629"/>
      <c r="DV59" s="629"/>
      <c r="DW59" s="629"/>
      <c r="DX59" s="454"/>
      <c r="DY59" s="628"/>
      <c r="DZ59" s="628"/>
      <c r="EA59" s="628"/>
      <c r="EB59" s="629"/>
      <c r="EC59" s="629"/>
      <c r="ED59" s="629"/>
      <c r="EE59" s="476"/>
      <c r="EF59" s="179"/>
      <c r="EG59" s="485"/>
      <c r="EH59" s="485"/>
      <c r="EI59" s="485"/>
      <c r="EJ59" s="485"/>
      <c r="EK59" s="485"/>
      <c r="EL59" s="485"/>
      <c r="EM59" s="449"/>
      <c r="EN59" s="482"/>
      <c r="EO59" s="481"/>
      <c r="EP59" s="481"/>
      <c r="EQ59" s="481"/>
      <c r="ER59" s="481"/>
      <c r="ES59" s="481"/>
      <c r="EV59" s="476"/>
      <c r="EW59" s="179"/>
      <c r="EX59" s="482"/>
      <c r="EY59" s="482"/>
      <c r="EZ59" s="482"/>
      <c r="FA59" s="482"/>
      <c r="FB59" s="482"/>
      <c r="FC59" s="482"/>
      <c r="FD59" s="449"/>
      <c r="FE59" s="482"/>
      <c r="FF59" s="482"/>
      <c r="FG59" s="482"/>
      <c r="FH59" s="485"/>
      <c r="FI59" s="482"/>
      <c r="FJ59" s="482"/>
    </row>
    <row r="60" spans="1:166" ht="22.5" customHeight="1">
      <c r="A60" s="476"/>
      <c r="B60" s="39">
        <f t="shared" si="0"/>
        <v>7</v>
      </c>
      <c r="I60" s="194"/>
      <c r="J60"/>
      <c r="K60"/>
      <c r="L60"/>
      <c r="M60"/>
      <c r="N60"/>
      <c r="O60"/>
      <c r="P60"/>
      <c r="Q60" s="476"/>
      <c r="R60" s="179"/>
      <c r="S60" s="548" t="s">
        <v>1193</v>
      </c>
      <c r="T60" s="428" t="e">
        <f ca="1">VLOOKUP($AD60,'市場監控 '!$E$7:$W$194,6,FALSE)</f>
        <v>#NAME?</v>
      </c>
      <c r="U60" s="428" t="e">
        <f ca="1">VLOOKUP($AD60,'市場監控 '!$E$7:$W$194,7,FALSE)</f>
        <v>#NAME?</v>
      </c>
      <c r="V60" s="387" t="str">
        <f ca="1">VLOOKUP($AD60,'市場監控 '!$E$7:$W$194,8,FALSE)</f>
        <v>-</v>
      </c>
      <c r="W60" s="429" t="str">
        <f ca="1">VLOOKUP($AD60,'市場監控 '!$E$7:$W$194,10,FALSE)</f>
        <v>-</v>
      </c>
      <c r="X60" s="430" t="str">
        <f ca="1">VLOOKUP($AD60,'市場監控 '!$E$7:$W$194,12,FALSE)</f>
        <v>-</v>
      </c>
      <c r="Y60" s="431" t="str">
        <f ca="1">VLOOKUP($AD60,'市場監控 '!$E$7:$W$194,14,FALSE)</f>
        <v>-</v>
      </c>
      <c r="Z60" s="431" t="str">
        <f ca="1">VLOOKUP($AD60,'市場監控 '!$E$7:$W$194,15,FALSE)</f>
        <v>-</v>
      </c>
      <c r="AA60" s="430" t="e">
        <f ca="1">VLOOKUP($AD60,'市場監控 '!$E$7:$W$194,17,FALSE)</f>
        <v>#NAME?</v>
      </c>
      <c r="AB60" s="430" t="e">
        <f ca="1">VLOOKUP($AD60,'市場監控 '!$E$7:$W$194,18,FALSE)</f>
        <v>#NAME?</v>
      </c>
      <c r="AC60" s="430" t="e">
        <f ca="1">VLOOKUP($AD60,'市場監控 '!$E$7:$W$194,19,FALSE)</f>
        <v>#NAME?</v>
      </c>
      <c r="AD60" s="185" t="s">
        <v>1228</v>
      </c>
      <c r="AE60" s="300" t="s">
        <v>1768</v>
      </c>
      <c r="AF60" s="225"/>
      <c r="AG60" s="225"/>
      <c r="AH60" s="476"/>
      <c r="AI60" s="179"/>
      <c r="AJ60" s="404" t="e">
        <f ca="1">VLOOKUP($AL60,NI!$B$5:$AL$2030,6,FALSE)</f>
        <v>#NAME?</v>
      </c>
      <c r="AK60" s="404" t="e">
        <f ca="1">VLOOKUP($AL60,NI!$B$5:$AL$2030,2,FALSE)</f>
        <v>#NAME?</v>
      </c>
      <c r="AL60" s="405" t="e">
        <f ca="1">NI!B17</f>
        <v>#NAME?</v>
      </c>
      <c r="AM60" s="404" t="e">
        <f ca="1">VLOOKUP($AL60,NI!$B$5:$AL$2030,11,FALSE)</f>
        <v>#NAME?</v>
      </c>
      <c r="AN60" s="406" t="e">
        <f ca="1">VLOOKUP($AL60,NI!$B$5:$AL$2030,12,FALSE)/1000000</f>
        <v>#NAME?</v>
      </c>
      <c r="AO60" s="406"/>
      <c r="AP60" s="406" t="str">
        <f ca="1">IF(ISNUMBER(VLOOKUP($AL60,NI!$B$5:$AL$2030,13,FALSE)),VLOOKUP($AL60,NI!$B$5:$AL$2030,13,FALSE),"-")</f>
        <v>-</v>
      </c>
      <c r="AQ60" s="407" t="e">
        <f ca="1">VLOOKUP($AL60,NI!$B$5:$AL$2030,4,FALSE)</f>
        <v>#NAME?</v>
      </c>
      <c r="AR60" s="406" t="e">
        <f ca="1">VLOOKUP($AL60,NI!$B$5:$AL$2030,3,FALSE)</f>
        <v>#NAME?</v>
      </c>
      <c r="AS60" s="408" t="e">
        <f ca="1">VLOOKUP($AL60,NI!$B$5:$AL$2030,4,FALSE)</f>
        <v>#NAME?</v>
      </c>
      <c r="AT60" s="408" t="e">
        <f ca="1">IF(LEFT(VLOOKUP($AL60,NI!$B$5:$AL$2030,31,FALSE),1)="#","-",VLOOKUP($AL60,NI!$B$5:$AL$2030,31,FALSE))</f>
        <v>#NAME?</v>
      </c>
      <c r="AU60" s="408" t="e">
        <f ca="1">IF(LEFT(VLOOKUP($AL60,NI!$B$5:$AL$2030,32,FALSE),1)="#","-",VLOOKUP($AL60,NI!$B$5:$AL$2030,32,FALSE))</f>
        <v>#NAME?</v>
      </c>
      <c r="AV60" s="408" t="e">
        <f ca="1">IF(LEFT(VLOOKUP($AL60,NI!$B$5:$AL$2030,33,FALSE),1)="#","-",VLOOKUP($AL60,NI!$B$5:$AL$2030,33,FALSE))</f>
        <v>#NAME?</v>
      </c>
      <c r="AW60" s="409" t="e">
        <f ca="1">VLOOKUP($AL60,NI!$B$5:$AL$2030,22,FALSE)</f>
        <v>#NAME?</v>
      </c>
      <c r="AX60" s="409"/>
      <c r="AY60" s="409"/>
      <c r="AZ60" s="476"/>
      <c r="BA60" s="179"/>
      <c r="BR60" s="476"/>
      <c r="BS60" s="179"/>
      <c r="BT60" s="498"/>
      <c r="BU60" s="498"/>
      <c r="BV60" s="498"/>
      <c r="BW60" s="498"/>
      <c r="BX60" s="498"/>
      <c r="BY60" s="385"/>
      <c r="BZ60" s="498"/>
      <c r="CA60" s="498"/>
      <c r="CB60" s="498"/>
      <c r="CC60" s="498"/>
      <c r="CD60" s="498"/>
      <c r="CE60" s="498"/>
      <c r="CF60" s="498"/>
      <c r="CI60" s="476"/>
      <c r="CJ60" s="179"/>
      <c r="CK60" s="527"/>
      <c r="CL60" s="527"/>
      <c r="CM60" s="527"/>
      <c r="CN60" s="533"/>
      <c r="CO60" s="533"/>
      <c r="CP60" s="533"/>
      <c r="CQ60" s="401"/>
      <c r="CR60" s="527"/>
      <c r="CS60" s="527"/>
      <c r="CT60" s="527"/>
      <c r="CU60" s="528"/>
      <c r="CV60" s="528"/>
      <c r="CW60" s="528"/>
      <c r="CX60" s="399"/>
      <c r="CY60" s="399"/>
      <c r="CZ60" s="476"/>
      <c r="DA60" s="179"/>
      <c r="DB60" s="527"/>
      <c r="DC60" s="527"/>
      <c r="DD60" s="527"/>
      <c r="DE60" s="528"/>
      <c r="DF60" s="528"/>
      <c r="DG60" s="528"/>
      <c r="DH60" s="461"/>
      <c r="DI60" s="527"/>
      <c r="DJ60" s="527"/>
      <c r="DK60" s="527"/>
      <c r="DL60" s="528"/>
      <c r="DM60" s="528"/>
      <c r="DN60" s="528"/>
      <c r="DO60"/>
      <c r="DP60" s="476"/>
      <c r="DQ60" s="179"/>
      <c r="DR60" s="630"/>
      <c r="DS60" s="630"/>
      <c r="DT60" s="630"/>
      <c r="DU60" s="630"/>
      <c r="DV60" s="630"/>
      <c r="DW60" s="630"/>
      <c r="DX60" s="454"/>
      <c r="DY60" s="630"/>
      <c r="DZ60" s="630"/>
      <c r="EA60" s="630"/>
      <c r="EB60" s="630"/>
      <c r="EC60" s="630"/>
      <c r="ED60" s="630"/>
      <c r="EE60" s="476"/>
      <c r="EF60" s="179"/>
      <c r="EG60" s="485"/>
      <c r="EH60" s="485"/>
      <c r="EI60" s="485"/>
      <c r="EJ60" s="485"/>
      <c r="EK60" s="485"/>
      <c r="EL60" s="485"/>
      <c r="EM60" s="449"/>
      <c r="EN60" s="482"/>
      <c r="EO60" s="481"/>
      <c r="EP60" s="481"/>
      <c r="EQ60" s="481"/>
      <c r="ER60" s="481"/>
      <c r="ES60" s="481"/>
      <c r="EV60" s="476"/>
      <c r="EW60" s="179"/>
      <c r="EX60" s="602" t="s">
        <v>3227</v>
      </c>
      <c r="EY60" s="603" t="s">
        <v>3229</v>
      </c>
      <c r="EZ60" s="604"/>
      <c r="FA60" s="604"/>
      <c r="FB60" s="604"/>
      <c r="FC60" s="604"/>
      <c r="FD60" s="449"/>
      <c r="FE60" s="481" t="s">
        <v>3246</v>
      </c>
      <c r="FF60" s="481" t="s">
        <v>3200</v>
      </c>
      <c r="FG60" s="482"/>
      <c r="FH60" s="481">
        <v>480</v>
      </c>
      <c r="FI60" s="481" t="s">
        <v>3257</v>
      </c>
      <c r="FJ60" s="482"/>
    </row>
    <row r="61" spans="1:166" ht="22.5" customHeight="1">
      <c r="A61" s="476"/>
      <c r="B61" s="39">
        <f t="shared" si="0"/>
        <v>8</v>
      </c>
      <c r="I61" s="194"/>
      <c r="P61"/>
      <c r="Q61" s="476"/>
      <c r="R61" s="179"/>
      <c r="S61" s="549"/>
      <c r="T61" s="386" t="e">
        <f ca="1">VLOOKUP($AD61,'市場監控 '!$E$7:$W$194,6,FALSE)</f>
        <v>#NAME?</v>
      </c>
      <c r="U61" s="386" t="e">
        <f ca="1">VLOOKUP($AD61,'市場監控 '!$E$7:$W$194,7,FALSE)</f>
        <v>#NAME?</v>
      </c>
      <c r="V61" s="387" t="str">
        <f ca="1">VLOOKUP($AD61,'市場監控 '!$E$7:$W$194,8,FALSE)</f>
        <v>-</v>
      </c>
      <c r="W61" s="388" t="str">
        <f ca="1">VLOOKUP($AD61,'市場監控 '!$E$7:$W$194,10,FALSE)</f>
        <v>-</v>
      </c>
      <c r="X61" s="389" t="str">
        <f ca="1">VLOOKUP($AD61,'市場監控 '!$E$7:$W$194,12,FALSE)</f>
        <v>-</v>
      </c>
      <c r="Y61" s="390" t="str">
        <f ca="1">VLOOKUP($AD61,'市場監控 '!$E$7:$W$194,14,FALSE)</f>
        <v>-</v>
      </c>
      <c r="Z61" s="390" t="str">
        <f ca="1">VLOOKUP($AD61,'市場監控 '!$E$7:$W$194,15,FALSE)</f>
        <v>-</v>
      </c>
      <c r="AA61" s="389" t="e">
        <f ca="1">VLOOKUP($AD61,'市場監控 '!$E$7:$W$194,17,FALSE)</f>
        <v>#NAME?</v>
      </c>
      <c r="AB61" s="389" t="e">
        <f ca="1">VLOOKUP($AD61,'市場監控 '!$E$7:$W$194,18,FALSE)</f>
        <v>#NAME?</v>
      </c>
      <c r="AC61" s="389" t="e">
        <f ca="1">VLOOKUP($AD61,'市場監控 '!$E$7:$W$194,19,FALSE)</f>
        <v>#NAME?</v>
      </c>
      <c r="AD61" s="185" t="s">
        <v>1229</v>
      </c>
      <c r="AE61" s="300" t="s">
        <v>1770</v>
      </c>
      <c r="AF61" s="225"/>
      <c r="AG61" s="225"/>
      <c r="AH61" s="476"/>
      <c r="AI61" s="179"/>
      <c r="AJ61" s="404" t="e">
        <f ca="1">VLOOKUP($AL61,NI!$B$5:$AL$2030,6,FALSE)</f>
        <v>#NAME?</v>
      </c>
      <c r="AK61" s="404" t="e">
        <f ca="1">VLOOKUP($AL61,NI!$B$5:$AL$2030,2,FALSE)</f>
        <v>#NAME?</v>
      </c>
      <c r="AL61" s="405" t="e">
        <f ca="1">NI!B18</f>
        <v>#NAME?</v>
      </c>
      <c r="AM61" s="404" t="e">
        <f ca="1">VLOOKUP($AL61,NI!$B$5:$AL$2030,11,FALSE)</f>
        <v>#NAME?</v>
      </c>
      <c r="AN61" s="406" t="e">
        <f ca="1">VLOOKUP($AL61,NI!$B$5:$AL$2030,12,FALSE)/1000000</f>
        <v>#NAME?</v>
      </c>
      <c r="AO61" s="406"/>
      <c r="AP61" s="406" t="str">
        <f ca="1">IF(ISNUMBER(VLOOKUP($AL61,NI!$B$5:$AL$2030,13,FALSE)),VLOOKUP($AL61,NI!$B$5:$AL$2030,13,FALSE),"-")</f>
        <v>-</v>
      </c>
      <c r="AQ61" s="407" t="e">
        <f ca="1">VLOOKUP($AL61,NI!$B$5:$AL$2030,4,FALSE)</f>
        <v>#NAME?</v>
      </c>
      <c r="AR61" s="406" t="e">
        <f ca="1">VLOOKUP($AL61,NI!$B$5:$AL$2030,3,FALSE)</f>
        <v>#NAME?</v>
      </c>
      <c r="AS61" s="408" t="e">
        <f ca="1">VLOOKUP($AL61,NI!$B$5:$AL$2030,4,FALSE)</f>
        <v>#NAME?</v>
      </c>
      <c r="AT61" s="408" t="e">
        <f ca="1">IF(LEFT(VLOOKUP($AL61,NI!$B$5:$AL$2030,31,FALSE),1)="#","-",VLOOKUP($AL61,NI!$B$5:$AL$2030,31,FALSE))</f>
        <v>#NAME?</v>
      </c>
      <c r="AU61" s="408" t="e">
        <f ca="1">IF(LEFT(VLOOKUP($AL61,NI!$B$5:$AL$2030,32,FALSE),1)="#","-",VLOOKUP($AL61,NI!$B$5:$AL$2030,32,FALSE))</f>
        <v>#NAME?</v>
      </c>
      <c r="AV61" s="408" t="e">
        <f ca="1">IF(LEFT(VLOOKUP($AL61,NI!$B$5:$AL$2030,33,FALSE),1)="#","-",VLOOKUP($AL61,NI!$B$5:$AL$2030,33,FALSE))</f>
        <v>#NAME?</v>
      </c>
      <c r="AW61" s="409" t="e">
        <f ca="1">VLOOKUP($AL61,NI!$B$5:$AL$2030,22,FALSE)</f>
        <v>#NAME?</v>
      </c>
      <c r="AX61" s="409"/>
      <c r="AY61" s="409"/>
      <c r="AZ61" s="476"/>
      <c r="BA61" s="179"/>
      <c r="BR61" s="476"/>
      <c r="BS61" s="179"/>
      <c r="CI61" s="476"/>
      <c r="CJ61" s="179"/>
      <c r="CK61" s="527"/>
      <c r="CL61" s="527"/>
      <c r="CM61" s="527"/>
      <c r="CN61" s="533"/>
      <c r="CO61" s="533"/>
      <c r="CP61" s="533"/>
      <c r="CQ61" s="401"/>
      <c r="CR61" s="527"/>
      <c r="CS61" s="527"/>
      <c r="CT61" s="527"/>
      <c r="CU61" s="528"/>
      <c r="CV61" s="528"/>
      <c r="CW61" s="528"/>
      <c r="CX61" s="401"/>
      <c r="CY61" s="401"/>
      <c r="CZ61" s="476"/>
      <c r="DA61" s="179"/>
      <c r="DB61" s="527"/>
      <c r="DC61" s="527"/>
      <c r="DD61" s="527"/>
      <c r="DE61" s="528"/>
      <c r="DF61" s="528"/>
      <c r="DG61" s="528"/>
      <c r="DH61" s="461"/>
      <c r="DI61" s="527"/>
      <c r="DJ61" s="527"/>
      <c r="DK61" s="527"/>
      <c r="DL61" s="528"/>
      <c r="DM61" s="528"/>
      <c r="DN61" s="528"/>
      <c r="DO61"/>
      <c r="DP61" s="476"/>
      <c r="DQ61" s="179"/>
      <c r="DR61" s="631"/>
      <c r="DS61" s="631"/>
      <c r="DT61" s="631"/>
      <c r="DU61" s="631"/>
      <c r="DV61" s="631"/>
      <c r="DW61" s="631"/>
      <c r="DX61" s="453"/>
      <c r="DY61" s="631"/>
      <c r="DZ61" s="631"/>
      <c r="EA61" s="631"/>
      <c r="EB61" s="631"/>
      <c r="EC61" s="631"/>
      <c r="ED61" s="631"/>
      <c r="EE61" s="476"/>
      <c r="EF61" s="179"/>
      <c r="EG61" s="485"/>
      <c r="EH61" s="485"/>
      <c r="EI61" s="485"/>
      <c r="EJ61" s="485"/>
      <c r="EK61" s="485"/>
      <c r="EL61" s="485"/>
      <c r="EM61" s="449"/>
      <c r="EN61" s="481" t="s">
        <v>3168</v>
      </c>
      <c r="EO61" s="481" t="s">
        <v>3176</v>
      </c>
      <c r="EP61" s="481" t="s">
        <v>3185</v>
      </c>
      <c r="EQ61" s="481"/>
      <c r="ER61" s="481" t="s">
        <v>3193</v>
      </c>
      <c r="ES61" s="481"/>
      <c r="EV61" s="476"/>
      <c r="EW61" s="179"/>
      <c r="EX61" s="482"/>
      <c r="EY61" s="604"/>
      <c r="EZ61" s="604"/>
      <c r="FA61" s="604"/>
      <c r="FB61" s="604"/>
      <c r="FC61" s="604"/>
      <c r="FD61" s="449"/>
      <c r="FE61" s="601"/>
      <c r="FF61" s="482"/>
      <c r="FG61" s="482"/>
      <c r="FH61" s="485"/>
      <c r="FI61" s="482"/>
      <c r="FJ61" s="482"/>
    </row>
    <row r="62" spans="1:166" ht="22.5" customHeight="1">
      <c r="A62" s="476"/>
      <c r="B62" s="39">
        <f t="shared" si="0"/>
        <v>9</v>
      </c>
      <c r="I62" s="40"/>
      <c r="Q62" s="476"/>
      <c r="R62" s="179"/>
      <c r="S62" s="549"/>
      <c r="T62" s="386" t="e">
        <f ca="1">VLOOKUP($AD62,'市場監控 '!$E$7:$W$194,6,FALSE)</f>
        <v>#NAME?</v>
      </c>
      <c r="U62" s="386" t="e">
        <f ca="1">VLOOKUP($AD62,'市場監控 '!$E$7:$W$194,7,FALSE)</f>
        <v>#NAME?</v>
      </c>
      <c r="V62" s="387" t="str">
        <f ca="1">VLOOKUP($AD62,'市場監控 '!$E$7:$W$194,8,FALSE)</f>
        <v>-</v>
      </c>
      <c r="W62" s="388" t="str">
        <f ca="1">VLOOKUP($AD62,'市場監控 '!$E$7:$W$194,10,FALSE)</f>
        <v>-</v>
      </c>
      <c r="X62" s="389" t="str">
        <f ca="1">VLOOKUP($AD62,'市場監控 '!$E$7:$W$194,12,FALSE)</f>
        <v>-</v>
      </c>
      <c r="Y62" s="390" t="str">
        <f ca="1">VLOOKUP($AD62,'市場監控 '!$E$7:$W$194,14,FALSE)</f>
        <v>-</v>
      </c>
      <c r="Z62" s="390" t="str">
        <f ca="1">VLOOKUP($AD62,'市場監控 '!$E$7:$W$194,15,FALSE)</f>
        <v>-</v>
      </c>
      <c r="AA62" s="389" t="e">
        <f ca="1">VLOOKUP($AD62,'市場監控 '!$E$7:$W$194,17,FALSE)</f>
        <v>#NAME?</v>
      </c>
      <c r="AB62" s="389" t="e">
        <f ca="1">VLOOKUP($AD62,'市場監控 '!$E$7:$W$194,18,FALSE)</f>
        <v>#NAME?</v>
      </c>
      <c r="AC62" s="389" t="e">
        <f ca="1">VLOOKUP($AD62,'市場監控 '!$E$7:$W$194,19,FALSE)</f>
        <v>#NAME?</v>
      </c>
      <c r="AD62" s="185" t="s">
        <v>1230</v>
      </c>
      <c r="AE62" s="300" t="s">
        <v>1772</v>
      </c>
      <c r="AF62" s="225"/>
      <c r="AG62" s="225"/>
      <c r="AH62" s="476"/>
      <c r="AI62" s="179"/>
      <c r="AJ62" s="404" t="e">
        <f ca="1">VLOOKUP($AL62,NI!$B$5:$AL$2030,6,FALSE)</f>
        <v>#NAME?</v>
      </c>
      <c r="AK62" s="404" t="e">
        <f ca="1">VLOOKUP($AL62,NI!$B$5:$AL$2030,2,FALSE)</f>
        <v>#NAME?</v>
      </c>
      <c r="AL62" s="405" t="e">
        <f ca="1">NI!B19</f>
        <v>#NAME?</v>
      </c>
      <c r="AM62" s="404" t="e">
        <f ca="1">VLOOKUP($AL62,NI!$B$5:$AL$2030,11,FALSE)</f>
        <v>#NAME?</v>
      </c>
      <c r="AN62" s="406" t="e">
        <f ca="1">VLOOKUP($AL62,NI!$B$5:$AL$2030,12,FALSE)/1000000</f>
        <v>#NAME?</v>
      </c>
      <c r="AO62" s="406"/>
      <c r="AP62" s="406" t="str">
        <f ca="1">IF(ISNUMBER(VLOOKUP($AL62,NI!$B$5:$AL$2030,13,FALSE)),VLOOKUP($AL62,NI!$B$5:$AL$2030,13,FALSE),"-")</f>
        <v>-</v>
      </c>
      <c r="AQ62" s="407" t="e">
        <f ca="1">VLOOKUP($AL62,NI!$B$5:$AL$2030,4,FALSE)</f>
        <v>#NAME?</v>
      </c>
      <c r="AR62" s="406" t="e">
        <f ca="1">VLOOKUP($AL62,NI!$B$5:$AL$2030,3,FALSE)</f>
        <v>#NAME?</v>
      </c>
      <c r="AS62" s="408" t="e">
        <f ca="1">VLOOKUP($AL62,NI!$B$5:$AL$2030,4,FALSE)</f>
        <v>#NAME?</v>
      </c>
      <c r="AT62" s="408" t="e">
        <f ca="1">IF(LEFT(VLOOKUP($AL62,NI!$B$5:$AL$2030,31,FALSE),1)="#","-",VLOOKUP($AL62,NI!$B$5:$AL$2030,31,FALSE))</f>
        <v>#NAME?</v>
      </c>
      <c r="AU62" s="408" t="e">
        <f ca="1">IF(LEFT(VLOOKUP($AL62,NI!$B$5:$AL$2030,32,FALSE),1)="#","-",VLOOKUP($AL62,NI!$B$5:$AL$2030,32,FALSE))</f>
        <v>#NAME?</v>
      </c>
      <c r="AV62" s="408" t="e">
        <f ca="1">IF(LEFT(VLOOKUP($AL62,NI!$B$5:$AL$2030,33,FALSE),1)="#","-",VLOOKUP($AL62,NI!$B$5:$AL$2030,33,FALSE))</f>
        <v>#NAME?</v>
      </c>
      <c r="AW62" s="409" t="e">
        <f ca="1">VLOOKUP($AL62,NI!$B$5:$AL$2030,22,FALSE)</f>
        <v>#NAME?</v>
      </c>
      <c r="AX62" s="409"/>
      <c r="AY62" s="409"/>
      <c r="AZ62" s="476"/>
      <c r="BA62" s="179"/>
      <c r="BR62" s="476"/>
      <c r="BS62" s="179"/>
      <c r="CI62" s="476"/>
      <c r="CJ62" s="179"/>
      <c r="CK62" s="527"/>
      <c r="CL62" s="527"/>
      <c r="CM62" s="527"/>
      <c r="CN62" s="533"/>
      <c r="CO62" s="533"/>
      <c r="CP62" s="533"/>
      <c r="CQ62" s="401"/>
      <c r="CR62" s="527"/>
      <c r="CS62" s="527"/>
      <c r="CT62" s="527"/>
      <c r="CU62" s="528"/>
      <c r="CV62" s="528"/>
      <c r="CW62" s="528"/>
      <c r="CX62" s="399"/>
      <c r="CY62" s="399"/>
      <c r="CZ62" s="476"/>
      <c r="DA62" s="179"/>
      <c r="DB62" s="527"/>
      <c r="DC62" s="527"/>
      <c r="DD62" s="527"/>
      <c r="DE62" s="528"/>
      <c r="DF62" s="528"/>
      <c r="DG62" s="528"/>
      <c r="DH62" s="461"/>
      <c r="DI62" s="527"/>
      <c r="DJ62" s="527"/>
      <c r="DK62" s="527"/>
      <c r="DL62" s="528"/>
      <c r="DM62" s="528"/>
      <c r="DN62" s="528"/>
      <c r="DO62" s="399"/>
      <c r="DP62" s="476"/>
      <c r="DQ62" s="179"/>
      <c r="DR62" s="623"/>
      <c r="DS62" s="624"/>
      <c r="DT62" s="624"/>
      <c r="DU62" s="624"/>
      <c r="DV62" s="624"/>
      <c r="DW62" s="624"/>
      <c r="DX62" s="453"/>
      <c r="DY62" s="623"/>
      <c r="DZ62" s="624"/>
      <c r="EA62" s="624"/>
      <c r="EB62" s="624"/>
      <c r="EC62" s="624"/>
      <c r="ED62" s="624"/>
      <c r="EE62" s="476"/>
      <c r="EF62" s="179"/>
      <c r="EG62" s="485"/>
      <c r="EH62" s="485"/>
      <c r="EI62" s="485"/>
      <c r="EJ62" s="485"/>
      <c r="EK62" s="485"/>
      <c r="EL62" s="485"/>
      <c r="EM62" s="449"/>
      <c r="EN62" s="482"/>
      <c r="EO62" s="481"/>
      <c r="EP62" s="481"/>
      <c r="EQ62" s="481"/>
      <c r="ER62" s="481"/>
      <c r="ES62" s="481"/>
      <c r="EV62" s="476"/>
      <c r="EW62" s="179"/>
      <c r="EX62" s="482"/>
      <c r="EY62" s="482"/>
      <c r="EZ62" s="482"/>
      <c r="FA62" s="482"/>
      <c r="FB62" s="482"/>
      <c r="FC62" s="482"/>
      <c r="FD62" s="449"/>
      <c r="FE62" s="482"/>
      <c r="FF62" s="482"/>
      <c r="FG62" s="482"/>
      <c r="FH62" s="485"/>
      <c r="FI62" s="482"/>
      <c r="FJ62" s="482"/>
    </row>
    <row r="63" spans="1:166" s="27" customFormat="1" ht="22.5" customHeight="1">
      <c r="A63" s="476"/>
      <c r="B63" s="39">
        <f>+B62+1</f>
        <v>10</v>
      </c>
      <c r="I63" s="194"/>
      <c r="P63" s="45"/>
      <c r="Q63" s="476"/>
      <c r="R63" s="179"/>
      <c r="S63" s="549"/>
      <c r="T63" s="386" t="e">
        <f ca="1">VLOOKUP($AD63,'市場監控 '!$E$7:$W$194,6,FALSE)</f>
        <v>#NAME?</v>
      </c>
      <c r="U63" s="386" t="e">
        <f ca="1">VLOOKUP($AD63,'市場監控 '!$E$7:$W$194,7,FALSE)</f>
        <v>#NAME?</v>
      </c>
      <c r="V63" s="387" t="str">
        <f ca="1">VLOOKUP($AD63,'市場監控 '!$E$7:$W$194,8,FALSE)</f>
        <v>-</v>
      </c>
      <c r="W63" s="388" t="str">
        <f ca="1">VLOOKUP($AD63,'市場監控 '!$E$7:$W$194,10,FALSE)</f>
        <v>-</v>
      </c>
      <c r="X63" s="389" t="str">
        <f ca="1">VLOOKUP($AD63,'市場監控 '!$E$7:$W$194,12,FALSE)</f>
        <v>-</v>
      </c>
      <c r="Y63" s="390" t="str">
        <f ca="1">VLOOKUP($AD63,'市場監控 '!$E$7:$W$194,14,FALSE)</f>
        <v>-</v>
      </c>
      <c r="Z63" s="390" t="str">
        <f ca="1">VLOOKUP($AD63,'市場監控 '!$E$7:$W$194,15,FALSE)</f>
        <v>-</v>
      </c>
      <c r="AA63" s="389" t="e">
        <f ca="1">VLOOKUP($AD63,'市場監控 '!$E$7:$W$194,17,FALSE)</f>
        <v>#NAME?</v>
      </c>
      <c r="AB63" s="389" t="e">
        <f ca="1">VLOOKUP($AD63,'市場監控 '!$E$7:$W$194,18,FALSE)</f>
        <v>#NAME?</v>
      </c>
      <c r="AC63" s="389" t="e">
        <f ca="1">VLOOKUP($AD63,'市場監控 '!$E$7:$W$194,19,FALSE)</f>
        <v>#NAME?</v>
      </c>
      <c r="AD63" s="370" t="s">
        <v>1231</v>
      </c>
      <c r="AE63" s="300" t="s">
        <v>1774</v>
      </c>
      <c r="AF63" s="225"/>
      <c r="AG63" s="225"/>
      <c r="AH63" s="476"/>
      <c r="AI63" s="179"/>
      <c r="AJ63" s="404" t="e">
        <f ca="1">VLOOKUP($AL63,NI!$B$5:$AL$2030,6,FALSE)</f>
        <v>#NAME?</v>
      </c>
      <c r="AK63" s="404" t="e">
        <f ca="1">VLOOKUP($AL63,NI!$B$5:$AL$2030,2,FALSE)</f>
        <v>#NAME?</v>
      </c>
      <c r="AL63" s="405" t="e">
        <f ca="1">NI!B20</f>
        <v>#NAME?</v>
      </c>
      <c r="AM63" s="404" t="e">
        <f ca="1">VLOOKUP($AL63,NI!$B$5:$AL$2030,11,FALSE)</f>
        <v>#NAME?</v>
      </c>
      <c r="AN63" s="406" t="e">
        <f ca="1">VLOOKUP($AL63,NI!$B$5:$AL$2030,12,FALSE)/1000000</f>
        <v>#NAME?</v>
      </c>
      <c r="AO63" s="406"/>
      <c r="AP63" s="406" t="str">
        <f ca="1">IF(ISNUMBER(VLOOKUP($AL63,NI!$B$5:$AL$2030,13,FALSE)),VLOOKUP($AL63,NI!$B$5:$AL$2030,13,FALSE),"-")</f>
        <v>-</v>
      </c>
      <c r="AQ63" s="407" t="e">
        <f ca="1">VLOOKUP($AL63,NI!$B$5:$AL$2030,4,FALSE)</f>
        <v>#NAME?</v>
      </c>
      <c r="AR63" s="406" t="e">
        <f ca="1">VLOOKUP($AL63,NI!$B$5:$AL$2030,3,FALSE)</f>
        <v>#NAME?</v>
      </c>
      <c r="AS63" s="408" t="e">
        <f ca="1">VLOOKUP($AL63,NI!$B$5:$AL$2030,4,FALSE)</f>
        <v>#NAME?</v>
      </c>
      <c r="AT63" s="408" t="e">
        <f ca="1">IF(LEFT(VLOOKUP($AL63,NI!$B$5:$AL$2030,31,FALSE),1)="#","-",VLOOKUP($AL63,NI!$B$5:$AL$2030,31,FALSE))</f>
        <v>#NAME?</v>
      </c>
      <c r="AU63" s="408" t="e">
        <f ca="1">IF(LEFT(VLOOKUP($AL63,NI!$B$5:$AL$2030,32,FALSE),1)="#","-",VLOOKUP($AL63,NI!$B$5:$AL$2030,32,FALSE))</f>
        <v>#NAME?</v>
      </c>
      <c r="AV63" s="408" t="e">
        <f ca="1">IF(LEFT(VLOOKUP($AL63,NI!$B$5:$AL$2030,33,FALSE),1)="#","-",VLOOKUP($AL63,NI!$B$5:$AL$2030,33,FALSE))</f>
        <v>#NAME?</v>
      </c>
      <c r="AW63" s="409" t="e">
        <f ca="1">VLOOKUP($AL63,NI!$B$5:$AL$2030,22,FALSE)</f>
        <v>#NAME?</v>
      </c>
      <c r="AX63" s="409"/>
      <c r="AY63" s="409"/>
      <c r="AZ63" s="476"/>
      <c r="BA63" s="179"/>
      <c r="BR63" s="476"/>
      <c r="BS63" s="179"/>
      <c r="CI63" s="476"/>
      <c r="CJ63" s="179"/>
      <c r="CK63" s="527"/>
      <c r="CL63" s="527"/>
      <c r="CM63" s="527"/>
      <c r="CN63" s="533"/>
      <c r="CO63" s="533"/>
      <c r="CP63" s="533"/>
      <c r="CQ63" s="401"/>
      <c r="CR63" s="527"/>
      <c r="CS63" s="527"/>
      <c r="CT63" s="527"/>
      <c r="CU63" s="528"/>
      <c r="CV63" s="528"/>
      <c r="CW63" s="528"/>
      <c r="CX63" s="399"/>
      <c r="CY63" s="399"/>
      <c r="CZ63" s="476"/>
      <c r="DA63" s="179"/>
      <c r="DB63" s="527"/>
      <c r="DC63" s="527"/>
      <c r="DD63" s="527"/>
      <c r="DE63" s="528"/>
      <c r="DF63" s="528"/>
      <c r="DG63" s="528"/>
      <c r="DH63" s="461"/>
      <c r="DI63" s="527"/>
      <c r="DJ63" s="527"/>
      <c r="DK63" s="527"/>
      <c r="DL63" s="528"/>
      <c r="DM63" s="528"/>
      <c r="DN63" s="528"/>
      <c r="DO63" s="399"/>
      <c r="DP63" s="476"/>
      <c r="DQ63" s="179"/>
      <c r="DR63" s="625"/>
      <c r="DS63" s="626"/>
      <c r="DT63" s="626"/>
      <c r="DU63" s="626"/>
      <c r="DV63" s="626"/>
      <c r="DW63" s="626"/>
      <c r="DX63" s="453"/>
      <c r="DY63" s="625"/>
      <c r="DZ63" s="626"/>
      <c r="EA63" s="626"/>
      <c r="EB63" s="626"/>
      <c r="EC63" s="626"/>
      <c r="ED63" s="626"/>
      <c r="EE63" s="476"/>
      <c r="EF63" s="179"/>
      <c r="EG63" s="485"/>
      <c r="EH63" s="485"/>
      <c r="EI63" s="485"/>
      <c r="EJ63" s="485"/>
      <c r="EK63" s="485"/>
      <c r="EL63" s="485"/>
      <c r="EM63" s="449"/>
      <c r="EN63" s="482"/>
      <c r="EO63" s="481"/>
      <c r="EP63" s="481"/>
      <c r="EQ63" s="481"/>
      <c r="ER63" s="481"/>
      <c r="ES63" s="481"/>
      <c r="EV63" s="476"/>
      <c r="EW63" s="179"/>
      <c r="EX63" s="602">
        <v>45047</v>
      </c>
      <c r="EY63" s="603" t="s">
        <v>3230</v>
      </c>
      <c r="EZ63" s="604"/>
      <c r="FA63" s="604"/>
      <c r="FB63" s="604"/>
      <c r="FC63" s="604"/>
      <c r="FD63" s="449"/>
      <c r="FE63" s="481" t="s">
        <v>3247</v>
      </c>
      <c r="FF63" s="481" t="s">
        <v>3254</v>
      </c>
      <c r="FG63" s="482"/>
      <c r="FH63" s="481">
        <v>95.1</v>
      </c>
      <c r="FI63" s="481" t="s">
        <v>3258</v>
      </c>
      <c r="FJ63" s="482"/>
    </row>
    <row r="64" spans="1:166" ht="22.5" customHeight="1">
      <c r="A64" s="476"/>
      <c r="B64" s="39">
        <f t="shared" si="0"/>
        <v>11</v>
      </c>
      <c r="I64" s="40"/>
      <c r="J64" s="195"/>
      <c r="K64" s="209"/>
      <c r="L64" s="208"/>
      <c r="M64" s="14"/>
      <c r="N64" s="15"/>
      <c r="O64" s="16"/>
      <c r="P64" s="45"/>
      <c r="Q64" s="476"/>
      <c r="R64" s="179"/>
      <c r="S64" s="549"/>
      <c r="T64" s="386" t="e">
        <f ca="1">VLOOKUP($AD64,'市場監控 '!$E$7:$W$194,6,FALSE)</f>
        <v>#NAME?</v>
      </c>
      <c r="U64" s="386" t="e">
        <f ca="1">VLOOKUP($AD64,'市場監控 '!$E$7:$W$194,7,FALSE)</f>
        <v>#NAME?</v>
      </c>
      <c r="V64" s="387" t="str">
        <f ca="1">VLOOKUP($AD64,'市場監控 '!$E$7:$W$194,8,FALSE)</f>
        <v>-</v>
      </c>
      <c r="W64" s="388" t="str">
        <f ca="1">VLOOKUP($AD64,'市場監控 '!$E$7:$W$194,10,FALSE)</f>
        <v>-</v>
      </c>
      <c r="X64" s="389" t="str">
        <f ca="1">VLOOKUP($AD64,'市場監控 '!$E$7:$W$194,12,FALSE)</f>
        <v>-</v>
      </c>
      <c r="Y64" s="390" t="str">
        <f ca="1">VLOOKUP($AD64,'市場監控 '!$E$7:$W$194,14,FALSE)</f>
        <v>-</v>
      </c>
      <c r="Z64" s="390" t="str">
        <f ca="1">VLOOKUP($AD64,'市場監控 '!$E$7:$W$194,15,FALSE)</f>
        <v>-</v>
      </c>
      <c r="AA64" s="389" t="e">
        <f ca="1">VLOOKUP($AD64,'市場監控 '!$E$7:$W$194,17,FALSE)</f>
        <v>#NAME?</v>
      </c>
      <c r="AB64" s="389" t="e">
        <f ca="1">VLOOKUP($AD64,'市場監控 '!$E$7:$W$194,18,FALSE)</f>
        <v>#NAME?</v>
      </c>
      <c r="AC64" s="389" t="e">
        <f ca="1">VLOOKUP($AD64,'市場監控 '!$E$7:$W$194,19,FALSE)</f>
        <v>#NAME?</v>
      </c>
      <c r="AD64" s="370" t="s">
        <v>1232</v>
      </c>
      <c r="AE64" s="246" t="s">
        <v>1776</v>
      </c>
      <c r="AF64" s="225"/>
      <c r="AG64" s="225"/>
      <c r="AH64" s="476"/>
      <c r="AI64" s="179"/>
      <c r="AJ64" s="404" t="e">
        <f ca="1">VLOOKUP($AL64,NI!$B$5:$AL$2030,6,FALSE)</f>
        <v>#NAME?</v>
      </c>
      <c r="AK64" s="404" t="e">
        <f ca="1">VLOOKUP($AL64,NI!$B$5:$AL$2030,2,FALSE)</f>
        <v>#NAME?</v>
      </c>
      <c r="AL64" s="405" t="e">
        <f ca="1">NI!B21</f>
        <v>#NAME?</v>
      </c>
      <c r="AM64" s="404" t="e">
        <f ca="1">VLOOKUP($AL64,NI!$B$5:$AL$2030,11,FALSE)</f>
        <v>#NAME?</v>
      </c>
      <c r="AN64" s="406" t="e">
        <f ca="1">VLOOKUP($AL64,NI!$B$5:$AL$2030,12,FALSE)/1000000</f>
        <v>#NAME?</v>
      </c>
      <c r="AO64" s="406"/>
      <c r="AP64" s="406" t="str">
        <f ca="1">IF(ISNUMBER(VLOOKUP($AL64,NI!$B$5:$AL$2030,13,FALSE)),VLOOKUP($AL64,NI!$B$5:$AL$2030,13,FALSE),"-")</f>
        <v>-</v>
      </c>
      <c r="AQ64" s="407" t="e">
        <f ca="1">VLOOKUP($AL64,NI!$B$5:$AL$2030,4,FALSE)</f>
        <v>#NAME?</v>
      </c>
      <c r="AR64" s="406" t="e">
        <f ca="1">VLOOKUP($AL64,NI!$B$5:$AL$2030,3,FALSE)</f>
        <v>#NAME?</v>
      </c>
      <c r="AS64" s="408" t="e">
        <f ca="1">VLOOKUP($AL64,NI!$B$5:$AL$2030,4,FALSE)</f>
        <v>#NAME?</v>
      </c>
      <c r="AT64" s="408" t="e">
        <f ca="1">IF(LEFT(VLOOKUP($AL64,NI!$B$5:$AL$2030,31,FALSE),1)="#","-",VLOOKUP($AL64,NI!$B$5:$AL$2030,31,FALSE))</f>
        <v>#NAME?</v>
      </c>
      <c r="AU64" s="408" t="e">
        <f ca="1">IF(LEFT(VLOOKUP($AL64,NI!$B$5:$AL$2030,32,FALSE),1)="#","-",VLOOKUP($AL64,NI!$B$5:$AL$2030,32,FALSE))</f>
        <v>#NAME?</v>
      </c>
      <c r="AV64" s="408" t="e">
        <f ca="1">IF(LEFT(VLOOKUP($AL64,NI!$B$5:$AL$2030,33,FALSE),1)="#","-",VLOOKUP($AL64,NI!$B$5:$AL$2030,33,FALSE))</f>
        <v>#NAME?</v>
      </c>
      <c r="AW64" s="409" t="e">
        <f ca="1">VLOOKUP($AL64,NI!$B$5:$AL$2030,22,FALSE)</f>
        <v>#NAME?</v>
      </c>
      <c r="AX64" s="409"/>
      <c r="AY64" s="409"/>
      <c r="AZ64" s="476"/>
      <c r="BA64" s="179"/>
      <c r="BR64" s="476"/>
      <c r="BS64" s="179"/>
      <c r="CI64" s="476"/>
      <c r="CJ64" s="179"/>
      <c r="CK64" s="527"/>
      <c r="CL64" s="527"/>
      <c r="CM64" s="527"/>
      <c r="CN64" s="533"/>
      <c r="CO64" s="533"/>
      <c r="CP64" s="533"/>
      <c r="CQ64" s="401"/>
      <c r="CR64" s="527"/>
      <c r="CS64" s="527"/>
      <c r="CT64" s="527"/>
      <c r="CU64" s="528"/>
      <c r="CV64" s="528"/>
      <c r="CW64" s="528"/>
      <c r="CX64" s="451"/>
      <c r="CY64" s="451"/>
      <c r="CZ64" s="476"/>
      <c r="DA64" s="179"/>
      <c r="DB64" s="527"/>
      <c r="DC64" s="527"/>
      <c r="DD64" s="527"/>
      <c r="DE64" s="528"/>
      <c r="DF64" s="528"/>
      <c r="DG64" s="528"/>
      <c r="DH64" s="461"/>
      <c r="DI64" s="527"/>
      <c r="DJ64" s="527"/>
      <c r="DK64" s="527"/>
      <c r="DL64" s="528"/>
      <c r="DM64" s="528"/>
      <c r="DN64" s="528"/>
      <c r="DO64"/>
      <c r="DP64" s="476"/>
      <c r="DQ64" s="179"/>
      <c r="DR64" s="627"/>
      <c r="DS64" s="630"/>
      <c r="DT64" s="630"/>
      <c r="DU64" s="630"/>
      <c r="DV64" s="630"/>
      <c r="DW64" s="630"/>
      <c r="DX64" s="453"/>
      <c r="DY64" s="627"/>
      <c r="DZ64" s="630"/>
      <c r="EA64" s="630"/>
      <c r="EB64" s="630"/>
      <c r="EC64" s="630"/>
      <c r="ED64" s="630"/>
      <c r="EE64" s="476"/>
      <c r="EF64" s="179"/>
      <c r="EG64" s="449"/>
      <c r="EH64" s="449"/>
      <c r="EI64" s="449"/>
      <c r="EJ64" s="449"/>
      <c r="EK64" s="449"/>
      <c r="EL64" s="449"/>
      <c r="EM64" s="449"/>
      <c r="EN64" s="481" t="s">
        <v>3169</v>
      </c>
      <c r="EO64" s="481" t="s">
        <v>3177</v>
      </c>
      <c r="EP64" s="481" t="s">
        <v>3186</v>
      </c>
      <c r="EQ64" s="481"/>
      <c r="ER64" s="481" t="s">
        <v>3194</v>
      </c>
      <c r="ES64" s="481"/>
      <c r="EV64" s="476"/>
      <c r="EW64" s="179"/>
      <c r="EX64" s="482"/>
      <c r="EY64" s="604"/>
      <c r="EZ64" s="604"/>
      <c r="FA64" s="604"/>
      <c r="FB64" s="604"/>
      <c r="FC64" s="604"/>
      <c r="FD64" s="449"/>
      <c r="FE64" s="601"/>
      <c r="FF64" s="482"/>
      <c r="FG64" s="482"/>
      <c r="FH64" s="485"/>
      <c r="FI64" s="482"/>
      <c r="FJ64" s="482"/>
    </row>
    <row r="65" spans="1:166" ht="22.5" customHeight="1">
      <c r="A65" s="476"/>
      <c r="B65" s="39">
        <f t="shared" si="0"/>
        <v>12</v>
      </c>
      <c r="I65" s="194"/>
      <c r="J65"/>
      <c r="Q65" s="476"/>
      <c r="R65" s="179"/>
      <c r="S65" s="549"/>
      <c r="T65" s="386" t="e">
        <f ca="1">VLOOKUP($AD65,'市場監控 '!$E$7:$W$194,6,FALSE)</f>
        <v>#NAME?</v>
      </c>
      <c r="U65" s="386" t="e">
        <f ca="1">VLOOKUP($AD65,'市場監控 '!$E$7:$W$194,7,FALSE)</f>
        <v>#NAME?</v>
      </c>
      <c r="V65" s="387" t="str">
        <f ca="1">VLOOKUP($AD65,'市場監控 '!$E$7:$W$194,8,FALSE)</f>
        <v>-</v>
      </c>
      <c r="W65" s="388" t="str">
        <f ca="1">VLOOKUP($AD65,'市場監控 '!$E$7:$W$194,10,FALSE)</f>
        <v>-</v>
      </c>
      <c r="X65" s="389" t="str">
        <f ca="1">VLOOKUP($AD65,'市場監控 '!$E$7:$W$194,12,FALSE)</f>
        <v>-</v>
      </c>
      <c r="Y65" s="390" t="str">
        <f ca="1">VLOOKUP($AD65,'市場監控 '!$E$7:$W$194,14,FALSE)</f>
        <v>-</v>
      </c>
      <c r="Z65" s="390" t="str">
        <f ca="1">VLOOKUP($AD65,'市場監控 '!$E$7:$W$194,15,FALSE)</f>
        <v>-</v>
      </c>
      <c r="AA65" s="389" t="e">
        <f ca="1">VLOOKUP($AD65,'市場監控 '!$E$7:$W$194,17,FALSE)</f>
        <v>#NAME?</v>
      </c>
      <c r="AB65" s="389" t="e">
        <f ca="1">VLOOKUP($AD65,'市場監控 '!$E$7:$W$194,18,FALSE)</f>
        <v>#NAME?</v>
      </c>
      <c r="AC65" s="389" t="e">
        <f ca="1">VLOOKUP($AD65,'市場監控 '!$E$7:$W$194,19,FALSE)</f>
        <v>#NAME?</v>
      </c>
      <c r="AD65" s="186" t="s">
        <v>1233</v>
      </c>
      <c r="AE65" s="246" t="s">
        <v>1778</v>
      </c>
      <c r="AF65" s="225"/>
      <c r="AG65" s="225"/>
      <c r="AH65" s="476"/>
      <c r="AI65" s="179"/>
      <c r="AJ65" s="404" t="e">
        <f ca="1">VLOOKUP($AL65,NI!$B$5:$AL$2030,6,FALSE)</f>
        <v>#NAME?</v>
      </c>
      <c r="AK65" s="404" t="e">
        <f ca="1">VLOOKUP($AL65,NI!$B$5:$AL$2030,2,FALSE)</f>
        <v>#NAME?</v>
      </c>
      <c r="AL65" s="405" t="e">
        <f ca="1">NI!B22</f>
        <v>#NAME?</v>
      </c>
      <c r="AM65" s="404" t="e">
        <f ca="1">VLOOKUP($AL65,NI!$B$5:$AL$2030,11,FALSE)</f>
        <v>#NAME?</v>
      </c>
      <c r="AN65" s="406" t="e">
        <f ca="1">VLOOKUP($AL65,NI!$B$5:$AL$2030,12,FALSE)/1000000</f>
        <v>#NAME?</v>
      </c>
      <c r="AO65" s="406"/>
      <c r="AP65" s="406" t="str">
        <f ca="1">IF(ISNUMBER(VLOOKUP($AL65,NI!$B$5:$AL$2030,13,FALSE)),VLOOKUP($AL65,NI!$B$5:$AL$2030,13,FALSE),"-")</f>
        <v>-</v>
      </c>
      <c r="AQ65" s="407" t="e">
        <f ca="1">VLOOKUP($AL65,NI!$B$5:$AL$2030,4,FALSE)</f>
        <v>#NAME?</v>
      </c>
      <c r="AR65" s="406" t="e">
        <f ca="1">VLOOKUP($AL65,NI!$B$5:$AL$2030,3,FALSE)</f>
        <v>#NAME?</v>
      </c>
      <c r="AS65" s="408" t="e">
        <f ca="1">VLOOKUP($AL65,NI!$B$5:$AL$2030,4,FALSE)</f>
        <v>#NAME?</v>
      </c>
      <c r="AT65" s="408" t="e">
        <f ca="1">IF(LEFT(VLOOKUP($AL65,NI!$B$5:$AL$2030,31,FALSE),1)="#","-",VLOOKUP($AL65,NI!$B$5:$AL$2030,31,FALSE))</f>
        <v>#NAME?</v>
      </c>
      <c r="AU65" s="408" t="e">
        <f ca="1">IF(LEFT(VLOOKUP($AL65,NI!$B$5:$AL$2030,32,FALSE),1)="#","-",VLOOKUP($AL65,NI!$B$5:$AL$2030,32,FALSE))</f>
        <v>#NAME?</v>
      </c>
      <c r="AV65" s="408" t="e">
        <f ca="1">IF(LEFT(VLOOKUP($AL65,NI!$B$5:$AL$2030,33,FALSE),1)="#","-",VLOOKUP($AL65,NI!$B$5:$AL$2030,33,FALSE))</f>
        <v>#NAME?</v>
      </c>
      <c r="AW65" s="409" t="e">
        <f ca="1">VLOOKUP($AL65,NI!$B$5:$AL$2030,22,FALSE)</f>
        <v>#NAME?</v>
      </c>
      <c r="AX65" s="409"/>
      <c r="AY65" s="409"/>
      <c r="AZ65" s="476"/>
      <c r="BA65" s="179"/>
      <c r="BR65" s="476"/>
      <c r="BS65" s="179"/>
      <c r="CI65" s="476"/>
      <c r="CJ65" s="179"/>
      <c r="CK65" s="527"/>
      <c r="CL65" s="527"/>
      <c r="CM65" s="527"/>
      <c r="CN65" s="533"/>
      <c r="CO65" s="533"/>
      <c r="CP65" s="533"/>
      <c r="CQ65" s="401"/>
      <c r="CR65" s="527"/>
      <c r="CS65" s="527"/>
      <c r="CT65" s="527"/>
      <c r="CU65" s="528"/>
      <c r="CV65" s="528"/>
      <c r="CW65" s="528"/>
      <c r="CX65" s="451"/>
      <c r="CY65" s="451"/>
      <c r="CZ65" s="476"/>
      <c r="DA65" s="179"/>
      <c r="DB65" s="527"/>
      <c r="DC65" s="527"/>
      <c r="DD65" s="527"/>
      <c r="DE65" s="528"/>
      <c r="DF65" s="528"/>
      <c r="DG65" s="528"/>
      <c r="DH65" s="461"/>
      <c r="DI65" s="527"/>
      <c r="DJ65" s="527"/>
      <c r="DK65" s="527"/>
      <c r="DL65" s="528"/>
      <c r="DM65" s="528"/>
      <c r="DN65" s="528"/>
      <c r="DO65"/>
      <c r="DP65" s="476"/>
      <c r="DQ65" s="179"/>
      <c r="DR65" s="630"/>
      <c r="DS65" s="630"/>
      <c r="DT65" s="630"/>
      <c r="DU65" s="630"/>
      <c r="DV65" s="630"/>
      <c r="DW65" s="630"/>
      <c r="DX65" s="453"/>
      <c r="DY65" s="630"/>
      <c r="DZ65" s="630"/>
      <c r="EA65" s="630"/>
      <c r="EB65" s="630"/>
      <c r="EC65" s="630"/>
      <c r="ED65" s="630"/>
      <c r="EE65" s="476"/>
      <c r="EF65" s="179"/>
      <c r="EG65" s="449"/>
      <c r="EH65" s="449"/>
      <c r="EI65" s="449"/>
      <c r="EJ65" s="449"/>
      <c r="EK65" s="449"/>
      <c r="EL65" s="449"/>
      <c r="EM65" s="449"/>
      <c r="EN65" s="482"/>
      <c r="EO65" s="481"/>
      <c r="EP65" s="481"/>
      <c r="EQ65" s="481"/>
      <c r="ER65" s="481"/>
      <c r="ES65" s="481"/>
      <c r="EV65" s="476"/>
      <c r="EW65" s="179"/>
      <c r="EX65" s="482"/>
      <c r="EY65" s="482"/>
      <c r="EZ65" s="482"/>
      <c r="FA65" s="482"/>
      <c r="FB65" s="482"/>
      <c r="FC65" s="482"/>
      <c r="FD65" s="449"/>
      <c r="FE65" s="482"/>
      <c r="FF65" s="482"/>
      <c r="FG65" s="482"/>
      <c r="FH65" s="485"/>
      <c r="FI65" s="482"/>
      <c r="FJ65" s="482"/>
    </row>
    <row r="66" spans="1:166" ht="22.5" customHeight="1">
      <c r="A66" s="476"/>
      <c r="B66" s="39">
        <f t="shared" si="0"/>
        <v>13</v>
      </c>
      <c r="C66" s="542" t="s">
        <v>871</v>
      </c>
      <c r="D66" s="493"/>
      <c r="E66" s="493"/>
      <c r="F66" s="493"/>
      <c r="G66" s="493"/>
      <c r="H66" s="493"/>
      <c r="I66" s="410"/>
      <c r="J66" s="576" t="s">
        <v>3948</v>
      </c>
      <c r="K66" s="577"/>
      <c r="L66" s="577"/>
      <c r="M66" s="577"/>
      <c r="N66" s="577"/>
      <c r="O66" s="577"/>
      <c r="Q66" s="476"/>
      <c r="R66" s="179"/>
      <c r="S66" s="549"/>
      <c r="T66" s="386" t="e">
        <f ca="1">VLOOKUP($AD66,'市場監控 '!$E$7:$W$194,6,FALSE)</f>
        <v>#NAME?</v>
      </c>
      <c r="U66" s="386" t="e">
        <f ca="1">VLOOKUP($AD66,'市場監控 '!$E$7:$W$194,7,FALSE)</f>
        <v>#NAME?</v>
      </c>
      <c r="V66" s="387" t="str">
        <f ca="1">VLOOKUP($AD66,'市場監控 '!$E$7:$W$194,8,FALSE)</f>
        <v>-</v>
      </c>
      <c r="W66" s="388" t="str">
        <f ca="1">VLOOKUP($AD66,'市場監控 '!$E$7:$W$194,10,FALSE)</f>
        <v>-</v>
      </c>
      <c r="X66" s="389" t="str">
        <f ca="1">VLOOKUP($AD66,'市場監控 '!$E$7:$W$194,12,FALSE)</f>
        <v>-</v>
      </c>
      <c r="Y66" s="390" t="str">
        <f ca="1">VLOOKUP($AD66,'市場監控 '!$E$7:$W$194,14,FALSE)</f>
        <v>-</v>
      </c>
      <c r="Z66" s="390" t="str">
        <f ca="1">VLOOKUP($AD66,'市場監控 '!$E$7:$W$194,15,FALSE)</f>
        <v>-</v>
      </c>
      <c r="AA66" s="389" t="e">
        <f ca="1">VLOOKUP($AD66,'市場監控 '!$E$7:$W$194,17,FALSE)</f>
        <v>#NAME?</v>
      </c>
      <c r="AB66" s="389" t="e">
        <f ca="1">VLOOKUP($AD66,'市場監控 '!$E$7:$W$194,18,FALSE)</f>
        <v>#NAME?</v>
      </c>
      <c r="AC66" s="389" t="e">
        <f ca="1">VLOOKUP($AD66,'市場監控 '!$E$7:$W$194,19,FALSE)</f>
        <v>#NAME?</v>
      </c>
      <c r="AD66" s="185" t="s">
        <v>1856</v>
      </c>
      <c r="AE66" s="246" t="s">
        <v>1780</v>
      </c>
      <c r="AF66" s="225"/>
      <c r="AG66" s="225"/>
      <c r="AH66" s="476"/>
      <c r="AI66" s="179"/>
      <c r="AJ66" s="404" t="e">
        <f ca="1">VLOOKUP($AL66,NI!$B$5:$AL$2030,6,FALSE)</f>
        <v>#NAME?</v>
      </c>
      <c r="AK66" s="404" t="e">
        <f ca="1">VLOOKUP($AL66,NI!$B$5:$AL$2030,2,FALSE)</f>
        <v>#NAME?</v>
      </c>
      <c r="AL66" s="405" t="e">
        <f ca="1">NI!B23</f>
        <v>#NAME?</v>
      </c>
      <c r="AM66" s="404" t="e">
        <f ca="1">VLOOKUP($AL66,NI!$B$5:$AL$2030,11,FALSE)</f>
        <v>#NAME?</v>
      </c>
      <c r="AN66" s="406" t="e">
        <f ca="1">VLOOKUP($AL66,NI!$B$5:$AL$2030,12,FALSE)/1000000</f>
        <v>#NAME?</v>
      </c>
      <c r="AO66" s="406"/>
      <c r="AP66" s="406" t="str">
        <f ca="1">IF(ISNUMBER(VLOOKUP($AL66,NI!$B$5:$AL$2030,13,FALSE)),VLOOKUP($AL66,NI!$B$5:$AL$2030,13,FALSE),"-")</f>
        <v>-</v>
      </c>
      <c r="AQ66" s="407" t="e">
        <f ca="1">VLOOKUP($AL66,NI!$B$5:$AL$2030,4,FALSE)</f>
        <v>#NAME?</v>
      </c>
      <c r="AR66" s="406" t="e">
        <f ca="1">VLOOKUP($AL66,NI!$B$5:$AL$2030,3,FALSE)</f>
        <v>#NAME?</v>
      </c>
      <c r="AS66" s="408" t="e">
        <f ca="1">VLOOKUP($AL66,NI!$B$5:$AL$2030,4,FALSE)</f>
        <v>#NAME?</v>
      </c>
      <c r="AT66" s="408" t="e">
        <f ca="1">IF(LEFT(VLOOKUP($AL66,NI!$B$5:$AL$2030,31,FALSE),1)="#","-",VLOOKUP($AL66,NI!$B$5:$AL$2030,31,FALSE))</f>
        <v>#NAME?</v>
      </c>
      <c r="AU66" s="408" t="e">
        <f ca="1">IF(LEFT(VLOOKUP($AL66,NI!$B$5:$AL$2030,32,FALSE),1)="#","-",VLOOKUP($AL66,NI!$B$5:$AL$2030,32,FALSE))</f>
        <v>#NAME?</v>
      </c>
      <c r="AV66" s="408" t="e">
        <f ca="1">IF(LEFT(VLOOKUP($AL66,NI!$B$5:$AL$2030,33,FALSE),1)="#","-",VLOOKUP($AL66,NI!$B$5:$AL$2030,33,FALSE))</f>
        <v>#NAME?</v>
      </c>
      <c r="AW66" s="409" t="e">
        <f ca="1">VLOOKUP($AL66,NI!$B$5:$AL$2030,22,FALSE)</f>
        <v>#NAME?</v>
      </c>
      <c r="AX66" s="409"/>
      <c r="AY66" s="409"/>
      <c r="AZ66" s="476"/>
      <c r="BA66" s="179"/>
      <c r="BR66" s="476"/>
      <c r="BS66" s="179"/>
      <c r="CI66" s="476"/>
      <c r="CJ66" s="179"/>
      <c r="CK66" s="527"/>
      <c r="CL66" s="527"/>
      <c r="CM66" s="527"/>
      <c r="CN66" s="533"/>
      <c r="CO66" s="533"/>
      <c r="CP66" s="533"/>
      <c r="CQ66" s="401"/>
      <c r="CR66" s="527"/>
      <c r="CS66" s="527"/>
      <c r="CT66" s="527"/>
      <c r="CU66" s="528"/>
      <c r="CV66" s="528"/>
      <c r="CW66" s="528"/>
      <c r="CX66" s="451"/>
      <c r="CY66" s="451"/>
      <c r="CZ66" s="476"/>
      <c r="DA66" s="179"/>
      <c r="DB66" s="527"/>
      <c r="DC66" s="527"/>
      <c r="DD66" s="527"/>
      <c r="DE66" s="528"/>
      <c r="DF66" s="528"/>
      <c r="DG66" s="528"/>
      <c r="DH66" s="461"/>
      <c r="DI66" s="527"/>
      <c r="DJ66" s="527"/>
      <c r="DK66" s="527"/>
      <c r="DL66" s="528"/>
      <c r="DM66" s="528"/>
      <c r="DN66" s="528"/>
      <c r="DO66"/>
      <c r="DP66" s="476"/>
      <c r="DQ66" s="179"/>
      <c r="DR66" s="630"/>
      <c r="DS66" s="630"/>
      <c r="DT66" s="630"/>
      <c r="DU66" s="630"/>
      <c r="DV66" s="630"/>
      <c r="DW66" s="630"/>
      <c r="DX66" s="453"/>
      <c r="DY66" s="630"/>
      <c r="DZ66" s="630"/>
      <c r="EA66" s="630"/>
      <c r="EB66" s="630"/>
      <c r="EC66" s="630"/>
      <c r="ED66" s="630"/>
      <c r="EE66" s="476"/>
      <c r="EF66" s="179"/>
      <c r="EG66" s="449"/>
      <c r="EH66" s="449"/>
      <c r="EI66" s="449"/>
      <c r="EJ66" s="449"/>
      <c r="EK66" s="449"/>
      <c r="EL66" s="449"/>
      <c r="EM66" s="449"/>
      <c r="EN66" s="482"/>
      <c r="EO66" s="481"/>
      <c r="EP66" s="481"/>
      <c r="EQ66" s="481"/>
      <c r="ER66" s="481"/>
      <c r="ES66" s="481"/>
      <c r="EV66" s="476"/>
      <c r="EW66" s="179"/>
      <c r="EX66" s="449"/>
      <c r="EY66" s="449"/>
      <c r="EZ66" s="449"/>
      <c r="FA66" s="449"/>
      <c r="FB66" s="449"/>
      <c r="FC66" s="449"/>
      <c r="FD66" s="449"/>
      <c r="FE66" s="450"/>
      <c r="FF66" s="452"/>
      <c r="FG66" s="452"/>
      <c r="FH66" s="452"/>
      <c r="FI66" s="452"/>
      <c r="FJ66" s="452"/>
    </row>
    <row r="67" spans="1:166" ht="22.5" customHeight="1">
      <c r="A67" s="476"/>
      <c r="B67" s="39">
        <f t="shared" si="0"/>
        <v>14</v>
      </c>
      <c r="C67" s="479"/>
      <c r="D67" s="480"/>
      <c r="E67" s="480"/>
      <c r="F67" s="480"/>
      <c r="G67" s="480"/>
      <c r="H67" s="480"/>
      <c r="I67" s="411"/>
      <c r="J67" s="578"/>
      <c r="K67" s="579"/>
      <c r="L67" s="579"/>
      <c r="M67" s="579"/>
      <c r="N67" s="579"/>
      <c r="O67" s="579"/>
      <c r="P67" s="45"/>
      <c r="Q67" s="476"/>
      <c r="R67" s="179"/>
      <c r="S67" s="549"/>
      <c r="T67" s="386" t="e">
        <f ca="1">VLOOKUP($AD67,'市場監控 '!$E$7:$W$194,6,FALSE)</f>
        <v>#NAME?</v>
      </c>
      <c r="U67" s="386" t="e">
        <f ca="1">VLOOKUP($AD67,'市場監控 '!$E$7:$W$194,7,FALSE)</f>
        <v>#NAME?</v>
      </c>
      <c r="V67" s="387" t="str">
        <f ca="1">VLOOKUP($AD67,'市場監控 '!$E$7:$W$194,8,FALSE)</f>
        <v>-</v>
      </c>
      <c r="W67" s="388" t="str">
        <f ca="1">VLOOKUP($AD67,'市場監控 '!$E$7:$W$194,10,FALSE)</f>
        <v>-</v>
      </c>
      <c r="X67" s="389" t="str">
        <f ca="1">VLOOKUP($AD67,'市場監控 '!$E$7:$W$194,12,FALSE)</f>
        <v>-</v>
      </c>
      <c r="Y67" s="390" t="str">
        <f ca="1">VLOOKUP($AD67,'市場監控 '!$E$7:$W$194,14,FALSE)</f>
        <v>-</v>
      </c>
      <c r="Z67" s="390" t="str">
        <f ca="1">VLOOKUP($AD67,'市場監控 '!$E$7:$W$194,15,FALSE)</f>
        <v>-</v>
      </c>
      <c r="AA67" s="389" t="e">
        <f ca="1">VLOOKUP($AD67,'市場監控 '!$E$7:$W$194,17,FALSE)</f>
        <v>#NAME?</v>
      </c>
      <c r="AB67" s="389" t="e">
        <f ca="1">VLOOKUP($AD67,'市場監控 '!$E$7:$W$194,18,FALSE)</f>
        <v>#NAME?</v>
      </c>
      <c r="AC67" s="389" t="e">
        <f ca="1">VLOOKUP($AD67,'市場監控 '!$E$7:$W$194,19,FALSE)</f>
        <v>#NAME?</v>
      </c>
      <c r="AD67" s="186" t="s">
        <v>1857</v>
      </c>
      <c r="AE67" s="300" t="s">
        <v>1782</v>
      </c>
      <c r="AF67" s="225"/>
      <c r="AG67" s="225"/>
      <c r="AH67" s="476"/>
      <c r="AI67" s="179"/>
      <c r="AJ67" s="404" t="e">
        <f ca="1">VLOOKUP($AL67,NI!$B$5:$AL$2030,6,FALSE)</f>
        <v>#NAME?</v>
      </c>
      <c r="AK67" s="404" t="e">
        <f ca="1">VLOOKUP($AL67,NI!$B$5:$AL$2030,2,FALSE)</f>
        <v>#NAME?</v>
      </c>
      <c r="AL67" s="405" t="e">
        <f ca="1">NI!B24</f>
        <v>#NAME?</v>
      </c>
      <c r="AM67" s="404" t="e">
        <f ca="1">VLOOKUP($AL67,NI!$B$5:$AL$2030,11,FALSE)</f>
        <v>#NAME?</v>
      </c>
      <c r="AN67" s="406" t="e">
        <f ca="1">VLOOKUP($AL67,NI!$B$5:$AL$2030,12,FALSE)/1000000</f>
        <v>#NAME?</v>
      </c>
      <c r="AO67" s="406"/>
      <c r="AP67" s="406" t="str">
        <f ca="1">IF(ISNUMBER(VLOOKUP($AL67,NI!$B$5:$AL$2030,13,FALSE)),VLOOKUP($AL67,NI!$B$5:$AL$2030,13,FALSE),"-")</f>
        <v>-</v>
      </c>
      <c r="AQ67" s="407" t="e">
        <f ca="1">VLOOKUP($AL67,NI!$B$5:$AL$2030,4,FALSE)</f>
        <v>#NAME?</v>
      </c>
      <c r="AR67" s="406" t="e">
        <f ca="1">VLOOKUP($AL67,NI!$B$5:$AL$2030,3,FALSE)</f>
        <v>#NAME?</v>
      </c>
      <c r="AS67" s="408" t="e">
        <f ca="1">VLOOKUP($AL67,NI!$B$5:$AL$2030,4,FALSE)</f>
        <v>#NAME?</v>
      </c>
      <c r="AT67" s="408" t="e">
        <f ca="1">IF(LEFT(VLOOKUP($AL67,NI!$B$5:$AL$2030,31,FALSE),1)="#","-",VLOOKUP($AL67,NI!$B$5:$AL$2030,31,FALSE))</f>
        <v>#NAME?</v>
      </c>
      <c r="AU67" s="408" t="e">
        <f ca="1">IF(LEFT(VLOOKUP($AL67,NI!$B$5:$AL$2030,32,FALSE),1)="#","-",VLOOKUP($AL67,NI!$B$5:$AL$2030,32,FALSE))</f>
        <v>#NAME?</v>
      </c>
      <c r="AV67" s="408" t="e">
        <f ca="1">IF(LEFT(VLOOKUP($AL67,NI!$B$5:$AL$2030,33,FALSE),1)="#","-",VLOOKUP($AL67,NI!$B$5:$AL$2030,33,FALSE))</f>
        <v>#NAME?</v>
      </c>
      <c r="AW67" s="409" t="e">
        <f ca="1">VLOOKUP($AL67,NI!$B$5:$AL$2030,22,FALSE)</f>
        <v>#NAME?</v>
      </c>
      <c r="AX67" s="409"/>
      <c r="AY67" s="409"/>
      <c r="AZ67" s="476"/>
      <c r="BA67" s="179"/>
      <c r="BR67" s="476"/>
      <c r="BS67" s="179"/>
      <c r="CI67" s="476"/>
      <c r="CJ67" s="179"/>
      <c r="CK67" s="527"/>
      <c r="CL67" s="527"/>
      <c r="CM67" s="527"/>
      <c r="CN67" s="533"/>
      <c r="CO67" s="533"/>
      <c r="CP67" s="533"/>
      <c r="CQ67" s="401"/>
      <c r="CR67" s="527"/>
      <c r="CS67" s="527"/>
      <c r="CT67" s="527"/>
      <c r="CU67" s="528"/>
      <c r="CV67" s="528"/>
      <c r="CW67" s="528"/>
      <c r="CX67" s="451"/>
      <c r="CY67" s="451"/>
      <c r="CZ67" s="476"/>
      <c r="DA67" s="179"/>
      <c r="DB67" s="527"/>
      <c r="DC67" s="527"/>
      <c r="DD67" s="527"/>
      <c r="DE67" s="528"/>
      <c r="DF67" s="528"/>
      <c r="DG67" s="528"/>
      <c r="DH67" s="461"/>
      <c r="DI67" s="527"/>
      <c r="DJ67" s="527"/>
      <c r="DK67" s="527"/>
      <c r="DL67" s="528"/>
      <c r="DM67" s="528"/>
      <c r="DN67" s="528"/>
      <c r="DO67"/>
      <c r="DP67" s="476"/>
      <c r="DQ67" s="179"/>
      <c r="DR67" s="630"/>
      <c r="DS67" s="630"/>
      <c r="DT67" s="630"/>
      <c r="DU67" s="630"/>
      <c r="DV67" s="630"/>
      <c r="DW67" s="630"/>
      <c r="DX67" s="453"/>
      <c r="DY67" s="630"/>
      <c r="DZ67" s="630"/>
      <c r="EA67" s="630"/>
      <c r="EB67" s="630"/>
      <c r="EC67" s="630"/>
      <c r="ED67" s="630"/>
      <c r="EE67" s="476"/>
      <c r="EF67" s="179"/>
      <c r="EG67" s="449"/>
      <c r="EH67" s="449"/>
      <c r="EI67" s="449"/>
      <c r="EJ67" s="449"/>
      <c r="EK67" s="449"/>
      <c r="EL67" s="449"/>
      <c r="EM67" s="449"/>
      <c r="EN67" s="481" t="s">
        <v>3170</v>
      </c>
      <c r="EO67" s="481" t="s">
        <v>3178</v>
      </c>
      <c r="EP67" s="481" t="s">
        <v>3187</v>
      </c>
      <c r="EQ67" s="481"/>
      <c r="ER67" s="481" t="s">
        <v>3195</v>
      </c>
      <c r="ES67" s="481"/>
      <c r="EV67" s="476"/>
      <c r="EW67" s="179"/>
      <c r="EX67" s="449"/>
      <c r="EY67" s="449"/>
      <c r="EZ67" s="449"/>
      <c r="FA67" s="449"/>
      <c r="FB67" s="449"/>
      <c r="FC67" s="449"/>
      <c r="FD67" s="449"/>
      <c r="FE67" s="450"/>
      <c r="FF67" s="452"/>
      <c r="FG67" s="452"/>
      <c r="FH67" s="452"/>
      <c r="FI67" s="452"/>
      <c r="FJ67" s="452"/>
    </row>
    <row r="68" spans="1:166" ht="22.5" customHeight="1" thickBot="1">
      <c r="A68" s="476"/>
      <c r="B68" s="39">
        <f t="shared" si="0"/>
        <v>15</v>
      </c>
      <c r="C68" s="553" t="s">
        <v>868</v>
      </c>
      <c r="D68" s="539"/>
      <c r="E68" s="412" t="s">
        <v>1467</v>
      </c>
      <c r="F68" s="412" t="s">
        <v>1468</v>
      </c>
      <c r="G68" s="412" t="s">
        <v>1471</v>
      </c>
      <c r="H68" s="412" t="s">
        <v>1466</v>
      </c>
      <c r="I68" s="40"/>
      <c r="Q68" s="476"/>
      <c r="R68" s="179"/>
      <c r="S68" s="550"/>
      <c r="T68" s="391" t="e">
        <f ca="1">VLOOKUP($AD68,'市場監控 '!$E$7:$W$194,6,FALSE)</f>
        <v>#NAME?</v>
      </c>
      <c r="U68" s="391" t="e">
        <f ca="1">VLOOKUP($AD68,'市場監控 '!$E$7:$W$194,7,FALSE)</f>
        <v>#NAME?</v>
      </c>
      <c r="V68" s="392" t="str">
        <f ca="1">VLOOKUP($AD68,'市場監控 '!$E$7:$W$194,8,FALSE)</f>
        <v>-</v>
      </c>
      <c r="W68" s="393" t="str">
        <f ca="1">VLOOKUP($AD68,'市場監控 '!$E$7:$W$194,10,FALSE)</f>
        <v>-</v>
      </c>
      <c r="X68" s="394" t="str">
        <f ca="1">VLOOKUP($AD68,'市場監控 '!$E$7:$W$194,12,FALSE)</f>
        <v>-</v>
      </c>
      <c r="Y68" s="395" t="str">
        <f ca="1">VLOOKUP($AD68,'市場監控 '!$E$7:$W$194,14,FALSE)</f>
        <v>-</v>
      </c>
      <c r="Z68" s="395" t="str">
        <f ca="1">VLOOKUP($AD68,'市場監控 '!$E$7:$W$194,15,FALSE)</f>
        <v>-</v>
      </c>
      <c r="AA68" s="394" t="e">
        <f ca="1">VLOOKUP($AD68,'市場監控 '!$E$7:$W$194,17,FALSE)</f>
        <v>#NAME?</v>
      </c>
      <c r="AB68" s="394" t="e">
        <f ca="1">VLOOKUP($AD68,'市場監控 '!$E$7:$W$194,18,FALSE)</f>
        <v>#NAME?</v>
      </c>
      <c r="AC68" s="394" t="e">
        <f ca="1">VLOOKUP($AD68,'市場監控 '!$E$7:$W$194,19,FALSE)</f>
        <v>#NAME?</v>
      </c>
      <c r="AD68" s="186" t="s">
        <v>1234</v>
      </c>
      <c r="AE68" s="332" t="s">
        <v>1784</v>
      </c>
      <c r="AF68" s="225"/>
      <c r="AG68" s="225"/>
      <c r="AH68" s="476"/>
      <c r="AI68" s="179"/>
      <c r="AJ68" s="404" t="e">
        <f ca="1">VLOOKUP($AL68,NI!$B$5:$AL$2030,6,FALSE)</f>
        <v>#NAME?</v>
      </c>
      <c r="AK68" s="404" t="e">
        <f ca="1">VLOOKUP($AL68,NI!$B$5:$AL$2030,2,FALSE)</f>
        <v>#NAME?</v>
      </c>
      <c r="AL68" s="405" t="e">
        <f ca="1">NI!B25</f>
        <v>#NAME?</v>
      </c>
      <c r="AM68" s="404" t="e">
        <f ca="1">VLOOKUP($AL68,NI!$B$5:$AL$2030,11,FALSE)</f>
        <v>#NAME?</v>
      </c>
      <c r="AN68" s="406" t="e">
        <f ca="1">VLOOKUP($AL68,NI!$B$5:$AL$2030,12,FALSE)/1000000</f>
        <v>#NAME?</v>
      </c>
      <c r="AO68" s="406"/>
      <c r="AP68" s="406" t="str">
        <f ca="1">IF(ISNUMBER(VLOOKUP($AL68,NI!$B$5:$AL$2030,13,FALSE)),VLOOKUP($AL68,NI!$B$5:$AL$2030,13,FALSE),"-")</f>
        <v>-</v>
      </c>
      <c r="AQ68" s="407" t="e">
        <f ca="1">VLOOKUP($AL68,NI!$B$5:$AL$2030,4,FALSE)</f>
        <v>#NAME?</v>
      </c>
      <c r="AR68" s="406" t="e">
        <f ca="1">VLOOKUP($AL68,NI!$B$5:$AL$2030,3,FALSE)</f>
        <v>#NAME?</v>
      </c>
      <c r="AS68" s="408" t="e">
        <f ca="1">VLOOKUP($AL68,NI!$B$5:$AL$2030,4,FALSE)</f>
        <v>#NAME?</v>
      </c>
      <c r="AT68" s="408" t="e">
        <f ca="1">IF(LEFT(VLOOKUP($AL68,NI!$B$5:$AL$2030,31,FALSE),1)="#","-",VLOOKUP($AL68,NI!$B$5:$AL$2030,31,FALSE))</f>
        <v>#NAME?</v>
      </c>
      <c r="AU68" s="408" t="e">
        <f ca="1">IF(LEFT(VLOOKUP($AL68,NI!$B$5:$AL$2030,32,FALSE),1)="#","-",VLOOKUP($AL68,NI!$B$5:$AL$2030,32,FALSE))</f>
        <v>#NAME?</v>
      </c>
      <c r="AV68" s="408" t="e">
        <f ca="1">IF(LEFT(VLOOKUP($AL68,NI!$B$5:$AL$2030,33,FALSE),1)="#","-",VLOOKUP($AL68,NI!$B$5:$AL$2030,33,FALSE))</f>
        <v>#NAME?</v>
      </c>
      <c r="AW68" s="409" t="e">
        <f ca="1">VLOOKUP($AL68,NI!$B$5:$AL$2030,22,FALSE)</f>
        <v>#NAME?</v>
      </c>
      <c r="AX68" s="409"/>
      <c r="AY68" s="409"/>
      <c r="AZ68" s="476"/>
      <c r="BA68" s="179"/>
      <c r="BR68" s="476"/>
      <c r="BS68" s="179"/>
      <c r="CI68" s="476"/>
      <c r="CJ68" s="179"/>
      <c r="CK68" s="527"/>
      <c r="CL68" s="527"/>
      <c r="CM68" s="527"/>
      <c r="CN68" s="533"/>
      <c r="CO68" s="533"/>
      <c r="CP68" s="533"/>
      <c r="CQ68" s="401"/>
      <c r="CR68" s="527"/>
      <c r="CS68" s="527"/>
      <c r="CT68" s="527"/>
      <c r="CU68" s="528"/>
      <c r="CV68" s="528"/>
      <c r="CW68" s="528"/>
      <c r="CX68" s="451"/>
      <c r="CY68" s="451"/>
      <c r="CZ68" s="476"/>
      <c r="DA68" s="179"/>
      <c r="DB68" s="527"/>
      <c r="DC68" s="527"/>
      <c r="DD68" s="527"/>
      <c r="DE68" s="528"/>
      <c r="DF68" s="528"/>
      <c r="DG68" s="528"/>
      <c r="DH68" s="461"/>
      <c r="DI68" s="527"/>
      <c r="DJ68" s="527"/>
      <c r="DK68" s="527"/>
      <c r="DL68" s="528"/>
      <c r="DM68" s="528"/>
      <c r="DN68" s="528"/>
      <c r="DO68"/>
      <c r="DP68" s="476"/>
      <c r="DQ68" s="179"/>
      <c r="DR68" s="630"/>
      <c r="DS68" s="630"/>
      <c r="DT68" s="630"/>
      <c r="DU68" s="630"/>
      <c r="DV68" s="630"/>
      <c r="DW68" s="630"/>
      <c r="DX68" s="453"/>
      <c r="DY68" s="630"/>
      <c r="DZ68" s="630"/>
      <c r="EA68" s="630"/>
      <c r="EB68" s="630"/>
      <c r="EC68" s="630"/>
      <c r="ED68" s="630"/>
      <c r="EE68" s="476"/>
      <c r="EF68" s="179"/>
      <c r="EG68" s="449"/>
      <c r="EH68" s="449"/>
      <c r="EI68" s="449"/>
      <c r="EJ68" s="449"/>
      <c r="EK68" s="449"/>
      <c r="EL68" s="449"/>
      <c r="EM68" s="449"/>
      <c r="EN68" s="482"/>
      <c r="EO68" s="481"/>
      <c r="EP68" s="481"/>
      <c r="EQ68" s="481"/>
      <c r="ER68" s="481"/>
      <c r="ES68" s="481"/>
      <c r="EV68" s="476"/>
      <c r="EW68" s="179"/>
      <c r="EX68" s="477" t="s">
        <v>3232</v>
      </c>
      <c r="EY68" s="478"/>
      <c r="EZ68" s="478"/>
      <c r="FA68" s="478"/>
      <c r="FB68" s="478"/>
      <c r="FC68" s="478"/>
      <c r="FD68" s="449"/>
      <c r="FE68" s="477" t="s">
        <v>3233</v>
      </c>
      <c r="FF68" s="478"/>
      <c r="FG68" s="478"/>
      <c r="FH68" s="478"/>
      <c r="FI68" s="478"/>
      <c r="FJ68" s="478"/>
    </row>
    <row r="69" spans="1:166" ht="22.5" customHeight="1" thickTop="1">
      <c r="A69" s="476"/>
      <c r="B69" s="39">
        <f t="shared" si="0"/>
        <v>16</v>
      </c>
      <c r="C69" s="554" t="str">
        <f>Comment_page!$B9</f>
        <v>美國2Y公債</v>
      </c>
      <c r="D69" s="555"/>
      <c r="E69" s="413" t="e">
        <f ca="1">Comment_page!$C9</f>
        <v>#NAME?</v>
      </c>
      <c r="F69" s="413" t="e">
        <f ca="1">Comment_page!D9</f>
        <v>#NAME?</v>
      </c>
      <c r="G69" s="414" t="e">
        <f ca="1">Comment_page!E9</f>
        <v>#NAME?</v>
      </c>
      <c r="H69" s="415" t="e">
        <f ca="1">Comment_page!F9</f>
        <v>#NAME?</v>
      </c>
      <c r="I69" s="194"/>
      <c r="K69"/>
      <c r="Q69" s="476"/>
      <c r="R69" s="179"/>
      <c r="S69" s="548" t="s">
        <v>1194</v>
      </c>
      <c r="T69" s="428" t="e">
        <f ca="1">VLOOKUP($AD69,'市場監控 '!$E$7:$W$194,6,FALSE)</f>
        <v>#NAME?</v>
      </c>
      <c r="U69" s="428" t="e">
        <f ca="1">VLOOKUP($AD69,'市場監控 '!$E$7:$W$194,7,FALSE)</f>
        <v>#NAME?</v>
      </c>
      <c r="V69" s="387" t="str">
        <f ca="1">VLOOKUP($AD69,'市場監控 '!$E$7:$W$194,8,FALSE)</f>
        <v>-</v>
      </c>
      <c r="W69" s="429" t="str">
        <f ca="1">VLOOKUP($AD69,'市場監控 '!$E$7:$W$194,10,FALSE)</f>
        <v>-</v>
      </c>
      <c r="X69" s="430" t="str">
        <f ca="1">VLOOKUP($AD69,'市場監控 '!$E$7:$W$194,12,FALSE)</f>
        <v>-</v>
      </c>
      <c r="Y69" s="431" t="str">
        <f ca="1">VLOOKUP($AD69,'市場監控 '!$E$7:$W$194,14,FALSE)</f>
        <v>-</v>
      </c>
      <c r="Z69" s="431" t="str">
        <f ca="1">VLOOKUP($AD69,'市場監控 '!$E$7:$W$194,15,FALSE)</f>
        <v>-</v>
      </c>
      <c r="AA69" s="430" t="e">
        <f ca="1">VLOOKUP($AD69,'市場監控 '!$E$7:$W$194,17,FALSE)</f>
        <v>#NAME?</v>
      </c>
      <c r="AB69" s="430" t="e">
        <f ca="1">VLOOKUP($AD69,'市場監控 '!$E$7:$W$194,18,FALSE)</f>
        <v>#NAME?</v>
      </c>
      <c r="AC69" s="430" t="e">
        <f ca="1">VLOOKUP($AD69,'市場監控 '!$E$7:$W$194,19,FALSE)</f>
        <v>#NAME?</v>
      </c>
      <c r="AD69" s="184" t="s">
        <v>1238</v>
      </c>
      <c r="AE69" s="276" t="s">
        <v>1786</v>
      </c>
      <c r="AF69" s="225"/>
      <c r="AG69" s="225"/>
      <c r="AH69" s="476"/>
      <c r="AI69" s="179"/>
      <c r="AJ69" s="404" t="e">
        <f ca="1">VLOOKUP($AL69,NI!$B$5:$AL$2030,6,FALSE)</f>
        <v>#NAME?</v>
      </c>
      <c r="AK69" s="404" t="e">
        <f ca="1">VLOOKUP($AL69,NI!$B$5:$AL$2030,2,FALSE)</f>
        <v>#NAME?</v>
      </c>
      <c r="AL69" s="405" t="e">
        <f ca="1">NI!B26</f>
        <v>#NAME?</v>
      </c>
      <c r="AM69" s="404" t="e">
        <f ca="1">VLOOKUP($AL69,NI!$B$5:$AL$2030,11,FALSE)</f>
        <v>#NAME?</v>
      </c>
      <c r="AN69" s="406" t="e">
        <f ca="1">VLOOKUP($AL69,NI!$B$5:$AL$2030,12,FALSE)/1000000</f>
        <v>#NAME?</v>
      </c>
      <c r="AO69" s="406"/>
      <c r="AP69" s="406" t="str">
        <f ca="1">IF(ISNUMBER(VLOOKUP($AL69,NI!$B$5:$AL$2030,13,FALSE)),VLOOKUP($AL69,NI!$B$5:$AL$2030,13,FALSE),"-")</f>
        <v>-</v>
      </c>
      <c r="AQ69" s="407" t="e">
        <f ca="1">VLOOKUP($AL69,NI!$B$5:$AL$2030,4,FALSE)</f>
        <v>#NAME?</v>
      </c>
      <c r="AR69" s="406" t="e">
        <f ca="1">VLOOKUP($AL69,NI!$B$5:$AL$2030,3,FALSE)</f>
        <v>#NAME?</v>
      </c>
      <c r="AS69" s="408" t="e">
        <f ca="1">VLOOKUP($AL69,NI!$B$5:$AL$2030,4,FALSE)</f>
        <v>#NAME?</v>
      </c>
      <c r="AT69" s="408" t="e">
        <f ca="1">IF(LEFT(VLOOKUP($AL69,NI!$B$5:$AL$2030,31,FALSE),1)="#","-",VLOOKUP($AL69,NI!$B$5:$AL$2030,31,FALSE))</f>
        <v>#NAME?</v>
      </c>
      <c r="AU69" s="408" t="e">
        <f ca="1">IF(LEFT(VLOOKUP($AL69,NI!$B$5:$AL$2030,32,FALSE),1)="#","-",VLOOKUP($AL69,NI!$B$5:$AL$2030,32,FALSE))</f>
        <v>#NAME?</v>
      </c>
      <c r="AV69" s="408" t="e">
        <f ca="1">IF(LEFT(VLOOKUP($AL69,NI!$B$5:$AL$2030,33,FALSE),1)="#","-",VLOOKUP($AL69,NI!$B$5:$AL$2030,33,FALSE))</f>
        <v>#NAME?</v>
      </c>
      <c r="AW69" s="409" t="e">
        <f ca="1">VLOOKUP($AL69,NI!$B$5:$AL$2030,22,FALSE)</f>
        <v>#NAME?</v>
      </c>
      <c r="AX69" s="409"/>
      <c r="AY69" s="409"/>
      <c r="AZ69" s="476"/>
      <c r="BA69" s="179"/>
      <c r="BR69" s="476"/>
      <c r="BS69" s="179"/>
      <c r="CI69" s="476"/>
      <c r="CJ69" s="179"/>
      <c r="CK69" s="527"/>
      <c r="CL69" s="527"/>
      <c r="CM69" s="527"/>
      <c r="CN69" s="533"/>
      <c r="CO69" s="533"/>
      <c r="CP69" s="533"/>
      <c r="CQ69" s="399"/>
      <c r="CR69" s="527"/>
      <c r="CS69" s="527"/>
      <c r="CT69" s="527"/>
      <c r="CU69" s="528"/>
      <c r="CV69" s="528"/>
      <c r="CW69" s="528"/>
      <c r="CX69" s="451"/>
      <c r="CY69" s="451"/>
      <c r="CZ69" s="476"/>
      <c r="DA69" s="179"/>
      <c r="DB69" s="527"/>
      <c r="DC69" s="527"/>
      <c r="DD69" s="527"/>
      <c r="DE69" s="528"/>
      <c r="DF69" s="528"/>
      <c r="DG69" s="528"/>
      <c r="DH69" s="459"/>
      <c r="DI69" s="527"/>
      <c r="DJ69" s="527"/>
      <c r="DK69" s="527"/>
      <c r="DL69" s="528"/>
      <c r="DM69" s="528"/>
      <c r="DN69" s="528"/>
      <c r="DO69"/>
      <c r="DP69" s="476"/>
      <c r="DQ69" s="179"/>
      <c r="DR69" s="630"/>
      <c r="DS69" s="630"/>
      <c r="DT69" s="630"/>
      <c r="DU69" s="630"/>
      <c r="DV69" s="630"/>
      <c r="DW69" s="630"/>
      <c r="DX69" s="453"/>
      <c r="DY69" s="630"/>
      <c r="DZ69" s="630"/>
      <c r="EA69" s="630"/>
      <c r="EB69" s="630"/>
      <c r="EC69" s="630"/>
      <c r="ED69" s="630"/>
      <c r="EE69" s="476"/>
      <c r="EF69" s="179"/>
      <c r="EG69" s="449"/>
      <c r="EH69" s="449"/>
      <c r="EI69" s="449"/>
      <c r="EJ69" s="449"/>
      <c r="EK69" s="449"/>
      <c r="EL69" s="449"/>
      <c r="EM69" s="449"/>
      <c r="EN69" s="482"/>
      <c r="EO69" s="481"/>
      <c r="EP69" s="481"/>
      <c r="EQ69" s="481"/>
      <c r="ER69" s="481"/>
      <c r="ES69" s="481"/>
      <c r="EV69" s="476"/>
      <c r="EW69" s="179"/>
      <c r="EX69" s="479"/>
      <c r="EY69" s="480"/>
      <c r="EZ69" s="480"/>
      <c r="FA69" s="480"/>
      <c r="FB69" s="480"/>
      <c r="FC69" s="480"/>
      <c r="FD69" s="449"/>
      <c r="FE69" s="479"/>
      <c r="FF69" s="480"/>
      <c r="FG69" s="480"/>
      <c r="FH69" s="480"/>
      <c r="FI69" s="480"/>
      <c r="FJ69" s="480"/>
    </row>
    <row r="70" spans="1:166" ht="22.5" customHeight="1">
      <c r="A70" s="476"/>
      <c r="B70" s="39">
        <f t="shared" si="0"/>
        <v>17</v>
      </c>
      <c r="C70" s="556" t="str">
        <f>Comment_page!$B10</f>
        <v>美國5Y公債</v>
      </c>
      <c r="D70" s="556"/>
      <c r="E70" s="413" t="e">
        <f ca="1">Comment_page!$C10</f>
        <v>#NAME?</v>
      </c>
      <c r="F70" s="413" t="e">
        <f ca="1">Comment_page!D10</f>
        <v>#NAME?</v>
      </c>
      <c r="G70" s="414" t="e">
        <f ca="1">Comment_page!E10</f>
        <v>#NAME?</v>
      </c>
      <c r="H70" s="415" t="e">
        <f ca="1">Comment_page!F10</f>
        <v>#NAME?</v>
      </c>
      <c r="I70" s="40"/>
      <c r="Q70" s="476"/>
      <c r="R70" s="179"/>
      <c r="S70" s="549"/>
      <c r="T70" s="386" t="e">
        <f ca="1">VLOOKUP($AD70,'市場監控 '!$E$7:$W$194,6,FALSE)</f>
        <v>#NAME?</v>
      </c>
      <c r="U70" s="386" t="e">
        <f ca="1">VLOOKUP($AD70,'市場監控 '!$E$7:$W$194,7,FALSE)</f>
        <v>#NAME?</v>
      </c>
      <c r="V70" s="387" t="str">
        <f ca="1">VLOOKUP($AD70,'市場監控 '!$E$7:$W$194,8,FALSE)</f>
        <v>-</v>
      </c>
      <c r="W70" s="388" t="str">
        <f ca="1">VLOOKUP($AD70,'市場監控 '!$E$7:$W$194,10,FALSE)</f>
        <v>-</v>
      </c>
      <c r="X70" s="389" t="str">
        <f ca="1">VLOOKUP($AD70,'市場監控 '!$E$7:$W$194,12,FALSE)</f>
        <v>-</v>
      </c>
      <c r="Y70" s="390" t="str">
        <f ca="1">VLOOKUP($AD70,'市場監控 '!$E$7:$W$194,14,FALSE)</f>
        <v>-</v>
      </c>
      <c r="Z70" s="390" t="str">
        <f ca="1">VLOOKUP($AD70,'市場監控 '!$E$7:$W$194,15,FALSE)</f>
        <v>-</v>
      </c>
      <c r="AA70" s="389" t="e">
        <f ca="1">VLOOKUP($AD70,'市場監控 '!$E$7:$W$194,17,FALSE)</f>
        <v>#NAME?</v>
      </c>
      <c r="AB70" s="389" t="e">
        <f ca="1">VLOOKUP($AD70,'市場監控 '!$E$7:$W$194,18,FALSE)</f>
        <v>#NAME?</v>
      </c>
      <c r="AC70" s="389" t="e">
        <f ca="1">VLOOKUP($AD70,'市場監控 '!$E$7:$W$194,19,FALSE)</f>
        <v>#NAME?</v>
      </c>
      <c r="AD70" s="184" t="s">
        <v>1237</v>
      </c>
      <c r="AE70" s="246" t="s">
        <v>1788</v>
      </c>
      <c r="AF70" s="368"/>
      <c r="AG70" s="225"/>
      <c r="AH70" s="476"/>
      <c r="AI70" s="179"/>
      <c r="AJ70" s="404" t="e">
        <f ca="1">VLOOKUP($AL70,NI!$B$5:$AL$2030,6,FALSE)</f>
        <v>#NAME?</v>
      </c>
      <c r="AK70" s="404" t="e">
        <f ca="1">VLOOKUP($AL70,NI!$B$5:$AL$2030,2,FALSE)</f>
        <v>#NAME?</v>
      </c>
      <c r="AL70" s="405" t="e">
        <f ca="1">NI!B27</f>
        <v>#NAME?</v>
      </c>
      <c r="AM70" s="404" t="e">
        <f ca="1">VLOOKUP($AL70,NI!$B$5:$AL$2030,11,FALSE)</f>
        <v>#NAME?</v>
      </c>
      <c r="AN70" s="406" t="e">
        <f ca="1">VLOOKUP($AL70,NI!$B$5:$AL$2030,12,FALSE)/1000000</f>
        <v>#NAME?</v>
      </c>
      <c r="AO70" s="406"/>
      <c r="AP70" s="406" t="str">
        <f ca="1">IF(ISNUMBER(VLOOKUP($AL70,NI!$B$5:$AL$2030,13,FALSE)),VLOOKUP($AL70,NI!$B$5:$AL$2030,13,FALSE),"-")</f>
        <v>-</v>
      </c>
      <c r="AQ70" s="407" t="e">
        <f ca="1">VLOOKUP($AL70,NI!$B$5:$AL$2030,4,FALSE)</f>
        <v>#NAME?</v>
      </c>
      <c r="AR70" s="406" t="e">
        <f ca="1">VLOOKUP($AL70,NI!$B$5:$AL$2030,3,FALSE)</f>
        <v>#NAME?</v>
      </c>
      <c r="AS70" s="408" t="e">
        <f ca="1">VLOOKUP($AL70,NI!$B$5:$AL$2030,4,FALSE)</f>
        <v>#NAME?</v>
      </c>
      <c r="AT70" s="408" t="e">
        <f ca="1">IF(LEFT(VLOOKUP($AL70,NI!$B$5:$AL$2030,31,FALSE),1)="#","-",VLOOKUP($AL70,NI!$B$5:$AL$2030,31,FALSE))</f>
        <v>#NAME?</v>
      </c>
      <c r="AU70" s="408" t="e">
        <f ca="1">IF(LEFT(VLOOKUP($AL70,NI!$B$5:$AL$2030,32,FALSE),1)="#","-",VLOOKUP($AL70,NI!$B$5:$AL$2030,32,FALSE))</f>
        <v>#NAME?</v>
      </c>
      <c r="AV70" s="408" t="e">
        <f ca="1">IF(LEFT(VLOOKUP($AL70,NI!$B$5:$AL$2030,33,FALSE),1)="#","-",VLOOKUP($AL70,NI!$B$5:$AL$2030,33,FALSE))</f>
        <v>#NAME?</v>
      </c>
      <c r="AW70" s="409" t="e">
        <f ca="1">VLOOKUP($AL70,NI!$B$5:$AL$2030,22,FALSE)</f>
        <v>#NAME?</v>
      </c>
      <c r="AX70" s="409"/>
      <c r="AY70" s="409"/>
      <c r="AZ70" s="476"/>
      <c r="BA70" s="179"/>
      <c r="BR70" s="476"/>
      <c r="BS70" s="179"/>
      <c r="CI70" s="476"/>
      <c r="CJ70" s="179"/>
      <c r="CK70" s="534"/>
      <c r="CL70" s="534"/>
      <c r="CM70" s="534"/>
      <c r="CN70" s="534"/>
      <c r="CO70" s="534"/>
      <c r="CP70" s="534"/>
      <c r="CQ70" s="399"/>
      <c r="CR70" s="521"/>
      <c r="CS70" s="521"/>
      <c r="CT70" s="521"/>
      <c r="CU70" s="521"/>
      <c r="CV70" s="521"/>
      <c r="CW70" s="521"/>
      <c r="CX70" s="451"/>
      <c r="CY70" s="451"/>
      <c r="CZ70" s="476"/>
      <c r="DA70" s="179"/>
      <c r="DB70" s="521"/>
      <c r="DC70" s="521"/>
      <c r="DD70" s="521"/>
      <c r="DE70" s="521"/>
      <c r="DF70" s="521"/>
      <c r="DG70" s="521"/>
      <c r="DH70" s="459"/>
      <c r="DI70" s="521"/>
      <c r="DJ70" s="521"/>
      <c r="DK70" s="521"/>
      <c r="DL70" s="521"/>
      <c r="DM70" s="521"/>
      <c r="DN70" s="521"/>
      <c r="DO70"/>
      <c r="DP70" s="476"/>
      <c r="DQ70" s="179"/>
      <c r="DR70" s="630"/>
      <c r="DS70" s="630"/>
      <c r="DT70" s="630"/>
      <c r="DU70" s="630"/>
      <c r="DV70" s="630"/>
      <c r="DW70" s="630"/>
      <c r="DX70" s="453"/>
      <c r="DY70" s="630"/>
      <c r="DZ70" s="630"/>
      <c r="EA70" s="630"/>
      <c r="EB70" s="630"/>
      <c r="EC70" s="630"/>
      <c r="ED70" s="630"/>
      <c r="EE70" s="476"/>
      <c r="EF70" s="179"/>
      <c r="EG70" s="449"/>
      <c r="EH70" s="449"/>
      <c r="EI70" s="449"/>
      <c r="EJ70" s="449"/>
      <c r="EK70" s="449"/>
      <c r="EL70" s="449"/>
      <c r="EM70" s="449"/>
      <c r="EN70" s="449"/>
      <c r="EO70" s="449"/>
      <c r="EP70" s="449"/>
      <c r="EQ70" s="449"/>
      <c r="ER70" s="449"/>
      <c r="ES70" s="449"/>
      <c r="EV70" s="476"/>
      <c r="EW70" s="179"/>
      <c r="EX70" s="449"/>
      <c r="EY70" s="449"/>
      <c r="EZ70" s="449"/>
      <c r="FA70" s="449"/>
      <c r="FB70" s="449"/>
      <c r="FC70" s="449"/>
      <c r="FD70" s="449"/>
      <c r="FE70" s="449"/>
      <c r="FF70" s="449"/>
      <c r="FG70" s="449"/>
      <c r="FH70" s="449"/>
      <c r="FI70" s="449"/>
      <c r="FJ70" s="449"/>
    </row>
    <row r="71" spans="1:166" ht="22.5" customHeight="1">
      <c r="A71" s="476"/>
      <c r="B71" s="39">
        <f t="shared" si="0"/>
        <v>18</v>
      </c>
      <c r="C71" s="556" t="str">
        <f>Comment_page!$B11</f>
        <v>美國10Y公債</v>
      </c>
      <c r="D71" s="543"/>
      <c r="E71" s="413" t="e">
        <f ca="1">Comment_page!$C11</f>
        <v>#NAME?</v>
      </c>
      <c r="F71" s="413" t="e">
        <f ca="1">Comment_page!D11</f>
        <v>#NAME?</v>
      </c>
      <c r="G71" s="414" t="e">
        <f ca="1">Comment_page!E11</f>
        <v>#NAME?</v>
      </c>
      <c r="H71" s="415" t="e">
        <f ca="1">Comment_page!F11</f>
        <v>#NAME?</v>
      </c>
      <c r="I71" s="194"/>
      <c r="K71"/>
      <c r="Q71" s="476"/>
      <c r="R71" s="179"/>
      <c r="S71" s="549"/>
      <c r="T71" s="386" t="e">
        <f ca="1">VLOOKUP($AD71,'市場監控 '!$E$7:$W$194,6,FALSE)</f>
        <v>#NAME?</v>
      </c>
      <c r="U71" s="386" t="e">
        <f ca="1">VLOOKUP($AD71,'市場監控 '!$E$7:$W$194,7,FALSE)</f>
        <v>#NAME?</v>
      </c>
      <c r="V71" s="387" t="str">
        <f ca="1">VLOOKUP($AD71,'市場監控 '!$E$7:$W$194,8,FALSE)</f>
        <v>-</v>
      </c>
      <c r="W71" s="388" t="str">
        <f ca="1">VLOOKUP($AD71,'市場監控 '!$E$7:$W$194,10,FALSE)</f>
        <v>-</v>
      </c>
      <c r="X71" s="389" t="str">
        <f ca="1">VLOOKUP($AD71,'市場監控 '!$E$7:$W$194,12,FALSE)</f>
        <v>-</v>
      </c>
      <c r="Y71" s="390" t="str">
        <f ca="1">VLOOKUP($AD71,'市場監控 '!$E$7:$W$194,14,FALSE)</f>
        <v>-</v>
      </c>
      <c r="Z71" s="390" t="str">
        <f ca="1">VLOOKUP($AD71,'市場監控 '!$E$7:$W$194,15,FALSE)</f>
        <v>-</v>
      </c>
      <c r="AA71" s="389" t="e">
        <f ca="1">VLOOKUP($AD71,'市場監控 '!$E$7:$W$194,17,FALSE)</f>
        <v>#NAME?</v>
      </c>
      <c r="AB71" s="389" t="e">
        <f ca="1">VLOOKUP($AD71,'市場監控 '!$E$7:$W$194,18,FALSE)</f>
        <v>#NAME?</v>
      </c>
      <c r="AC71" s="389" t="e">
        <f ca="1">VLOOKUP($AD71,'市場監控 '!$E$7:$W$194,19,FALSE)</f>
        <v>#NAME?</v>
      </c>
      <c r="AD71" s="370" t="s">
        <v>1033</v>
      </c>
      <c r="AE71" s="246" t="s">
        <v>1790</v>
      </c>
      <c r="AF71" s="225"/>
      <c r="AG71" s="225"/>
      <c r="AH71" s="476"/>
      <c r="AI71" s="179"/>
      <c r="AJ71" s="404" t="e">
        <f ca="1">VLOOKUP($AL71,NI!$B$5:$AL$2030,6,FALSE)</f>
        <v>#NAME?</v>
      </c>
      <c r="AK71" s="404" t="e">
        <f ca="1">VLOOKUP($AL71,NI!$B$5:$AL$2030,2,FALSE)</f>
        <v>#NAME?</v>
      </c>
      <c r="AL71" s="405" t="e">
        <f ca="1">NI!B28</f>
        <v>#NAME?</v>
      </c>
      <c r="AM71" s="404" t="e">
        <f ca="1">VLOOKUP($AL71,NI!$B$5:$AL$2030,11,FALSE)</f>
        <v>#NAME?</v>
      </c>
      <c r="AN71" s="406" t="e">
        <f ca="1">VLOOKUP($AL71,NI!$B$5:$AL$2030,12,FALSE)/1000000</f>
        <v>#NAME?</v>
      </c>
      <c r="AO71" s="406"/>
      <c r="AP71" s="406" t="str">
        <f ca="1">IF(ISNUMBER(VLOOKUP($AL71,NI!$B$5:$AL$2030,13,FALSE)),VLOOKUP($AL71,NI!$B$5:$AL$2030,13,FALSE),"-")</f>
        <v>-</v>
      </c>
      <c r="AQ71" s="407" t="e">
        <f ca="1">VLOOKUP($AL71,NI!$B$5:$AL$2030,4,FALSE)</f>
        <v>#NAME?</v>
      </c>
      <c r="AR71" s="406" t="e">
        <f ca="1">VLOOKUP($AL71,NI!$B$5:$AL$2030,3,FALSE)</f>
        <v>#NAME?</v>
      </c>
      <c r="AS71" s="408" t="e">
        <f ca="1">VLOOKUP($AL71,NI!$B$5:$AL$2030,4,FALSE)</f>
        <v>#NAME?</v>
      </c>
      <c r="AT71" s="408" t="e">
        <f ca="1">IF(LEFT(VLOOKUP($AL71,NI!$B$5:$AL$2030,31,FALSE),1)="#","-",VLOOKUP($AL71,NI!$B$5:$AL$2030,31,FALSE))</f>
        <v>#NAME?</v>
      </c>
      <c r="AU71" s="408" t="e">
        <f ca="1">IF(LEFT(VLOOKUP($AL71,NI!$B$5:$AL$2030,32,FALSE),1)="#","-",VLOOKUP($AL71,NI!$B$5:$AL$2030,32,FALSE))</f>
        <v>#NAME?</v>
      </c>
      <c r="AV71" s="408" t="e">
        <f ca="1">IF(LEFT(VLOOKUP($AL71,NI!$B$5:$AL$2030,33,FALSE),1)="#","-",VLOOKUP($AL71,NI!$B$5:$AL$2030,33,FALSE))</f>
        <v>#NAME?</v>
      </c>
      <c r="AW71" s="409" t="e">
        <f ca="1">VLOOKUP($AL71,NI!$B$5:$AL$2030,22,FALSE)</f>
        <v>#NAME?</v>
      </c>
      <c r="AX71" s="409"/>
      <c r="AY71" s="409"/>
      <c r="AZ71" s="476"/>
      <c r="BA71" s="179"/>
      <c r="BR71" s="476"/>
      <c r="BS71" s="179"/>
      <c r="CI71" s="476"/>
      <c r="CJ71" s="179"/>
      <c r="CK71" s="535"/>
      <c r="CL71" s="535"/>
      <c r="CM71" s="535"/>
      <c r="CN71" s="535"/>
      <c r="CO71" s="535"/>
      <c r="CP71" s="535"/>
      <c r="CQ71" s="401"/>
      <c r="CR71" s="529"/>
      <c r="CS71" s="529"/>
      <c r="CT71" s="529"/>
      <c r="CU71" s="529"/>
      <c r="CV71" s="529"/>
      <c r="CW71" s="529"/>
      <c r="CX71" s="451"/>
      <c r="CY71" s="451"/>
      <c r="CZ71" s="476"/>
      <c r="DA71" s="179"/>
      <c r="DB71" s="529"/>
      <c r="DC71" s="529"/>
      <c r="DD71" s="529"/>
      <c r="DE71" s="529"/>
      <c r="DF71" s="529"/>
      <c r="DG71" s="529"/>
      <c r="DH71" s="461"/>
      <c r="DI71" s="529"/>
      <c r="DJ71" s="529"/>
      <c r="DK71" s="529"/>
      <c r="DL71" s="529"/>
      <c r="DM71" s="529"/>
      <c r="DN71" s="529"/>
      <c r="DO71"/>
      <c r="DP71" s="476"/>
      <c r="DQ71" s="179"/>
      <c r="DR71" s="630"/>
      <c r="DS71" s="630"/>
      <c r="DT71" s="630"/>
      <c r="DU71" s="630"/>
      <c r="DV71" s="630"/>
      <c r="DW71" s="630"/>
      <c r="DX71" s="453"/>
      <c r="DY71" s="630"/>
      <c r="DZ71" s="630"/>
      <c r="EA71" s="630"/>
      <c r="EB71" s="630"/>
      <c r="EC71" s="630"/>
      <c r="ED71" s="630"/>
      <c r="EE71" s="476"/>
      <c r="EF71" s="179"/>
      <c r="EG71" s="449"/>
      <c r="EH71" s="449"/>
      <c r="EI71" s="449"/>
      <c r="EJ71" s="449"/>
      <c r="EK71" s="449"/>
      <c r="EL71" s="449"/>
      <c r="EM71" s="449"/>
      <c r="EN71" s="449"/>
      <c r="EO71" s="449"/>
      <c r="EP71" s="449"/>
      <c r="EQ71" s="449"/>
      <c r="ER71" s="449"/>
      <c r="ES71" s="449"/>
      <c r="EV71" s="476"/>
      <c r="EW71" s="179"/>
      <c r="EX71" s="449"/>
      <c r="EY71" s="449"/>
      <c r="EZ71" s="449"/>
      <c r="FA71" s="449"/>
      <c r="FB71" s="449"/>
      <c r="FC71" s="449"/>
      <c r="FD71" s="449"/>
      <c r="FE71" s="449"/>
      <c r="FF71" s="449"/>
      <c r="FG71" s="449"/>
      <c r="FH71" s="449"/>
      <c r="FI71" s="449"/>
      <c r="FJ71" s="449"/>
    </row>
    <row r="72" spans="1:166" ht="22.5" customHeight="1">
      <c r="A72" s="476"/>
      <c r="C72" s="556" t="str">
        <f>Comment_page!$B12</f>
        <v>美國30Y公債</v>
      </c>
      <c r="D72" s="543"/>
      <c r="E72" s="413" t="e">
        <f ca="1">Comment_page!$C12</f>
        <v>#NAME?</v>
      </c>
      <c r="F72" s="413" t="e">
        <f ca="1">Comment_page!D12</f>
        <v>#NAME?</v>
      </c>
      <c r="G72" s="414" t="e">
        <f ca="1">Comment_page!E12</f>
        <v>#NAME?</v>
      </c>
      <c r="H72" s="415" t="e">
        <f ca="1">Comment_page!F12</f>
        <v>#NAME?</v>
      </c>
      <c r="I72" s="40"/>
      <c r="Q72" s="476"/>
      <c r="R72" s="179"/>
      <c r="S72" s="549"/>
      <c r="T72" s="386" t="e">
        <f ca="1">VLOOKUP($AD72,'市場監控 '!$E$7:$W$194,6,FALSE)</f>
        <v>#NAME?</v>
      </c>
      <c r="U72" s="386" t="e">
        <f ca="1">VLOOKUP($AD72,'市場監控 '!$E$7:$W$194,7,FALSE)</f>
        <v>#NAME?</v>
      </c>
      <c r="V72" s="387" t="str">
        <f ca="1">VLOOKUP($AD72,'市場監控 '!$E$7:$W$194,8,FALSE)</f>
        <v>-</v>
      </c>
      <c r="W72" s="388" t="str">
        <f ca="1">VLOOKUP($AD72,'市場監控 '!$E$7:$W$194,10,FALSE)</f>
        <v>-</v>
      </c>
      <c r="X72" s="389" t="str">
        <f ca="1">VLOOKUP($AD72,'市場監控 '!$E$7:$W$194,12,FALSE)</f>
        <v>-</v>
      </c>
      <c r="Y72" s="390" t="str">
        <f ca="1">VLOOKUP($AD72,'市場監控 '!$E$7:$W$194,14,FALSE)</f>
        <v>-</v>
      </c>
      <c r="Z72" s="390" t="str">
        <f ca="1">VLOOKUP($AD72,'市場監控 '!$E$7:$W$194,15,FALSE)</f>
        <v>-</v>
      </c>
      <c r="AA72" s="389" t="e">
        <f ca="1">VLOOKUP($AD72,'市場監控 '!$E$7:$W$194,17,FALSE)</f>
        <v>#NAME?</v>
      </c>
      <c r="AB72" s="389" t="e">
        <f ca="1">VLOOKUP($AD72,'市場監控 '!$E$7:$W$194,18,FALSE)</f>
        <v>#NAME?</v>
      </c>
      <c r="AC72" s="389" t="e">
        <f ca="1">VLOOKUP($AD72,'市場監控 '!$E$7:$W$194,19,FALSE)</f>
        <v>#NAME?</v>
      </c>
      <c r="AD72" s="370" t="s">
        <v>1235</v>
      </c>
      <c r="AE72" s="271" t="s">
        <v>1792</v>
      </c>
      <c r="AF72" s="225"/>
      <c r="AG72" s="225"/>
      <c r="AH72" s="476"/>
      <c r="AI72" s="179"/>
      <c r="AJ72" s="404" t="e">
        <f ca="1">VLOOKUP($AL72,NI!$B$5:$AL$2030,6,FALSE)</f>
        <v>#NAME?</v>
      </c>
      <c r="AK72" s="404" t="e">
        <f ca="1">VLOOKUP($AL72,NI!$B$5:$AL$2030,2,FALSE)</f>
        <v>#NAME?</v>
      </c>
      <c r="AL72" s="405" t="e">
        <f ca="1">NI!B29</f>
        <v>#NAME?</v>
      </c>
      <c r="AM72" s="404" t="e">
        <f ca="1">VLOOKUP($AL72,NI!$B$5:$AL$2030,11,FALSE)</f>
        <v>#NAME?</v>
      </c>
      <c r="AN72" s="406" t="e">
        <f ca="1">VLOOKUP($AL72,NI!$B$5:$AL$2030,12,FALSE)/1000000</f>
        <v>#NAME?</v>
      </c>
      <c r="AO72" s="406"/>
      <c r="AP72" s="406" t="str">
        <f ca="1">IF(ISNUMBER(VLOOKUP($AL72,NI!$B$5:$AL$2030,13,FALSE)),VLOOKUP($AL72,NI!$B$5:$AL$2030,13,FALSE),"-")</f>
        <v>-</v>
      </c>
      <c r="AQ72" s="407" t="e">
        <f ca="1">VLOOKUP($AL72,NI!$B$5:$AL$2030,4,FALSE)</f>
        <v>#NAME?</v>
      </c>
      <c r="AR72" s="406" t="e">
        <f ca="1">VLOOKUP($AL72,NI!$B$5:$AL$2030,3,FALSE)</f>
        <v>#NAME?</v>
      </c>
      <c r="AS72" s="408" t="e">
        <f ca="1">VLOOKUP($AL72,NI!$B$5:$AL$2030,4,FALSE)</f>
        <v>#NAME?</v>
      </c>
      <c r="AT72" s="408" t="e">
        <f ca="1">IF(LEFT(VLOOKUP($AL72,NI!$B$5:$AL$2030,31,FALSE),1)="#","-",VLOOKUP($AL72,NI!$B$5:$AL$2030,31,FALSE))</f>
        <v>#NAME?</v>
      </c>
      <c r="AU72" s="408" t="e">
        <f ca="1">IF(LEFT(VLOOKUP($AL72,NI!$B$5:$AL$2030,32,FALSE),1)="#","-",VLOOKUP($AL72,NI!$B$5:$AL$2030,32,FALSE))</f>
        <v>#NAME?</v>
      </c>
      <c r="AV72" s="408" t="e">
        <f ca="1">IF(LEFT(VLOOKUP($AL72,NI!$B$5:$AL$2030,33,FALSE),1)="#","-",VLOOKUP($AL72,NI!$B$5:$AL$2030,33,FALSE))</f>
        <v>#NAME?</v>
      </c>
      <c r="AW72" s="409" t="e">
        <f ca="1">VLOOKUP($AL72,NI!$B$5:$AL$2030,22,FALSE)</f>
        <v>#NAME?</v>
      </c>
      <c r="AX72" s="409"/>
      <c r="AY72" s="409"/>
      <c r="AZ72" s="476"/>
      <c r="BA72" s="179"/>
      <c r="BR72" s="476"/>
      <c r="BS72" s="179"/>
      <c r="CI72" s="476"/>
      <c r="CJ72" s="179"/>
      <c r="CK72" s="534"/>
      <c r="CL72" s="534"/>
      <c r="CM72" s="534"/>
      <c r="CN72" s="534"/>
      <c r="CO72" s="534"/>
      <c r="CP72" s="534"/>
      <c r="CR72" s="521"/>
      <c r="CS72" s="521"/>
      <c r="CT72" s="521"/>
      <c r="CU72" s="521"/>
      <c r="CV72" s="521"/>
      <c r="CW72" s="521"/>
      <c r="CX72" s="451"/>
      <c r="CY72" s="451"/>
      <c r="CZ72" s="476"/>
      <c r="DA72" s="179"/>
      <c r="DB72" s="485"/>
      <c r="DC72" s="485"/>
      <c r="DD72" s="485"/>
      <c r="DE72" s="485"/>
      <c r="DF72" s="485"/>
      <c r="DG72" s="485"/>
      <c r="DH72" s="461"/>
      <c r="DI72" s="485"/>
      <c r="DJ72" s="485"/>
      <c r="DK72" s="485"/>
      <c r="DL72" s="485"/>
      <c r="DM72" s="485"/>
      <c r="DN72" s="485"/>
      <c r="DO72"/>
      <c r="DP72" s="476"/>
      <c r="DQ72" s="179"/>
      <c r="DR72" s="630"/>
      <c r="DS72" s="630"/>
      <c r="DT72" s="630"/>
      <c r="DU72" s="630"/>
      <c r="DV72" s="630"/>
      <c r="DW72" s="630"/>
      <c r="DX72" s="453"/>
      <c r="DY72" s="630"/>
      <c r="DZ72" s="630"/>
      <c r="EA72" s="630"/>
      <c r="EB72" s="630"/>
      <c r="EC72" s="630"/>
      <c r="ED72" s="630"/>
      <c r="EE72" s="476"/>
      <c r="EF72" s="179"/>
      <c r="EG72" s="449"/>
      <c r="EH72" s="449"/>
      <c r="EI72" s="449"/>
      <c r="EJ72" s="449"/>
      <c r="EK72" s="449"/>
      <c r="EL72" s="449"/>
      <c r="EM72" s="449"/>
      <c r="EN72" s="449"/>
      <c r="EO72" s="449"/>
      <c r="EP72" s="449"/>
      <c r="EQ72" s="449"/>
      <c r="ER72" s="449"/>
      <c r="ES72" s="449"/>
      <c r="EV72" s="476"/>
      <c r="EW72" s="179"/>
      <c r="EX72" s="449"/>
      <c r="EY72" s="449"/>
      <c r="EZ72" s="449"/>
      <c r="FA72" s="449"/>
      <c r="FB72" s="449"/>
      <c r="FC72" s="449"/>
      <c r="FD72" s="449"/>
      <c r="FE72" s="449"/>
      <c r="FF72" s="449"/>
      <c r="FG72" s="449"/>
      <c r="FH72" s="449"/>
      <c r="FI72" s="449"/>
      <c r="FJ72" s="449"/>
    </row>
    <row r="73" spans="1:166" ht="22.5" customHeight="1" thickBot="1">
      <c r="A73" s="476"/>
      <c r="C73" s="556" t="str">
        <f>Comment_page!$B13</f>
        <v>日本10Y公債</v>
      </c>
      <c r="D73" s="543"/>
      <c r="E73" s="413" t="e">
        <f ca="1">Comment_page!$C13</f>
        <v>#NAME?</v>
      </c>
      <c r="F73" s="413" t="e">
        <f ca="1">Comment_page!D13</f>
        <v>#NAME?</v>
      </c>
      <c r="G73" s="414" t="e">
        <f ca="1">Comment_page!E13</f>
        <v>#NAME?</v>
      </c>
      <c r="H73" s="415" t="e">
        <f ca="1">Comment_page!F13</f>
        <v>#NAME?</v>
      </c>
      <c r="I73" s="194"/>
      <c r="Q73" s="476"/>
      <c r="R73" s="179"/>
      <c r="S73" s="550"/>
      <c r="T73" s="391" t="e">
        <f ca="1">VLOOKUP($AD73,'市場監控 '!$E$7:$W$194,6,FALSE)</f>
        <v>#NAME?</v>
      </c>
      <c r="U73" s="391" t="e">
        <f ca="1">VLOOKUP($AD73,'市場監控 '!$E$7:$W$194,7,FALSE)</f>
        <v>#NAME?</v>
      </c>
      <c r="V73" s="392" t="str">
        <f ca="1">VLOOKUP($AD73,'市場監控 '!$E$7:$W$194,8,FALSE)</f>
        <v>-</v>
      </c>
      <c r="W73" s="393" t="str">
        <f ca="1">VLOOKUP($AD73,'市場監控 '!$E$7:$W$194,10,FALSE)</f>
        <v>-</v>
      </c>
      <c r="X73" s="394" t="str">
        <f ca="1">VLOOKUP($AD73,'市場監控 '!$E$7:$W$194,12,FALSE)</f>
        <v>-</v>
      </c>
      <c r="Y73" s="395" t="str">
        <f ca="1">VLOOKUP($AD73,'市場監控 '!$E$7:$W$194,14,FALSE)</f>
        <v>-</v>
      </c>
      <c r="Z73" s="395" t="str">
        <f ca="1">VLOOKUP($AD73,'市場監控 '!$E$7:$W$194,15,FALSE)</f>
        <v>-</v>
      </c>
      <c r="AA73" s="394" t="e">
        <f ca="1">VLOOKUP($AD73,'市場監控 '!$E$7:$W$194,17,FALSE)</f>
        <v>#NAME?</v>
      </c>
      <c r="AB73" s="394" t="e">
        <f ca="1">VLOOKUP($AD73,'市場監控 '!$E$7:$W$194,18,FALSE)</f>
        <v>#NAME?</v>
      </c>
      <c r="AC73" s="394" t="e">
        <f ca="1">VLOOKUP($AD73,'市場監控 '!$E$7:$W$194,19,FALSE)</f>
        <v>#NAME?</v>
      </c>
      <c r="AD73" s="184" t="s">
        <v>1236</v>
      </c>
      <c r="AE73" s="287" t="s">
        <v>1794</v>
      </c>
      <c r="AF73" s="225"/>
      <c r="AG73" s="225"/>
      <c r="AH73" s="476"/>
      <c r="AI73" s="179"/>
      <c r="AJ73" s="404" t="e">
        <f ca="1">VLOOKUP($AL73,NI!$B$5:$AL$2030,6,FALSE)</f>
        <v>#NAME?</v>
      </c>
      <c r="AK73" s="404" t="e">
        <f ca="1">VLOOKUP($AL73,NI!$B$5:$AL$2030,2,FALSE)</f>
        <v>#NAME?</v>
      </c>
      <c r="AL73" s="405" t="e">
        <f ca="1">NI!B30</f>
        <v>#NAME?</v>
      </c>
      <c r="AM73" s="404" t="e">
        <f ca="1">VLOOKUP($AL73,NI!$B$5:$AL$2030,11,FALSE)</f>
        <v>#NAME?</v>
      </c>
      <c r="AN73" s="406" t="e">
        <f ca="1">VLOOKUP($AL73,NI!$B$5:$AL$2030,12,FALSE)/1000000</f>
        <v>#NAME?</v>
      </c>
      <c r="AO73" s="406"/>
      <c r="AP73" s="406" t="str">
        <f ca="1">IF(ISNUMBER(VLOOKUP($AL73,NI!$B$5:$AL$2030,13,FALSE)),VLOOKUP($AL73,NI!$B$5:$AL$2030,13,FALSE),"-")</f>
        <v>-</v>
      </c>
      <c r="AQ73" s="407" t="e">
        <f ca="1">VLOOKUP($AL73,NI!$B$5:$AL$2030,4,FALSE)</f>
        <v>#NAME?</v>
      </c>
      <c r="AR73" s="406" t="e">
        <f ca="1">VLOOKUP($AL73,NI!$B$5:$AL$2030,3,FALSE)</f>
        <v>#NAME?</v>
      </c>
      <c r="AS73" s="408" t="e">
        <f ca="1">VLOOKUP($AL73,NI!$B$5:$AL$2030,4,FALSE)</f>
        <v>#NAME?</v>
      </c>
      <c r="AT73" s="408" t="e">
        <f ca="1">IF(LEFT(VLOOKUP($AL73,NI!$B$5:$AL$2030,31,FALSE),1)="#","-",VLOOKUP($AL73,NI!$B$5:$AL$2030,31,FALSE))</f>
        <v>#NAME?</v>
      </c>
      <c r="AU73" s="408" t="e">
        <f ca="1">IF(LEFT(VLOOKUP($AL73,NI!$B$5:$AL$2030,32,FALSE),1)="#","-",VLOOKUP($AL73,NI!$B$5:$AL$2030,32,FALSE))</f>
        <v>#NAME?</v>
      </c>
      <c r="AV73" s="408" t="e">
        <f ca="1">IF(LEFT(VLOOKUP($AL73,NI!$B$5:$AL$2030,33,FALSE),1)="#","-",VLOOKUP($AL73,NI!$B$5:$AL$2030,33,FALSE))</f>
        <v>#NAME?</v>
      </c>
      <c r="AW73" s="409" t="e">
        <f ca="1">VLOOKUP($AL73,NI!$B$5:$AL$2030,22,FALSE)</f>
        <v>#NAME?</v>
      </c>
      <c r="AX73" s="409"/>
      <c r="AY73" s="409"/>
      <c r="AZ73" s="476"/>
      <c r="BA73" s="179"/>
      <c r="BR73" s="476"/>
      <c r="BS73" s="179"/>
      <c r="CI73" s="476"/>
      <c r="CJ73" s="179"/>
      <c r="CK73" s="534"/>
      <c r="CL73" s="534"/>
      <c r="CM73" s="534"/>
      <c r="CN73" s="534"/>
      <c r="CO73" s="534"/>
      <c r="CP73" s="534"/>
      <c r="CQ73" s="401"/>
      <c r="CR73" s="521"/>
      <c r="CS73" s="521"/>
      <c r="CT73" s="521"/>
      <c r="CU73" s="521"/>
      <c r="CV73" s="521"/>
      <c r="CW73" s="521"/>
      <c r="CX73" s="451"/>
      <c r="CY73" s="451"/>
      <c r="CZ73" s="476"/>
      <c r="DA73" s="179"/>
      <c r="DB73" s="485"/>
      <c r="DC73" s="485"/>
      <c r="DD73" s="485"/>
      <c r="DE73" s="485"/>
      <c r="DF73" s="485"/>
      <c r="DG73" s="485"/>
      <c r="DH73" s="461"/>
      <c r="DI73" s="485"/>
      <c r="DJ73" s="485"/>
      <c r="DK73" s="485"/>
      <c r="DL73" s="485"/>
      <c r="DM73" s="485"/>
      <c r="DN73" s="485"/>
      <c r="DO73"/>
      <c r="DP73" s="476"/>
      <c r="DQ73" s="179"/>
      <c r="DR73" s="630"/>
      <c r="DS73" s="630"/>
      <c r="DT73" s="630"/>
      <c r="DU73" s="630"/>
      <c r="DV73" s="630"/>
      <c r="DW73" s="630"/>
      <c r="DX73" s="453"/>
      <c r="DY73" s="630"/>
      <c r="DZ73" s="630"/>
      <c r="EA73" s="630"/>
      <c r="EB73" s="630"/>
      <c r="EC73" s="630"/>
      <c r="ED73" s="630"/>
      <c r="EE73" s="476"/>
      <c r="EF73" s="179"/>
      <c r="EG73" s="449"/>
      <c r="EH73" s="449"/>
      <c r="EI73" s="449"/>
      <c r="EJ73" s="449"/>
      <c r="EK73" s="449"/>
      <c r="EL73" s="449"/>
      <c r="EM73" s="449"/>
      <c r="EN73" s="449"/>
      <c r="EO73" s="449"/>
      <c r="EP73" s="449"/>
      <c r="EQ73" s="449"/>
      <c r="ER73" s="449"/>
      <c r="ES73" s="449"/>
      <c r="EV73" s="476"/>
      <c r="EW73" s="179"/>
      <c r="EX73" s="449"/>
      <c r="EY73" s="449"/>
      <c r="EZ73" s="449"/>
      <c r="FA73" s="449"/>
      <c r="FB73" s="449"/>
      <c r="FC73" s="449"/>
      <c r="FD73" s="449"/>
      <c r="FE73" s="449"/>
      <c r="FF73" s="449"/>
      <c r="FG73" s="449"/>
      <c r="FH73" s="449"/>
      <c r="FI73" s="449"/>
      <c r="FJ73" s="449"/>
    </row>
    <row r="74" spans="1:166" ht="22.5" customHeight="1">
      <c r="A74" s="476"/>
      <c r="C74" s="556" t="str">
        <f>Comment_page!$B14</f>
        <v>澳洲10Y公債</v>
      </c>
      <c r="D74" s="543"/>
      <c r="E74" s="413" t="e">
        <f ca="1">Comment_page!$C14</f>
        <v>#NAME?</v>
      </c>
      <c r="F74" s="413" t="e">
        <f ca="1">Comment_page!D14</f>
        <v>#NAME?</v>
      </c>
      <c r="G74" s="414" t="e">
        <f ca="1">Comment_page!E14</f>
        <v>#NAME?</v>
      </c>
      <c r="H74" s="415" t="e">
        <f ca="1">Comment_page!F14</f>
        <v>#NAME?</v>
      </c>
      <c r="I74" s="40"/>
      <c r="Q74" s="476"/>
      <c r="R74" s="179"/>
      <c r="S74" s="548" t="s">
        <v>1195</v>
      </c>
      <c r="T74" s="428" t="e">
        <f ca="1">VLOOKUP($AD74,'市場監控 '!$E$7:$W$194,6,FALSE)</f>
        <v>#NAME?</v>
      </c>
      <c r="U74" s="428" t="e">
        <f ca="1">VLOOKUP($AD74,'市場監控 '!$E$7:$W$194,7,FALSE)</f>
        <v>#NAME?</v>
      </c>
      <c r="V74" s="387" t="str">
        <f ca="1">VLOOKUP($AD74,'市場監控 '!$E$7:$W$194,8,FALSE)</f>
        <v>-</v>
      </c>
      <c r="W74" s="429" t="str">
        <f ca="1">VLOOKUP($AD74,'市場監控 '!$E$7:$W$194,10,FALSE)</f>
        <v>-</v>
      </c>
      <c r="X74" s="430" t="str">
        <f ca="1">VLOOKUP($AD74,'市場監控 '!$E$7:$W$194,12,FALSE)</f>
        <v>-</v>
      </c>
      <c r="Y74" s="431" t="str">
        <f ca="1">VLOOKUP($AD74,'市場監控 '!$E$7:$W$194,14,FALSE)</f>
        <v>-</v>
      </c>
      <c r="Z74" s="431" t="str">
        <f ca="1">VLOOKUP($AD74,'市場監控 '!$E$7:$W$194,15,FALSE)</f>
        <v>-</v>
      </c>
      <c r="AA74" s="430" t="e">
        <f ca="1">VLOOKUP($AD74,'市場監控 '!$E$7:$W$194,17,FALSE)</f>
        <v>#NAME?</v>
      </c>
      <c r="AB74" s="430" t="e">
        <f ca="1">VLOOKUP($AD74,'市場監控 '!$E$7:$W$194,18,FALSE)</f>
        <v>#NAME?</v>
      </c>
      <c r="AC74" s="430" t="e">
        <f ca="1">VLOOKUP($AD74,'市場監控 '!$E$7:$W$194,19,FALSE)</f>
        <v>#NAME?</v>
      </c>
      <c r="AD74" s="184" t="s">
        <v>1239</v>
      </c>
      <c r="AE74" s="276" t="s">
        <v>1796</v>
      </c>
      <c r="AF74" s="225"/>
      <c r="AG74" s="225"/>
      <c r="AH74" s="476"/>
      <c r="AI74" s="179"/>
      <c r="AJ74" s="404" t="e">
        <f ca="1">VLOOKUP($AL74,NI!$B$5:$AL$2030,6,FALSE)</f>
        <v>#NAME?</v>
      </c>
      <c r="AK74" s="404" t="e">
        <f ca="1">VLOOKUP($AL74,NI!$B$5:$AL$2030,2,FALSE)</f>
        <v>#NAME?</v>
      </c>
      <c r="AL74" s="405" t="e">
        <f ca="1">NI!B31</f>
        <v>#NAME?</v>
      </c>
      <c r="AM74" s="404" t="e">
        <f ca="1">VLOOKUP($AL74,NI!$B$5:$AL$2030,11,FALSE)</f>
        <v>#NAME?</v>
      </c>
      <c r="AN74" s="406" t="e">
        <f ca="1">VLOOKUP($AL74,NI!$B$5:$AL$2030,12,FALSE)/1000000</f>
        <v>#NAME?</v>
      </c>
      <c r="AO74" s="406"/>
      <c r="AP74" s="406" t="str">
        <f ca="1">IF(ISNUMBER(VLOOKUP($AL74,NI!$B$5:$AL$2030,13,FALSE)),VLOOKUP($AL74,NI!$B$5:$AL$2030,13,FALSE),"-")</f>
        <v>-</v>
      </c>
      <c r="AQ74" s="407" t="e">
        <f ca="1">VLOOKUP($AL74,NI!$B$5:$AL$2030,4,FALSE)</f>
        <v>#NAME?</v>
      </c>
      <c r="AR74" s="406" t="e">
        <f ca="1">VLOOKUP($AL74,NI!$B$5:$AL$2030,3,FALSE)</f>
        <v>#NAME?</v>
      </c>
      <c r="AS74" s="408" t="e">
        <f ca="1">VLOOKUP($AL74,NI!$B$5:$AL$2030,4,FALSE)</f>
        <v>#NAME?</v>
      </c>
      <c r="AT74" s="408" t="e">
        <f ca="1">IF(LEFT(VLOOKUP($AL74,NI!$B$5:$AL$2030,31,FALSE),1)="#","-",VLOOKUP($AL74,NI!$B$5:$AL$2030,31,FALSE))</f>
        <v>#NAME?</v>
      </c>
      <c r="AU74" s="408" t="e">
        <f ca="1">IF(LEFT(VLOOKUP($AL74,NI!$B$5:$AL$2030,32,FALSE),1)="#","-",VLOOKUP($AL74,NI!$B$5:$AL$2030,32,FALSE))</f>
        <v>#NAME?</v>
      </c>
      <c r="AV74" s="408" t="e">
        <f ca="1">IF(LEFT(VLOOKUP($AL74,NI!$B$5:$AL$2030,33,FALSE),1)="#","-",VLOOKUP($AL74,NI!$B$5:$AL$2030,33,FALSE))</f>
        <v>#NAME?</v>
      </c>
      <c r="AW74" s="409" t="e">
        <f ca="1">VLOOKUP($AL74,NI!$B$5:$AL$2030,22,FALSE)</f>
        <v>#NAME?</v>
      </c>
      <c r="AX74" s="409"/>
      <c r="AY74" s="409"/>
      <c r="AZ74" s="476"/>
      <c r="BA74" s="179"/>
      <c r="BR74" s="476"/>
      <c r="BS74" s="179"/>
      <c r="CI74" s="476"/>
      <c r="CJ74" s="179"/>
      <c r="CK74" s="534"/>
      <c r="CL74" s="534"/>
      <c r="CM74" s="534"/>
      <c r="CN74" s="534"/>
      <c r="CO74" s="534"/>
      <c r="CP74" s="534"/>
      <c r="CQ74" s="401"/>
      <c r="CR74" s="521"/>
      <c r="CS74" s="521"/>
      <c r="CT74" s="521"/>
      <c r="CU74" s="521"/>
      <c r="CV74" s="521"/>
      <c r="CW74" s="521"/>
      <c r="CX74" s="451"/>
      <c r="CY74" s="451"/>
      <c r="CZ74" s="476"/>
      <c r="DA74" s="179"/>
      <c r="DB74" s="485"/>
      <c r="DC74" s="485"/>
      <c r="DD74" s="485"/>
      <c r="DE74" s="485"/>
      <c r="DF74" s="485"/>
      <c r="DG74" s="485"/>
      <c r="DH74" s="461"/>
      <c r="DI74" s="485"/>
      <c r="DJ74" s="485"/>
      <c r="DK74" s="485"/>
      <c r="DL74" s="485"/>
      <c r="DM74" s="485"/>
      <c r="DN74" s="485"/>
      <c r="DO74"/>
      <c r="DP74" s="476"/>
      <c r="DQ74" s="179"/>
      <c r="DR74" s="630"/>
      <c r="DS74" s="630"/>
      <c r="DT74" s="630"/>
      <c r="DU74" s="630"/>
      <c r="DV74" s="630"/>
      <c r="DW74" s="630"/>
      <c r="DX74" s="453"/>
      <c r="DY74" s="630"/>
      <c r="DZ74" s="630"/>
      <c r="EA74" s="630"/>
      <c r="EB74" s="630"/>
      <c r="EC74" s="630"/>
      <c r="ED74" s="630"/>
      <c r="EE74" s="476"/>
      <c r="EF74" s="179"/>
      <c r="EG74" s="449"/>
      <c r="EH74" s="449"/>
      <c r="EI74" s="449"/>
      <c r="EJ74" s="449"/>
      <c r="EK74" s="449"/>
      <c r="EL74" s="449"/>
      <c r="EM74" s="449"/>
      <c r="EN74" s="449"/>
      <c r="EO74" s="449"/>
      <c r="EP74" s="449"/>
      <c r="EQ74" s="449"/>
      <c r="ER74" s="449"/>
      <c r="ES74" s="449"/>
      <c r="EV74" s="476"/>
      <c r="EW74" s="179"/>
      <c r="EX74" s="449"/>
      <c r="EY74" s="449"/>
      <c r="EZ74" s="449"/>
      <c r="FA74" s="449"/>
      <c r="FB74" s="449"/>
      <c r="FC74" s="449"/>
      <c r="FD74" s="449"/>
      <c r="FE74" s="449"/>
      <c r="FF74" s="449"/>
      <c r="FG74" s="449"/>
      <c r="FH74" s="449"/>
      <c r="FI74" s="449"/>
      <c r="FJ74" s="449"/>
    </row>
    <row r="75" spans="1:166" ht="22.5" customHeight="1">
      <c r="A75" s="476"/>
      <c r="C75" s="556" t="str">
        <f>Comment_page!$B15</f>
        <v>德國10Y公債</v>
      </c>
      <c r="D75" s="543"/>
      <c r="E75" s="413" t="e">
        <f ca="1">Comment_page!$C15</f>
        <v>#NAME?</v>
      </c>
      <c r="F75" s="413" t="e">
        <f ca="1">Comment_page!D15</f>
        <v>#NAME?</v>
      </c>
      <c r="G75" s="414" t="e">
        <f ca="1">Comment_page!E15</f>
        <v>#NAME?</v>
      </c>
      <c r="H75" s="415" t="e">
        <f ca="1">Comment_page!F15</f>
        <v>#NAME?</v>
      </c>
      <c r="I75" s="194"/>
      <c r="Q75" s="476"/>
      <c r="R75" s="179"/>
      <c r="S75" s="549"/>
      <c r="T75" s="386" t="e">
        <f ca="1">VLOOKUP($AD75,'市場監控 '!$E$7:$W$194,6,FALSE)</f>
        <v>#NAME?</v>
      </c>
      <c r="U75" s="386" t="e">
        <f ca="1">VLOOKUP($AD75,'市場監控 '!$E$7:$W$194,7,FALSE)</f>
        <v>#NAME?</v>
      </c>
      <c r="V75" s="387" t="str">
        <f ca="1">VLOOKUP($AD75,'市場監控 '!$E$7:$W$194,8,FALSE)</f>
        <v>-</v>
      </c>
      <c r="W75" s="388" t="str">
        <f ca="1">VLOOKUP($AD75,'市場監控 '!$E$7:$W$194,10,FALSE)</f>
        <v>-</v>
      </c>
      <c r="X75" s="389" t="str">
        <f ca="1">VLOOKUP($AD75,'市場監控 '!$E$7:$W$194,12,FALSE)</f>
        <v>-</v>
      </c>
      <c r="Y75" s="390" t="str">
        <f ca="1">VLOOKUP($AD75,'市場監控 '!$E$7:$W$194,14,FALSE)</f>
        <v>-</v>
      </c>
      <c r="Z75" s="390" t="str">
        <f ca="1">VLOOKUP($AD75,'市場監控 '!$E$7:$W$194,15,FALSE)</f>
        <v>-</v>
      </c>
      <c r="AA75" s="389" t="e">
        <f ca="1">VLOOKUP($AD75,'市場監控 '!$E$7:$W$194,17,FALSE)</f>
        <v>#NAME?</v>
      </c>
      <c r="AB75" s="389" t="e">
        <f ca="1">VLOOKUP($AD75,'市場監控 '!$E$7:$W$194,18,FALSE)</f>
        <v>#NAME?</v>
      </c>
      <c r="AC75" s="389" t="e">
        <f ca="1">VLOOKUP($AD75,'市場監控 '!$E$7:$W$194,19,FALSE)</f>
        <v>#NAME?</v>
      </c>
      <c r="AD75" s="184" t="s">
        <v>1242</v>
      </c>
      <c r="AE75" s="246" t="s">
        <v>1798</v>
      </c>
      <c r="AF75" s="225"/>
      <c r="AG75" s="225"/>
      <c r="AH75" s="476"/>
      <c r="AI75" s="179"/>
      <c r="AJ75" s="404" t="e">
        <f ca="1">VLOOKUP($AL75,NI!$B$5:$AL$2030,6,FALSE)</f>
        <v>#NAME?</v>
      </c>
      <c r="AK75" s="404" t="e">
        <f ca="1">VLOOKUP($AL75,NI!$B$5:$AL$2030,2,FALSE)</f>
        <v>#NAME?</v>
      </c>
      <c r="AL75" s="405" t="e">
        <f ca="1">NI!B32</f>
        <v>#NAME?</v>
      </c>
      <c r="AM75" s="404" t="e">
        <f ca="1">VLOOKUP($AL75,NI!$B$5:$AL$2030,11,FALSE)</f>
        <v>#NAME?</v>
      </c>
      <c r="AN75" s="406" t="e">
        <f ca="1">VLOOKUP($AL75,NI!$B$5:$AL$2030,12,FALSE)/1000000</f>
        <v>#NAME?</v>
      </c>
      <c r="AO75" s="406"/>
      <c r="AP75" s="406" t="str">
        <f ca="1">IF(ISNUMBER(VLOOKUP($AL75,NI!$B$5:$AL$2030,13,FALSE)),VLOOKUP($AL75,NI!$B$5:$AL$2030,13,FALSE),"-")</f>
        <v>-</v>
      </c>
      <c r="AQ75" s="407" t="e">
        <f ca="1">VLOOKUP($AL75,NI!$B$5:$AL$2030,4,FALSE)</f>
        <v>#NAME?</v>
      </c>
      <c r="AR75" s="406" t="e">
        <f ca="1">VLOOKUP($AL75,NI!$B$5:$AL$2030,3,FALSE)</f>
        <v>#NAME?</v>
      </c>
      <c r="AS75" s="408" t="e">
        <f ca="1">VLOOKUP($AL75,NI!$B$5:$AL$2030,4,FALSE)</f>
        <v>#NAME?</v>
      </c>
      <c r="AT75" s="408" t="e">
        <f ca="1">IF(LEFT(VLOOKUP($AL75,NI!$B$5:$AL$2030,31,FALSE),1)="#","-",VLOOKUP($AL75,NI!$B$5:$AL$2030,31,FALSE))</f>
        <v>#NAME?</v>
      </c>
      <c r="AU75" s="408" t="e">
        <f ca="1">IF(LEFT(VLOOKUP($AL75,NI!$B$5:$AL$2030,32,FALSE),1)="#","-",VLOOKUP($AL75,NI!$B$5:$AL$2030,32,FALSE))</f>
        <v>#NAME?</v>
      </c>
      <c r="AV75" s="408" t="e">
        <f ca="1">IF(LEFT(VLOOKUP($AL75,NI!$B$5:$AL$2030,33,FALSE),1)="#","-",VLOOKUP($AL75,NI!$B$5:$AL$2030,33,FALSE))</f>
        <v>#NAME?</v>
      </c>
      <c r="AW75" s="409" t="e">
        <f ca="1">VLOOKUP($AL75,NI!$B$5:$AL$2030,22,FALSE)</f>
        <v>#NAME?</v>
      </c>
      <c r="AX75" s="409"/>
      <c r="AY75" s="409"/>
      <c r="AZ75" s="476"/>
      <c r="BA75" s="179"/>
      <c r="BR75" s="476"/>
      <c r="BS75" s="179"/>
      <c r="CI75" s="476"/>
      <c r="CJ75" s="179"/>
      <c r="CK75" s="534"/>
      <c r="CL75" s="534"/>
      <c r="CM75" s="534"/>
      <c r="CN75" s="534"/>
      <c r="CO75" s="534"/>
      <c r="CP75" s="534"/>
      <c r="CQ75" s="401"/>
      <c r="CR75" s="521"/>
      <c r="CS75" s="521"/>
      <c r="CT75" s="521"/>
      <c r="CU75" s="521"/>
      <c r="CV75" s="521"/>
      <c r="CW75" s="521"/>
      <c r="CX75" s="451"/>
      <c r="CY75" s="451"/>
      <c r="CZ75" s="476"/>
      <c r="DA75" s="179"/>
      <c r="DB75" s="485"/>
      <c r="DC75" s="485"/>
      <c r="DD75" s="485"/>
      <c r="DE75" s="485"/>
      <c r="DF75" s="485"/>
      <c r="DG75" s="485"/>
      <c r="DH75" s="461"/>
      <c r="DI75" s="485"/>
      <c r="DJ75" s="485"/>
      <c r="DK75" s="485"/>
      <c r="DL75" s="485"/>
      <c r="DM75" s="485"/>
      <c r="DN75" s="485"/>
      <c r="DO75"/>
      <c r="DP75" s="476"/>
      <c r="DQ75" s="179"/>
      <c r="DR75" s="630"/>
      <c r="DS75" s="630"/>
      <c r="DT75" s="630"/>
      <c r="DU75" s="630"/>
      <c r="DV75" s="630"/>
      <c r="DW75" s="630"/>
      <c r="DX75" s="453"/>
      <c r="DY75" s="630"/>
      <c r="DZ75" s="630"/>
      <c r="EA75" s="630"/>
      <c r="EB75" s="630"/>
      <c r="EC75" s="630"/>
      <c r="ED75" s="630"/>
      <c r="EE75" s="476"/>
      <c r="EF75" s="179"/>
      <c r="EG75" s="449"/>
      <c r="EH75" s="449"/>
      <c r="EI75" s="449"/>
      <c r="EJ75" s="449"/>
      <c r="EK75" s="449"/>
      <c r="EL75" s="449"/>
      <c r="EM75" s="449"/>
      <c r="EN75" s="449"/>
      <c r="EO75" s="449"/>
      <c r="EP75" s="449"/>
      <c r="EQ75" s="449"/>
      <c r="ER75" s="449"/>
      <c r="ES75" s="449"/>
      <c r="EV75" s="476"/>
      <c r="EW75" s="179"/>
      <c r="EX75" s="449"/>
      <c r="EY75" s="449"/>
      <c r="EZ75" s="449"/>
      <c r="FA75" s="449"/>
      <c r="FB75" s="449"/>
      <c r="FC75" s="449"/>
      <c r="FD75" s="449"/>
      <c r="FE75" s="449"/>
      <c r="FF75" s="449"/>
      <c r="FG75" s="449"/>
      <c r="FH75" s="449"/>
      <c r="FI75" s="449"/>
      <c r="FJ75" s="449"/>
    </row>
    <row r="76" spans="1:166" ht="22.5" customHeight="1">
      <c r="A76" s="476"/>
      <c r="C76" s="556" t="str">
        <f>Comment_page!$B16</f>
        <v>英國10Y公債</v>
      </c>
      <c r="D76" s="543"/>
      <c r="E76" s="413" t="e">
        <f ca="1">Comment_page!$C16</f>
        <v>#NAME?</v>
      </c>
      <c r="F76" s="413" t="e">
        <f ca="1">Comment_page!D16</f>
        <v>#NAME?</v>
      </c>
      <c r="G76" s="414" t="e">
        <f ca="1">Comment_page!E16</f>
        <v>#NAME?</v>
      </c>
      <c r="H76" s="415" t="e">
        <f ca="1">Comment_page!F16</f>
        <v>#NAME?</v>
      </c>
      <c r="I76" s="40"/>
      <c r="Q76" s="476"/>
      <c r="R76" s="179"/>
      <c r="S76" s="549"/>
      <c r="T76" s="386" t="e">
        <f ca="1">VLOOKUP($AD76,'市場監控 '!$E$7:$W$194,6,FALSE)</f>
        <v>#NAME?</v>
      </c>
      <c r="U76" s="386" t="e">
        <f ca="1">VLOOKUP($AD76,'市場監控 '!$E$7:$W$194,7,FALSE)</f>
        <v>#NAME?</v>
      </c>
      <c r="V76" s="387" t="str">
        <f ca="1">VLOOKUP($AD76,'市場監控 '!$E$7:$W$194,8,FALSE)</f>
        <v>-</v>
      </c>
      <c r="W76" s="388" t="str">
        <f ca="1">VLOOKUP($AD76,'市場監控 '!$E$7:$W$194,10,FALSE)</f>
        <v>-</v>
      </c>
      <c r="X76" s="389" t="str">
        <f ca="1">VLOOKUP($AD76,'市場監控 '!$E$7:$W$194,12,FALSE)</f>
        <v>-</v>
      </c>
      <c r="Y76" s="390" t="str">
        <f ca="1">VLOOKUP($AD76,'市場監控 '!$E$7:$W$194,14,FALSE)</f>
        <v>-</v>
      </c>
      <c r="Z76" s="390" t="str">
        <f ca="1">VLOOKUP($AD76,'市場監控 '!$E$7:$W$194,15,FALSE)</f>
        <v>-</v>
      </c>
      <c r="AA76" s="389" t="e">
        <f ca="1">VLOOKUP($AD76,'市場監控 '!$E$7:$W$194,17,FALSE)</f>
        <v>#NAME?</v>
      </c>
      <c r="AB76" s="389" t="e">
        <f ca="1">VLOOKUP($AD76,'市場監控 '!$E$7:$W$194,18,FALSE)</f>
        <v>#NAME?</v>
      </c>
      <c r="AC76" s="389" t="e">
        <f ca="1">VLOOKUP($AD76,'市場監控 '!$E$7:$W$194,19,FALSE)</f>
        <v>#NAME?</v>
      </c>
      <c r="AD76" s="184" t="s">
        <v>1241</v>
      </c>
      <c r="AE76" s="246" t="s">
        <v>1800</v>
      </c>
      <c r="AF76" s="225"/>
      <c r="AG76" s="225"/>
      <c r="AH76" s="476"/>
      <c r="AI76" s="179"/>
      <c r="AJ76" s="404" t="e">
        <f ca="1">VLOOKUP($AL76,NI!$B$5:$AL$2030,6,FALSE)</f>
        <v>#NAME?</v>
      </c>
      <c r="AK76" s="404" t="e">
        <f ca="1">VLOOKUP($AL76,NI!$B$5:$AL$2030,2,FALSE)</f>
        <v>#NAME?</v>
      </c>
      <c r="AL76" s="405" t="e">
        <f ca="1">NI!B33</f>
        <v>#NAME?</v>
      </c>
      <c r="AM76" s="404" t="e">
        <f ca="1">VLOOKUP($AL76,NI!$B$5:$AL$2030,11,FALSE)</f>
        <v>#NAME?</v>
      </c>
      <c r="AN76" s="406" t="e">
        <f ca="1">VLOOKUP($AL76,NI!$B$5:$AL$2030,12,FALSE)/1000000</f>
        <v>#NAME?</v>
      </c>
      <c r="AO76" s="406"/>
      <c r="AP76" s="406" t="str">
        <f ca="1">IF(ISNUMBER(VLOOKUP($AL76,NI!$B$5:$AL$2030,13,FALSE)),VLOOKUP($AL76,NI!$B$5:$AL$2030,13,FALSE),"-")</f>
        <v>-</v>
      </c>
      <c r="AQ76" s="407" t="e">
        <f ca="1">VLOOKUP($AL76,NI!$B$5:$AL$2030,4,FALSE)</f>
        <v>#NAME?</v>
      </c>
      <c r="AR76" s="406" t="e">
        <f ca="1">VLOOKUP($AL76,NI!$B$5:$AL$2030,3,FALSE)</f>
        <v>#NAME?</v>
      </c>
      <c r="AS76" s="408" t="e">
        <f ca="1">VLOOKUP($AL76,NI!$B$5:$AL$2030,4,FALSE)</f>
        <v>#NAME?</v>
      </c>
      <c r="AT76" s="408" t="e">
        <f ca="1">IF(LEFT(VLOOKUP($AL76,NI!$B$5:$AL$2030,31,FALSE),1)="#","-",VLOOKUP($AL76,NI!$B$5:$AL$2030,31,FALSE))</f>
        <v>#NAME?</v>
      </c>
      <c r="AU76" s="408" t="e">
        <f ca="1">IF(LEFT(VLOOKUP($AL76,NI!$B$5:$AL$2030,32,FALSE),1)="#","-",VLOOKUP($AL76,NI!$B$5:$AL$2030,32,FALSE))</f>
        <v>#NAME?</v>
      </c>
      <c r="AV76" s="408" t="e">
        <f ca="1">IF(LEFT(VLOOKUP($AL76,NI!$B$5:$AL$2030,33,FALSE),1)="#","-",VLOOKUP($AL76,NI!$B$5:$AL$2030,33,FALSE))</f>
        <v>#NAME?</v>
      </c>
      <c r="AW76" s="409" t="e">
        <f ca="1">VLOOKUP($AL76,NI!$B$5:$AL$2030,22,FALSE)</f>
        <v>#NAME?</v>
      </c>
      <c r="AX76" s="409"/>
      <c r="AY76" s="409"/>
      <c r="AZ76" s="476"/>
      <c r="BA76" s="179"/>
      <c r="BR76" s="476"/>
      <c r="BS76" s="179"/>
      <c r="CI76" s="476"/>
      <c r="CJ76" s="179"/>
      <c r="CK76"/>
      <c r="CL76"/>
      <c r="CM76"/>
      <c r="CN76"/>
      <c r="CO76"/>
      <c r="CP76"/>
      <c r="CQ76" s="401"/>
      <c r="CR76"/>
      <c r="CS76"/>
      <c r="CT76"/>
      <c r="CU76"/>
      <c r="CV76"/>
      <c r="CW76"/>
      <c r="CX76" s="451"/>
      <c r="CY76" s="451"/>
      <c r="CZ76" s="476"/>
      <c r="DA76" s="179"/>
      <c r="DB76" s="463"/>
      <c r="DC76" s="463"/>
      <c r="DD76" s="463"/>
      <c r="DE76" s="463"/>
      <c r="DF76" s="463"/>
      <c r="DG76" s="463"/>
      <c r="DH76" s="462"/>
      <c r="DI76" s="463"/>
      <c r="DJ76" s="463"/>
      <c r="DK76" s="463"/>
      <c r="DL76" s="463"/>
      <c r="DM76" s="463"/>
      <c r="DN76" s="463"/>
      <c r="DO76"/>
      <c r="DP76" s="476"/>
      <c r="DQ76" s="179"/>
      <c r="DR76" s="630"/>
      <c r="DS76" s="630"/>
      <c r="DT76" s="630"/>
      <c r="DU76" s="630"/>
      <c r="DV76" s="630"/>
      <c r="DW76" s="630"/>
      <c r="DX76" s="453"/>
      <c r="DY76" s="630"/>
      <c r="DZ76" s="630"/>
      <c r="EA76" s="630"/>
      <c r="EB76" s="630"/>
      <c r="EC76" s="630"/>
      <c r="ED76" s="630"/>
      <c r="EE76" s="476"/>
      <c r="EF76" s="179"/>
      <c r="EG76" s="449"/>
      <c r="EH76" s="449"/>
      <c r="EI76" s="449"/>
      <c r="EJ76" s="449"/>
      <c r="EK76" s="449"/>
      <c r="EL76" s="449"/>
      <c r="EM76" s="449"/>
      <c r="EN76" s="449"/>
      <c r="EO76" s="449"/>
      <c r="EP76" s="449"/>
      <c r="EQ76" s="449"/>
      <c r="ER76" s="449"/>
      <c r="ES76" s="449"/>
      <c r="EV76" s="476"/>
      <c r="EW76" s="179"/>
      <c r="EX76" s="449"/>
      <c r="EY76" s="449"/>
      <c r="EZ76" s="449"/>
      <c r="FA76" s="449"/>
      <c r="FB76" s="449"/>
      <c r="FC76" s="449"/>
      <c r="FD76" s="449"/>
      <c r="FE76" s="449"/>
      <c r="FF76" s="449"/>
      <c r="FG76" s="449"/>
      <c r="FH76" s="449"/>
      <c r="FI76" s="449"/>
      <c r="FJ76" s="449"/>
    </row>
    <row r="77" spans="1:166" ht="22.5" customHeight="1" thickBot="1">
      <c r="A77" s="476"/>
      <c r="C77" s="556" t="str">
        <f>Comment_page!$B17</f>
        <v>法國10Y公債</v>
      </c>
      <c r="D77" s="543"/>
      <c r="E77" s="413" t="e">
        <f ca="1">Comment_page!$C17</f>
        <v>#NAME?</v>
      </c>
      <c r="F77" s="413" t="e">
        <f ca="1">Comment_page!D17</f>
        <v>#NAME?</v>
      </c>
      <c r="G77" s="414" t="e">
        <f ca="1">Comment_page!E17</f>
        <v>#NAME?</v>
      </c>
      <c r="H77" s="415" t="e">
        <f ca="1">Comment_page!F17</f>
        <v>#NAME?</v>
      </c>
      <c r="I77" s="194"/>
      <c r="Q77" s="476"/>
      <c r="R77" s="179"/>
      <c r="S77" s="550"/>
      <c r="T77" s="391" t="e">
        <f ca="1">VLOOKUP($AD77,'市場監控 '!$E$7:$W$194,6,FALSE)</f>
        <v>#NAME?</v>
      </c>
      <c r="U77" s="391" t="e">
        <f ca="1">VLOOKUP($AD77,'市場監控 '!$E$7:$W$194,7,FALSE)</f>
        <v>#NAME?</v>
      </c>
      <c r="V77" s="392" t="str">
        <f ca="1">VLOOKUP($AD77,'市場監控 '!$E$7:$W$194,8,FALSE)</f>
        <v>-</v>
      </c>
      <c r="W77" s="393" t="str">
        <f ca="1">VLOOKUP($AD77,'市場監控 '!$E$7:$W$194,10,FALSE)</f>
        <v>-</v>
      </c>
      <c r="X77" s="394" t="str">
        <f ca="1">VLOOKUP($AD77,'市場監控 '!$E$7:$W$194,12,FALSE)</f>
        <v>-</v>
      </c>
      <c r="Y77" s="395" t="str">
        <f ca="1">VLOOKUP($AD77,'市場監控 '!$E$7:$W$194,14,FALSE)</f>
        <v>-</v>
      </c>
      <c r="Z77" s="395" t="str">
        <f ca="1">VLOOKUP($AD77,'市場監控 '!$E$7:$W$194,15,FALSE)</f>
        <v>-</v>
      </c>
      <c r="AA77" s="394" t="e">
        <f ca="1">VLOOKUP($AD77,'市場監控 '!$E$7:$W$194,17,FALSE)</f>
        <v>#NAME?</v>
      </c>
      <c r="AB77" s="394" t="e">
        <f ca="1">VLOOKUP($AD77,'市場監控 '!$E$7:$W$194,18,FALSE)</f>
        <v>#NAME?</v>
      </c>
      <c r="AC77" s="394" t="e">
        <f ca="1">VLOOKUP($AD77,'市場監控 '!$E$7:$W$194,19,FALSE)</f>
        <v>#NAME?</v>
      </c>
      <c r="AD77" s="184" t="s">
        <v>1240</v>
      </c>
      <c r="AE77" s="271" t="s">
        <v>1802</v>
      </c>
      <c r="AF77" s="225"/>
      <c r="AG77" s="225"/>
      <c r="AH77" s="476"/>
      <c r="AI77" s="179"/>
      <c r="AJ77" s="404" t="e">
        <f ca="1">VLOOKUP($AL77,NI!$B$5:$AL$2030,6,FALSE)</f>
        <v>#NAME?</v>
      </c>
      <c r="AK77" s="404" t="e">
        <f ca="1">VLOOKUP($AL77,NI!$B$5:$AL$2030,2,FALSE)</f>
        <v>#NAME?</v>
      </c>
      <c r="AL77" s="405" t="e">
        <f ca="1">NI!B34</f>
        <v>#NAME?</v>
      </c>
      <c r="AM77" s="404" t="e">
        <f ca="1">VLOOKUP($AL77,NI!$B$5:$AL$2030,11,FALSE)</f>
        <v>#NAME?</v>
      </c>
      <c r="AN77" s="406" t="e">
        <f ca="1">VLOOKUP($AL77,NI!$B$5:$AL$2030,12,FALSE)/1000000</f>
        <v>#NAME?</v>
      </c>
      <c r="AO77" s="406"/>
      <c r="AP77" s="406" t="str">
        <f ca="1">IF(ISNUMBER(VLOOKUP($AL77,NI!$B$5:$AL$2030,13,FALSE)),VLOOKUP($AL77,NI!$B$5:$AL$2030,13,FALSE),"-")</f>
        <v>-</v>
      </c>
      <c r="AQ77" s="407" t="e">
        <f ca="1">VLOOKUP($AL77,NI!$B$5:$AL$2030,4,FALSE)</f>
        <v>#NAME?</v>
      </c>
      <c r="AR77" s="406" t="e">
        <f ca="1">VLOOKUP($AL77,NI!$B$5:$AL$2030,3,FALSE)</f>
        <v>#NAME?</v>
      </c>
      <c r="AS77" s="408" t="e">
        <f ca="1">VLOOKUP($AL77,NI!$B$5:$AL$2030,4,FALSE)</f>
        <v>#NAME?</v>
      </c>
      <c r="AT77" s="408" t="e">
        <f ca="1">IF(LEFT(VLOOKUP($AL77,NI!$B$5:$AL$2030,31,FALSE),1)="#","-",VLOOKUP($AL77,NI!$B$5:$AL$2030,31,FALSE))</f>
        <v>#NAME?</v>
      </c>
      <c r="AU77" s="408" t="e">
        <f ca="1">IF(LEFT(VLOOKUP($AL77,NI!$B$5:$AL$2030,32,FALSE),1)="#","-",VLOOKUP($AL77,NI!$B$5:$AL$2030,32,FALSE))</f>
        <v>#NAME?</v>
      </c>
      <c r="AV77" s="408" t="e">
        <f ca="1">IF(LEFT(VLOOKUP($AL77,NI!$B$5:$AL$2030,33,FALSE),1)="#","-",VLOOKUP($AL77,NI!$B$5:$AL$2030,33,FALSE))</f>
        <v>#NAME?</v>
      </c>
      <c r="AW77" s="409" t="e">
        <f ca="1">VLOOKUP($AL77,NI!$B$5:$AL$2030,22,FALSE)</f>
        <v>#NAME?</v>
      </c>
      <c r="AX77" s="409"/>
      <c r="AY77" s="409"/>
      <c r="AZ77" s="476"/>
      <c r="BA77" s="179"/>
      <c r="BR77" s="476"/>
      <c r="BS77" s="179"/>
      <c r="CI77" s="476"/>
      <c r="CJ77" s="179"/>
      <c r="CK77" s="522"/>
      <c r="CL77" s="523"/>
      <c r="CM77" s="523"/>
      <c r="CN77" s="523"/>
      <c r="CO77" s="523"/>
      <c r="CP77" s="523"/>
      <c r="CQ77" s="462"/>
      <c r="CR77" s="522"/>
      <c r="CS77" s="523"/>
      <c r="CT77" s="523"/>
      <c r="CU77" s="523"/>
      <c r="CV77" s="523"/>
      <c r="CW77" s="523"/>
      <c r="CX77" s="451"/>
      <c r="CY77" s="451"/>
      <c r="CZ77" s="476"/>
      <c r="DA77" s="179"/>
      <c r="DB77" s="522"/>
      <c r="DC77" s="523"/>
      <c r="DD77" s="523"/>
      <c r="DE77" s="523"/>
      <c r="DF77" s="523"/>
      <c r="DG77" s="523"/>
      <c r="DH77" s="462"/>
      <c r="DI77" s="522"/>
      <c r="DJ77" s="523"/>
      <c r="DK77" s="523"/>
      <c r="DL77" s="523"/>
      <c r="DM77" s="523"/>
      <c r="DN77" s="523"/>
      <c r="DO77"/>
      <c r="DP77" s="476"/>
      <c r="DQ77" s="179"/>
      <c r="DR77" s="630"/>
      <c r="DS77" s="630"/>
      <c r="DT77" s="630"/>
      <c r="DU77" s="630"/>
      <c r="DV77" s="630"/>
      <c r="DW77" s="630"/>
      <c r="DX77" s="453"/>
      <c r="DY77" s="630"/>
      <c r="DZ77" s="630"/>
      <c r="EA77" s="630"/>
      <c r="EB77" s="630"/>
      <c r="EC77" s="630"/>
      <c r="ED77" s="630"/>
      <c r="EE77" s="476"/>
      <c r="EF77" s="179"/>
      <c r="EG77" s="449"/>
      <c r="EH77" s="449"/>
      <c r="EI77" s="449"/>
      <c r="EJ77" s="449"/>
      <c r="EK77" s="449"/>
      <c r="EL77" s="449"/>
      <c r="EM77" s="449"/>
      <c r="EN77" s="449"/>
      <c r="EO77" s="449"/>
      <c r="EP77" s="449"/>
      <c r="EQ77" s="449"/>
      <c r="ER77" s="449"/>
      <c r="ES77" s="449"/>
      <c r="EV77" s="476"/>
      <c r="EW77" s="179"/>
      <c r="EX77" s="449"/>
      <c r="EY77" s="449"/>
      <c r="EZ77" s="449"/>
      <c r="FA77" s="449"/>
      <c r="FB77" s="449"/>
      <c r="FC77" s="449"/>
      <c r="FD77" s="449"/>
      <c r="FE77" s="449"/>
      <c r="FF77" s="449"/>
      <c r="FG77" s="449"/>
      <c r="FH77" s="449"/>
      <c r="FI77" s="449"/>
      <c r="FJ77" s="449"/>
    </row>
    <row r="78" spans="1:166" ht="22.5" customHeight="1">
      <c r="A78" s="476"/>
      <c r="C78" s="556" t="str">
        <f>Comment_page!$B18</f>
        <v>義大利10Y公債</v>
      </c>
      <c r="D78" s="543"/>
      <c r="E78" s="413" t="e">
        <f ca="1">Comment_page!$C18</f>
        <v>#NAME?</v>
      </c>
      <c r="F78" s="413" t="e">
        <f ca="1">Comment_page!D18</f>
        <v>#NAME?</v>
      </c>
      <c r="G78" s="414" t="e">
        <f ca="1">Comment_page!E18</f>
        <v>#NAME?</v>
      </c>
      <c r="H78" s="415" t="e">
        <f ca="1">Comment_page!F18</f>
        <v>#NAME?</v>
      </c>
      <c r="I78" s="40"/>
      <c r="P78" s="16"/>
      <c r="Q78" s="476"/>
      <c r="R78" s="179"/>
      <c r="S78" s="545" t="s">
        <v>1196</v>
      </c>
      <c r="T78" s="432" t="e">
        <f ca="1">VLOOKUP($AD78,'市場監控 '!$E$7:$W$194,6,FALSE)</f>
        <v>#NAME?</v>
      </c>
      <c r="U78" s="432" t="e">
        <f ca="1">VLOOKUP($AD78,'市場監控 '!$E$7:$W$194,7,FALSE)</f>
        <v>#NAME?</v>
      </c>
      <c r="V78" s="387" t="str">
        <f ca="1">VLOOKUP($AD78,'市場監控 '!$E$7:$W$194,8,FALSE)</f>
        <v>-</v>
      </c>
      <c r="W78" s="433" t="str">
        <f ca="1">VLOOKUP($AD78,'市場監控 '!$E$7:$W$194,10,FALSE)</f>
        <v>-</v>
      </c>
      <c r="X78" s="434" t="str">
        <f ca="1">VLOOKUP($AD78,'市場監控 '!$E$7:$W$194,12,FALSE)</f>
        <v>-</v>
      </c>
      <c r="Y78" s="435" t="str">
        <f ca="1">VLOOKUP($AD78,'市場監控 '!$E$7:$W$194,14,FALSE)</f>
        <v>-</v>
      </c>
      <c r="Z78" s="435" t="str">
        <f ca="1">VLOOKUP($AD78,'市場監控 '!$E$7:$W$194,15,FALSE)</f>
        <v>-</v>
      </c>
      <c r="AA78" s="434" t="e">
        <f ca="1">VLOOKUP($AD78,'市場監控 '!$E$7:$W$194,17,FALSE)</f>
        <v>#NAME?</v>
      </c>
      <c r="AB78" s="434" t="e">
        <f ca="1">VLOOKUP($AD78,'市場監控 '!$E$7:$W$194,18,FALSE)</f>
        <v>#NAME?</v>
      </c>
      <c r="AC78" s="434" t="e">
        <f ca="1">VLOOKUP($AD78,'市場監控 '!$E$7:$W$194,19,FALSE)</f>
        <v>#NAME?</v>
      </c>
      <c r="AD78" s="370" t="s">
        <v>1167</v>
      </c>
      <c r="AE78" s="276" t="s">
        <v>1804</v>
      </c>
      <c r="AF78" s="225"/>
      <c r="AG78" s="225"/>
      <c r="AH78" s="476"/>
      <c r="AI78" s="179"/>
      <c r="AJ78" s="404" t="e">
        <f ca="1">VLOOKUP($AL78,NI!$B$5:$AL$2030,6,FALSE)</f>
        <v>#NAME?</v>
      </c>
      <c r="AK78" s="404" t="e">
        <f ca="1">VLOOKUP($AL78,NI!$B$5:$AL$2030,2,FALSE)</f>
        <v>#NAME?</v>
      </c>
      <c r="AL78" s="405" t="e">
        <f ca="1">NI!B35</f>
        <v>#NAME?</v>
      </c>
      <c r="AM78" s="404" t="e">
        <f ca="1">VLOOKUP($AL78,NI!$B$5:$AL$2030,11,FALSE)</f>
        <v>#NAME?</v>
      </c>
      <c r="AN78" s="406" t="e">
        <f ca="1">VLOOKUP($AL78,NI!$B$5:$AL$2030,12,FALSE)/1000000</f>
        <v>#NAME?</v>
      </c>
      <c r="AO78" s="406"/>
      <c r="AP78" s="406" t="str">
        <f ca="1">IF(ISNUMBER(VLOOKUP($AL78,NI!$B$5:$AL$2030,13,FALSE)),VLOOKUP($AL78,NI!$B$5:$AL$2030,13,FALSE),"-")</f>
        <v>-</v>
      </c>
      <c r="AQ78" s="407" t="e">
        <f ca="1">VLOOKUP($AL78,NI!$B$5:$AL$2030,4,FALSE)</f>
        <v>#NAME?</v>
      </c>
      <c r="AR78" s="406" t="e">
        <f ca="1">VLOOKUP($AL78,NI!$B$5:$AL$2030,3,FALSE)</f>
        <v>#NAME?</v>
      </c>
      <c r="AS78" s="408" t="e">
        <f ca="1">VLOOKUP($AL78,NI!$B$5:$AL$2030,4,FALSE)</f>
        <v>#NAME?</v>
      </c>
      <c r="AT78" s="408" t="e">
        <f ca="1">IF(LEFT(VLOOKUP($AL78,NI!$B$5:$AL$2030,31,FALSE),1)="#","-",VLOOKUP($AL78,NI!$B$5:$AL$2030,31,FALSE))</f>
        <v>#NAME?</v>
      </c>
      <c r="AU78" s="408" t="e">
        <f ca="1">IF(LEFT(VLOOKUP($AL78,NI!$B$5:$AL$2030,32,FALSE),1)="#","-",VLOOKUP($AL78,NI!$B$5:$AL$2030,32,FALSE))</f>
        <v>#NAME?</v>
      </c>
      <c r="AV78" s="408" t="e">
        <f ca="1">IF(LEFT(VLOOKUP($AL78,NI!$B$5:$AL$2030,33,FALSE),1)="#","-",VLOOKUP($AL78,NI!$B$5:$AL$2030,33,FALSE))</f>
        <v>#NAME?</v>
      </c>
      <c r="AW78" s="409" t="e">
        <f ca="1">VLOOKUP($AL78,NI!$B$5:$AL$2030,22,FALSE)</f>
        <v>#NAME?</v>
      </c>
      <c r="AX78" s="409"/>
      <c r="AY78" s="409"/>
      <c r="AZ78" s="476"/>
      <c r="BA78" s="179"/>
      <c r="BR78" s="476"/>
      <c r="BS78" s="179"/>
      <c r="CI78" s="476"/>
      <c r="CJ78" s="179"/>
      <c r="CK78" s="524"/>
      <c r="CL78" s="525"/>
      <c r="CM78" s="525"/>
      <c r="CN78" s="525"/>
      <c r="CO78" s="525"/>
      <c r="CP78" s="525"/>
      <c r="CQ78" s="462"/>
      <c r="CR78" s="524"/>
      <c r="CS78" s="525"/>
      <c r="CT78" s="525"/>
      <c r="CU78" s="525"/>
      <c r="CV78" s="525"/>
      <c r="CW78" s="525"/>
      <c r="CX78" s="451"/>
      <c r="CY78" s="451"/>
      <c r="CZ78" s="476"/>
      <c r="DA78" s="179"/>
      <c r="DB78" s="524"/>
      <c r="DC78" s="525"/>
      <c r="DD78" s="525"/>
      <c r="DE78" s="525"/>
      <c r="DF78" s="525"/>
      <c r="DG78" s="525"/>
      <c r="DH78" s="462"/>
      <c r="DI78" s="524"/>
      <c r="DJ78" s="525"/>
      <c r="DK78" s="525"/>
      <c r="DL78" s="525"/>
      <c r="DM78" s="525"/>
      <c r="DN78" s="525"/>
      <c r="DO78"/>
      <c r="DP78" s="476"/>
      <c r="DQ78" s="179"/>
      <c r="DR78" s="630"/>
      <c r="DS78" s="630"/>
      <c r="DT78" s="630"/>
      <c r="DU78" s="630"/>
      <c r="DV78" s="630"/>
      <c r="DW78" s="630"/>
      <c r="DX78" s="453"/>
      <c r="DY78" s="630"/>
      <c r="DZ78" s="630"/>
      <c r="EA78" s="630"/>
      <c r="EB78" s="630"/>
      <c r="EC78" s="630"/>
      <c r="ED78" s="630"/>
      <c r="EE78" s="476"/>
      <c r="EF78" s="179"/>
      <c r="EG78" s="449"/>
      <c r="EH78" s="449"/>
      <c r="EI78" s="449"/>
      <c r="EJ78" s="449"/>
      <c r="EK78" s="449"/>
      <c r="EL78" s="449"/>
      <c r="EM78" s="449"/>
      <c r="EN78" s="449"/>
      <c r="EO78" s="449"/>
      <c r="EP78" s="449"/>
      <c r="EQ78" s="449"/>
      <c r="ER78" s="449"/>
      <c r="ES78" s="449"/>
      <c r="EV78" s="476"/>
      <c r="EW78" s="179"/>
      <c r="EX78" s="449"/>
      <c r="EY78" s="449"/>
      <c r="EZ78" s="449"/>
      <c r="FA78" s="449"/>
      <c r="FB78" s="449"/>
      <c r="FC78" s="449"/>
      <c r="FD78" s="449"/>
      <c r="FE78" s="449"/>
      <c r="FF78" s="449"/>
      <c r="FG78" s="449"/>
      <c r="FH78" s="449"/>
      <c r="FI78" s="449"/>
      <c r="FJ78" s="449"/>
    </row>
    <row r="79" spans="1:166" ht="22.5" customHeight="1">
      <c r="A79" s="476"/>
      <c r="I79" s="194"/>
      <c r="P79" s="16"/>
      <c r="Q79" s="476"/>
      <c r="R79" s="179"/>
      <c r="S79" s="543"/>
      <c r="T79" s="386" t="e">
        <f ca="1">VLOOKUP($AD79,'市場監控 '!$E$7:$W$194,6,FALSE)</f>
        <v>#NAME?</v>
      </c>
      <c r="U79" s="386" t="e">
        <f ca="1">VLOOKUP($AD79,'市場監控 '!$E$7:$W$194,7,FALSE)</f>
        <v>#NAME?</v>
      </c>
      <c r="V79" s="387" t="str">
        <f ca="1">VLOOKUP($AD79,'市場監控 '!$E$7:$W$194,8,FALSE)</f>
        <v>-</v>
      </c>
      <c r="W79" s="388" t="str">
        <f ca="1">VLOOKUP($AD79,'市場監控 '!$E$7:$W$194,10,FALSE)</f>
        <v>-</v>
      </c>
      <c r="X79" s="389" t="str">
        <f ca="1">VLOOKUP($AD79,'市場監控 '!$E$7:$W$194,12,FALSE)</f>
        <v>-</v>
      </c>
      <c r="Y79" s="390" t="str">
        <f ca="1">VLOOKUP($AD79,'市場監控 '!$E$7:$W$194,14,FALSE)</f>
        <v>-</v>
      </c>
      <c r="Z79" s="390" t="str">
        <f ca="1">VLOOKUP($AD79,'市場監控 '!$E$7:$W$194,15,FALSE)</f>
        <v>-</v>
      </c>
      <c r="AA79" s="389" t="e">
        <f ca="1">VLOOKUP($AD79,'市場監控 '!$E$7:$W$194,17,FALSE)</f>
        <v>#NAME?</v>
      </c>
      <c r="AB79" s="389" t="e">
        <f ca="1">VLOOKUP($AD79,'市場監控 '!$E$7:$W$194,18,FALSE)</f>
        <v>#NAME?</v>
      </c>
      <c r="AC79" s="389" t="e">
        <f ca="1">VLOOKUP($AD79,'市場監控 '!$E$7:$W$194,19,FALSE)</f>
        <v>#NAME?</v>
      </c>
      <c r="AD79" s="370" t="s">
        <v>1243</v>
      </c>
      <c r="AE79" s="352" t="s">
        <v>1806</v>
      </c>
      <c r="AF79" s="225"/>
      <c r="AG79" s="225"/>
      <c r="AH79" s="476"/>
      <c r="AI79" s="179"/>
      <c r="AJ79" s="404" t="e">
        <f ca="1">VLOOKUP($AL79,NI!$B$5:$AL$2030,6,FALSE)</f>
        <v>#NAME?</v>
      </c>
      <c r="AK79" s="404" t="e">
        <f ca="1">VLOOKUP($AL79,NI!$B$5:$AL$2030,2,FALSE)</f>
        <v>#NAME?</v>
      </c>
      <c r="AL79" s="405" t="e">
        <f ca="1">NI!B36</f>
        <v>#NAME?</v>
      </c>
      <c r="AM79" s="404" t="e">
        <f ca="1">VLOOKUP($AL79,NI!$B$5:$AL$2030,11,FALSE)</f>
        <v>#NAME?</v>
      </c>
      <c r="AN79" s="406" t="e">
        <f ca="1">VLOOKUP($AL79,NI!$B$5:$AL$2030,12,FALSE)/1000000</f>
        <v>#NAME?</v>
      </c>
      <c r="AO79" s="406"/>
      <c r="AP79" s="406" t="str">
        <f ca="1">IF(ISNUMBER(VLOOKUP($AL79,NI!$B$5:$AL$2030,13,FALSE)),VLOOKUP($AL79,NI!$B$5:$AL$2030,13,FALSE),"-")</f>
        <v>-</v>
      </c>
      <c r="AQ79" s="407" t="e">
        <f ca="1">VLOOKUP($AL79,NI!$B$5:$AL$2030,4,FALSE)</f>
        <v>#NAME?</v>
      </c>
      <c r="AR79" s="406" t="e">
        <f ca="1">VLOOKUP($AL79,NI!$B$5:$AL$2030,3,FALSE)</f>
        <v>#NAME?</v>
      </c>
      <c r="AS79" s="408" t="e">
        <f ca="1">VLOOKUP($AL79,NI!$B$5:$AL$2030,4,FALSE)</f>
        <v>#NAME?</v>
      </c>
      <c r="AT79" s="408" t="e">
        <f ca="1">IF(LEFT(VLOOKUP($AL79,NI!$B$5:$AL$2030,31,FALSE),1)="#","-",VLOOKUP($AL79,NI!$B$5:$AL$2030,31,FALSE))</f>
        <v>#NAME?</v>
      </c>
      <c r="AU79" s="408" t="e">
        <f ca="1">IF(LEFT(VLOOKUP($AL79,NI!$B$5:$AL$2030,32,FALSE),1)="#","-",VLOOKUP($AL79,NI!$B$5:$AL$2030,32,FALSE))</f>
        <v>#NAME?</v>
      </c>
      <c r="AV79" s="408" t="e">
        <f ca="1">IF(LEFT(VLOOKUP($AL79,NI!$B$5:$AL$2030,33,FALSE),1)="#","-",VLOOKUP($AL79,NI!$B$5:$AL$2030,33,FALSE))</f>
        <v>#NAME?</v>
      </c>
      <c r="AW79" s="409" t="e">
        <f ca="1">VLOOKUP($AL79,NI!$B$5:$AL$2030,22,FALSE)</f>
        <v>#NAME?</v>
      </c>
      <c r="AX79" s="409"/>
      <c r="AY79" s="409"/>
      <c r="AZ79" s="476"/>
      <c r="BA79" s="179"/>
      <c r="BR79" s="476"/>
      <c r="BS79" s="179"/>
      <c r="CI79" s="476"/>
      <c r="CJ79" s="179"/>
      <c r="CK79" s="536"/>
      <c r="CL79" s="537"/>
      <c r="CM79" s="537"/>
      <c r="CN79" s="538"/>
      <c r="CO79" s="538"/>
      <c r="CP79" s="538"/>
      <c r="CQ79" s="453"/>
      <c r="CR79" s="536"/>
      <c r="CS79" s="537"/>
      <c r="CT79" s="537"/>
      <c r="CU79" s="538"/>
      <c r="CV79" s="538"/>
      <c r="CW79" s="538"/>
      <c r="CX79" s="401"/>
      <c r="CY79" s="401"/>
      <c r="CZ79" s="476"/>
      <c r="DA79" s="179"/>
      <c r="DB79" s="536"/>
      <c r="DC79" s="525"/>
      <c r="DD79" s="525"/>
      <c r="DE79" s="525"/>
      <c r="DF79" s="525"/>
      <c r="DG79" s="525"/>
      <c r="DH79" s="462"/>
      <c r="DI79" s="536"/>
      <c r="DJ79" s="525"/>
      <c r="DK79" s="525"/>
      <c r="DL79" s="525"/>
      <c r="DM79" s="525"/>
      <c r="DN79" s="525"/>
      <c r="DO79"/>
      <c r="DP79" s="476"/>
      <c r="DQ79" s="179"/>
      <c r="DR79" s="630"/>
      <c r="DS79" s="630"/>
      <c r="DT79" s="630"/>
      <c r="DU79" s="630"/>
      <c r="DV79" s="630"/>
      <c r="DW79" s="630"/>
      <c r="DX79" s="453"/>
      <c r="DY79" s="630"/>
      <c r="DZ79" s="630"/>
      <c r="EA79" s="630"/>
      <c r="EB79" s="630"/>
      <c r="EC79" s="630"/>
      <c r="ED79" s="630"/>
      <c r="EE79" s="476"/>
      <c r="EF79" s="179"/>
      <c r="EG79" s="449"/>
      <c r="EH79" s="449"/>
      <c r="EI79" s="449"/>
      <c r="EJ79" s="449"/>
      <c r="EK79" s="449"/>
      <c r="EL79" s="449"/>
      <c r="EM79" s="449"/>
      <c r="EN79" s="449"/>
      <c r="EO79" s="449"/>
      <c r="EP79" s="449"/>
      <c r="EQ79" s="449"/>
      <c r="ER79" s="449"/>
      <c r="ES79" s="449"/>
      <c r="EV79" s="476"/>
      <c r="EW79" s="179"/>
      <c r="EX79" s="449"/>
      <c r="EY79" s="449"/>
      <c r="EZ79" s="449"/>
      <c r="FA79" s="449"/>
      <c r="FB79" s="449"/>
      <c r="FC79" s="449"/>
      <c r="FD79" s="449"/>
      <c r="FE79" s="449"/>
      <c r="FF79" s="449"/>
      <c r="FG79" s="449"/>
      <c r="FH79" s="449"/>
      <c r="FI79" s="449"/>
      <c r="FJ79" s="449"/>
    </row>
    <row r="80" spans="1:166" ht="24" customHeight="1">
      <c r="A80" s="476"/>
      <c r="P80" s="16"/>
      <c r="Q80" s="476"/>
      <c r="R80" s="179"/>
      <c r="S80" s="543"/>
      <c r="T80" s="386" t="e">
        <f ca="1">VLOOKUP($AD80,'市場監控 '!$E$7:$W$194,6,FALSE)</f>
        <v>#NAME?</v>
      </c>
      <c r="U80" s="386" t="e">
        <f ca="1">VLOOKUP($AD80,'市場監控 '!$E$7:$W$194,7,FALSE)</f>
        <v>#NAME?</v>
      </c>
      <c r="V80" s="387" t="str">
        <f ca="1">VLOOKUP($AD80,'市場監控 '!$E$7:$W$194,8,FALSE)</f>
        <v>-</v>
      </c>
      <c r="W80" s="388" t="str">
        <f ca="1">VLOOKUP($AD80,'市場監控 '!$E$7:$W$194,10,FALSE)</f>
        <v>-</v>
      </c>
      <c r="X80" s="389" t="str">
        <f ca="1">VLOOKUP($AD80,'市場監控 '!$E$7:$W$194,12,FALSE)</f>
        <v>-</v>
      </c>
      <c r="Y80" s="390" t="str">
        <f ca="1">VLOOKUP($AD80,'市場監控 '!$E$7:$W$194,14,FALSE)</f>
        <v>-</v>
      </c>
      <c r="Z80" s="390" t="str">
        <f ca="1">VLOOKUP($AD80,'市場監控 '!$E$7:$W$194,15,FALSE)</f>
        <v>-</v>
      </c>
      <c r="AA80" s="389" t="e">
        <f ca="1">VLOOKUP($AD80,'市場監控 '!$E$7:$W$194,17,FALSE)</f>
        <v>#NAME?</v>
      </c>
      <c r="AB80" s="389" t="e">
        <f ca="1">VLOOKUP($AD80,'市場監控 '!$E$7:$W$194,18,FALSE)</f>
        <v>#NAME?</v>
      </c>
      <c r="AC80" s="389" t="e">
        <f ca="1">VLOOKUP($AD80,'市場監控 '!$E$7:$W$194,19,FALSE)</f>
        <v>#NAME?</v>
      </c>
      <c r="AD80" s="370" t="s">
        <v>1174</v>
      </c>
      <c r="AE80" s="246" t="s">
        <v>1808</v>
      </c>
      <c r="AF80" s="225"/>
      <c r="AG80" s="225"/>
      <c r="AH80" s="476"/>
      <c r="AI80" s="179"/>
      <c r="AJ80" s="404" t="e">
        <f ca="1">VLOOKUP($AL80,NI!$B$5:$AL$2030,6,FALSE)</f>
        <v>#NAME?</v>
      </c>
      <c r="AK80" s="404" t="e">
        <f ca="1">VLOOKUP($AL80,NI!$B$5:$AL$2030,2,FALSE)</f>
        <v>#NAME?</v>
      </c>
      <c r="AL80" s="405" t="e">
        <f ca="1">NI!B37</f>
        <v>#NAME?</v>
      </c>
      <c r="AM80" s="404" t="e">
        <f ca="1">VLOOKUP($AL80,NI!$B$5:$AL$2030,11,FALSE)</f>
        <v>#NAME?</v>
      </c>
      <c r="AN80" s="406" t="e">
        <f ca="1">VLOOKUP($AL80,NI!$B$5:$AL$2030,12,FALSE)/1000000</f>
        <v>#NAME?</v>
      </c>
      <c r="AO80" s="406"/>
      <c r="AP80" s="406" t="str">
        <f ca="1">IF(ISNUMBER(VLOOKUP($AL80,NI!$B$5:$AL$2030,13,FALSE)),VLOOKUP($AL80,NI!$B$5:$AL$2030,13,FALSE),"-")</f>
        <v>-</v>
      </c>
      <c r="AQ80" s="407" t="e">
        <f ca="1">VLOOKUP($AL80,NI!$B$5:$AL$2030,4,FALSE)</f>
        <v>#NAME?</v>
      </c>
      <c r="AR80" s="406" t="e">
        <f ca="1">VLOOKUP($AL80,NI!$B$5:$AL$2030,3,FALSE)</f>
        <v>#NAME?</v>
      </c>
      <c r="AS80" s="408" t="e">
        <f ca="1">VLOOKUP($AL80,NI!$B$5:$AL$2030,4,FALSE)</f>
        <v>#NAME?</v>
      </c>
      <c r="AT80" s="408" t="e">
        <f ca="1">IF(LEFT(VLOOKUP($AL80,NI!$B$5:$AL$2030,31,FALSE),1)="#","-",VLOOKUP($AL80,NI!$B$5:$AL$2030,31,FALSE))</f>
        <v>#NAME?</v>
      </c>
      <c r="AU80" s="408" t="e">
        <f ca="1">IF(LEFT(VLOOKUP($AL80,NI!$B$5:$AL$2030,32,FALSE),1)="#","-",VLOOKUP($AL80,NI!$B$5:$AL$2030,32,FALSE))</f>
        <v>#NAME?</v>
      </c>
      <c r="AV80" s="408" t="e">
        <f ca="1">IF(LEFT(VLOOKUP($AL80,NI!$B$5:$AL$2030,33,FALSE),1)="#","-",VLOOKUP($AL80,NI!$B$5:$AL$2030,33,FALSE))</f>
        <v>#NAME?</v>
      </c>
      <c r="AW80" s="409" t="e">
        <f ca="1">VLOOKUP($AL80,NI!$B$5:$AL$2030,22,FALSE)</f>
        <v>#NAME?</v>
      </c>
      <c r="AX80" s="409"/>
      <c r="AY80" s="409"/>
      <c r="AZ80" s="476"/>
      <c r="BA80" s="179"/>
      <c r="BR80" s="476"/>
      <c r="BS80" s="179"/>
      <c r="CI80" s="476"/>
      <c r="CJ80" s="179"/>
      <c r="CK80" s="537"/>
      <c r="CL80" s="537"/>
      <c r="CM80" s="537"/>
      <c r="CN80" s="538"/>
      <c r="CO80" s="538"/>
      <c r="CP80" s="538"/>
      <c r="CQ80" s="453"/>
      <c r="CR80" s="537"/>
      <c r="CS80" s="537"/>
      <c r="CT80" s="537"/>
      <c r="CU80" s="538"/>
      <c r="CV80" s="538"/>
      <c r="CW80" s="538"/>
      <c r="CX80" s="401"/>
      <c r="CY80" s="401"/>
      <c r="CZ80" s="476"/>
      <c r="DA80" s="179"/>
      <c r="DB80" s="525"/>
      <c r="DC80" s="525"/>
      <c r="DD80" s="525"/>
      <c r="DE80" s="525"/>
      <c r="DF80" s="525"/>
      <c r="DG80" s="525"/>
      <c r="DH80" s="462"/>
      <c r="DI80" s="525"/>
      <c r="DJ80" s="525"/>
      <c r="DK80" s="525"/>
      <c r="DL80" s="525"/>
      <c r="DM80" s="525"/>
      <c r="DN80" s="525"/>
      <c r="DO80"/>
      <c r="DP80" s="476"/>
      <c r="DQ80" s="179"/>
      <c r="DR80" s="631"/>
      <c r="DS80" s="631"/>
      <c r="DT80" s="631"/>
      <c r="DU80" s="631"/>
      <c r="DV80" s="631"/>
      <c r="DW80" s="631"/>
      <c r="DX80" s="453"/>
      <c r="DY80" s="631"/>
      <c r="DZ80" s="631"/>
      <c r="EA80" s="631"/>
      <c r="EB80" s="631"/>
      <c r="EC80" s="631"/>
      <c r="ED80" s="631"/>
      <c r="EE80" s="476"/>
      <c r="EF80" s="179"/>
      <c r="EG80" s="449"/>
      <c r="EH80" s="449"/>
      <c r="EI80" s="449"/>
      <c r="EJ80" s="449"/>
      <c r="EK80" s="449"/>
      <c r="EL80" s="449"/>
      <c r="EM80" s="449"/>
      <c r="EN80" s="449"/>
      <c r="EO80" s="449"/>
      <c r="EP80" s="449"/>
      <c r="EQ80" s="449"/>
      <c r="ER80" s="449"/>
      <c r="ES80" s="449"/>
      <c r="EV80" s="476"/>
      <c r="EW80" s="179"/>
      <c r="EX80" s="449"/>
      <c r="EY80" s="449"/>
      <c r="EZ80" s="449"/>
      <c r="FA80" s="449"/>
      <c r="FB80" s="449"/>
      <c r="FC80" s="449"/>
      <c r="FD80" s="449"/>
      <c r="FE80" s="449"/>
      <c r="FF80" s="449"/>
      <c r="FG80" s="449"/>
      <c r="FH80" s="449"/>
      <c r="FI80" s="449"/>
      <c r="FJ80" s="449"/>
    </row>
    <row r="81" spans="1:166" ht="22.5" customHeight="1" thickBot="1">
      <c r="A81" s="476"/>
      <c r="P81" s="16"/>
      <c r="Q81" s="476"/>
      <c r="R81" s="179"/>
      <c r="S81" s="546"/>
      <c r="T81" s="391" t="e">
        <f ca="1">VLOOKUP($AD81,'市場監控 '!$E$7:$W$194,6,FALSE)</f>
        <v>#NAME?</v>
      </c>
      <c r="U81" s="391" t="e">
        <f ca="1">VLOOKUP($AD81,'市場監控 '!$E$7:$W$194,7,FALSE)</f>
        <v>#NAME?</v>
      </c>
      <c r="V81" s="392" t="str">
        <f ca="1">VLOOKUP($AD81,'市場監控 '!$E$7:$W$194,8,FALSE)</f>
        <v>-</v>
      </c>
      <c r="W81" s="393" t="str">
        <f ca="1">VLOOKUP($AD81,'市場監控 '!$E$7:$W$194,10,FALSE)</f>
        <v>-</v>
      </c>
      <c r="X81" s="394" t="str">
        <f ca="1">VLOOKUP($AD81,'市場監控 '!$E$7:$W$194,12,FALSE)</f>
        <v>-</v>
      </c>
      <c r="Y81" s="395" t="str">
        <f ca="1">VLOOKUP($AD81,'市場監控 '!$E$7:$W$194,14,FALSE)</f>
        <v>-</v>
      </c>
      <c r="Z81" s="395" t="str">
        <f ca="1">VLOOKUP($AD81,'市場監控 '!$E$7:$W$194,15,FALSE)</f>
        <v>-</v>
      </c>
      <c r="AA81" s="394" t="e">
        <f ca="1">VLOOKUP($AD81,'市場監控 '!$E$7:$W$194,17,FALSE)</f>
        <v>#NAME?</v>
      </c>
      <c r="AB81" s="394" t="e">
        <f ca="1">VLOOKUP($AD81,'市場監控 '!$E$7:$W$194,18,FALSE)</f>
        <v>#NAME?</v>
      </c>
      <c r="AC81" s="394" t="e">
        <f ca="1">VLOOKUP($AD81,'市場監控 '!$E$7:$W$194,19,FALSE)</f>
        <v>#NAME?</v>
      </c>
      <c r="AD81" s="370" t="s">
        <v>2890</v>
      </c>
      <c r="AE81" s="287" t="s">
        <v>1810</v>
      </c>
      <c r="AF81" s="225"/>
      <c r="AH81" s="476"/>
      <c r="AI81" s="179"/>
      <c r="AJ81" s="404" t="e">
        <f ca="1">VLOOKUP($AL81,NI!$B$5:$AL$2030,6,FALSE)</f>
        <v>#NAME?</v>
      </c>
      <c r="AK81" s="404" t="e">
        <f ca="1">VLOOKUP($AL81,NI!$B$5:$AL$2030,2,FALSE)</f>
        <v>#NAME?</v>
      </c>
      <c r="AL81" s="405" t="e">
        <f ca="1">NI!B38</f>
        <v>#NAME?</v>
      </c>
      <c r="AM81" s="404" t="e">
        <f ca="1">VLOOKUP($AL81,NI!$B$5:$AL$2030,11,FALSE)</f>
        <v>#NAME?</v>
      </c>
      <c r="AN81" s="406" t="e">
        <f ca="1">VLOOKUP($AL81,NI!$B$5:$AL$2030,12,FALSE)/1000000</f>
        <v>#NAME?</v>
      </c>
      <c r="AO81" s="406"/>
      <c r="AP81" s="406" t="str">
        <f ca="1">IF(ISNUMBER(VLOOKUP($AL81,NI!$B$5:$AL$2030,13,FALSE)),VLOOKUP($AL81,NI!$B$5:$AL$2030,13,FALSE),"-")</f>
        <v>-</v>
      </c>
      <c r="AQ81" s="407" t="e">
        <f ca="1">VLOOKUP($AL81,NI!$B$5:$AL$2030,4,FALSE)</f>
        <v>#NAME?</v>
      </c>
      <c r="AR81" s="406" t="e">
        <f ca="1">VLOOKUP($AL81,NI!$B$5:$AL$2030,3,FALSE)</f>
        <v>#NAME?</v>
      </c>
      <c r="AS81" s="408" t="e">
        <f ca="1">VLOOKUP($AL81,NI!$B$5:$AL$2030,4,FALSE)</f>
        <v>#NAME?</v>
      </c>
      <c r="AT81" s="408" t="e">
        <f ca="1">IF(LEFT(VLOOKUP($AL81,NI!$B$5:$AL$2030,31,FALSE),1)="#","-",VLOOKUP($AL81,NI!$B$5:$AL$2030,31,FALSE))</f>
        <v>#NAME?</v>
      </c>
      <c r="AU81" s="408" t="e">
        <f ca="1">IF(LEFT(VLOOKUP($AL81,NI!$B$5:$AL$2030,32,FALSE),1)="#","-",VLOOKUP($AL81,NI!$B$5:$AL$2030,32,FALSE))</f>
        <v>#NAME?</v>
      </c>
      <c r="AV81" s="408" t="e">
        <f ca="1">IF(LEFT(VLOOKUP($AL81,NI!$B$5:$AL$2030,33,FALSE),1)="#","-",VLOOKUP($AL81,NI!$B$5:$AL$2030,33,FALSE))</f>
        <v>#NAME?</v>
      </c>
      <c r="AW81" s="409" t="e">
        <f ca="1">VLOOKUP($AL81,NI!$B$5:$AL$2030,22,FALSE)</f>
        <v>#NAME?</v>
      </c>
      <c r="AX81" s="409"/>
      <c r="AY81" s="409"/>
      <c r="AZ81" s="476"/>
      <c r="BA81" s="179"/>
      <c r="BR81" s="476"/>
      <c r="BS81" s="179"/>
      <c r="BT81" s="384" t="s">
        <v>2926</v>
      </c>
      <c r="CI81" s="476"/>
      <c r="CJ81" s="179"/>
      <c r="CK81" s="537"/>
      <c r="CL81" s="537"/>
      <c r="CM81" s="537"/>
      <c r="CN81" s="538"/>
      <c r="CO81" s="538"/>
      <c r="CP81" s="538"/>
      <c r="CQ81" s="453"/>
      <c r="CR81" s="537"/>
      <c r="CS81" s="537"/>
      <c r="CT81" s="537"/>
      <c r="CU81" s="538"/>
      <c r="CV81" s="538"/>
      <c r="CW81" s="538"/>
      <c r="CX81" s="399"/>
      <c r="CY81" s="399"/>
      <c r="CZ81" s="476"/>
      <c r="DA81" s="179"/>
      <c r="DB81" s="525"/>
      <c r="DC81" s="525"/>
      <c r="DD81" s="525"/>
      <c r="DE81" s="525"/>
      <c r="DF81" s="525"/>
      <c r="DG81" s="525"/>
      <c r="DH81" s="462"/>
      <c r="DI81" s="525"/>
      <c r="DJ81" s="525"/>
      <c r="DK81" s="525"/>
      <c r="DL81" s="525"/>
      <c r="DM81" s="525"/>
      <c r="DN81" s="525"/>
      <c r="DO81" s="399"/>
      <c r="DP81" s="476"/>
      <c r="DQ81" s="179"/>
      <c r="DR81" s="623"/>
      <c r="DS81" s="624"/>
      <c r="DT81" s="624"/>
      <c r="DU81" s="624"/>
      <c r="DV81" s="624"/>
      <c r="DW81" s="624"/>
      <c r="DX81" s="453"/>
      <c r="DY81" s="623"/>
      <c r="DZ81" s="624"/>
      <c r="EA81" s="624"/>
      <c r="EB81" s="624"/>
      <c r="EC81" s="624"/>
      <c r="ED81" s="624"/>
      <c r="EE81" s="476"/>
      <c r="EF81" s="179"/>
      <c r="EG81" s="449"/>
      <c r="EH81" s="449"/>
      <c r="EI81" s="449"/>
      <c r="EJ81" s="449"/>
      <c r="EK81" s="449"/>
      <c r="EL81" s="449"/>
      <c r="EM81" s="449"/>
      <c r="EN81" s="449"/>
      <c r="EO81" s="449"/>
      <c r="EP81" s="449"/>
      <c r="EQ81" s="449"/>
      <c r="ER81" s="449"/>
      <c r="ES81" s="449"/>
      <c r="EV81" s="476"/>
      <c r="EW81" s="179"/>
      <c r="EX81" s="449"/>
      <c r="EY81" s="449"/>
      <c r="EZ81" s="449"/>
      <c r="FA81" s="449"/>
      <c r="FB81" s="449"/>
      <c r="FC81" s="449"/>
      <c r="FD81" s="449"/>
      <c r="FE81" s="449"/>
      <c r="FF81" s="449"/>
      <c r="FG81" s="449"/>
      <c r="FH81" s="449"/>
      <c r="FI81" s="449"/>
      <c r="FJ81" s="449"/>
    </row>
    <row r="82" spans="1:166" ht="22.5" customHeight="1">
      <c r="A82" s="476"/>
      <c r="P82" s="16"/>
      <c r="Q82" s="476"/>
      <c r="R82" s="29"/>
      <c r="S82" s="545" t="s">
        <v>1197</v>
      </c>
      <c r="T82" s="432" t="e">
        <f ca="1">VLOOKUP($AD82,'市場監控 '!$E$7:$W$194,6,FALSE)</f>
        <v>#NAME?</v>
      </c>
      <c r="U82" s="432" t="e">
        <f ca="1">VLOOKUP($AD82,'市場監控 '!$E$7:$W$194,7,FALSE)</f>
        <v>#NAME?</v>
      </c>
      <c r="V82" s="387" t="str">
        <f ca="1">VLOOKUP($AD82,'市場監控 '!$E$7:$W$194,8,FALSE)</f>
        <v>-</v>
      </c>
      <c r="W82" s="433" t="str">
        <f ca="1">VLOOKUP($AD82,'市場監控 '!$E$7:$W$194,10,FALSE)</f>
        <v>-</v>
      </c>
      <c r="X82" s="434" t="str">
        <f ca="1">VLOOKUP($AD82,'市場監控 '!$E$7:$W$194,12,FALSE)</f>
        <v>-</v>
      </c>
      <c r="Y82" s="435" t="str">
        <f ca="1">VLOOKUP($AD82,'市場監控 '!$E$7:$W$194,14,FALSE)</f>
        <v>-</v>
      </c>
      <c r="Z82" s="435" t="str">
        <f ca="1">VLOOKUP($AD82,'市場監控 '!$E$7:$W$194,15,FALSE)</f>
        <v>-</v>
      </c>
      <c r="AA82" s="434" t="e">
        <f ca="1">VLOOKUP($AD82,'市場監控 '!$E$7:$W$194,17,FALSE)</f>
        <v>#NAME?</v>
      </c>
      <c r="AB82" s="434" t="e">
        <f ca="1">VLOOKUP($AD82,'市場監控 '!$E$7:$W$194,18,FALSE)</f>
        <v>#NAME?</v>
      </c>
      <c r="AC82" s="434" t="e">
        <f ca="1">VLOOKUP($AD82,'市場監控 '!$E$7:$W$194,19,FALSE)</f>
        <v>#NAME?</v>
      </c>
      <c r="AD82" s="370" t="s">
        <v>1246</v>
      </c>
      <c r="AE82" s="300" t="s">
        <v>1812</v>
      </c>
      <c r="AF82" s="225"/>
      <c r="AH82" s="476"/>
      <c r="AI82" s="29"/>
      <c r="AJ82" s="404"/>
      <c r="AK82" s="404"/>
      <c r="AL82" s="405"/>
      <c r="AM82" s="404"/>
      <c r="AN82" s="406"/>
      <c r="AO82" s="406"/>
      <c r="AP82" s="406"/>
      <c r="AQ82" s="407"/>
      <c r="AR82" s="406"/>
      <c r="AS82" s="408"/>
      <c r="AT82" s="408"/>
      <c r="AU82" s="408"/>
      <c r="AV82" s="408"/>
      <c r="AW82" s="409"/>
      <c r="AX82" s="409"/>
      <c r="AY82" s="409"/>
      <c r="AZ82" s="476"/>
      <c r="BA82" s="29"/>
      <c r="BR82" s="476"/>
      <c r="BS82" s="29"/>
      <c r="CI82" s="476"/>
      <c r="CJ82" s="29"/>
      <c r="CK82" s="537"/>
      <c r="CL82" s="537"/>
      <c r="CM82" s="537"/>
      <c r="CN82" s="538"/>
      <c r="CO82" s="538"/>
      <c r="CP82" s="538"/>
      <c r="CQ82" s="453"/>
      <c r="CR82" s="537"/>
      <c r="CS82" s="537"/>
      <c r="CT82" s="537"/>
      <c r="CU82" s="538"/>
      <c r="CV82" s="538"/>
      <c r="CW82" s="538"/>
      <c r="CX82" s="399"/>
      <c r="CY82" s="399"/>
      <c r="CZ82" s="476"/>
      <c r="DA82" s="29"/>
      <c r="DB82" s="525"/>
      <c r="DC82" s="525"/>
      <c r="DD82" s="525"/>
      <c r="DE82" s="525"/>
      <c r="DF82" s="525"/>
      <c r="DG82" s="525"/>
      <c r="DH82" s="462"/>
      <c r="DI82" s="525"/>
      <c r="DJ82" s="525"/>
      <c r="DK82" s="525"/>
      <c r="DL82" s="525"/>
      <c r="DM82" s="525"/>
      <c r="DN82" s="525"/>
      <c r="DO82" s="399"/>
      <c r="DP82" s="476"/>
      <c r="DQ82" s="29"/>
      <c r="DR82" s="625"/>
      <c r="DS82" s="626"/>
      <c r="DT82" s="626"/>
      <c r="DU82" s="626"/>
      <c r="DV82" s="626"/>
      <c r="DW82" s="626"/>
      <c r="DX82" s="455"/>
      <c r="DY82" s="625"/>
      <c r="DZ82" s="626"/>
      <c r="EA82" s="626"/>
      <c r="EB82" s="626"/>
      <c r="EC82" s="626"/>
      <c r="ED82" s="626"/>
      <c r="EE82" s="476"/>
      <c r="EF82" s="29"/>
      <c r="EG82" s="449"/>
      <c r="EH82" s="449"/>
      <c r="EI82" s="449"/>
      <c r="EJ82" s="449"/>
      <c r="EK82" s="449"/>
      <c r="EL82" s="449"/>
      <c r="EM82" s="449"/>
      <c r="EN82" s="449"/>
      <c r="EO82" s="449"/>
      <c r="EP82" s="449"/>
      <c r="EQ82" s="449"/>
      <c r="ER82" s="449"/>
      <c r="ES82" s="449"/>
      <c r="EV82" s="476"/>
      <c r="EW82" s="29"/>
      <c r="EX82" s="449"/>
      <c r="EY82" s="449"/>
      <c r="EZ82" s="449"/>
      <c r="FA82" s="449"/>
      <c r="FB82" s="449"/>
      <c r="FC82" s="449"/>
      <c r="FD82" s="449"/>
      <c r="FE82" s="449"/>
      <c r="FF82" s="449"/>
      <c r="FG82" s="449"/>
      <c r="FH82" s="449"/>
      <c r="FI82" s="449"/>
      <c r="FJ82" s="449"/>
    </row>
    <row r="83" spans="1:166" ht="22.5" customHeight="1">
      <c r="A83" s="476"/>
      <c r="I83" s="40"/>
      <c r="P83" s="16"/>
      <c r="Q83" s="476"/>
      <c r="R83" s="29"/>
      <c r="S83" s="543"/>
      <c r="T83" s="386" t="e">
        <f ca="1">VLOOKUP($AD83,'市場監控 '!$E$7:$W$194,6,FALSE)</f>
        <v>#NAME?</v>
      </c>
      <c r="U83" s="386" t="e">
        <f ca="1">VLOOKUP($AD83,'市場監控 '!$E$7:$W$194,7,FALSE)</f>
        <v>#NAME?</v>
      </c>
      <c r="V83" s="387" t="str">
        <f ca="1">VLOOKUP($AD83,'市場監控 '!$E$7:$W$194,8,FALSE)</f>
        <v>-</v>
      </c>
      <c r="W83" s="388" t="str">
        <f ca="1">VLOOKUP($AD83,'市場監控 '!$E$7:$W$194,10,FALSE)</f>
        <v>-</v>
      </c>
      <c r="X83" s="389" t="str">
        <f ca="1">VLOOKUP($AD83,'市場監控 '!$E$7:$W$194,12,FALSE)</f>
        <v>-</v>
      </c>
      <c r="Y83" s="390" t="str">
        <f ca="1">VLOOKUP($AD83,'市場監控 '!$E$7:$W$194,14,FALSE)</f>
        <v>-</v>
      </c>
      <c r="Z83" s="390" t="str">
        <f ca="1">VLOOKUP($AD83,'市場監控 '!$E$7:$W$194,15,FALSE)</f>
        <v>-</v>
      </c>
      <c r="AA83" s="389" t="e">
        <f ca="1">VLOOKUP($AD83,'市場監控 '!$E$7:$W$194,17,FALSE)</f>
        <v>#NAME?</v>
      </c>
      <c r="AB83" s="389" t="e">
        <f ca="1">VLOOKUP($AD83,'市場監控 '!$E$7:$W$194,18,FALSE)</f>
        <v>#NAME?</v>
      </c>
      <c r="AC83" s="389" t="e">
        <f ca="1">VLOOKUP($AD83,'市場監控 '!$E$7:$W$194,19,FALSE)</f>
        <v>#NAME?</v>
      </c>
      <c r="AD83" s="370" t="s">
        <v>1244</v>
      </c>
      <c r="AE83" s="300" t="s">
        <v>1814</v>
      </c>
      <c r="AF83" s="225"/>
      <c r="AH83" s="476"/>
      <c r="AI83" s="29"/>
      <c r="AJ83" s="404"/>
      <c r="AK83" s="404"/>
      <c r="AL83" s="405"/>
      <c r="AM83" s="404"/>
      <c r="AN83" s="406"/>
      <c r="AO83" s="406"/>
      <c r="AP83" s="406"/>
      <c r="AQ83" s="407"/>
      <c r="AR83" s="406"/>
      <c r="AS83" s="408"/>
      <c r="AT83" s="408"/>
      <c r="AU83" s="408"/>
      <c r="AV83" s="408"/>
      <c r="AW83" s="409"/>
      <c r="AX83" s="409"/>
      <c r="AY83" s="409"/>
      <c r="AZ83" s="476"/>
      <c r="BA83" s="29"/>
      <c r="BR83" s="476"/>
      <c r="BS83" s="29"/>
      <c r="CI83" s="476"/>
      <c r="CJ83" s="29"/>
      <c r="CK83" s="537"/>
      <c r="CL83" s="537"/>
      <c r="CM83" s="537"/>
      <c r="CN83" s="538"/>
      <c r="CO83" s="538"/>
      <c r="CP83" s="538"/>
      <c r="CQ83" s="453"/>
      <c r="CR83" s="537"/>
      <c r="CS83" s="537"/>
      <c r="CT83" s="537"/>
      <c r="CU83" s="538"/>
      <c r="CV83" s="538"/>
      <c r="CW83" s="538"/>
      <c r="CX83" s="451"/>
      <c r="CY83" s="451"/>
      <c r="CZ83" s="476"/>
      <c r="DA83" s="29"/>
      <c r="DB83" s="525"/>
      <c r="DC83" s="525"/>
      <c r="DD83" s="525"/>
      <c r="DE83" s="525"/>
      <c r="DF83" s="525"/>
      <c r="DG83" s="525"/>
      <c r="DH83" s="462"/>
      <c r="DI83" s="525"/>
      <c r="DJ83" s="525"/>
      <c r="DK83" s="525"/>
      <c r="DL83" s="525"/>
      <c r="DM83" s="525"/>
      <c r="DN83" s="525"/>
      <c r="DO83"/>
      <c r="DP83" s="476"/>
      <c r="DQ83" s="29"/>
      <c r="DR83" s="591"/>
      <c r="DS83" s="485"/>
      <c r="DT83" s="485"/>
      <c r="DU83" s="485"/>
      <c r="DV83" s="485"/>
      <c r="DW83" s="485"/>
      <c r="DY83" s="591"/>
      <c r="DZ83" s="485"/>
      <c r="EA83" s="485"/>
      <c r="EB83" s="485"/>
      <c r="EC83" s="485"/>
      <c r="ED83" s="485"/>
      <c r="EE83" s="476"/>
      <c r="EF83" s="29"/>
      <c r="EG83" s="449"/>
      <c r="EH83" s="449"/>
      <c r="EI83" s="449"/>
      <c r="EJ83" s="449"/>
      <c r="EK83" s="449"/>
      <c r="EL83" s="449"/>
      <c r="EM83" s="449"/>
      <c r="EN83" s="449"/>
      <c r="EO83" s="449"/>
      <c r="EP83" s="449"/>
      <c r="EQ83" s="449"/>
      <c r="ER83" s="449"/>
      <c r="ES83" s="449"/>
      <c r="EV83" s="476"/>
      <c r="EW83" s="29"/>
      <c r="EX83" s="449"/>
      <c r="EY83" s="449"/>
      <c r="EZ83" s="449"/>
      <c r="FA83" s="449"/>
      <c r="FB83" s="449"/>
      <c r="FC83" s="449"/>
      <c r="FD83" s="449"/>
      <c r="FE83" s="449"/>
      <c r="FF83" s="449"/>
      <c r="FG83" s="449"/>
      <c r="FH83" s="449"/>
      <c r="FI83" s="449"/>
      <c r="FJ83" s="449"/>
    </row>
    <row r="84" spans="1:166" ht="22.5" customHeight="1" thickBot="1">
      <c r="A84" s="476"/>
      <c r="I84" s="194"/>
      <c r="P84" s="16"/>
      <c r="Q84" s="476"/>
      <c r="R84" s="29"/>
      <c r="S84" s="546"/>
      <c r="T84" s="391" t="e">
        <f ca="1">VLOOKUP($AD84,'市場監控 '!$E$7:$W$194,6,FALSE)</f>
        <v>#NAME?</v>
      </c>
      <c r="U84" s="391" t="e">
        <f ca="1">VLOOKUP($AD84,'市場監控 '!$E$7:$W$194,7,FALSE)</f>
        <v>#NAME?</v>
      </c>
      <c r="V84" s="392" t="str">
        <f ca="1">VLOOKUP($AD84,'市場監控 '!$E$7:$W$194,8,FALSE)</f>
        <v>-</v>
      </c>
      <c r="W84" s="393" t="str">
        <f ca="1">VLOOKUP($AD84,'市場監控 '!$E$7:$W$194,10,FALSE)</f>
        <v>-</v>
      </c>
      <c r="X84" s="394" t="str">
        <f ca="1">VLOOKUP($AD84,'市場監控 '!$E$7:$W$194,12,FALSE)</f>
        <v>-</v>
      </c>
      <c r="Y84" s="395" t="str">
        <f ca="1">VLOOKUP($AD84,'市場監控 '!$E$7:$W$194,14,FALSE)</f>
        <v>-</v>
      </c>
      <c r="Z84" s="395" t="str">
        <f ca="1">VLOOKUP($AD84,'市場監控 '!$E$7:$W$194,15,FALSE)</f>
        <v>-</v>
      </c>
      <c r="AA84" s="394" t="e">
        <f ca="1">VLOOKUP($AD84,'市場監控 '!$E$7:$W$194,17,FALSE)</f>
        <v>#NAME?</v>
      </c>
      <c r="AB84" s="394" t="e">
        <f ca="1">VLOOKUP($AD84,'市場監控 '!$E$7:$W$194,18,FALSE)</f>
        <v>#NAME?</v>
      </c>
      <c r="AC84" s="394" t="e">
        <f ca="1">VLOOKUP($AD84,'市場監控 '!$E$7:$W$194,19,FALSE)</f>
        <v>#NAME?</v>
      </c>
      <c r="AD84" s="370" t="s">
        <v>1245</v>
      </c>
      <c r="AE84" s="300" t="s">
        <v>1816</v>
      </c>
      <c r="AF84" s="225"/>
      <c r="AH84" s="476"/>
      <c r="AI84" s="29"/>
      <c r="AJ84" s="404"/>
      <c r="AK84" s="404"/>
      <c r="AL84" s="405"/>
      <c r="AM84" s="404"/>
      <c r="AN84" s="406"/>
      <c r="AO84" s="406"/>
      <c r="AP84" s="406"/>
      <c r="AQ84" s="407"/>
      <c r="AR84" s="406"/>
      <c r="AS84" s="408"/>
      <c r="AT84" s="408"/>
      <c r="AU84" s="408"/>
      <c r="AV84" s="408"/>
      <c r="AW84" s="409"/>
      <c r="AX84" s="409"/>
      <c r="AY84" s="409"/>
      <c r="AZ84" s="476"/>
      <c r="BA84" s="29"/>
      <c r="BR84" s="476"/>
      <c r="BS84" s="29"/>
      <c r="CI84" s="476"/>
      <c r="CJ84" s="29"/>
      <c r="CK84" s="537"/>
      <c r="CL84" s="537"/>
      <c r="CM84" s="537"/>
      <c r="CN84" s="538"/>
      <c r="CO84" s="538"/>
      <c r="CP84" s="538"/>
      <c r="CQ84" s="453"/>
      <c r="CR84" s="537"/>
      <c r="CS84" s="537"/>
      <c r="CT84" s="537"/>
      <c r="CU84" s="538"/>
      <c r="CV84" s="538"/>
      <c r="CW84" s="538"/>
      <c r="CX84" s="451"/>
      <c r="CY84" s="451"/>
      <c r="CZ84" s="476"/>
      <c r="DA84" s="29"/>
      <c r="DB84" s="525"/>
      <c r="DC84" s="525"/>
      <c r="DD84" s="525"/>
      <c r="DE84" s="525"/>
      <c r="DF84" s="525"/>
      <c r="DG84" s="525"/>
      <c r="DH84" s="462"/>
      <c r="DI84" s="525"/>
      <c r="DJ84" s="525"/>
      <c r="DK84" s="525"/>
      <c r="DL84" s="525"/>
      <c r="DM84" s="525"/>
      <c r="DN84" s="525"/>
      <c r="DO84"/>
      <c r="DP84" s="476"/>
      <c r="DQ84" s="29"/>
      <c r="DR84" s="485"/>
      <c r="DS84" s="485"/>
      <c r="DT84" s="485"/>
      <c r="DU84" s="485"/>
      <c r="DV84" s="485"/>
      <c r="DW84" s="485"/>
      <c r="DY84" s="485"/>
      <c r="DZ84" s="485"/>
      <c r="EA84" s="485"/>
      <c r="EB84" s="485"/>
      <c r="EC84" s="485"/>
      <c r="ED84" s="485"/>
      <c r="EE84" s="476"/>
      <c r="EF84" s="29"/>
      <c r="EG84" s="449"/>
      <c r="EH84" s="449"/>
      <c r="EI84" s="449"/>
      <c r="EJ84" s="449"/>
      <c r="EK84" s="449"/>
      <c r="EL84" s="449"/>
      <c r="EM84" s="449"/>
      <c r="EN84" s="449"/>
      <c r="EO84" s="449"/>
      <c r="EP84" s="449"/>
      <c r="EQ84" s="449"/>
      <c r="ER84" s="449"/>
      <c r="ES84" s="449"/>
      <c r="EV84" s="476"/>
      <c r="EW84" s="29"/>
      <c r="EX84" s="449"/>
      <c r="EY84" s="449"/>
      <c r="EZ84" s="449"/>
      <c r="FA84" s="449"/>
      <c r="FB84" s="449"/>
      <c r="FC84" s="449"/>
      <c r="FD84" s="449"/>
      <c r="FE84" s="449"/>
      <c r="FF84" s="449"/>
      <c r="FG84" s="449"/>
      <c r="FH84" s="449"/>
      <c r="FI84" s="449"/>
      <c r="FJ84" s="449"/>
    </row>
    <row r="85" spans="1:166" ht="22.5" customHeight="1">
      <c r="A85" s="473"/>
      <c r="I85" s="40"/>
      <c r="P85" s="16"/>
      <c r="Q85" s="473"/>
      <c r="R85" s="29"/>
      <c r="S85" s="545" t="s">
        <v>1860</v>
      </c>
      <c r="T85" s="432" t="e">
        <f ca="1">VLOOKUP($AD85,'市場監控 '!$E$7:$W$194,6,FALSE)</f>
        <v>#NAME?</v>
      </c>
      <c r="U85" s="432" t="e">
        <f ca="1">VLOOKUP($AD85,'市場監控 '!$E$7:$W$194,7,FALSE)</f>
        <v>#NAME?</v>
      </c>
      <c r="V85" s="387" t="str">
        <f ca="1">VLOOKUP($AD85,'市場監控 '!$E$7:$W$194,8,FALSE)</f>
        <v>-</v>
      </c>
      <c r="W85" s="433" t="str">
        <f ca="1">VLOOKUP($AD85,'市場監控 '!$E$7:$W$194,10,FALSE)</f>
        <v>-</v>
      </c>
      <c r="X85" s="434" t="str">
        <f ca="1">VLOOKUP($AD85,'市場監控 '!$E$7:$W$194,12,FALSE)</f>
        <v>-</v>
      </c>
      <c r="Y85" s="435" t="str">
        <f ca="1">VLOOKUP($AD85,'市場監控 '!$E$7:$W$194,14,FALSE)</f>
        <v>-</v>
      </c>
      <c r="Z85" s="435" t="str">
        <f ca="1">VLOOKUP($AD85,'市場監控 '!$E$7:$W$194,15,FALSE)</f>
        <v>-</v>
      </c>
      <c r="AA85" s="434" t="e">
        <f ca="1">VLOOKUP($AD85,'市場監控 '!$E$7:$W$194,17,FALSE)</f>
        <v>#NAME?</v>
      </c>
      <c r="AB85" s="434" t="e">
        <f ca="1">VLOOKUP($AD85,'市場監控 '!$E$7:$W$194,18,FALSE)</f>
        <v>#NAME?</v>
      </c>
      <c r="AC85" s="434" t="e">
        <f ca="1">VLOOKUP($AD85,'市場監控 '!$E$7:$W$194,19,FALSE)</f>
        <v>#NAME?</v>
      </c>
      <c r="AD85" s="370" t="s">
        <v>2891</v>
      </c>
      <c r="AE85" s="356" t="s">
        <v>1818</v>
      </c>
      <c r="AF85" s="225"/>
      <c r="AH85" s="473"/>
      <c r="AI85" s="29"/>
      <c r="AJ85" s="404"/>
      <c r="AK85" s="404"/>
      <c r="AL85" s="405"/>
      <c r="AM85" s="404"/>
      <c r="AN85" s="406"/>
      <c r="AO85" s="406"/>
      <c r="AP85" s="406"/>
      <c r="AQ85" s="407"/>
      <c r="AR85" s="406"/>
      <c r="AS85" s="408"/>
      <c r="AT85" s="408"/>
      <c r="AU85" s="408"/>
      <c r="AV85" s="408"/>
      <c r="AW85" s="409"/>
      <c r="AX85" s="409"/>
      <c r="AY85" s="409"/>
      <c r="AZ85" s="476"/>
      <c r="BA85" s="29"/>
      <c r="BR85" s="473"/>
      <c r="BS85" s="29"/>
      <c r="CI85" s="473"/>
      <c r="CJ85" s="29"/>
      <c r="CK85" s="537"/>
      <c r="CL85" s="537"/>
      <c r="CM85" s="537"/>
      <c r="CN85" s="538"/>
      <c r="CO85" s="538"/>
      <c r="CP85" s="538"/>
      <c r="CQ85" s="453"/>
      <c r="CR85" s="537"/>
      <c r="CS85" s="537"/>
      <c r="CT85" s="537"/>
      <c r="CU85" s="538"/>
      <c r="CV85" s="538"/>
      <c r="CW85" s="538"/>
      <c r="CX85" s="451"/>
      <c r="CY85" s="451"/>
      <c r="CZ85" s="473"/>
      <c r="DA85" s="29"/>
      <c r="DB85" s="525"/>
      <c r="DC85" s="525"/>
      <c r="DD85" s="525"/>
      <c r="DE85" s="525"/>
      <c r="DF85" s="525"/>
      <c r="DG85" s="525"/>
      <c r="DH85" s="462"/>
      <c r="DI85" s="525"/>
      <c r="DJ85" s="525"/>
      <c r="DK85" s="525"/>
      <c r="DL85" s="525"/>
      <c r="DM85" s="525"/>
      <c r="DN85" s="525"/>
      <c r="DO85"/>
      <c r="DP85" s="473"/>
      <c r="DQ85" s="29"/>
      <c r="DR85" s="485"/>
      <c r="DS85" s="485"/>
      <c r="DT85" s="485"/>
      <c r="DU85" s="485"/>
      <c r="DV85" s="485"/>
      <c r="DW85" s="485"/>
      <c r="DY85" s="485"/>
      <c r="DZ85" s="485"/>
      <c r="EA85" s="485"/>
      <c r="EB85" s="485"/>
      <c r="EC85" s="485"/>
      <c r="ED85" s="485"/>
      <c r="EE85" s="476"/>
      <c r="EF85" s="29"/>
      <c r="EG85" s="449"/>
      <c r="EH85" s="449"/>
      <c r="EI85" s="449"/>
      <c r="EJ85" s="449"/>
      <c r="EK85" s="449"/>
      <c r="EL85" s="449"/>
      <c r="EM85" s="449"/>
      <c r="EN85" s="449"/>
      <c r="EO85" s="449"/>
      <c r="EP85" s="449"/>
      <c r="EQ85" s="449"/>
      <c r="ER85" s="449"/>
      <c r="ES85" s="449"/>
      <c r="EV85" s="473"/>
      <c r="EW85" s="29"/>
      <c r="EX85" s="449"/>
      <c r="EY85" s="449"/>
      <c r="EZ85" s="449"/>
      <c r="FA85" s="449"/>
      <c r="FB85" s="449"/>
      <c r="FC85" s="449"/>
      <c r="FD85" s="449"/>
      <c r="FE85" s="449"/>
      <c r="FF85" s="449"/>
      <c r="FG85" s="449"/>
      <c r="FH85" s="449"/>
      <c r="FI85" s="449"/>
      <c r="FJ85" s="449"/>
    </row>
    <row r="86" spans="1:166" ht="22.5" customHeight="1">
      <c r="A86" s="473"/>
      <c r="C86" s="552" t="s">
        <v>680</v>
      </c>
      <c r="D86" s="498"/>
      <c r="E86" s="498"/>
      <c r="F86" s="498"/>
      <c r="G86" s="498"/>
      <c r="H86" s="498"/>
      <c r="I86" s="16"/>
      <c r="J86" s="552" t="s">
        <v>557</v>
      </c>
      <c r="K86" s="498"/>
      <c r="L86" s="498"/>
      <c r="M86" s="498"/>
      <c r="N86" s="498"/>
      <c r="O86" s="498"/>
      <c r="P86" s="16"/>
      <c r="Q86" s="473"/>
      <c r="R86" s="29"/>
      <c r="S86" s="543"/>
      <c r="T86" s="386" t="e">
        <f ca="1">VLOOKUP($AD86,'市場監控 '!$E$7:$W$194,6,FALSE)</f>
        <v>#NAME?</v>
      </c>
      <c r="U86" s="386" t="e">
        <f ca="1">VLOOKUP($AD86,'市場監控 '!$E$7:$W$194,7,FALSE)</f>
        <v>#NAME?</v>
      </c>
      <c r="V86" s="387" t="str">
        <f ca="1">VLOOKUP($AD86,'市場監控 '!$E$7:$W$194,8,FALSE)</f>
        <v>-</v>
      </c>
      <c r="W86" s="388" t="str">
        <f ca="1">VLOOKUP($AD86,'市場監控 '!$E$7:$W$194,10,FALSE)</f>
        <v>-</v>
      </c>
      <c r="X86" s="389" t="str">
        <f ca="1">VLOOKUP($AD86,'市場監控 '!$E$7:$W$194,12,FALSE)</f>
        <v>-</v>
      </c>
      <c r="Y86" s="390" t="str">
        <f ca="1">VLOOKUP($AD86,'市場監控 '!$E$7:$W$194,14,FALSE)</f>
        <v>-</v>
      </c>
      <c r="Z86" s="390" t="str">
        <f ca="1">VLOOKUP($AD86,'市場監控 '!$E$7:$W$194,15,FALSE)</f>
        <v>-</v>
      </c>
      <c r="AA86" s="389" t="e">
        <f ca="1">VLOOKUP($AD86,'市場監控 '!$E$7:$W$194,17,FALSE)</f>
        <v>#NAME?</v>
      </c>
      <c r="AB86" s="389" t="e">
        <f ca="1">VLOOKUP($AD86,'市場監控 '!$E$7:$W$194,18,FALSE)</f>
        <v>#NAME?</v>
      </c>
      <c r="AC86" s="389" t="e">
        <f ca="1">VLOOKUP($AD86,'市場監控 '!$E$7:$W$194,19,FALSE)</f>
        <v>#NAME?</v>
      </c>
      <c r="AD86" s="370" t="s">
        <v>2892</v>
      </c>
      <c r="AE86" s="358" t="s">
        <v>1820</v>
      </c>
      <c r="AF86" s="225"/>
      <c r="AH86" s="473"/>
      <c r="AI86" s="29"/>
      <c r="AJ86" s="404"/>
      <c r="AK86" s="404"/>
      <c r="AL86" s="405"/>
      <c r="AM86" s="404"/>
      <c r="AN86" s="406"/>
      <c r="AO86" s="406"/>
      <c r="AP86" s="406"/>
      <c r="AQ86" s="407"/>
      <c r="AR86" s="406"/>
      <c r="AS86" s="408"/>
      <c r="AT86" s="408"/>
      <c r="AU86" s="408"/>
      <c r="AV86" s="408"/>
      <c r="AW86" s="409"/>
      <c r="AX86" s="409"/>
      <c r="AY86" s="409"/>
      <c r="AZ86" s="476"/>
      <c r="BA86" s="29"/>
      <c r="BR86" s="473"/>
      <c r="BS86" s="29"/>
      <c r="CI86" s="473"/>
      <c r="CJ86" s="29"/>
      <c r="CK86" s="537"/>
      <c r="CL86" s="537"/>
      <c r="CM86" s="537"/>
      <c r="CN86" s="538"/>
      <c r="CO86" s="538"/>
      <c r="CP86" s="538"/>
      <c r="CQ86" s="453"/>
      <c r="CR86" s="537"/>
      <c r="CS86" s="537"/>
      <c r="CT86" s="537"/>
      <c r="CU86" s="538"/>
      <c r="CV86" s="538"/>
      <c r="CW86" s="538"/>
      <c r="CX86" s="451"/>
      <c r="CY86" s="451"/>
      <c r="CZ86" s="473"/>
      <c r="DA86" s="29"/>
      <c r="DB86" s="525"/>
      <c r="DC86" s="525"/>
      <c r="DD86" s="525"/>
      <c r="DE86" s="525"/>
      <c r="DF86" s="525"/>
      <c r="DG86" s="525"/>
      <c r="DH86" s="462"/>
      <c r="DI86" s="525"/>
      <c r="DJ86" s="525"/>
      <c r="DK86" s="525"/>
      <c r="DL86" s="525"/>
      <c r="DM86" s="525"/>
      <c r="DN86" s="525"/>
      <c r="DO86"/>
      <c r="DP86" s="473"/>
      <c r="DQ86" s="29"/>
      <c r="DR86" s="485"/>
      <c r="DS86" s="485"/>
      <c r="DT86" s="485"/>
      <c r="DU86" s="485"/>
      <c r="DV86" s="485"/>
      <c r="DW86" s="485"/>
      <c r="DY86" s="485"/>
      <c r="DZ86" s="485"/>
      <c r="EA86" s="485"/>
      <c r="EB86" s="485"/>
      <c r="EC86" s="485"/>
      <c r="ED86" s="485"/>
      <c r="EE86" s="476"/>
      <c r="EF86" s="29"/>
      <c r="EG86" s="449"/>
      <c r="EH86" s="449"/>
      <c r="EI86" s="449"/>
      <c r="EJ86" s="449"/>
      <c r="EK86" s="449"/>
      <c r="EL86" s="449"/>
      <c r="EM86" s="449"/>
      <c r="EN86" s="449"/>
      <c r="EO86" s="449"/>
      <c r="EP86" s="449"/>
      <c r="EQ86" s="449"/>
      <c r="ER86" s="449"/>
      <c r="ES86" s="449"/>
      <c r="EV86" s="473"/>
      <c r="EW86" s="29"/>
      <c r="EX86" s="449"/>
      <c r="EY86" s="449"/>
      <c r="EZ86" s="449"/>
      <c r="FA86" s="449"/>
      <c r="FB86" s="449"/>
      <c r="FC86" s="449"/>
      <c r="FD86" s="449"/>
      <c r="FE86" s="449"/>
      <c r="FF86" s="449"/>
      <c r="FG86" s="449"/>
      <c r="FH86" s="449"/>
      <c r="FI86" s="449"/>
      <c r="FJ86" s="449"/>
    </row>
    <row r="87" spans="1:166" ht="22.5" customHeight="1">
      <c r="A87" s="473"/>
      <c r="C87" s="498"/>
      <c r="D87" s="498"/>
      <c r="E87" s="498"/>
      <c r="F87" s="498"/>
      <c r="G87" s="498"/>
      <c r="H87" s="498"/>
      <c r="I87" s="16"/>
      <c r="J87" s="498"/>
      <c r="K87" s="498"/>
      <c r="L87" s="498"/>
      <c r="M87" s="498"/>
      <c r="N87" s="498"/>
      <c r="O87" s="498"/>
      <c r="P87" s="50"/>
      <c r="Q87" s="473"/>
      <c r="R87" s="29"/>
      <c r="S87" s="543"/>
      <c r="T87" s="386" t="e">
        <f ca="1">VLOOKUP($AD87,'市場監控 '!$E$7:$W$194,6,FALSE)</f>
        <v>#NAME?</v>
      </c>
      <c r="U87" s="386" t="e">
        <f ca="1">VLOOKUP($AD87,'市場監控 '!$E$7:$W$194,7,FALSE)</f>
        <v>#NAME?</v>
      </c>
      <c r="V87" s="387" t="str">
        <f ca="1">VLOOKUP($AD87,'市場監控 '!$E$7:$W$194,8,FALSE)</f>
        <v>-</v>
      </c>
      <c r="W87" s="388" t="str">
        <f ca="1">VLOOKUP($AD87,'市場監控 '!$E$7:$W$194,10,FALSE)</f>
        <v>-</v>
      </c>
      <c r="X87" s="389" t="str">
        <f ca="1">VLOOKUP($AD87,'市場監控 '!$E$7:$W$194,12,FALSE)</f>
        <v>-</v>
      </c>
      <c r="Y87" s="390" t="str">
        <f ca="1">VLOOKUP($AD87,'市場監控 '!$E$7:$W$194,14,FALSE)</f>
        <v>-</v>
      </c>
      <c r="Z87" s="390" t="str">
        <f ca="1">VLOOKUP($AD87,'市場監控 '!$E$7:$W$194,15,FALSE)</f>
        <v>-</v>
      </c>
      <c r="AA87" s="389" t="e">
        <f ca="1">VLOOKUP($AD87,'市場監控 '!$E$7:$W$194,17,FALSE)</f>
        <v>#NAME?</v>
      </c>
      <c r="AB87" s="389" t="e">
        <f ca="1">VLOOKUP($AD87,'市場監控 '!$E$7:$W$194,18,FALSE)</f>
        <v>#NAME?</v>
      </c>
      <c r="AC87" s="389" t="e">
        <f ca="1">VLOOKUP($AD87,'市場監控 '!$E$7:$W$194,19,FALSE)</f>
        <v>#NAME?</v>
      </c>
      <c r="AD87" s="370" t="s">
        <v>2893</v>
      </c>
      <c r="AE87" s="300" t="s">
        <v>1822</v>
      </c>
      <c r="AF87" s="225"/>
      <c r="AG87" s="13"/>
      <c r="AH87" s="473"/>
      <c r="AI87" s="29"/>
      <c r="AJ87" s="404"/>
      <c r="AK87" s="404"/>
      <c r="AL87" s="405"/>
      <c r="AM87" s="404"/>
      <c r="AN87" s="406"/>
      <c r="AO87" s="406"/>
      <c r="AP87" s="406"/>
      <c r="AQ87" s="407"/>
      <c r="AR87" s="406"/>
      <c r="AS87" s="408"/>
      <c r="AT87" s="408"/>
      <c r="AU87" s="408"/>
      <c r="AV87" s="408"/>
      <c r="AW87" s="409"/>
      <c r="AX87" s="409"/>
      <c r="AY87" s="409"/>
      <c r="AZ87" s="476"/>
      <c r="BA87" s="29"/>
      <c r="BR87" s="473"/>
      <c r="BS87" s="29"/>
      <c r="BT87" s="495"/>
      <c r="BU87" s="485"/>
      <c r="BV87" s="485"/>
      <c r="BW87" s="485"/>
      <c r="BX87" s="485"/>
      <c r="BY87" s="485"/>
      <c r="BZ87" s="485"/>
      <c r="CA87" s="485"/>
      <c r="CB87" s="485"/>
      <c r="CC87" s="485"/>
      <c r="CD87" s="485"/>
      <c r="CE87" s="485"/>
      <c r="CF87" s="485"/>
      <c r="CI87" s="473"/>
      <c r="CJ87" s="29"/>
      <c r="CK87" s="537"/>
      <c r="CL87" s="537"/>
      <c r="CM87" s="537"/>
      <c r="CN87" s="538"/>
      <c r="CO87" s="538"/>
      <c r="CP87" s="538"/>
      <c r="CQ87" s="453"/>
      <c r="CR87" s="537"/>
      <c r="CS87" s="537"/>
      <c r="CT87" s="537"/>
      <c r="CU87" s="538"/>
      <c r="CV87" s="538"/>
      <c r="CW87" s="538"/>
      <c r="CX87" s="451"/>
      <c r="CY87" s="451"/>
      <c r="CZ87" s="473"/>
      <c r="DA87" s="29"/>
      <c r="DB87" s="525"/>
      <c r="DC87" s="525"/>
      <c r="DD87" s="525"/>
      <c r="DE87" s="525"/>
      <c r="DF87" s="525"/>
      <c r="DG87" s="525"/>
      <c r="DH87" s="462"/>
      <c r="DI87" s="525"/>
      <c r="DJ87" s="525"/>
      <c r="DK87" s="525"/>
      <c r="DL87" s="525"/>
      <c r="DM87" s="525"/>
      <c r="DN87" s="525"/>
      <c r="DO87"/>
      <c r="DP87" s="473"/>
      <c r="DQ87" s="29"/>
      <c r="DR87" s="485"/>
      <c r="DS87" s="485"/>
      <c r="DT87" s="485"/>
      <c r="DU87" s="485"/>
      <c r="DV87" s="485"/>
      <c r="DW87" s="485"/>
      <c r="DX87"/>
      <c r="DY87" s="485"/>
      <c r="DZ87" s="485"/>
      <c r="EA87" s="485"/>
      <c r="EB87" s="485"/>
      <c r="EC87" s="485"/>
      <c r="ED87" s="485"/>
      <c r="EE87" s="476"/>
      <c r="EF87" s="29"/>
      <c r="EG87" s="449"/>
      <c r="EH87" s="449"/>
      <c r="EI87" s="449"/>
      <c r="EJ87" s="449"/>
      <c r="EK87" s="449"/>
      <c r="EL87" s="449"/>
      <c r="EM87" s="449"/>
      <c r="EN87" s="449"/>
      <c r="EO87" s="449"/>
      <c r="EP87" s="449"/>
      <c r="EQ87" s="449"/>
      <c r="ER87" s="449"/>
      <c r="ES87" s="449"/>
      <c r="EV87" s="473"/>
      <c r="EW87" s="29"/>
      <c r="EX87" s="449"/>
      <c r="EY87" s="449"/>
      <c r="EZ87" s="449"/>
      <c r="FA87" s="449"/>
      <c r="FB87" s="449"/>
      <c r="FC87" s="449"/>
      <c r="FD87" s="449"/>
      <c r="FE87" s="449"/>
      <c r="FF87" s="449"/>
      <c r="FG87" s="449"/>
      <c r="FH87" s="449"/>
      <c r="FI87" s="449"/>
      <c r="FJ87" s="449"/>
    </row>
    <row r="88" spans="1:166" ht="22.5" customHeight="1" thickBot="1">
      <c r="A88" s="473"/>
      <c r="C88" s="553" t="s">
        <v>869</v>
      </c>
      <c r="D88" s="539"/>
      <c r="E88" s="416" t="s">
        <v>1472</v>
      </c>
      <c r="F88" s="416" t="s">
        <v>1473</v>
      </c>
      <c r="G88" s="416" t="s">
        <v>1471</v>
      </c>
      <c r="H88" s="412" t="s">
        <v>1466</v>
      </c>
      <c r="I88" s="417"/>
      <c r="J88" s="544" t="s">
        <v>870</v>
      </c>
      <c r="K88" s="539"/>
      <c r="L88" s="418" t="s">
        <v>1472</v>
      </c>
      <c r="M88" s="416" t="s">
        <v>1473</v>
      </c>
      <c r="N88" s="416" t="s">
        <v>1471</v>
      </c>
      <c r="O88" s="412" t="s">
        <v>1466</v>
      </c>
      <c r="P88" s="50"/>
      <c r="Q88" s="473"/>
      <c r="R88" s="29"/>
      <c r="S88" s="546"/>
      <c r="T88" s="391" t="e">
        <f ca="1">VLOOKUP($AD88,'市場監控 '!$E$7:$W$194,6,FALSE)</f>
        <v>#NAME?</v>
      </c>
      <c r="U88" s="391" t="e">
        <f ca="1">VLOOKUP($AD88,'市場監控 '!$E$7:$W$194,7,FALSE)</f>
        <v>#NAME?</v>
      </c>
      <c r="V88" s="392" t="str">
        <f ca="1">VLOOKUP($AD88,'市場監控 '!$E$7:$W$194,8,FALSE)</f>
        <v>-</v>
      </c>
      <c r="W88" s="393" t="str">
        <f ca="1">VLOOKUP($AD88,'市場監控 '!$E$7:$W$194,10,FALSE)</f>
        <v>-</v>
      </c>
      <c r="X88" s="394" t="str">
        <f ca="1">VLOOKUP($AD88,'市場監控 '!$E$7:$W$194,12,FALSE)</f>
        <v>-</v>
      </c>
      <c r="Y88" s="395" t="str">
        <f ca="1">VLOOKUP($AD88,'市場監控 '!$E$7:$W$194,14,FALSE)</f>
        <v>-</v>
      </c>
      <c r="Z88" s="395" t="str">
        <f ca="1">VLOOKUP($AD88,'市場監控 '!$E$7:$W$194,15,FALSE)</f>
        <v>-</v>
      </c>
      <c r="AA88" s="394" t="e">
        <f ca="1">VLOOKUP($AD88,'市場監控 '!$E$7:$W$194,17,FALSE)</f>
        <v>#NAME?</v>
      </c>
      <c r="AB88" s="394" t="e">
        <f ca="1">VLOOKUP($AD88,'市場監控 '!$E$7:$W$194,18,FALSE)</f>
        <v>#NAME?</v>
      </c>
      <c r="AC88" s="394" t="e">
        <f ca="1">VLOOKUP($AD88,'市場監控 '!$E$7:$W$194,19,FALSE)</f>
        <v>#NAME?</v>
      </c>
      <c r="AD88" s="370" t="s">
        <v>2894</v>
      </c>
      <c r="AE88" s="300" t="s">
        <v>1824</v>
      </c>
      <c r="AF88" s="225"/>
      <c r="AG88" s="13"/>
      <c r="AH88" s="473"/>
      <c r="AI88" s="29"/>
      <c r="AJ88" s="404"/>
      <c r="AK88" s="404"/>
      <c r="AL88" s="405"/>
      <c r="AM88" s="404"/>
      <c r="AN88" s="406"/>
      <c r="AO88" s="406"/>
      <c r="AP88" s="406"/>
      <c r="AQ88" s="407"/>
      <c r="AR88" s="406"/>
      <c r="AS88" s="408"/>
      <c r="AT88" s="408"/>
      <c r="AU88" s="408"/>
      <c r="AV88" s="408"/>
      <c r="AW88" s="409"/>
      <c r="AX88" s="409"/>
      <c r="AY88" s="409"/>
      <c r="AZ88" s="476"/>
      <c r="BA88" s="29"/>
      <c r="BR88" s="473"/>
      <c r="BS88" s="29"/>
      <c r="BT88" s="485"/>
      <c r="BU88" s="485"/>
      <c r="BV88" s="485"/>
      <c r="BW88" s="485"/>
      <c r="BX88" s="485"/>
      <c r="BY88" s="485"/>
      <c r="BZ88" s="485"/>
      <c r="CA88" s="485"/>
      <c r="CB88" s="485"/>
      <c r="CC88" s="485"/>
      <c r="CD88" s="485"/>
      <c r="CE88" s="485"/>
      <c r="CF88" s="485"/>
      <c r="CI88" s="473"/>
      <c r="CJ88" s="29"/>
      <c r="CK88" s="537"/>
      <c r="CL88" s="537"/>
      <c r="CM88" s="537"/>
      <c r="CN88" s="538"/>
      <c r="CO88" s="538"/>
      <c r="CP88" s="538"/>
      <c r="CQ88" s="453"/>
      <c r="CR88" s="537"/>
      <c r="CS88" s="537"/>
      <c r="CT88" s="537"/>
      <c r="CU88" s="538"/>
      <c r="CV88" s="538"/>
      <c r="CW88" s="538"/>
      <c r="CX88" s="451"/>
      <c r="CY88" s="451"/>
      <c r="CZ88" s="473"/>
      <c r="DA88" s="29"/>
      <c r="DB88" s="525"/>
      <c r="DC88" s="525"/>
      <c r="DD88" s="525"/>
      <c r="DE88" s="525"/>
      <c r="DF88" s="525"/>
      <c r="DG88" s="525"/>
      <c r="DH88" s="462"/>
      <c r="DI88" s="525"/>
      <c r="DJ88" s="525"/>
      <c r="DK88" s="525"/>
      <c r="DL88" s="525"/>
      <c r="DM88" s="525"/>
      <c r="DN88" s="525"/>
      <c r="DO88"/>
      <c r="DP88" s="473"/>
      <c r="DQ88" s="29"/>
      <c r="DR88" s="485"/>
      <c r="DS88" s="485"/>
      <c r="DT88" s="485"/>
      <c r="DU88" s="485"/>
      <c r="DV88" s="485"/>
      <c r="DW88" s="485"/>
      <c r="DX88"/>
      <c r="DY88" s="485"/>
      <c r="DZ88" s="485"/>
      <c r="EA88" s="485"/>
      <c r="EB88" s="485"/>
      <c r="EC88" s="485"/>
      <c r="ED88" s="485"/>
      <c r="EE88" s="476"/>
      <c r="EF88" s="29"/>
      <c r="EG88" s="449"/>
      <c r="EH88" s="449"/>
      <c r="EI88" s="449"/>
      <c r="EJ88" s="449"/>
      <c r="EK88" s="449"/>
      <c r="EL88" s="449"/>
      <c r="EM88" s="449"/>
      <c r="EN88" s="449"/>
      <c r="EO88" s="449"/>
      <c r="EP88" s="449"/>
      <c r="EQ88" s="449"/>
      <c r="ER88" s="449"/>
      <c r="ES88" s="449"/>
      <c r="EV88" s="473"/>
      <c r="EW88" s="29"/>
      <c r="EX88" s="449"/>
      <c r="EY88" s="449"/>
      <c r="EZ88" s="449"/>
      <c r="FA88" s="449"/>
      <c r="FB88" s="449"/>
      <c r="FC88" s="449"/>
      <c r="FD88" s="449"/>
      <c r="FE88" s="449"/>
      <c r="FF88" s="449"/>
      <c r="FG88" s="449"/>
      <c r="FH88" s="449"/>
      <c r="FI88" s="449"/>
      <c r="FJ88" s="449"/>
    </row>
    <row r="89" spans="1:166" ht="22.5" customHeight="1" thickTop="1">
      <c r="A89" s="473"/>
      <c r="C89" s="554" t="str">
        <f>Comment_page!B20</f>
        <v>道瓊工業指數</v>
      </c>
      <c r="D89" s="555"/>
      <c r="E89" s="419" t="e">
        <f ca="1">Comment_page!C20</f>
        <v>#NAME?</v>
      </c>
      <c r="F89" s="419" t="e">
        <f ca="1">Comment_page!D20</f>
        <v>#NAME?</v>
      </c>
      <c r="G89" s="420" t="e">
        <f ca="1">Comment_page!E20</f>
        <v>#NAME?</v>
      </c>
      <c r="H89" s="421" t="e">
        <f ca="1">Comment_page!F20</f>
        <v>#NAME?</v>
      </c>
      <c r="I89" s="417"/>
      <c r="J89" s="554" t="str">
        <f>Comment_page!$B31</f>
        <v>美元指數</v>
      </c>
      <c r="K89" s="554"/>
      <c r="L89" s="422" t="e">
        <f ca="1">Comment_page!$C31</f>
        <v>#NAME?</v>
      </c>
      <c r="M89" s="422" t="e">
        <f ca="1">Comment_page!$D31</f>
        <v>#NAME?</v>
      </c>
      <c r="N89" s="420" t="e">
        <f ca="1">Comment_page!E31</f>
        <v>#NAME?</v>
      </c>
      <c r="O89" s="421" t="e">
        <f ca="1">Comment_page!F31</f>
        <v>#NAME?</v>
      </c>
      <c r="P89" s="45"/>
      <c r="Q89" s="473"/>
      <c r="R89" s="29"/>
      <c r="S89" s="545" t="s">
        <v>1198</v>
      </c>
      <c r="T89" s="432" t="e">
        <f ca="1">VLOOKUP($AD89,'市場監控 '!$E$7:$W$194,6,FALSE)</f>
        <v>#NAME?</v>
      </c>
      <c r="U89" s="432" t="e">
        <f ca="1">VLOOKUP($AD89,'市場監控 '!$E$7:$W$194,7,FALSE)</f>
        <v>#NAME?</v>
      </c>
      <c r="V89" s="387" t="str">
        <f ca="1">VLOOKUP($AD89,'市場監控 '!$E$7:$W$194,8,FALSE)</f>
        <v>-</v>
      </c>
      <c r="W89" s="433" t="str">
        <f ca="1">VLOOKUP($AD89,'市場監控 '!$E$7:$W$194,10,FALSE)</f>
        <v>-</v>
      </c>
      <c r="X89" s="434" t="str">
        <f ca="1">VLOOKUP($AD89,'市場監控 '!$E$7:$W$194,12,FALSE)</f>
        <v>-</v>
      </c>
      <c r="Y89" s="435" t="str">
        <f ca="1">VLOOKUP($AD89,'市場監控 '!$E$7:$W$194,14,FALSE)</f>
        <v>-</v>
      </c>
      <c r="Z89" s="435" t="str">
        <f ca="1">VLOOKUP($AD89,'市場監控 '!$E$7:$W$194,15,FALSE)</f>
        <v>-</v>
      </c>
      <c r="AA89" s="434" t="e">
        <f ca="1">VLOOKUP($AD89,'市場監控 '!$E$7:$W$194,17,FALSE)</f>
        <v>#NAME?</v>
      </c>
      <c r="AB89" s="434" t="e">
        <f ca="1">VLOOKUP($AD89,'市場監控 '!$E$7:$W$194,18,FALSE)</f>
        <v>#NAME?</v>
      </c>
      <c r="AC89" s="434" t="e">
        <f ca="1">VLOOKUP($AD89,'市場監控 '!$E$7:$W$194,19,FALSE)</f>
        <v>#NAME?</v>
      </c>
      <c r="AD89" s="370" t="s">
        <v>1247</v>
      </c>
      <c r="AE89" s="276" t="s">
        <v>1826</v>
      </c>
      <c r="AF89" s="225"/>
      <c r="AG89" s="13"/>
      <c r="AH89" s="473"/>
      <c r="AI89" s="29"/>
      <c r="AJ89" s="404"/>
      <c r="AK89" s="404"/>
      <c r="AL89" s="405"/>
      <c r="AM89" s="404"/>
      <c r="AN89" s="406"/>
      <c r="AO89" s="406"/>
      <c r="AP89" s="406"/>
      <c r="AQ89" s="407"/>
      <c r="AR89" s="406"/>
      <c r="AS89" s="408"/>
      <c r="AT89" s="408"/>
      <c r="AU89" s="408"/>
      <c r="AV89" s="408"/>
      <c r="AW89" s="409"/>
      <c r="AX89" s="409"/>
      <c r="AY89" s="409"/>
      <c r="AZ89" s="476"/>
      <c r="BA89" s="29"/>
      <c r="BR89" s="473"/>
      <c r="BS89" s="29"/>
      <c r="BT89" s="485"/>
      <c r="BU89" s="485"/>
      <c r="BV89" s="485"/>
      <c r="BW89" s="485"/>
      <c r="BX89" s="485"/>
      <c r="BY89" s="485"/>
      <c r="BZ89" s="485"/>
      <c r="CA89" s="485"/>
      <c r="CB89" s="485"/>
      <c r="CC89" s="485"/>
      <c r="CD89" s="485"/>
      <c r="CE89" s="485"/>
      <c r="CF89" s="485"/>
      <c r="CI89" s="473"/>
      <c r="CJ89" s="29"/>
      <c r="CK89" s="537"/>
      <c r="CL89" s="537"/>
      <c r="CM89" s="537"/>
      <c r="CN89" s="538"/>
      <c r="CO89" s="538"/>
      <c r="CP89" s="538"/>
      <c r="CQ89" s="453"/>
      <c r="CR89" s="537"/>
      <c r="CS89" s="537"/>
      <c r="CT89" s="537"/>
      <c r="CU89" s="538"/>
      <c r="CV89" s="538"/>
      <c r="CW89" s="538"/>
      <c r="CX89" s="451"/>
      <c r="CY89" s="451"/>
      <c r="CZ89" s="473"/>
      <c r="DA89" s="29"/>
      <c r="DB89" s="525"/>
      <c r="DC89" s="525"/>
      <c r="DD89" s="525"/>
      <c r="DE89" s="525"/>
      <c r="DF89" s="525"/>
      <c r="DG89" s="525"/>
      <c r="DH89" s="462"/>
      <c r="DI89" s="525"/>
      <c r="DJ89" s="525"/>
      <c r="DK89" s="525"/>
      <c r="DL89" s="525"/>
      <c r="DM89" s="525"/>
      <c r="DN89" s="525"/>
      <c r="DO89"/>
      <c r="DP89" s="473"/>
      <c r="DQ89" s="29"/>
      <c r="DR89" s="485"/>
      <c r="DS89" s="485"/>
      <c r="DT89" s="485"/>
      <c r="DU89" s="485"/>
      <c r="DV89" s="485"/>
      <c r="DW89" s="485"/>
      <c r="DX89"/>
      <c r="DY89" s="485"/>
      <c r="DZ89" s="485"/>
      <c r="EA89" s="485"/>
      <c r="EB89" s="485"/>
      <c r="EC89" s="485"/>
      <c r="ED89" s="485"/>
      <c r="EE89" s="476"/>
      <c r="EF89" s="29"/>
      <c r="EG89" s="449"/>
      <c r="EH89" s="449"/>
      <c r="EI89" s="449"/>
      <c r="EJ89" s="449"/>
      <c r="EK89" s="449"/>
      <c r="EL89" s="449"/>
      <c r="EM89" s="449"/>
      <c r="EN89" s="449"/>
      <c r="EO89" s="449"/>
      <c r="EP89" s="449"/>
      <c r="EQ89" s="449"/>
      <c r="ER89" s="449"/>
      <c r="ES89" s="449"/>
      <c r="EV89" s="473"/>
      <c r="EW89" s="29"/>
      <c r="EX89" s="449"/>
      <c r="EY89" s="449"/>
      <c r="EZ89" s="449"/>
      <c r="FA89" s="449"/>
      <c r="FB89" s="449"/>
      <c r="FC89" s="449"/>
      <c r="FD89" s="449"/>
      <c r="FE89" s="449"/>
      <c r="FF89" s="449"/>
      <c r="FG89" s="449"/>
      <c r="FH89" s="449"/>
      <c r="FI89" s="449"/>
      <c r="FJ89" s="449"/>
    </row>
    <row r="90" spans="1:166" ht="22.5" customHeight="1" thickBot="1">
      <c r="A90" s="473"/>
      <c r="C90" s="556" t="str">
        <f>Comment_page!B21</f>
        <v>S&amp;P 500指數</v>
      </c>
      <c r="D90" s="543"/>
      <c r="E90" s="422" t="e">
        <f ca="1">Comment_page!C21</f>
        <v>#NAME?</v>
      </c>
      <c r="F90" s="422" t="e">
        <f ca="1">Comment_page!D21</f>
        <v>#NAME?</v>
      </c>
      <c r="G90" s="423" t="e">
        <f ca="1">Comment_page!E21</f>
        <v>#NAME?</v>
      </c>
      <c r="H90" s="415" t="e">
        <f ca="1">Comment_page!F21</f>
        <v>#NAME?</v>
      </c>
      <c r="I90" s="384"/>
      <c r="J90" s="513" t="str">
        <f>Comment_page!$B32</f>
        <v>USDTWD</v>
      </c>
      <c r="K90" s="513"/>
      <c r="L90" s="422" t="e">
        <f ca="1">Comment_page!$C32</f>
        <v>#NAME?</v>
      </c>
      <c r="M90" s="422" t="e">
        <f ca="1">Comment_page!$D32</f>
        <v>#NAME?</v>
      </c>
      <c r="N90" s="423" t="e">
        <f ca="1">Comment_page!E32</f>
        <v>#NAME?</v>
      </c>
      <c r="O90" s="415" t="e">
        <f ca="1">Comment_page!F32</f>
        <v>#NAME?</v>
      </c>
      <c r="P90" s="45"/>
      <c r="Q90" s="473"/>
      <c r="R90" s="29"/>
      <c r="S90" s="546"/>
      <c r="T90" s="391" t="e">
        <f ca="1">VLOOKUP($AD90,'市場監控 '!$E$7:$W$194,6,FALSE)</f>
        <v>#NAME?</v>
      </c>
      <c r="U90" s="391" t="e">
        <f ca="1">VLOOKUP($AD90,'市場監控 '!$E$7:$W$194,7,FALSE)</f>
        <v>#NAME?</v>
      </c>
      <c r="V90" s="392" t="str">
        <f ca="1">VLOOKUP($AD90,'市場監控 '!$E$7:$W$194,8,FALSE)</f>
        <v>-</v>
      </c>
      <c r="W90" s="393" t="str">
        <f ca="1">VLOOKUP($AD90,'市場監控 '!$E$7:$W$194,10,FALSE)</f>
        <v>-</v>
      </c>
      <c r="X90" s="394" t="str">
        <f ca="1">VLOOKUP($AD90,'市場監控 '!$E$7:$W$194,12,FALSE)</f>
        <v>-</v>
      </c>
      <c r="Y90" s="395" t="str">
        <f ca="1">VLOOKUP($AD90,'市場監控 '!$E$7:$W$194,14,FALSE)</f>
        <v>-</v>
      </c>
      <c r="Z90" s="395" t="str">
        <f ca="1">VLOOKUP($AD90,'市場監控 '!$E$7:$W$194,15,FALSE)</f>
        <v>-</v>
      </c>
      <c r="AA90" s="394" t="e">
        <f ca="1">VLOOKUP($AD90,'市場監控 '!$E$7:$W$194,17,FALSE)</f>
        <v>#NAME?</v>
      </c>
      <c r="AB90" s="394" t="e">
        <f ca="1">VLOOKUP($AD90,'市場監控 '!$E$7:$W$194,18,FALSE)</f>
        <v>#NAME?</v>
      </c>
      <c r="AC90" s="394" t="e">
        <f ca="1">VLOOKUP($AD90,'市場監控 '!$E$7:$W$194,19,FALSE)</f>
        <v>#NAME?</v>
      </c>
      <c r="AD90" s="370" t="s">
        <v>1248</v>
      </c>
      <c r="AE90" s="287" t="s">
        <v>1828</v>
      </c>
      <c r="AF90" s="225"/>
      <c r="AG90" s="13"/>
      <c r="AH90" s="473"/>
      <c r="AI90" s="29"/>
      <c r="AJ90" s="404"/>
      <c r="AK90" s="404"/>
      <c r="AL90" s="405"/>
      <c r="AM90" s="404"/>
      <c r="AN90" s="406"/>
      <c r="AO90" s="406"/>
      <c r="AP90" s="406"/>
      <c r="AQ90" s="407"/>
      <c r="AR90" s="406"/>
      <c r="AS90" s="408"/>
      <c r="AT90" s="408"/>
      <c r="AU90" s="408"/>
      <c r="AV90" s="408"/>
      <c r="AW90" s="409"/>
      <c r="AX90" s="409"/>
      <c r="AY90" s="409"/>
      <c r="AZ90" s="476"/>
      <c r="BA90" s="29"/>
      <c r="BR90" s="473"/>
      <c r="BS90" s="29"/>
      <c r="BT90" s="485"/>
      <c r="BU90" s="485"/>
      <c r="BV90" s="485"/>
      <c r="BW90" s="485"/>
      <c r="BX90" s="485"/>
      <c r="BY90" s="485"/>
      <c r="BZ90" s="485"/>
      <c r="CA90" s="485"/>
      <c r="CB90" s="485"/>
      <c r="CC90" s="485"/>
      <c r="CD90" s="485"/>
      <c r="CE90" s="485"/>
      <c r="CF90" s="485"/>
      <c r="CI90" s="473"/>
      <c r="CJ90" s="29"/>
      <c r="CK90" s="537"/>
      <c r="CL90" s="537"/>
      <c r="CM90" s="537"/>
      <c r="CN90" s="538"/>
      <c r="CO90" s="538"/>
      <c r="CP90" s="538"/>
      <c r="CQ90" s="453"/>
      <c r="CR90" s="537"/>
      <c r="CS90" s="537"/>
      <c r="CT90" s="537"/>
      <c r="CU90" s="538"/>
      <c r="CV90" s="538"/>
      <c r="CW90" s="538"/>
      <c r="CX90" s="451"/>
      <c r="CY90" s="451"/>
      <c r="CZ90" s="473"/>
      <c r="DA90" s="29"/>
      <c r="DB90" s="525"/>
      <c r="DC90" s="525"/>
      <c r="DD90" s="525"/>
      <c r="DE90" s="525"/>
      <c r="DF90" s="525"/>
      <c r="DG90" s="525"/>
      <c r="DH90" s="462"/>
      <c r="DI90" s="525"/>
      <c r="DJ90" s="525"/>
      <c r="DK90" s="525"/>
      <c r="DL90" s="525"/>
      <c r="DM90" s="525"/>
      <c r="DN90" s="525"/>
      <c r="DO90"/>
      <c r="DP90" s="473"/>
      <c r="DQ90" s="29"/>
      <c r="DR90" s="485"/>
      <c r="DS90" s="485"/>
      <c r="DT90" s="485"/>
      <c r="DU90" s="485"/>
      <c r="DV90" s="485"/>
      <c r="DW90" s="485"/>
      <c r="DX90"/>
      <c r="DY90" s="485"/>
      <c r="DZ90" s="485"/>
      <c r="EA90" s="485"/>
      <c r="EB90" s="485"/>
      <c r="EC90" s="485"/>
      <c r="ED90" s="485"/>
      <c r="EE90" s="476"/>
      <c r="EF90" s="29"/>
      <c r="EG90" s="449"/>
      <c r="EH90" s="449"/>
      <c r="EI90" s="449"/>
      <c r="EJ90" s="449"/>
      <c r="EK90" s="449"/>
      <c r="EL90" s="449"/>
      <c r="EM90" s="449"/>
      <c r="EN90" s="449"/>
      <c r="EO90" s="449"/>
      <c r="EP90" s="449"/>
      <c r="EQ90" s="449"/>
      <c r="ER90" s="449"/>
      <c r="ES90" s="449"/>
      <c r="EV90" s="473"/>
      <c r="EW90" s="29"/>
      <c r="EX90" s="605" t="s">
        <v>3231</v>
      </c>
      <c r="EY90" s="606"/>
      <c r="EZ90" s="446"/>
      <c r="FA90" s="448"/>
      <c r="FB90" s="448"/>
      <c r="FC90" s="448"/>
      <c r="FD90" s="5"/>
      <c r="FE90" s="447"/>
      <c r="FF90" s="446"/>
      <c r="FG90" s="446"/>
      <c r="FH90" s="448"/>
      <c r="FI90" s="448"/>
      <c r="FJ90" s="448"/>
    </row>
    <row r="91" spans="1:166" ht="22.5" customHeight="1">
      <c r="A91" s="473"/>
      <c r="C91" s="556" t="str">
        <f>Comment_page!B22</f>
        <v>那斯達克指數</v>
      </c>
      <c r="D91" s="543"/>
      <c r="E91" s="422" t="e">
        <f ca="1">Comment_page!C22</f>
        <v>#NAME?</v>
      </c>
      <c r="F91" s="422" t="e">
        <f ca="1">Comment_page!D22</f>
        <v>#NAME?</v>
      </c>
      <c r="G91" s="423" t="e">
        <f ca="1">Comment_page!E22</f>
        <v>#NAME?</v>
      </c>
      <c r="H91" s="415" t="e">
        <f ca="1">Comment_page!F22</f>
        <v>#NAME?</v>
      </c>
      <c r="I91" s="384"/>
      <c r="J91" s="513" t="str">
        <f>Comment_page!$B33</f>
        <v>EURUSD</v>
      </c>
      <c r="K91" s="543"/>
      <c r="L91" s="422" t="e">
        <f ca="1">Comment_page!$C33</f>
        <v>#NAME?</v>
      </c>
      <c r="M91" s="422" t="e">
        <f ca="1">Comment_page!$D33</f>
        <v>#NAME?</v>
      </c>
      <c r="N91" s="423" t="e">
        <f ca="1">Comment_page!E33</f>
        <v>#NAME?</v>
      </c>
      <c r="O91" s="415" t="e">
        <f ca="1">Comment_page!F33</f>
        <v>#NAME?</v>
      </c>
      <c r="P91" s="45"/>
      <c r="Q91" s="473"/>
      <c r="R91" s="29"/>
      <c r="S91" s="547" t="s">
        <v>1861</v>
      </c>
      <c r="T91" s="386" t="e">
        <f ca="1">VLOOKUP($AD91,'市場監控 '!$E$7:$W$194,6,FALSE)</f>
        <v>#NAME?</v>
      </c>
      <c r="U91" s="386" t="e">
        <f ca="1">VLOOKUP($AD91,'市場監控 '!$E$7:$W$194,7,FALSE)</f>
        <v>#NAME?</v>
      </c>
      <c r="V91" s="387" t="str">
        <f ca="1">VLOOKUP($AD91,'市場監控 '!$E$7:$W$194,8,FALSE)</f>
        <v>-</v>
      </c>
      <c r="W91" s="388" t="str">
        <f ca="1">VLOOKUP($AD91,'市場監控 '!$E$7:$W$194,10,FALSE)</f>
        <v>-</v>
      </c>
      <c r="X91" s="389" t="str">
        <f ca="1">VLOOKUP($AD91,'市場監控 '!$E$7:$W$194,12,FALSE)</f>
        <v>-</v>
      </c>
      <c r="Y91" s="390" t="str">
        <f ca="1">VLOOKUP($AD91,'市場監控 '!$E$7:$W$194,14,FALSE)</f>
        <v>-</v>
      </c>
      <c r="Z91" s="390" t="str">
        <f ca="1">VLOOKUP($AD91,'市場監控 '!$E$7:$W$194,15,FALSE)</f>
        <v>-</v>
      </c>
      <c r="AA91" s="389" t="e">
        <f ca="1">VLOOKUP($AD91,'市場監控 '!$E$7:$W$194,17,FALSE)</f>
        <v>#NAME?</v>
      </c>
      <c r="AB91" s="389" t="e">
        <f ca="1">VLOOKUP($AD91,'市場監控 '!$E$7:$W$194,18,FALSE)</f>
        <v>#NAME?</v>
      </c>
      <c r="AC91" s="389" t="e">
        <f ca="1">VLOOKUP($AD91,'市場監控 '!$E$7:$W$194,19,FALSE)</f>
        <v>#NAME?</v>
      </c>
      <c r="AD91" s="370" t="s">
        <v>1136</v>
      </c>
      <c r="AE91" s="246" t="s">
        <v>1830</v>
      </c>
      <c r="AF91" s="225"/>
      <c r="AG91" s="13"/>
      <c r="AH91" s="473"/>
      <c r="AI91" s="29"/>
      <c r="AJ91" s="404"/>
      <c r="AK91" s="404"/>
      <c r="AL91" s="405"/>
      <c r="AM91" s="404"/>
      <c r="AN91" s="406"/>
      <c r="AO91" s="406"/>
      <c r="AP91" s="406"/>
      <c r="AQ91" s="407"/>
      <c r="AR91" s="406"/>
      <c r="AS91" s="408"/>
      <c r="AT91" s="408"/>
      <c r="AU91" s="408"/>
      <c r="AV91" s="408"/>
      <c r="AW91" s="409"/>
      <c r="AX91" s="409"/>
      <c r="AY91" s="409"/>
      <c r="AZ91" s="476"/>
      <c r="BA91" s="29"/>
      <c r="BR91" s="473"/>
      <c r="BS91" s="29"/>
      <c r="BT91" s="485"/>
      <c r="BU91" s="485"/>
      <c r="BV91" s="485"/>
      <c r="BW91" s="485"/>
      <c r="BX91" s="485"/>
      <c r="BY91" s="485"/>
      <c r="BZ91" s="485"/>
      <c r="CA91" s="485"/>
      <c r="CB91" s="485"/>
      <c r="CC91" s="485"/>
      <c r="CD91" s="485"/>
      <c r="CE91" s="485"/>
      <c r="CF91" s="485"/>
      <c r="CI91" s="473"/>
      <c r="CJ91" s="29"/>
      <c r="CK91" s="537"/>
      <c r="CL91" s="537"/>
      <c r="CM91" s="537"/>
      <c r="CN91" s="538"/>
      <c r="CO91" s="538"/>
      <c r="CP91" s="538"/>
      <c r="CQ91" s="453"/>
      <c r="CR91" s="537"/>
      <c r="CS91" s="537"/>
      <c r="CT91" s="537"/>
      <c r="CU91" s="538"/>
      <c r="CV91" s="538"/>
      <c r="CW91" s="538"/>
      <c r="CX91" s="451"/>
      <c r="CY91" s="451"/>
      <c r="CZ91" s="473"/>
      <c r="DA91" s="29"/>
      <c r="DB91" s="525"/>
      <c r="DC91" s="525"/>
      <c r="DD91" s="525"/>
      <c r="DE91" s="525"/>
      <c r="DF91" s="525"/>
      <c r="DG91" s="525"/>
      <c r="DH91" s="462"/>
      <c r="DI91" s="525"/>
      <c r="DJ91" s="525"/>
      <c r="DK91" s="525"/>
      <c r="DL91" s="525"/>
      <c r="DM91" s="525"/>
      <c r="DN91" s="525"/>
      <c r="DO91"/>
      <c r="DP91" s="473"/>
      <c r="DQ91" s="29"/>
      <c r="DR91" s="485"/>
      <c r="DS91" s="485"/>
      <c r="DT91" s="485"/>
      <c r="DU91" s="485"/>
      <c r="DV91" s="485"/>
      <c r="DW91" s="485"/>
      <c r="DX91"/>
      <c r="DY91" s="485"/>
      <c r="DZ91" s="485"/>
      <c r="EA91" s="485"/>
      <c r="EB91" s="485"/>
      <c r="EC91" s="485"/>
      <c r="ED91" s="485"/>
      <c r="EE91" s="476"/>
      <c r="EF91" s="29"/>
      <c r="EG91" s="447"/>
      <c r="EH91" s="446"/>
      <c r="EI91" s="446"/>
      <c r="EJ91" s="448"/>
      <c r="EK91" s="448"/>
      <c r="EL91" s="448"/>
      <c r="EM91" s="5"/>
      <c r="EN91" s="447"/>
      <c r="EO91" s="446"/>
      <c r="EP91" s="446"/>
      <c r="EQ91" s="448"/>
      <c r="ER91" s="448"/>
      <c r="ES91" s="448"/>
      <c r="EV91" s="473"/>
      <c r="EW91" s="29"/>
      <c r="EX91" s="447"/>
      <c r="EY91" s="446"/>
      <c r="EZ91" s="446"/>
      <c r="FA91" s="448"/>
      <c r="FB91" s="448"/>
      <c r="FC91" s="448"/>
      <c r="FD91" s="5"/>
      <c r="FE91" s="447"/>
      <c r="FF91" s="446"/>
      <c r="FG91" s="446"/>
      <c r="FH91" s="448"/>
      <c r="FI91" s="448"/>
      <c r="FJ91" s="448"/>
    </row>
    <row r="92" spans="1:166" ht="22.5" customHeight="1">
      <c r="A92" s="473"/>
      <c r="C92" s="556" t="str">
        <f>Comment_page!B23</f>
        <v>德國DAX指數</v>
      </c>
      <c r="D92" s="543"/>
      <c r="E92" s="422" t="e">
        <f ca="1">Comment_page!C23</f>
        <v>#NAME?</v>
      </c>
      <c r="F92" s="422" t="e">
        <f ca="1">Comment_page!D23</f>
        <v>#NAME?</v>
      </c>
      <c r="G92" s="423" t="e">
        <f ca="1">Comment_page!E23</f>
        <v>#NAME?</v>
      </c>
      <c r="H92" s="415" t="e">
        <f ca="1">Comment_page!F23</f>
        <v>#NAME?</v>
      </c>
      <c r="I92" s="424"/>
      <c r="J92" s="513" t="str">
        <f>Comment_page!$B34</f>
        <v>GBPUSD</v>
      </c>
      <c r="K92" s="543"/>
      <c r="L92" s="422" t="e">
        <f ca="1">Comment_page!$C34</f>
        <v>#NAME?</v>
      </c>
      <c r="M92" s="422" t="e">
        <f ca="1">Comment_page!$D34</f>
        <v>#NAME?</v>
      </c>
      <c r="N92" s="423" t="e">
        <f ca="1">Comment_page!E34</f>
        <v>#NAME?</v>
      </c>
      <c r="O92" s="415" t="e">
        <f ca="1">Comment_page!F34</f>
        <v>#NAME?</v>
      </c>
      <c r="P92" s="45"/>
      <c r="Q92" s="473"/>
      <c r="R92" s="29"/>
      <c r="S92" s="543"/>
      <c r="T92" s="386" t="e">
        <f ca="1">VLOOKUP($AD92,'市場監控 '!$E$7:$W$194,6,FALSE)</f>
        <v>#NAME?</v>
      </c>
      <c r="U92" s="386" t="e">
        <f ca="1">VLOOKUP($AD92,'市場監控 '!$E$7:$W$194,7,FALSE)</f>
        <v>#NAME?</v>
      </c>
      <c r="V92" s="387" t="str">
        <f ca="1">VLOOKUP($AD92,'市場監控 '!$E$7:$W$194,8,FALSE)</f>
        <v>-</v>
      </c>
      <c r="W92" s="388" t="str">
        <f ca="1">VLOOKUP($AD92,'市場監控 '!$E$7:$W$194,10,FALSE)</f>
        <v>-</v>
      </c>
      <c r="X92" s="389" t="str">
        <f ca="1">VLOOKUP($AD92,'市場監控 '!$E$7:$W$194,12,FALSE)</f>
        <v>-</v>
      </c>
      <c r="Y92" s="390" t="str">
        <f ca="1">VLOOKUP($AD92,'市場監控 '!$E$7:$W$194,14,FALSE)</f>
        <v>-</v>
      </c>
      <c r="Z92" s="390" t="str">
        <f ca="1">VLOOKUP($AD92,'市場監控 '!$E$7:$W$194,15,FALSE)</f>
        <v>-</v>
      </c>
      <c r="AA92" s="389" t="e">
        <f ca="1">VLOOKUP($AD92,'市場監控 '!$E$7:$W$194,17,FALSE)</f>
        <v>#NAME?</v>
      </c>
      <c r="AB92" s="389" t="e">
        <f ca="1">VLOOKUP($AD92,'市場監控 '!$E$7:$W$194,18,FALSE)</f>
        <v>#NAME?</v>
      </c>
      <c r="AC92" s="389" t="e">
        <f ca="1">VLOOKUP($AD92,'市場監控 '!$E$7:$W$194,19,FALSE)</f>
        <v>#NAME?</v>
      </c>
      <c r="AD92" s="370" t="s">
        <v>1127</v>
      </c>
      <c r="AE92" s="246" t="s">
        <v>1832</v>
      </c>
      <c r="AF92" s="225"/>
      <c r="AG92" s="13"/>
      <c r="AH92" s="473"/>
      <c r="AI92" s="29"/>
      <c r="AJ92" s="404"/>
      <c r="AK92" s="404"/>
      <c r="AL92" s="405"/>
      <c r="AM92" s="404"/>
      <c r="AN92" s="406"/>
      <c r="AO92" s="406"/>
      <c r="AP92" s="406"/>
      <c r="AQ92" s="407"/>
      <c r="AR92" s="406"/>
      <c r="AS92" s="408"/>
      <c r="AT92" s="408"/>
      <c r="AU92" s="408"/>
      <c r="AV92" s="408"/>
      <c r="AW92" s="409"/>
      <c r="AX92" s="409"/>
      <c r="AY92" s="409"/>
      <c r="AZ92" s="476"/>
      <c r="BA92" s="29"/>
      <c r="BR92" s="473"/>
      <c r="BS92" s="29"/>
      <c r="BT92" s="485"/>
      <c r="BU92" s="485"/>
      <c r="BV92" s="485"/>
      <c r="BW92" s="485"/>
      <c r="BX92" s="485"/>
      <c r="BY92" s="485"/>
      <c r="BZ92" s="485"/>
      <c r="CA92" s="485"/>
      <c r="CB92" s="485"/>
      <c r="CC92" s="485"/>
      <c r="CD92" s="485"/>
      <c r="CE92" s="485"/>
      <c r="CF92" s="485"/>
      <c r="CI92" s="473"/>
      <c r="CJ92" s="29"/>
      <c r="CK92" s="537"/>
      <c r="CL92" s="537"/>
      <c r="CM92" s="537"/>
      <c r="CN92" s="538"/>
      <c r="CO92" s="538"/>
      <c r="CP92" s="538"/>
      <c r="CQ92" s="453"/>
      <c r="CR92" s="537"/>
      <c r="CS92" s="537"/>
      <c r="CT92" s="537"/>
      <c r="CU92" s="538"/>
      <c r="CV92" s="538"/>
      <c r="CW92" s="538"/>
      <c r="CX92" s="451"/>
      <c r="CY92" s="451"/>
      <c r="CZ92" s="473"/>
      <c r="DA92" s="29"/>
      <c r="DB92" s="525"/>
      <c r="DC92" s="525"/>
      <c r="DD92" s="525"/>
      <c r="DE92" s="525"/>
      <c r="DF92" s="525"/>
      <c r="DG92" s="525"/>
      <c r="DH92" s="462"/>
      <c r="DI92" s="525"/>
      <c r="DJ92" s="525"/>
      <c r="DK92" s="525"/>
      <c r="DL92" s="525"/>
      <c r="DM92" s="525"/>
      <c r="DN92" s="525"/>
      <c r="DO92"/>
      <c r="DP92" s="473"/>
      <c r="DQ92" s="29"/>
      <c r="DR92" s="485"/>
      <c r="DS92" s="485"/>
      <c r="DT92" s="485"/>
      <c r="DU92" s="485"/>
      <c r="DV92" s="485"/>
      <c r="DW92" s="485"/>
      <c r="DX92"/>
      <c r="DY92" s="485"/>
      <c r="DZ92" s="485"/>
      <c r="EA92" s="485"/>
      <c r="EB92" s="485"/>
      <c r="EC92" s="485"/>
      <c r="ED92" s="485"/>
      <c r="EE92" s="476"/>
      <c r="EF92" s="29"/>
      <c r="EG92" s="447"/>
      <c r="EH92" s="446"/>
      <c r="EI92" s="446"/>
      <c r="EJ92" s="448"/>
      <c r="EK92" s="448"/>
      <c r="EL92" s="448"/>
      <c r="EM92" s="5"/>
      <c r="EN92" s="447"/>
      <c r="EO92" s="446"/>
      <c r="EP92" s="446"/>
      <c r="EQ92" s="448"/>
      <c r="ER92" s="448"/>
      <c r="ES92" s="448"/>
      <c r="EV92" s="473"/>
      <c r="EW92" s="29"/>
      <c r="EX92" s="447"/>
      <c r="EY92" s="446"/>
      <c r="EZ92" s="446"/>
      <c r="FA92" s="448"/>
      <c r="FB92" s="448"/>
      <c r="FC92" s="448"/>
      <c r="FD92" s="5"/>
      <c r="FE92" s="447"/>
      <c r="FF92" s="446"/>
      <c r="FG92" s="446"/>
      <c r="FH92" s="448"/>
      <c r="FI92" s="448"/>
      <c r="FJ92" s="448"/>
    </row>
    <row r="93" spans="1:166" ht="22.5" customHeight="1">
      <c r="A93" s="473"/>
      <c r="C93" s="556" t="str">
        <f>Comment_page!B24</f>
        <v>英國FTSE指數</v>
      </c>
      <c r="D93" s="543"/>
      <c r="E93" s="422" t="e">
        <f ca="1">Comment_page!C24</f>
        <v>#NAME?</v>
      </c>
      <c r="F93" s="422" t="e">
        <f ca="1">Comment_page!D24</f>
        <v>#NAME?</v>
      </c>
      <c r="G93" s="423" t="e">
        <f ca="1">Comment_page!E24</f>
        <v>#NAME?</v>
      </c>
      <c r="H93" s="415" t="e">
        <f ca="1">Comment_page!F24</f>
        <v>#NAME?</v>
      </c>
      <c r="I93" s="424"/>
      <c r="J93" s="513" t="str">
        <f>Comment_page!$B35</f>
        <v>AUDUSD</v>
      </c>
      <c r="K93" s="543"/>
      <c r="L93" s="422" t="e">
        <f ca="1">Comment_page!$C35</f>
        <v>#NAME?</v>
      </c>
      <c r="M93" s="422" t="e">
        <f ca="1">Comment_page!$D35</f>
        <v>#NAME?</v>
      </c>
      <c r="N93" s="423" t="e">
        <f ca="1">Comment_page!E35</f>
        <v>#NAME?</v>
      </c>
      <c r="O93" s="415" t="e">
        <f ca="1">Comment_page!F35</f>
        <v>#NAME?</v>
      </c>
      <c r="P93" s="45"/>
      <c r="Q93" s="473"/>
      <c r="R93" s="29"/>
      <c r="S93" s="543"/>
      <c r="T93" s="386" t="e">
        <f ca="1">VLOOKUP($AD93,'市場監控 '!$E$7:$W$194,6,FALSE)</f>
        <v>#NAME?</v>
      </c>
      <c r="U93" s="386" t="e">
        <f ca="1">VLOOKUP($AD93,'市場監控 '!$E$7:$W$194,7,FALSE)</f>
        <v>#NAME?</v>
      </c>
      <c r="V93" s="387" t="str">
        <f ca="1">VLOOKUP($AD93,'市場監控 '!$E$7:$W$194,8,FALSE)</f>
        <v>-</v>
      </c>
      <c r="W93" s="388" t="str">
        <f ca="1">VLOOKUP($AD93,'市場監控 '!$E$7:$W$194,10,FALSE)</f>
        <v>-</v>
      </c>
      <c r="X93" s="389" t="str">
        <f ca="1">VLOOKUP($AD93,'市場監控 '!$E$7:$W$194,12,FALSE)</f>
        <v>-</v>
      </c>
      <c r="Y93" s="390" t="str">
        <f ca="1">VLOOKUP($AD93,'市場監控 '!$E$7:$W$194,14,FALSE)</f>
        <v>-</v>
      </c>
      <c r="Z93" s="390" t="str">
        <f ca="1">VLOOKUP($AD93,'市場監控 '!$E$7:$W$194,15,FALSE)</f>
        <v>-</v>
      </c>
      <c r="AA93" s="389" t="e">
        <f ca="1">VLOOKUP($AD93,'市場監控 '!$E$7:$W$194,17,FALSE)</f>
        <v>#NAME?</v>
      </c>
      <c r="AB93" s="389" t="e">
        <f ca="1">VLOOKUP($AD93,'市場監控 '!$E$7:$W$194,18,FALSE)</f>
        <v>#NAME?</v>
      </c>
      <c r="AC93" s="389" t="e">
        <f ca="1">VLOOKUP($AD93,'市場監控 '!$E$7:$W$194,19,FALSE)</f>
        <v>#NAME?</v>
      </c>
      <c r="AD93" s="370" t="s">
        <v>2895</v>
      </c>
      <c r="AE93" s="246" t="s">
        <v>1834</v>
      </c>
      <c r="AF93" s="225"/>
      <c r="AG93" s="13"/>
      <c r="AH93" s="473"/>
      <c r="AI93" s="29"/>
      <c r="AJ93" s="404"/>
      <c r="AK93" s="404"/>
      <c r="AL93" s="405"/>
      <c r="AM93" s="404"/>
      <c r="AN93" s="406"/>
      <c r="AO93" s="406"/>
      <c r="AP93" s="406"/>
      <c r="AQ93" s="407"/>
      <c r="AR93" s="406"/>
      <c r="AS93" s="408"/>
      <c r="AT93" s="408"/>
      <c r="AU93" s="408"/>
      <c r="AV93" s="408"/>
      <c r="AW93" s="409"/>
      <c r="AX93" s="409"/>
      <c r="AY93" s="409"/>
      <c r="AZ93" s="476"/>
      <c r="BA93" s="29"/>
      <c r="BR93" s="473"/>
      <c r="BS93" s="29"/>
      <c r="BT93" s="485"/>
      <c r="BU93" s="485"/>
      <c r="BV93" s="485"/>
      <c r="BW93" s="485"/>
      <c r="BX93" s="485"/>
      <c r="BY93" s="485"/>
      <c r="BZ93" s="485"/>
      <c r="CA93" s="485"/>
      <c r="CB93" s="485"/>
      <c r="CC93" s="485"/>
      <c r="CD93" s="485"/>
      <c r="CE93" s="485"/>
      <c r="CF93" s="485"/>
      <c r="CI93" s="473"/>
      <c r="CJ93" s="29"/>
      <c r="CK93" s="537"/>
      <c r="CL93" s="537"/>
      <c r="CM93" s="537"/>
      <c r="CN93" s="538"/>
      <c r="CO93" s="538"/>
      <c r="CP93" s="538"/>
      <c r="CQ93" s="453"/>
      <c r="CR93" s="537"/>
      <c r="CS93" s="537"/>
      <c r="CT93" s="537"/>
      <c r="CU93" s="538"/>
      <c r="CV93" s="538"/>
      <c r="CW93" s="538"/>
      <c r="CX93" s="451"/>
      <c r="CY93" s="451"/>
      <c r="CZ93" s="473"/>
      <c r="DA93" s="29"/>
      <c r="DB93" s="525"/>
      <c r="DC93" s="525"/>
      <c r="DD93" s="525"/>
      <c r="DE93" s="525"/>
      <c r="DF93" s="525"/>
      <c r="DG93" s="525"/>
      <c r="DH93" s="462"/>
      <c r="DI93" s="525"/>
      <c r="DJ93" s="525"/>
      <c r="DK93" s="525"/>
      <c r="DL93" s="525"/>
      <c r="DM93" s="525"/>
      <c r="DN93" s="525"/>
      <c r="DO93"/>
      <c r="DP93" s="473"/>
      <c r="DQ93" s="29"/>
      <c r="DR93" s="485"/>
      <c r="DS93" s="485"/>
      <c r="DT93" s="485"/>
      <c r="DU93" s="485"/>
      <c r="DV93" s="485"/>
      <c r="DW93" s="485"/>
      <c r="DX93"/>
      <c r="DY93" s="485"/>
      <c r="DZ93" s="485"/>
      <c r="EA93" s="485"/>
      <c r="EB93" s="485"/>
      <c r="EC93" s="485"/>
      <c r="ED93" s="485"/>
      <c r="EE93" s="476"/>
      <c r="EF93" s="29"/>
      <c r="EG93" s="447"/>
      <c r="EH93" s="446"/>
      <c r="EI93" s="446"/>
      <c r="EJ93" s="448"/>
      <c r="EK93" s="448"/>
      <c r="EL93" s="448"/>
      <c r="EM93" s="5"/>
      <c r="EN93" s="447"/>
      <c r="EO93" s="446"/>
      <c r="EP93" s="446"/>
      <c r="EQ93" s="448"/>
      <c r="ER93" s="448"/>
      <c r="ES93" s="448"/>
      <c r="EV93" s="473"/>
      <c r="EW93" s="29"/>
      <c r="EX93" s="447"/>
      <c r="EY93" s="446"/>
      <c r="EZ93" s="446"/>
      <c r="FA93" s="448"/>
      <c r="FB93" s="448"/>
      <c r="FC93" s="448"/>
      <c r="FD93" s="5"/>
      <c r="FE93" s="447"/>
      <c r="FF93" s="446"/>
      <c r="FG93" s="446"/>
      <c r="FH93" s="448"/>
      <c r="FI93" s="448"/>
      <c r="FJ93" s="448"/>
    </row>
    <row r="94" spans="1:166" ht="22.5" customHeight="1">
      <c r="A94" s="473"/>
      <c r="C94" s="556" t="str">
        <f>Comment_page!B25</f>
        <v>法國CAC指數</v>
      </c>
      <c r="D94" s="543"/>
      <c r="E94" s="422" t="e">
        <f ca="1">Comment_page!C25</f>
        <v>#NAME?</v>
      </c>
      <c r="F94" s="422" t="e">
        <f ca="1">Comment_page!D25</f>
        <v>#NAME?</v>
      </c>
      <c r="G94" s="423" t="e">
        <f ca="1">Comment_page!E25</f>
        <v>#NAME?</v>
      </c>
      <c r="H94" s="415" t="e">
        <f ca="1">Comment_page!F25</f>
        <v>#NAME?</v>
      </c>
      <c r="I94" s="424"/>
      <c r="J94" s="513" t="str">
        <f>Comment_page!$B36</f>
        <v>USDJPY</v>
      </c>
      <c r="K94" s="543"/>
      <c r="L94" s="422" t="e">
        <f ca="1">Comment_page!$C36</f>
        <v>#NAME?</v>
      </c>
      <c r="M94" s="422" t="e">
        <f ca="1">Comment_page!$D36</f>
        <v>#NAME?</v>
      </c>
      <c r="N94" s="423" t="e">
        <f ca="1">Comment_page!E36</f>
        <v>#NAME?</v>
      </c>
      <c r="O94" s="415" t="e">
        <f ca="1">Comment_page!F36</f>
        <v>#NAME?</v>
      </c>
      <c r="P94" s="45"/>
      <c r="Q94" s="473"/>
      <c r="R94" s="29"/>
      <c r="S94" s="543"/>
      <c r="T94" s="386" t="e">
        <f ca="1">VLOOKUP($AD94,'市場監控 '!$E$7:$W$194,6,FALSE)</f>
        <v>#NAME?</v>
      </c>
      <c r="U94" s="386" t="e">
        <f ca="1">VLOOKUP($AD94,'市場監控 '!$E$7:$W$194,7,FALSE)</f>
        <v>#NAME?</v>
      </c>
      <c r="V94" s="387" t="str">
        <f ca="1">VLOOKUP($AD94,'市場監控 '!$E$7:$W$194,8,FALSE)</f>
        <v>-</v>
      </c>
      <c r="W94" s="388" t="str">
        <f ca="1">VLOOKUP($AD94,'市場監控 '!$E$7:$W$194,10,FALSE)</f>
        <v>-</v>
      </c>
      <c r="X94" s="389" t="str">
        <f ca="1">VLOOKUP($AD94,'市場監控 '!$E$7:$W$194,12,FALSE)</f>
        <v>-</v>
      </c>
      <c r="Y94" s="390" t="str">
        <f ca="1">VLOOKUP($AD94,'市場監控 '!$E$7:$W$194,14,FALSE)</f>
        <v>-</v>
      </c>
      <c r="Z94" s="390" t="str">
        <f ca="1">VLOOKUP($AD94,'市場監控 '!$E$7:$W$194,15,FALSE)</f>
        <v>-</v>
      </c>
      <c r="AA94" s="389" t="e">
        <f ca="1">VLOOKUP($AD94,'市場監控 '!$E$7:$W$194,17,FALSE)</f>
        <v>#NAME?</v>
      </c>
      <c r="AB94" s="389" t="e">
        <f ca="1">VLOOKUP($AD94,'市場監控 '!$E$7:$W$194,18,FALSE)</f>
        <v>#NAME?</v>
      </c>
      <c r="AC94" s="389" t="e">
        <f ca="1">VLOOKUP($AD94,'市場監控 '!$E$7:$W$194,19,FALSE)</f>
        <v>#NAME?</v>
      </c>
      <c r="AD94" s="370" t="s">
        <v>1123</v>
      </c>
      <c r="AE94" s="246" t="s">
        <v>1836</v>
      </c>
      <c r="AF94" s="225"/>
      <c r="AG94" s="13"/>
      <c r="AH94" s="473"/>
      <c r="AI94" s="29"/>
      <c r="AJ94" s="404"/>
      <c r="AK94" s="404"/>
      <c r="AL94" s="405"/>
      <c r="AM94" s="404"/>
      <c r="AN94" s="406"/>
      <c r="AO94" s="406"/>
      <c r="AP94" s="406"/>
      <c r="AQ94" s="407"/>
      <c r="AR94" s="406"/>
      <c r="AS94" s="408"/>
      <c r="AT94" s="408"/>
      <c r="AU94" s="408"/>
      <c r="AV94" s="408"/>
      <c r="AW94" s="409"/>
      <c r="AX94" s="409"/>
      <c r="AY94" s="409"/>
      <c r="AZ94" s="476"/>
      <c r="BA94" s="29"/>
      <c r="BR94" s="473"/>
      <c r="BS94" s="29"/>
      <c r="BT94" s="485"/>
      <c r="BU94" s="485"/>
      <c r="BV94" s="485"/>
      <c r="BW94" s="485"/>
      <c r="BX94" s="485"/>
      <c r="BY94" s="485"/>
      <c r="BZ94" s="485"/>
      <c r="CA94" s="485"/>
      <c r="CB94" s="485"/>
      <c r="CC94" s="485"/>
      <c r="CD94" s="485"/>
      <c r="CE94" s="485"/>
      <c r="CF94" s="485"/>
      <c r="CI94" s="473"/>
      <c r="CJ94" s="29"/>
      <c r="CK94" s="525"/>
      <c r="CL94" s="525"/>
      <c r="CM94" s="525"/>
      <c r="CN94" s="525"/>
      <c r="CO94" s="525"/>
      <c r="CP94" s="525"/>
      <c r="CQ94" s="453"/>
      <c r="CR94" s="525"/>
      <c r="CS94" s="525"/>
      <c r="CT94" s="525"/>
      <c r="CU94" s="525"/>
      <c r="CV94" s="525"/>
      <c r="CW94" s="525"/>
      <c r="CX94" s="451"/>
      <c r="CY94" s="451"/>
      <c r="CZ94" s="473"/>
      <c r="DA94" s="29"/>
      <c r="DB94" s="525"/>
      <c r="DC94" s="525"/>
      <c r="DD94" s="525"/>
      <c r="DE94" s="525"/>
      <c r="DF94" s="525"/>
      <c r="DG94" s="525"/>
      <c r="DH94" s="462"/>
      <c r="DI94" s="525"/>
      <c r="DJ94" s="525"/>
      <c r="DK94" s="525"/>
      <c r="DL94" s="525"/>
      <c r="DM94" s="525"/>
      <c r="DN94" s="525"/>
      <c r="DO94"/>
      <c r="DP94" s="473"/>
      <c r="DQ94" s="29"/>
      <c r="DR94" s="485"/>
      <c r="DS94" s="485"/>
      <c r="DT94" s="485"/>
      <c r="DU94" s="485"/>
      <c r="DV94" s="485"/>
      <c r="DW94" s="485"/>
      <c r="DX94"/>
      <c r="DY94" s="485"/>
      <c r="DZ94" s="485"/>
      <c r="EA94" s="485"/>
      <c r="EB94" s="485"/>
      <c r="EC94" s="485"/>
      <c r="ED94" s="485"/>
      <c r="EE94" s="476"/>
      <c r="EF94" s="29"/>
      <c r="EG94" s="447"/>
      <c r="EH94" s="446"/>
      <c r="EI94" s="446"/>
      <c r="EJ94" s="448"/>
      <c r="EK94" s="448"/>
      <c r="EL94" s="448"/>
      <c r="EM94" s="5"/>
      <c r="EN94" s="447"/>
      <c r="EO94" s="446"/>
      <c r="EP94" s="446"/>
      <c r="EQ94" s="448"/>
      <c r="ER94" s="448"/>
      <c r="ES94" s="448"/>
      <c r="EV94" s="473"/>
      <c r="EW94" s="29"/>
      <c r="EX94" s="447"/>
      <c r="EY94" s="446"/>
      <c r="EZ94" s="446"/>
      <c r="FA94" s="448"/>
      <c r="FB94" s="448"/>
      <c r="FC94" s="448"/>
      <c r="FD94" s="5"/>
      <c r="FE94" s="447"/>
      <c r="FF94" s="446"/>
      <c r="FG94" s="446"/>
      <c r="FH94" s="448"/>
      <c r="FI94" s="448"/>
      <c r="FJ94" s="448"/>
    </row>
    <row r="95" spans="1:166" ht="22.5" customHeight="1">
      <c r="A95" s="473"/>
      <c r="C95" s="556" t="str">
        <f>Comment_page!B26</f>
        <v>台灣加權指數</v>
      </c>
      <c r="D95" s="543"/>
      <c r="E95" s="422" t="e">
        <f ca="1">Comment_page!C26</f>
        <v>#NAME?</v>
      </c>
      <c r="F95" s="422" t="e">
        <f ca="1">Comment_page!D26</f>
        <v>#NAME?</v>
      </c>
      <c r="G95" s="423" t="e">
        <f ca="1">Comment_page!E26</f>
        <v>#NAME?</v>
      </c>
      <c r="H95" s="415" t="e">
        <f ca="1">Comment_page!F26</f>
        <v>#NAME?</v>
      </c>
      <c r="I95" s="424"/>
      <c r="J95" s="513" t="str">
        <f>Comment_page!$B37</f>
        <v>USDCNY</v>
      </c>
      <c r="K95" s="543"/>
      <c r="L95" s="422" t="e">
        <f ca="1">Comment_page!$C37</f>
        <v>#NAME?</v>
      </c>
      <c r="M95" s="422" t="e">
        <f ca="1">Comment_page!$D37</f>
        <v>#NAME?</v>
      </c>
      <c r="N95" s="423" t="e">
        <f ca="1">Comment_page!E37</f>
        <v>#NAME?</v>
      </c>
      <c r="O95" s="415" t="e">
        <f ca="1">Comment_page!F37</f>
        <v>#NAME?</v>
      </c>
      <c r="P95" s="45"/>
      <c r="Q95" s="473"/>
      <c r="R95" s="29"/>
      <c r="S95" s="543"/>
      <c r="T95" s="386" t="e">
        <f ca="1">VLOOKUP($AD95,'市場監控 '!$E$7:$W$194,6,FALSE)</f>
        <v>#NAME?</v>
      </c>
      <c r="U95" s="386" t="e">
        <f ca="1">VLOOKUP($AD95,'市場監控 '!$E$7:$W$194,7,FALSE)</f>
        <v>#NAME?</v>
      </c>
      <c r="V95" s="387" t="str">
        <f ca="1">VLOOKUP($AD95,'市場監控 '!$E$7:$W$194,8,FALSE)</f>
        <v>-</v>
      </c>
      <c r="W95" s="388" t="str">
        <f ca="1">VLOOKUP($AD95,'市場監控 '!$E$7:$W$194,10,FALSE)</f>
        <v>-</v>
      </c>
      <c r="X95" s="389" t="str">
        <f ca="1">VLOOKUP($AD95,'市場監控 '!$E$7:$W$194,12,FALSE)</f>
        <v>-</v>
      </c>
      <c r="Y95" s="390" t="str">
        <f ca="1">VLOOKUP($AD95,'市場監控 '!$E$7:$W$194,14,FALSE)</f>
        <v>-</v>
      </c>
      <c r="Z95" s="390" t="str">
        <f ca="1">VLOOKUP($AD95,'市場監控 '!$E$7:$W$194,15,FALSE)</f>
        <v>-</v>
      </c>
      <c r="AA95" s="389" t="e">
        <f ca="1">VLOOKUP($AD95,'市場監控 '!$E$7:$W$194,17,FALSE)</f>
        <v>#NAME?</v>
      </c>
      <c r="AB95" s="389" t="e">
        <f ca="1">VLOOKUP($AD95,'市場監控 '!$E$7:$W$194,18,FALSE)</f>
        <v>#NAME?</v>
      </c>
      <c r="AC95" s="389" t="e">
        <f ca="1">VLOOKUP($AD95,'市場監控 '!$E$7:$W$194,19,FALSE)</f>
        <v>#NAME?</v>
      </c>
      <c r="AD95" s="370" t="s">
        <v>1116</v>
      </c>
      <c r="AE95" s="246" t="s">
        <v>1838</v>
      </c>
      <c r="AF95" s="225"/>
      <c r="AG95" s="13"/>
      <c r="AH95" s="473"/>
      <c r="AI95" s="29"/>
      <c r="AJ95" s="404"/>
      <c r="AK95" s="404"/>
      <c r="AL95" s="405"/>
      <c r="AM95" s="404"/>
      <c r="AN95" s="406"/>
      <c r="AO95" s="406"/>
      <c r="AP95" s="406"/>
      <c r="AQ95" s="407"/>
      <c r="AR95" s="406"/>
      <c r="AS95" s="408"/>
      <c r="AT95" s="408"/>
      <c r="AU95" s="408"/>
      <c r="AV95" s="408"/>
      <c r="AW95" s="409"/>
      <c r="AX95" s="409"/>
      <c r="AY95" s="409"/>
      <c r="AZ95" s="476"/>
      <c r="BA95" s="29"/>
      <c r="BR95" s="473"/>
      <c r="BS95" s="29"/>
      <c r="BT95" s="485"/>
      <c r="BU95" s="485"/>
      <c r="BV95" s="485"/>
      <c r="BW95" s="485"/>
      <c r="BX95" s="485"/>
      <c r="BY95" s="485"/>
      <c r="BZ95" s="485"/>
      <c r="CA95" s="485"/>
      <c r="CB95" s="485"/>
      <c r="CC95" s="485"/>
      <c r="CD95" s="485"/>
      <c r="CE95" s="485"/>
      <c r="CF95" s="485"/>
      <c r="CI95" s="473"/>
      <c r="CJ95" s="29"/>
      <c r="CK95" s="525"/>
      <c r="CL95" s="525"/>
      <c r="CM95" s="525"/>
      <c r="CN95" s="525"/>
      <c r="CO95" s="525"/>
      <c r="CP95" s="525"/>
      <c r="CQ95" s="453"/>
      <c r="CR95" s="525"/>
      <c r="CS95" s="525"/>
      <c r="CT95" s="525"/>
      <c r="CU95" s="525"/>
      <c r="CV95" s="525"/>
      <c r="CW95" s="525"/>
      <c r="CX95" s="451"/>
      <c r="CY95" s="451"/>
      <c r="CZ95" s="473"/>
      <c r="DA95" s="29"/>
      <c r="DB95" s="525"/>
      <c r="DC95" s="525"/>
      <c r="DD95" s="525"/>
      <c r="DE95" s="525"/>
      <c r="DF95" s="525"/>
      <c r="DG95" s="525"/>
      <c r="DH95" s="462"/>
      <c r="DI95" s="525"/>
      <c r="DJ95" s="525"/>
      <c r="DK95" s="525"/>
      <c r="DL95" s="525"/>
      <c r="DM95" s="525"/>
      <c r="DN95" s="525"/>
      <c r="DO95"/>
      <c r="DP95" s="473"/>
      <c r="DQ95" s="29"/>
      <c r="DR95" s="485"/>
      <c r="DS95" s="485"/>
      <c r="DT95" s="485"/>
      <c r="DU95" s="485"/>
      <c r="DV95" s="485"/>
      <c r="DW95" s="485"/>
      <c r="DX95"/>
      <c r="DY95" s="485"/>
      <c r="DZ95" s="485"/>
      <c r="EA95" s="485"/>
      <c r="EB95" s="485"/>
      <c r="EC95" s="485"/>
      <c r="ED95" s="485"/>
      <c r="EE95" s="476"/>
      <c r="EF95" s="29"/>
      <c r="EG95" s="447"/>
      <c r="EH95" s="446"/>
      <c r="EI95" s="446"/>
      <c r="EJ95" s="448"/>
      <c r="EK95" s="448"/>
      <c r="EL95" s="448"/>
      <c r="EM95" s="5"/>
      <c r="EN95" s="447"/>
      <c r="EO95" s="446"/>
      <c r="EP95" s="446"/>
      <c r="EQ95" s="448"/>
      <c r="ER95" s="448"/>
      <c r="ES95" s="448"/>
      <c r="EV95" s="473"/>
      <c r="EW95" s="29"/>
      <c r="EX95" s="447"/>
      <c r="EY95" s="446"/>
      <c r="EZ95" s="446"/>
      <c r="FA95" s="448"/>
      <c r="FB95" s="448"/>
      <c r="FC95" s="448"/>
      <c r="FD95" s="5"/>
      <c r="FE95" s="447"/>
      <c r="FF95" s="446"/>
      <c r="FG95" s="446"/>
      <c r="FH95" s="448"/>
      <c r="FI95" s="448"/>
      <c r="FJ95" s="448"/>
    </row>
    <row r="96" spans="1:166" ht="22.5" customHeight="1" thickBot="1">
      <c r="A96" s="473"/>
      <c r="C96" s="556" t="str">
        <f>Comment_page!B27</f>
        <v>日經225指數</v>
      </c>
      <c r="D96" s="543"/>
      <c r="E96" s="422" t="e">
        <f ca="1">Comment_page!C27</f>
        <v>#NAME?</v>
      </c>
      <c r="F96" s="422" t="e">
        <f ca="1">Comment_page!D27</f>
        <v>#NAME?</v>
      </c>
      <c r="G96" s="423" t="e">
        <f ca="1">Comment_page!E27</f>
        <v>#NAME?</v>
      </c>
      <c r="H96" s="415" t="e">
        <f ca="1">Comment_page!F27</f>
        <v>#NAME?</v>
      </c>
      <c r="I96" s="424"/>
      <c r="J96" s="384"/>
      <c r="K96" s="384"/>
      <c r="L96" s="384"/>
      <c r="M96" s="384"/>
      <c r="N96" s="384"/>
      <c r="O96" s="384"/>
      <c r="P96" s="45"/>
      <c r="Q96" s="473"/>
      <c r="R96" s="29"/>
      <c r="S96" s="543"/>
      <c r="T96" s="386" t="e">
        <f ca="1">VLOOKUP($AD96,'市場監控 '!$E$7:$W$194,6,FALSE)</f>
        <v>#NAME?</v>
      </c>
      <c r="U96" s="386" t="e">
        <f ca="1">VLOOKUP($AD96,'市場監控 '!$E$7:$W$194,7,FALSE)</f>
        <v>#NAME?</v>
      </c>
      <c r="V96" s="387" t="str">
        <f ca="1">VLOOKUP($AD96,'市場監控 '!$E$7:$W$194,8,FALSE)</f>
        <v>-</v>
      </c>
      <c r="W96" s="388" t="str">
        <f ca="1">VLOOKUP($AD96,'市場監控 '!$E$7:$W$194,10,FALSE)</f>
        <v>-</v>
      </c>
      <c r="X96" s="389" t="str">
        <f ca="1">VLOOKUP($AD96,'市場監控 '!$E$7:$W$194,12,FALSE)</f>
        <v>-</v>
      </c>
      <c r="Y96" s="390" t="str">
        <f ca="1">VLOOKUP($AD96,'市場監控 '!$E$7:$W$194,14,FALSE)</f>
        <v>-</v>
      </c>
      <c r="Z96" s="390" t="str">
        <f ca="1">VLOOKUP($AD96,'市場監控 '!$E$7:$W$194,15,FALSE)</f>
        <v>-</v>
      </c>
      <c r="AA96" s="389" t="e">
        <f ca="1">VLOOKUP($AD96,'市場監控 '!$E$7:$W$194,17,FALSE)</f>
        <v>#NAME?</v>
      </c>
      <c r="AB96" s="389" t="e">
        <f ca="1">VLOOKUP($AD96,'市場監控 '!$E$7:$W$194,18,FALSE)</f>
        <v>#NAME?</v>
      </c>
      <c r="AC96" s="389" t="e">
        <f ca="1">VLOOKUP($AD96,'市場監控 '!$E$7:$W$194,19,FALSE)</f>
        <v>#NAME?</v>
      </c>
      <c r="AD96" s="370" t="s">
        <v>1132</v>
      </c>
      <c r="AE96" s="287" t="s">
        <v>1840</v>
      </c>
      <c r="AF96" s="225"/>
      <c r="AG96" s="13"/>
      <c r="AH96" s="473"/>
      <c r="AI96" s="29"/>
      <c r="AJ96" s="404"/>
      <c r="AK96" s="404"/>
      <c r="AL96" s="405"/>
      <c r="AM96" s="404"/>
      <c r="AN96" s="406"/>
      <c r="AO96" s="406"/>
      <c r="AP96" s="406"/>
      <c r="AQ96" s="407"/>
      <c r="AR96" s="406"/>
      <c r="AS96" s="408"/>
      <c r="AT96" s="408"/>
      <c r="AU96" s="408"/>
      <c r="AV96" s="408"/>
      <c r="AW96" s="409"/>
      <c r="AX96" s="409"/>
      <c r="AY96" s="409"/>
      <c r="AZ96" s="476"/>
      <c r="BA96" s="29"/>
      <c r="BR96" s="473"/>
      <c r="BS96" s="29"/>
      <c r="BT96" s="485"/>
      <c r="BU96" s="485"/>
      <c r="BV96" s="485"/>
      <c r="BW96" s="485"/>
      <c r="BX96" s="485"/>
      <c r="BY96" s="485"/>
      <c r="BZ96" s="485"/>
      <c r="CA96" s="485"/>
      <c r="CB96" s="485"/>
      <c r="CC96" s="485"/>
      <c r="CD96" s="485"/>
      <c r="CE96" s="485"/>
      <c r="CF96" s="485"/>
      <c r="CI96" s="473"/>
      <c r="CJ96" s="29"/>
      <c r="CK96" s="525"/>
      <c r="CL96" s="525"/>
      <c r="CM96" s="525"/>
      <c r="CN96" s="525"/>
      <c r="CO96" s="525"/>
      <c r="CP96" s="525"/>
      <c r="CQ96" s="453"/>
      <c r="CR96" s="525"/>
      <c r="CS96" s="525"/>
      <c r="CT96" s="525"/>
      <c r="CU96" s="525"/>
      <c r="CV96" s="525"/>
      <c r="CW96" s="525"/>
      <c r="CX96" s="451"/>
      <c r="CY96" s="451"/>
      <c r="CZ96" s="473"/>
      <c r="DA96" s="29"/>
      <c r="DB96" s="525"/>
      <c r="DC96" s="525"/>
      <c r="DD96" s="525"/>
      <c r="DE96" s="525"/>
      <c r="DF96" s="525"/>
      <c r="DG96" s="525"/>
      <c r="DH96" s="462"/>
      <c r="DI96" s="525"/>
      <c r="DJ96" s="525"/>
      <c r="DK96" s="525"/>
      <c r="DL96" s="525"/>
      <c r="DM96" s="525"/>
      <c r="DN96" s="525"/>
      <c r="DO96"/>
      <c r="DP96" s="473"/>
      <c r="DQ96" s="29"/>
      <c r="DR96" s="485"/>
      <c r="DS96" s="485"/>
      <c r="DT96" s="485"/>
      <c r="DU96" s="485"/>
      <c r="DV96" s="485"/>
      <c r="DW96" s="485"/>
      <c r="DX96"/>
      <c r="DY96" s="485"/>
      <c r="DZ96" s="485"/>
      <c r="EA96" s="485"/>
      <c r="EB96" s="485"/>
      <c r="EC96" s="485"/>
      <c r="ED96" s="485"/>
      <c r="EE96" s="476"/>
      <c r="EF96" s="29"/>
      <c r="EG96" s="447"/>
      <c r="EH96" s="446"/>
      <c r="EI96" s="446"/>
      <c r="EJ96" s="448"/>
      <c r="EK96" s="448"/>
      <c r="EL96" s="448"/>
      <c r="EM96" s="5"/>
      <c r="EN96" s="447"/>
      <c r="EO96" s="446"/>
      <c r="EP96" s="446"/>
      <c r="EQ96" s="448"/>
      <c r="ER96" s="448"/>
      <c r="ES96" s="448"/>
      <c r="EV96" s="473"/>
      <c r="EW96" s="29"/>
      <c r="EX96" s="447"/>
      <c r="EY96" s="446"/>
      <c r="EZ96" s="446"/>
      <c r="FA96" s="448"/>
      <c r="FB96" s="448"/>
      <c r="FC96" s="448"/>
      <c r="FD96" s="5"/>
      <c r="FE96" s="447"/>
      <c r="FF96" s="446"/>
      <c r="FG96" s="446"/>
      <c r="FH96" s="448"/>
      <c r="FI96" s="448"/>
      <c r="FJ96" s="448"/>
    </row>
    <row r="97" spans="1:166" ht="22.5" customHeight="1">
      <c r="A97" s="473"/>
      <c r="C97" s="556" t="str">
        <f>Comment_page!B28</f>
        <v>恆生指數</v>
      </c>
      <c r="D97" s="543"/>
      <c r="E97" s="422" t="e">
        <f ca="1">Comment_page!C28</f>
        <v>#NAME?</v>
      </c>
      <c r="F97" s="422" t="e">
        <f ca="1">Comment_page!D28</f>
        <v>#NAME?</v>
      </c>
      <c r="G97" s="423" t="e">
        <f ca="1">Comment_page!E28</f>
        <v>#NAME?</v>
      </c>
      <c r="H97" s="415" t="e">
        <f ca="1">Comment_page!F28</f>
        <v>#NAME?</v>
      </c>
      <c r="I97" s="424"/>
      <c r="J97" s="384"/>
      <c r="K97" s="384"/>
      <c r="L97" s="384"/>
      <c r="M97" s="384"/>
      <c r="N97" s="384"/>
      <c r="O97" s="384"/>
      <c r="P97" s="45"/>
      <c r="Q97" s="473"/>
      <c r="R97" s="29"/>
      <c r="S97" s="29"/>
      <c r="T97" s="29"/>
      <c r="U97" s="51"/>
      <c r="V97" s="163"/>
      <c r="W97" s="29"/>
      <c r="X97" s="29"/>
      <c r="Y97" s="29"/>
      <c r="AF97" s="225"/>
      <c r="AG97" s="13"/>
      <c r="AH97" s="473"/>
      <c r="AI97" s="29"/>
      <c r="AJ97" s="404"/>
      <c r="AK97" s="404"/>
      <c r="AL97" s="405"/>
      <c r="AM97" s="404"/>
      <c r="AN97" s="406"/>
      <c r="AO97" s="406"/>
      <c r="AP97" s="406"/>
      <c r="AQ97" s="407"/>
      <c r="AR97" s="406"/>
      <c r="AS97" s="408"/>
      <c r="AT97" s="408"/>
      <c r="AU97" s="408"/>
      <c r="AV97" s="408"/>
      <c r="AW97" s="409"/>
      <c r="AX97" s="409"/>
      <c r="AY97" s="409"/>
      <c r="AZ97" s="476"/>
      <c r="BA97" s="29"/>
      <c r="BR97" s="473"/>
      <c r="BS97" s="29"/>
      <c r="BT97" s="485"/>
      <c r="BU97" s="485"/>
      <c r="BV97" s="485"/>
      <c r="BW97" s="485"/>
      <c r="BX97" s="485"/>
      <c r="BY97" s="485"/>
      <c r="BZ97" s="485"/>
      <c r="CA97" s="485"/>
      <c r="CB97" s="485"/>
      <c r="CC97" s="485"/>
      <c r="CD97" s="485"/>
      <c r="CE97" s="485"/>
      <c r="CF97" s="485"/>
      <c r="CI97" s="473"/>
      <c r="CJ97" s="29"/>
      <c r="CK97" s="525"/>
      <c r="CL97" s="525"/>
      <c r="CM97" s="525"/>
      <c r="CN97" s="525"/>
      <c r="CO97" s="525"/>
      <c r="CP97" s="525"/>
      <c r="CQ97" s="455"/>
      <c r="CR97" s="525"/>
      <c r="CS97" s="525"/>
      <c r="CT97" s="525"/>
      <c r="CU97" s="525"/>
      <c r="CV97" s="525"/>
      <c r="CW97" s="525"/>
      <c r="CX97" s="451"/>
      <c r="CY97" s="451"/>
      <c r="CZ97" s="473"/>
      <c r="DA97" s="29"/>
      <c r="DB97" s="525"/>
      <c r="DC97" s="525"/>
      <c r="DD97" s="525"/>
      <c r="DE97" s="525"/>
      <c r="DF97" s="525"/>
      <c r="DG97" s="525"/>
      <c r="DH97" s="462"/>
      <c r="DI97" s="525"/>
      <c r="DJ97" s="525"/>
      <c r="DK97" s="525"/>
      <c r="DL97" s="525"/>
      <c r="DM97" s="525"/>
      <c r="DN97" s="525"/>
      <c r="DO97"/>
      <c r="DP97" s="473"/>
      <c r="DQ97" s="29"/>
      <c r="DR97" s="485"/>
      <c r="DS97" s="485"/>
      <c r="DT97" s="485"/>
      <c r="DU97" s="485"/>
      <c r="DV97" s="485"/>
      <c r="DW97" s="485"/>
      <c r="DX97"/>
      <c r="DY97" s="485"/>
      <c r="DZ97" s="485"/>
      <c r="EA97" s="485"/>
      <c r="EB97" s="485"/>
      <c r="EC97" s="485"/>
      <c r="ED97" s="485"/>
      <c r="EE97" s="476"/>
      <c r="EF97" s="29"/>
      <c r="EG97" s="447"/>
      <c r="EH97" s="446"/>
      <c r="EI97" s="446"/>
      <c r="EJ97" s="448"/>
      <c r="EK97" s="448"/>
      <c r="EL97" s="448"/>
      <c r="EM97" s="5"/>
      <c r="EN97" s="447"/>
      <c r="EO97" s="446"/>
      <c r="EP97" s="446"/>
      <c r="EQ97" s="448"/>
      <c r="ER97" s="448"/>
      <c r="ES97" s="448"/>
      <c r="EV97" s="473"/>
      <c r="EW97" s="29"/>
      <c r="EX97" s="447"/>
      <c r="EY97" s="446"/>
      <c r="EZ97" s="446"/>
      <c r="FA97" s="448"/>
      <c r="FB97" s="448"/>
      <c r="FC97" s="448"/>
      <c r="FD97" s="5"/>
      <c r="FE97" s="447"/>
      <c r="FF97" s="446"/>
      <c r="FG97" s="446"/>
      <c r="FH97" s="448"/>
      <c r="FI97" s="448"/>
      <c r="FJ97" s="448"/>
    </row>
    <row r="98" spans="1:166" ht="22.5" customHeight="1">
      <c r="A98" s="473"/>
      <c r="C98" s="556" t="str">
        <f>Comment_page!B29</f>
        <v>上證綜合指數</v>
      </c>
      <c r="D98" s="543"/>
      <c r="E98" s="422" t="e">
        <f ca="1">Comment_page!C29</f>
        <v>#NAME?</v>
      </c>
      <c r="F98" s="422" t="e">
        <f ca="1">Comment_page!D29</f>
        <v>#NAME?</v>
      </c>
      <c r="G98" s="423" t="e">
        <f ca="1">Comment_page!E29</f>
        <v>#NAME?</v>
      </c>
      <c r="H98" s="415" t="e">
        <f ca="1">Comment_page!F29</f>
        <v>#NAME?</v>
      </c>
      <c r="I98" s="424"/>
      <c r="J98" s="384"/>
      <c r="K98" s="425"/>
      <c r="L98" s="425"/>
      <c r="M98" s="426"/>
      <c r="N98" s="427"/>
      <c r="O98" s="417"/>
      <c r="P98" s="45"/>
      <c r="Q98" s="473"/>
      <c r="R98" s="29"/>
      <c r="S98" s="29"/>
      <c r="T98" s="29"/>
      <c r="U98" s="51"/>
      <c r="V98" s="163"/>
      <c r="W98" s="29"/>
      <c r="X98" s="29"/>
      <c r="Y98" s="29"/>
      <c r="AF98" s="225"/>
      <c r="AG98" s="13"/>
      <c r="AH98" s="473"/>
      <c r="AI98" s="29"/>
      <c r="AJ98" s="29"/>
      <c r="AK98" s="29"/>
      <c r="AL98" s="51"/>
      <c r="AM98" s="29"/>
      <c r="AN98" s="29"/>
      <c r="AO98" s="29"/>
      <c r="AP98" s="29"/>
      <c r="AQ98" s="29"/>
      <c r="AZ98" s="476"/>
      <c r="BA98" s="29"/>
      <c r="BB98" s="29"/>
      <c r="BC98" s="29"/>
      <c r="BD98" s="51"/>
      <c r="BE98" s="29"/>
      <c r="BF98" s="29"/>
      <c r="BG98" s="29"/>
      <c r="BH98" s="29"/>
      <c r="BI98" s="29"/>
      <c r="BR98" s="473"/>
      <c r="BS98" s="29"/>
      <c r="BT98" s="485"/>
      <c r="BU98" s="485"/>
      <c r="BV98" s="485"/>
      <c r="BW98" s="485"/>
      <c r="BX98" s="485"/>
      <c r="BY98" s="485"/>
      <c r="BZ98" s="485"/>
      <c r="CA98" s="485"/>
      <c r="CB98" s="485"/>
      <c r="CC98" s="485"/>
      <c r="CD98" s="485"/>
      <c r="CE98" s="485"/>
      <c r="CF98" s="485"/>
      <c r="CI98" s="473"/>
      <c r="CJ98" s="29"/>
      <c r="CK98" s="525"/>
      <c r="CL98" s="525"/>
      <c r="CM98" s="525"/>
      <c r="CN98" s="525"/>
      <c r="CO98" s="525"/>
      <c r="CP98" s="525"/>
      <c r="CQ98" s="455"/>
      <c r="CR98" s="525"/>
      <c r="CS98" s="525"/>
      <c r="CT98" s="525"/>
      <c r="CU98" s="525"/>
      <c r="CV98" s="525"/>
      <c r="CW98" s="525"/>
      <c r="CX98"/>
      <c r="CY98"/>
      <c r="CZ98" s="473"/>
      <c r="DA98" s="29"/>
      <c r="DB98" s="525"/>
      <c r="DC98" s="525"/>
      <c r="DD98" s="525"/>
      <c r="DE98" s="525"/>
      <c r="DF98" s="525"/>
      <c r="DG98" s="525"/>
      <c r="DH98" s="462"/>
      <c r="DI98" s="525"/>
      <c r="DJ98" s="525"/>
      <c r="DK98" s="525"/>
      <c r="DL98" s="525"/>
      <c r="DM98" s="525"/>
      <c r="DN98" s="525"/>
      <c r="DO98"/>
      <c r="DP98" s="473"/>
      <c r="DQ98" s="29"/>
      <c r="DR98" s="485"/>
      <c r="DS98" s="485"/>
      <c r="DT98" s="485"/>
      <c r="DU98" s="485"/>
      <c r="DV98" s="485"/>
      <c r="DW98" s="485"/>
      <c r="DX98"/>
      <c r="DY98" s="485"/>
      <c r="DZ98" s="485"/>
      <c r="EA98" s="485"/>
      <c r="EB98" s="485"/>
      <c r="EC98" s="485"/>
      <c r="ED98" s="485"/>
      <c r="EE98" s="476"/>
      <c r="EF98" s="29"/>
      <c r="EG98" s="447"/>
      <c r="EH98" s="446"/>
      <c r="EI98" s="446"/>
      <c r="EJ98" s="448"/>
      <c r="EK98" s="448"/>
      <c r="EL98" s="448"/>
      <c r="EM98" s="5"/>
      <c r="EN98" s="447"/>
      <c r="EO98" s="446"/>
      <c r="EP98" s="446"/>
      <c r="EQ98" s="448"/>
      <c r="ER98" s="448"/>
      <c r="ES98" s="448"/>
      <c r="EV98" s="473"/>
      <c r="EW98" s="29"/>
      <c r="EX98" s="447"/>
      <c r="EY98" s="446"/>
      <c r="EZ98" s="446"/>
      <c r="FA98" s="448"/>
      <c r="FB98" s="448"/>
      <c r="FC98" s="448"/>
      <c r="FD98" s="5"/>
      <c r="FE98" s="447"/>
      <c r="FF98" s="446"/>
      <c r="FG98" s="446"/>
      <c r="FH98" s="448"/>
      <c r="FI98" s="448"/>
      <c r="FJ98" s="448"/>
    </row>
    <row r="99" spans="1:166" ht="20.25" customHeight="1">
      <c r="A99" s="473"/>
      <c r="I99" s="372"/>
      <c r="K99" s="13"/>
      <c r="L99" s="13"/>
      <c r="M99" s="14"/>
      <c r="N99" s="15"/>
      <c r="O99" s="16"/>
      <c r="P99" s="45"/>
      <c r="Q99" s="473"/>
      <c r="R99" s="29"/>
      <c r="S99" s="29"/>
      <c r="T99" s="29"/>
      <c r="U99" s="51"/>
      <c r="V99" s="163"/>
      <c r="W99" s="29"/>
      <c r="X99" s="29"/>
      <c r="Y99" s="29"/>
      <c r="AG99" s="13"/>
      <c r="AH99" s="473"/>
      <c r="AI99" s="29"/>
      <c r="AJ99" s="29"/>
      <c r="AK99" s="29"/>
      <c r="AL99" s="51"/>
      <c r="AM99" s="29"/>
      <c r="AN99" s="29"/>
      <c r="AO99" s="29"/>
      <c r="AP99" s="29"/>
      <c r="AQ99" s="29"/>
      <c r="AZ99" s="476"/>
      <c r="BA99" s="29"/>
      <c r="BB99" s="29"/>
      <c r="BC99" s="29"/>
      <c r="BD99" s="51"/>
      <c r="BE99" s="29"/>
      <c r="BF99" s="29"/>
      <c r="BG99" s="29"/>
      <c r="BH99" s="29"/>
      <c r="BI99" s="29"/>
      <c r="BR99" s="473"/>
      <c r="BS99" s="29"/>
      <c r="BT99" s="485"/>
      <c r="BU99" s="485"/>
      <c r="BV99" s="485"/>
      <c r="BW99" s="485"/>
      <c r="BX99" s="485"/>
      <c r="BY99" s="485"/>
      <c r="BZ99" s="485"/>
      <c r="CA99" s="485"/>
      <c r="CB99" s="485"/>
      <c r="CC99" s="485"/>
      <c r="CD99" s="485"/>
      <c r="CE99" s="485"/>
      <c r="CF99" s="485"/>
      <c r="CI99" s="473"/>
      <c r="CJ99" s="29"/>
      <c r="CK99" s="446"/>
      <c r="CL99" s="446"/>
      <c r="CM99" s="446"/>
      <c r="CN99" s="451"/>
      <c r="CO99" s="451"/>
      <c r="CP99" s="451"/>
      <c r="CR99" s="446"/>
      <c r="CS99" s="446"/>
      <c r="CT99" s="446"/>
      <c r="CU99" s="451"/>
      <c r="CV99" s="451"/>
      <c r="CW99" s="451"/>
      <c r="CX99"/>
      <c r="CY99"/>
      <c r="CZ99" s="473"/>
      <c r="DA99" s="29"/>
      <c r="DB99"/>
      <c r="DC99"/>
      <c r="DD99"/>
      <c r="DE99"/>
      <c r="DF99"/>
      <c r="DG99"/>
      <c r="DI99"/>
      <c r="DJ99"/>
      <c r="DK99"/>
      <c r="DL99"/>
      <c r="DM99"/>
      <c r="DN99"/>
      <c r="DO99"/>
      <c r="DP99" s="473"/>
      <c r="DQ99" s="29"/>
      <c r="DR99" s="562"/>
      <c r="DS99" s="562"/>
      <c r="DT99" s="562"/>
      <c r="DU99" s="562"/>
      <c r="DV99" s="562"/>
      <c r="DW99" s="562"/>
      <c r="DX99"/>
      <c r="DY99" s="562"/>
      <c r="DZ99" s="562"/>
      <c r="EA99" s="562"/>
      <c r="EB99" s="562"/>
      <c r="EC99" s="562"/>
      <c r="ED99" s="562"/>
      <c r="EE99" s="476"/>
      <c r="EF99" s="29"/>
      <c r="EG99" s="447"/>
      <c r="EH99" s="446"/>
      <c r="EI99" s="446"/>
      <c r="EJ99" s="448"/>
      <c r="EK99" s="448"/>
      <c r="EL99" s="448"/>
      <c r="EM99" s="5"/>
      <c r="EN99" s="447"/>
      <c r="EO99" s="446"/>
      <c r="EP99" s="446"/>
      <c r="EQ99" s="448"/>
      <c r="ER99" s="448"/>
      <c r="ES99" s="448"/>
      <c r="EV99" s="473"/>
      <c r="EW99" s="29"/>
      <c r="EX99" s="447"/>
      <c r="EY99" s="446"/>
      <c r="EZ99" s="446"/>
      <c r="FA99" s="448"/>
      <c r="FB99" s="448"/>
      <c r="FC99" s="448"/>
      <c r="FD99" s="5"/>
      <c r="FE99" s="447"/>
      <c r="FF99" s="446"/>
      <c r="FG99" s="446"/>
      <c r="FH99" s="448"/>
      <c r="FI99" s="448"/>
      <c r="FJ99" s="448"/>
    </row>
    <row r="100" spans="1:166" ht="15" customHeight="1">
      <c r="A100" s="551"/>
      <c r="I100" s="372"/>
      <c r="K100" s="13"/>
      <c r="L100" s="13"/>
      <c r="M100" s="14"/>
      <c r="N100" s="15"/>
      <c r="O100" s="16"/>
      <c r="P100" s="45"/>
      <c r="Q100" s="476"/>
      <c r="R100" s="29"/>
      <c r="S100" s="29"/>
      <c r="T100" s="29"/>
      <c r="U100" s="51"/>
      <c r="V100" s="163"/>
      <c r="W100" s="29"/>
      <c r="X100" s="29"/>
      <c r="Y100" s="29"/>
      <c r="AG100" s="13"/>
      <c r="AH100" s="476"/>
      <c r="AI100" s="29"/>
      <c r="AJ100" s="29"/>
      <c r="AK100" s="29"/>
      <c r="AL100" s="51"/>
      <c r="AM100" s="29"/>
      <c r="AN100" s="29"/>
      <c r="AO100" s="29"/>
      <c r="AP100" s="29"/>
      <c r="AQ100" s="29"/>
      <c r="AZ100" s="476"/>
      <c r="BA100" s="29"/>
      <c r="BB100" s="29"/>
      <c r="BC100" s="29"/>
      <c r="BD100" s="51"/>
      <c r="BE100" s="29"/>
      <c r="BF100" s="29"/>
      <c r="BG100" s="29"/>
      <c r="BH100" s="29"/>
      <c r="BI100" s="29"/>
      <c r="BR100" s="476"/>
      <c r="BS100" s="29"/>
      <c r="CE100" s="26"/>
      <c r="CF100" s="26"/>
      <c r="CI100" s="476"/>
      <c r="CJ100" s="29"/>
      <c r="CK100" s="446"/>
      <c r="CL100" s="446"/>
      <c r="CM100" s="446"/>
      <c r="CN100" s="451"/>
      <c r="CO100" s="451"/>
      <c r="CP100" s="451"/>
      <c r="CR100" s="446"/>
      <c r="CS100" s="446"/>
      <c r="CT100" s="446"/>
      <c r="CU100" s="451"/>
      <c r="CV100" s="451"/>
      <c r="CW100" s="451"/>
      <c r="CX100" s="26"/>
      <c r="CY100" s="26"/>
      <c r="CZ100" s="476"/>
      <c r="DA100" s="29"/>
      <c r="DB100"/>
      <c r="DC100"/>
      <c r="DD100"/>
      <c r="DE100"/>
      <c r="DF100"/>
      <c r="DG100"/>
      <c r="DI100"/>
      <c r="DJ100"/>
      <c r="DK100"/>
      <c r="DL100"/>
      <c r="DM100"/>
      <c r="DN100"/>
      <c r="DO100" s="26"/>
      <c r="DP100" s="476"/>
      <c r="DQ100" s="29"/>
      <c r="EB100" s="26"/>
      <c r="EC100" s="26"/>
      <c r="ED100" s="26"/>
      <c r="EE100" s="476"/>
      <c r="EF100" s="29"/>
      <c r="EG100" s="447"/>
      <c r="EH100" s="446"/>
      <c r="EI100" s="446"/>
      <c r="EJ100" s="448"/>
      <c r="EK100" s="448"/>
      <c r="EL100" s="448"/>
      <c r="EM100" s="5"/>
      <c r="EN100" s="447"/>
      <c r="EO100" s="446"/>
      <c r="EP100" s="446"/>
      <c r="EQ100" s="448"/>
      <c r="ER100" s="448"/>
      <c r="ES100" s="448"/>
      <c r="EV100" s="476"/>
      <c r="EW100" s="29"/>
      <c r="EX100" s="447"/>
      <c r="EY100" s="446"/>
      <c r="EZ100" s="446"/>
      <c r="FA100" s="448"/>
      <c r="FB100" s="448"/>
      <c r="FC100" s="448"/>
      <c r="FD100" s="5"/>
      <c r="FE100" s="447"/>
      <c r="FF100" s="446"/>
      <c r="FG100" s="446"/>
      <c r="FH100" s="448"/>
      <c r="FI100" s="448"/>
      <c r="FJ100" s="448"/>
    </row>
    <row r="101" spans="1:166" ht="15" customHeight="1">
      <c r="A101" s="551"/>
      <c r="C101" s="29"/>
      <c r="H101" s="372"/>
      <c r="I101" s="372"/>
      <c r="K101" s="13"/>
      <c r="L101" s="13"/>
      <c r="M101" s="14"/>
      <c r="N101" s="15"/>
      <c r="O101" s="16"/>
      <c r="P101" s="45"/>
      <c r="Q101" s="476"/>
      <c r="R101" s="29"/>
      <c r="S101" s="29"/>
      <c r="T101" s="29"/>
      <c r="U101" s="51"/>
      <c r="V101" s="163"/>
      <c r="W101" s="29"/>
      <c r="X101" s="29"/>
      <c r="Y101" s="29"/>
      <c r="AG101" s="13"/>
      <c r="AH101" s="476"/>
      <c r="AI101" s="29"/>
      <c r="AJ101" s="29"/>
      <c r="AK101" s="29"/>
      <c r="AL101" s="51"/>
      <c r="AM101" s="29"/>
      <c r="AN101" s="29"/>
      <c r="AO101" s="29"/>
      <c r="AP101" s="29"/>
      <c r="AQ101" s="29"/>
      <c r="AZ101" s="476"/>
      <c r="BA101" s="29"/>
      <c r="BB101" s="29"/>
      <c r="BC101" s="29"/>
      <c r="BD101" s="51"/>
      <c r="BE101" s="29"/>
      <c r="BF101" s="29"/>
      <c r="BG101" s="29"/>
      <c r="BH101" s="29"/>
      <c r="BI101" s="29"/>
      <c r="BR101" s="476"/>
      <c r="BS101" s="29"/>
      <c r="CE101" s="37"/>
      <c r="CF101" s="37"/>
      <c r="CI101" s="476"/>
      <c r="CJ101" s="29"/>
      <c r="CK101" s="446"/>
      <c r="CL101" s="446"/>
      <c r="CM101" s="446"/>
      <c r="CN101" s="451"/>
      <c r="CO101" s="451"/>
      <c r="CP101" s="451"/>
      <c r="CR101" s="446"/>
      <c r="CS101" s="446"/>
      <c r="CT101" s="446"/>
      <c r="CU101" s="451"/>
      <c r="CV101" s="451"/>
      <c r="CW101" s="451"/>
      <c r="CX101" s="37"/>
      <c r="CY101" s="37"/>
      <c r="CZ101" s="476"/>
      <c r="DA101" s="29"/>
      <c r="DB101"/>
      <c r="DC101"/>
      <c r="DD101"/>
      <c r="DE101"/>
      <c r="DF101"/>
      <c r="DG101"/>
      <c r="DI101"/>
      <c r="DJ101"/>
      <c r="DK101"/>
      <c r="DL101"/>
      <c r="DM101"/>
      <c r="DN101"/>
      <c r="DO101" s="37"/>
      <c r="DP101" s="476"/>
      <c r="DQ101" s="29"/>
      <c r="EB101" s="37"/>
      <c r="EC101" s="37"/>
      <c r="ED101" s="37"/>
      <c r="EE101" s="476"/>
      <c r="EF101" s="29"/>
      <c r="EG101" s="447"/>
      <c r="EH101" s="446"/>
      <c r="EI101" s="446"/>
      <c r="EJ101" s="448"/>
      <c r="EK101" s="448"/>
      <c r="EL101" s="448"/>
      <c r="EM101" s="5"/>
      <c r="EN101" s="447"/>
      <c r="EO101" s="446"/>
      <c r="EP101" s="446"/>
      <c r="EQ101" s="448"/>
      <c r="ER101" s="448"/>
      <c r="ES101" s="448"/>
      <c r="EV101" s="476"/>
      <c r="EW101" s="29"/>
      <c r="EX101" s="5"/>
      <c r="EY101" s="5"/>
      <c r="EZ101" s="5"/>
      <c r="FA101" s="5"/>
      <c r="FB101" s="5"/>
      <c r="FC101" s="5"/>
      <c r="FD101" s="5"/>
      <c r="FE101" s="5"/>
      <c r="FF101" s="5"/>
      <c r="FG101" s="5"/>
      <c r="FH101" s="5"/>
      <c r="FI101" s="5"/>
      <c r="FJ101" s="5"/>
    </row>
    <row r="102" spans="1:166" ht="15" customHeight="1">
      <c r="A102" s="371"/>
      <c r="C102" s="45"/>
      <c r="D102" s="45"/>
      <c r="E102" s="45"/>
      <c r="F102" s="45"/>
      <c r="G102" s="45"/>
      <c r="H102" s="45"/>
      <c r="I102" s="45"/>
      <c r="J102" s="45"/>
      <c r="K102" s="45"/>
      <c r="L102" s="45"/>
      <c r="M102" s="45"/>
      <c r="N102" s="45"/>
      <c r="O102" s="45"/>
      <c r="P102" s="45"/>
      <c r="Q102" s="29"/>
      <c r="R102" s="29"/>
      <c r="S102" s="29"/>
      <c r="T102" s="29"/>
      <c r="U102" s="51"/>
      <c r="V102" s="163"/>
      <c r="W102" s="29"/>
      <c r="X102" s="29"/>
      <c r="Y102" s="29"/>
      <c r="AG102" s="13"/>
      <c r="AH102" s="29"/>
      <c r="AI102" s="29"/>
      <c r="AJ102" s="29"/>
      <c r="AK102" s="29"/>
      <c r="AL102" s="51"/>
      <c r="AM102" s="29"/>
      <c r="AN102" s="29"/>
      <c r="AO102" s="29"/>
      <c r="AP102" s="29"/>
      <c r="AQ102" s="29"/>
      <c r="AZ102" s="29"/>
      <c r="BA102" s="29"/>
      <c r="BB102" s="29"/>
      <c r="BC102" s="29"/>
      <c r="BD102" s="51"/>
      <c r="BE102" s="29"/>
      <c r="BF102" s="29"/>
      <c r="BG102" s="29"/>
      <c r="BH102" s="29"/>
      <c r="BI102" s="29"/>
      <c r="BR102" s="29"/>
      <c r="BS102" s="29"/>
      <c r="CE102" s="37"/>
      <c r="CF102" s="37"/>
      <c r="CI102" s="29"/>
      <c r="CJ102" s="29"/>
      <c r="CK102" s="446"/>
      <c r="CL102" s="446"/>
      <c r="CM102" s="446"/>
      <c r="CN102" s="451"/>
      <c r="CO102" s="451"/>
      <c r="CP102" s="451"/>
      <c r="CQ102"/>
      <c r="CR102" s="446"/>
      <c r="CS102" s="446"/>
      <c r="CT102" s="446"/>
      <c r="CU102" s="451"/>
      <c r="CV102" s="451"/>
      <c r="CW102" s="451"/>
      <c r="CX102" s="37"/>
      <c r="CY102" s="37"/>
      <c r="CZ102" s="29"/>
      <c r="DA102" s="29"/>
      <c r="DB102"/>
      <c r="DC102"/>
      <c r="DD102"/>
      <c r="DE102"/>
      <c r="DF102"/>
      <c r="DG102"/>
      <c r="DH102"/>
      <c r="DI102"/>
      <c r="DJ102"/>
      <c r="DK102"/>
      <c r="DL102"/>
      <c r="DM102"/>
      <c r="DN102"/>
      <c r="DO102" s="37"/>
      <c r="DP102" s="29"/>
      <c r="DQ102" s="29"/>
      <c r="EB102" s="37"/>
      <c r="EC102" s="37"/>
      <c r="ED102" s="37"/>
      <c r="EE102" s="29"/>
      <c r="EF102" s="29"/>
      <c r="EG102" s="5"/>
      <c r="EH102" s="5"/>
      <c r="EI102" s="5"/>
      <c r="EJ102" s="5"/>
      <c r="EK102" s="5"/>
      <c r="EL102" s="5"/>
      <c r="EM102" s="5"/>
      <c r="EN102" s="5"/>
      <c r="EO102" s="5"/>
      <c r="EP102" s="5"/>
      <c r="EQ102" s="5"/>
      <c r="ER102" s="5"/>
      <c r="ES102" s="5"/>
      <c r="EV102" s="29"/>
      <c r="EW102" s="29"/>
      <c r="EX102" s="5"/>
      <c r="EY102" s="5"/>
      <c r="EZ102" s="5"/>
      <c r="FA102" s="5"/>
      <c r="FB102" s="5"/>
      <c r="FC102" s="5"/>
      <c r="FD102" s="5"/>
      <c r="FE102" s="5"/>
      <c r="FF102" s="5"/>
      <c r="FG102" s="5"/>
      <c r="FH102" s="5"/>
      <c r="FI102" s="5"/>
      <c r="FJ102" s="5"/>
    </row>
    <row r="103" spans="1:166" ht="15" customHeight="1">
      <c r="A103" s="371"/>
      <c r="C103" s="45"/>
      <c r="D103" s="45"/>
      <c r="E103" s="45"/>
      <c r="F103" s="45"/>
      <c r="G103" s="45"/>
      <c r="H103" s="45"/>
      <c r="I103" s="45"/>
      <c r="J103" s="45"/>
      <c r="K103" s="45"/>
      <c r="L103" s="45"/>
      <c r="M103" s="45"/>
      <c r="N103" s="45"/>
      <c r="O103" s="45"/>
      <c r="P103" s="49"/>
      <c r="Q103" s="29"/>
      <c r="R103" s="29"/>
      <c r="S103" s="29"/>
      <c r="T103" s="29"/>
      <c r="U103" s="51"/>
      <c r="V103" s="163"/>
      <c r="W103" s="29"/>
      <c r="X103" s="29"/>
      <c r="Y103" s="29"/>
      <c r="AG103" s="13"/>
      <c r="AH103" s="29"/>
      <c r="AI103" s="29"/>
      <c r="AJ103" s="29"/>
      <c r="AK103" s="29"/>
      <c r="AL103" s="51"/>
      <c r="AM103" s="29"/>
      <c r="AN103" s="29"/>
      <c r="AO103" s="29"/>
      <c r="AP103" s="29"/>
      <c r="AQ103" s="29"/>
      <c r="AZ103" s="29"/>
      <c r="BA103" s="29"/>
      <c r="BB103" s="29"/>
      <c r="BC103" s="29"/>
      <c r="BD103" s="51"/>
      <c r="BE103" s="29"/>
      <c r="BF103" s="29"/>
      <c r="BG103" s="29"/>
      <c r="BH103" s="29"/>
      <c r="BI103" s="29"/>
      <c r="BR103" s="29"/>
      <c r="BS103" s="29"/>
      <c r="CE103" s="26"/>
      <c r="CF103" s="26"/>
      <c r="CI103" s="29"/>
      <c r="CJ103" s="29"/>
      <c r="CK103" s="446"/>
      <c r="CL103" s="446"/>
      <c r="CM103" s="446"/>
      <c r="CN103" s="451"/>
      <c r="CO103" s="451"/>
      <c r="CP103" s="451"/>
      <c r="CQ103"/>
      <c r="CR103" s="446"/>
      <c r="CS103" s="446"/>
      <c r="CT103" s="446"/>
      <c r="CU103" s="451"/>
      <c r="CV103" s="451"/>
      <c r="CW103" s="451"/>
      <c r="CX103" s="26"/>
      <c r="CY103" s="26"/>
      <c r="CZ103" s="29"/>
      <c r="DA103" s="29"/>
      <c r="DB103"/>
      <c r="DC103"/>
      <c r="DD103"/>
      <c r="DE103"/>
      <c r="DF103"/>
      <c r="DG103"/>
      <c r="DH103"/>
      <c r="DI103"/>
      <c r="DJ103"/>
      <c r="DK103"/>
      <c r="DL103"/>
      <c r="DM103"/>
      <c r="DN103"/>
      <c r="DO103" s="26"/>
      <c r="DP103" s="29"/>
      <c r="DQ103" s="29"/>
      <c r="EB103" s="26"/>
      <c r="EC103" s="26"/>
      <c r="ED103" s="26"/>
      <c r="EE103" s="29"/>
      <c r="EF103" s="29"/>
      <c r="EG103" s="5"/>
      <c r="EH103" s="5"/>
      <c r="EI103" s="5"/>
      <c r="EJ103" s="5"/>
      <c r="EK103" s="5"/>
      <c r="EL103" s="5"/>
      <c r="EM103" s="5"/>
      <c r="EN103" s="5"/>
      <c r="EO103" s="5"/>
      <c r="EP103" s="5"/>
      <c r="EQ103" s="5"/>
      <c r="ER103" s="5"/>
      <c r="ES103" s="5"/>
      <c r="EV103" s="29"/>
      <c r="EW103" s="29"/>
      <c r="FH103" s="26"/>
      <c r="FI103" s="26"/>
      <c r="FJ103" s="26"/>
    </row>
    <row r="104" spans="1:166" ht="27.75">
      <c r="A104" s="371"/>
      <c r="C104" s="45"/>
      <c r="D104" s="45"/>
      <c r="E104" s="45"/>
      <c r="F104" s="45"/>
      <c r="G104" s="45"/>
      <c r="H104" s="45"/>
      <c r="I104" s="45"/>
      <c r="J104" s="45"/>
      <c r="K104" s="45"/>
      <c r="L104" s="45"/>
      <c r="M104" s="45"/>
      <c r="N104" s="45"/>
      <c r="O104" s="45"/>
      <c r="P104" s="49"/>
      <c r="Q104" s="29"/>
      <c r="R104" s="29"/>
      <c r="S104" s="29"/>
      <c r="T104" s="29"/>
      <c r="U104" s="51"/>
      <c r="V104" s="163"/>
      <c r="W104" s="29"/>
      <c r="X104" s="29"/>
      <c r="Y104" s="29"/>
      <c r="AD104" s="184"/>
      <c r="AG104" s="13"/>
      <c r="AH104" s="29"/>
      <c r="AI104" s="29"/>
      <c r="AJ104" s="29"/>
      <c r="AK104" s="29"/>
      <c r="AL104" s="51"/>
      <c r="AM104" s="29"/>
      <c r="AN104" s="29"/>
      <c r="AO104" s="29"/>
      <c r="AP104" s="29"/>
      <c r="AQ104" s="29"/>
      <c r="AZ104" s="29"/>
      <c r="BA104" s="29"/>
      <c r="BB104" s="29"/>
      <c r="BC104" s="29"/>
      <c r="BD104" s="51"/>
      <c r="BE104" s="29"/>
      <c r="BF104" s="29"/>
      <c r="BG104" s="29"/>
      <c r="BH104" s="29"/>
      <c r="BI104" s="29"/>
      <c r="BR104" s="29"/>
      <c r="BS104" s="29"/>
      <c r="CE104" s="26"/>
      <c r="CF104" s="26"/>
      <c r="CI104" s="29"/>
      <c r="CJ104" s="29"/>
      <c r="CK104" s="446"/>
      <c r="CL104" s="446"/>
      <c r="CM104" s="446"/>
      <c r="CN104" s="451"/>
      <c r="CO104" s="451"/>
      <c r="CP104" s="451"/>
      <c r="CQ104"/>
      <c r="CR104" s="446"/>
      <c r="CS104" s="446"/>
      <c r="CT104" s="446"/>
      <c r="CU104" s="451"/>
      <c r="CV104" s="451"/>
      <c r="CW104" s="451"/>
      <c r="CX104" s="26"/>
      <c r="CY104" s="26"/>
      <c r="CZ104" s="29"/>
      <c r="DA104" s="29"/>
      <c r="DB104"/>
      <c r="DC104"/>
      <c r="DD104"/>
      <c r="DE104"/>
      <c r="DF104"/>
      <c r="DG104"/>
      <c r="DH104"/>
      <c r="DI104"/>
      <c r="DJ104"/>
      <c r="DK104"/>
      <c r="DL104"/>
      <c r="DM104"/>
      <c r="DN104"/>
      <c r="DO104" s="26"/>
      <c r="DP104" s="29"/>
      <c r="DQ104" s="29"/>
      <c r="EB104" s="26"/>
      <c r="EC104" s="26"/>
      <c r="ED104" s="26"/>
      <c r="EE104" s="29"/>
      <c r="EF104" s="29"/>
      <c r="EQ104" s="26"/>
      <c r="ER104" s="26"/>
      <c r="ES104" s="26"/>
      <c r="EV104" s="29"/>
      <c r="EW104" s="29"/>
      <c r="FH104" s="37"/>
      <c r="FI104" s="37"/>
      <c r="FJ104" s="37"/>
    </row>
    <row r="105" spans="1:166" ht="27.75">
      <c r="A105" s="371"/>
      <c r="C105" s="45"/>
      <c r="D105" s="45"/>
      <c r="E105" s="45"/>
      <c r="F105" s="45"/>
      <c r="G105" s="45"/>
      <c r="H105" s="45"/>
      <c r="I105" s="45"/>
      <c r="J105" s="45"/>
      <c r="K105" s="45"/>
      <c r="L105" s="45"/>
      <c r="M105" s="45"/>
      <c r="N105" s="45"/>
      <c r="O105" s="45"/>
      <c r="P105" s="49"/>
      <c r="Q105" s="29"/>
      <c r="R105" s="29"/>
      <c r="S105" s="29"/>
      <c r="T105" s="29"/>
      <c r="U105" s="51"/>
      <c r="V105" s="29"/>
      <c r="W105" s="29"/>
      <c r="X105" s="29"/>
      <c r="Y105" s="29"/>
      <c r="AD105" s="187"/>
      <c r="AG105" s="13"/>
      <c r="AH105" s="29"/>
      <c r="AI105" s="29"/>
      <c r="AJ105" s="29"/>
      <c r="AK105" s="29"/>
      <c r="AL105" s="51"/>
      <c r="AM105" s="29"/>
      <c r="AN105" s="29"/>
      <c r="AO105" s="29"/>
      <c r="AP105" s="29"/>
      <c r="AQ105" s="29"/>
      <c r="AZ105" s="29"/>
      <c r="BA105" s="29"/>
      <c r="BB105" s="29"/>
      <c r="BC105" s="29"/>
      <c r="BD105" s="51"/>
      <c r="BE105" s="29"/>
      <c r="BF105" s="29"/>
      <c r="BG105" s="29"/>
      <c r="BH105" s="29"/>
      <c r="BI105" s="29"/>
      <c r="BR105" s="29"/>
      <c r="BS105" s="29"/>
      <c r="CE105" s="26"/>
      <c r="CF105" s="26"/>
      <c r="CI105" s="29"/>
      <c r="CJ105" s="29"/>
      <c r="CK105" s="446"/>
      <c r="CL105" s="446"/>
      <c r="CM105" s="446"/>
      <c r="CN105" s="451"/>
      <c r="CO105" s="451"/>
      <c r="CP105" s="451"/>
      <c r="CQ105"/>
      <c r="CR105" s="446"/>
      <c r="CS105" s="446"/>
      <c r="CT105" s="446"/>
      <c r="CU105" s="451"/>
      <c r="CV105" s="451"/>
      <c r="CW105" s="451"/>
      <c r="CX105" s="26"/>
      <c r="CY105" s="26"/>
      <c r="CZ105" s="29"/>
      <c r="DA105" s="29"/>
      <c r="DB105"/>
      <c r="DC105"/>
      <c r="DD105"/>
      <c r="DE105"/>
      <c r="DF105"/>
      <c r="DG105"/>
      <c r="DH105"/>
      <c r="DI105"/>
      <c r="DJ105"/>
      <c r="DK105"/>
      <c r="DL105"/>
      <c r="DM105"/>
      <c r="DN105"/>
      <c r="DO105" s="26"/>
      <c r="DP105" s="29"/>
      <c r="DQ105" s="29"/>
      <c r="EB105" s="26"/>
      <c r="EC105" s="26"/>
      <c r="ED105" s="26"/>
      <c r="EE105" s="29"/>
      <c r="EF105" s="29"/>
      <c r="EQ105" s="37"/>
      <c r="ER105" s="37"/>
      <c r="ES105" s="37"/>
      <c r="EV105" s="29"/>
      <c r="EW105" s="29"/>
      <c r="FH105" s="37"/>
      <c r="FI105" s="37"/>
      <c r="FJ105" s="37"/>
    </row>
    <row r="106" spans="1:166" ht="27.75">
      <c r="A106" s="371"/>
      <c r="C106" s="49"/>
      <c r="D106" s="49"/>
      <c r="E106" s="49"/>
      <c r="F106" s="49"/>
      <c r="G106" s="49"/>
      <c r="H106" s="49"/>
      <c r="I106" s="49"/>
      <c r="J106" s="49"/>
      <c r="K106" s="49"/>
      <c r="L106" s="49"/>
      <c r="M106" s="49"/>
      <c r="N106" s="49"/>
      <c r="O106" s="49"/>
      <c r="P106" s="49"/>
      <c r="Q106" s="29"/>
      <c r="R106" s="29"/>
      <c r="S106" s="29"/>
      <c r="T106" s="29"/>
      <c r="U106" s="51"/>
      <c r="V106" s="29"/>
      <c r="W106" s="29"/>
      <c r="X106" s="29"/>
      <c r="Y106" s="29"/>
      <c r="AD106" s="187"/>
      <c r="AG106" s="13"/>
      <c r="AH106" s="29"/>
      <c r="AI106" s="29"/>
      <c r="AJ106" s="29"/>
      <c r="AK106" s="29"/>
      <c r="AL106" s="51"/>
      <c r="AM106" s="29"/>
      <c r="AN106" s="29"/>
      <c r="AO106" s="29"/>
      <c r="AP106" s="29"/>
      <c r="AQ106" s="29"/>
      <c r="AZ106" s="29"/>
      <c r="BA106" s="29"/>
      <c r="BB106" s="29"/>
      <c r="BC106" s="29"/>
      <c r="BD106" s="51"/>
      <c r="BE106" s="29"/>
      <c r="BF106" s="29"/>
      <c r="BG106" s="29"/>
      <c r="BH106" s="29"/>
      <c r="BI106" s="29"/>
      <c r="BR106" s="29"/>
      <c r="BS106" s="29"/>
      <c r="CE106" s="26"/>
      <c r="CF106" s="26"/>
      <c r="CI106" s="29"/>
      <c r="CJ106" s="29"/>
      <c r="CK106" s="446"/>
      <c r="CL106" s="446"/>
      <c r="CM106" s="446"/>
      <c r="CN106" s="451"/>
      <c r="CO106" s="451"/>
      <c r="CP106" s="451"/>
      <c r="CQ106"/>
      <c r="CR106" s="446"/>
      <c r="CS106" s="446"/>
      <c r="CT106" s="446"/>
      <c r="CU106" s="451"/>
      <c r="CV106" s="451"/>
      <c r="CW106" s="451"/>
      <c r="CX106" s="26"/>
      <c r="CY106" s="26"/>
      <c r="CZ106" s="29"/>
      <c r="DA106" s="29"/>
      <c r="DB106"/>
      <c r="DC106"/>
      <c r="DD106"/>
      <c r="DE106"/>
      <c r="DF106"/>
      <c r="DG106"/>
      <c r="DH106"/>
      <c r="DI106"/>
      <c r="DJ106"/>
      <c r="DK106"/>
      <c r="DL106"/>
      <c r="DM106"/>
      <c r="DN106"/>
      <c r="DO106" s="26"/>
      <c r="DP106" s="29"/>
      <c r="DQ106" s="29"/>
      <c r="EB106" s="26"/>
      <c r="EC106" s="26"/>
      <c r="ED106" s="26"/>
      <c r="EE106" s="29"/>
      <c r="EF106" s="29"/>
      <c r="EQ106" s="37"/>
      <c r="ER106" s="37"/>
      <c r="ES106" s="37"/>
      <c r="EV106" s="29"/>
      <c r="EW106" s="29"/>
      <c r="FH106" s="26"/>
      <c r="FI106" s="26"/>
      <c r="FJ106" s="26"/>
    </row>
    <row r="107" spans="1:166" ht="15" customHeight="1">
      <c r="A107" s="371"/>
      <c r="C107" s="49"/>
      <c r="D107" s="49"/>
      <c r="E107" s="49"/>
      <c r="F107" s="49"/>
      <c r="G107" s="49"/>
      <c r="H107" s="49"/>
      <c r="I107" s="49"/>
      <c r="J107" s="49"/>
      <c r="K107" s="49"/>
      <c r="L107" s="49"/>
      <c r="M107" s="49"/>
      <c r="N107" s="49"/>
      <c r="O107" s="49"/>
      <c r="P107" s="49"/>
      <c r="Q107" s="29"/>
      <c r="R107" s="29"/>
      <c r="S107" s="29"/>
      <c r="T107" s="29"/>
      <c r="U107" s="51"/>
      <c r="V107" s="29"/>
      <c r="W107" s="29"/>
      <c r="X107" s="29"/>
      <c r="Y107" s="29"/>
      <c r="AD107" s="184"/>
      <c r="AG107" s="13"/>
      <c r="AH107" s="29"/>
      <c r="AI107" s="29"/>
      <c r="AJ107" s="29"/>
      <c r="AK107" s="29"/>
      <c r="AL107" s="51"/>
      <c r="AM107" s="29"/>
      <c r="AN107" s="29"/>
      <c r="AO107" s="29"/>
      <c r="AP107" s="29"/>
      <c r="AQ107" s="29"/>
      <c r="AZ107" s="29"/>
      <c r="BA107" s="29"/>
      <c r="BB107" s="29"/>
      <c r="BC107" s="29"/>
      <c r="BD107" s="51"/>
      <c r="BE107" s="29"/>
      <c r="BF107" s="29"/>
      <c r="BG107" s="29"/>
      <c r="BH107" s="29"/>
      <c r="BI107" s="29"/>
      <c r="BR107" s="29"/>
      <c r="BS107" s="29"/>
      <c r="CE107" s="26"/>
      <c r="CF107" s="26"/>
      <c r="CI107" s="29"/>
      <c r="CJ107" s="29"/>
      <c r="CK107" s="446"/>
      <c r="CL107" s="446"/>
      <c r="CM107" s="446"/>
      <c r="CN107" s="451"/>
      <c r="CO107" s="451"/>
      <c r="CP107" s="451"/>
      <c r="CQ107"/>
      <c r="CR107" s="446"/>
      <c r="CS107" s="446"/>
      <c r="CT107" s="446"/>
      <c r="CU107" s="451"/>
      <c r="CV107" s="451"/>
      <c r="CW107" s="451"/>
      <c r="CX107" s="26"/>
      <c r="CY107" s="26"/>
      <c r="CZ107" s="29"/>
      <c r="DA107" s="29"/>
      <c r="DB107"/>
      <c r="DC107"/>
      <c r="DD107"/>
      <c r="DE107"/>
      <c r="DF107"/>
      <c r="DG107"/>
      <c r="DH107"/>
      <c r="DI107"/>
      <c r="DJ107"/>
      <c r="DK107"/>
      <c r="DL107"/>
      <c r="DM107"/>
      <c r="DN107"/>
      <c r="DO107" s="26"/>
      <c r="DP107" s="29"/>
      <c r="DQ107" s="29"/>
      <c r="EB107" s="26"/>
      <c r="EC107" s="26"/>
      <c r="ED107" s="26"/>
      <c r="EE107" s="29"/>
      <c r="EF107" s="29"/>
      <c r="EQ107" s="26"/>
      <c r="ER107" s="26"/>
      <c r="ES107" s="26"/>
      <c r="EV107" s="29"/>
      <c r="EW107" s="29"/>
      <c r="FH107" s="26"/>
      <c r="FI107" s="26"/>
      <c r="FJ107" s="26"/>
    </row>
    <row r="108" spans="1:166" ht="15" customHeight="1">
      <c r="A108" s="371"/>
      <c r="C108" s="49"/>
      <c r="D108" s="49"/>
      <c r="E108" s="49"/>
      <c r="F108" s="49"/>
      <c r="G108" s="49"/>
      <c r="H108" s="49"/>
      <c r="I108" s="49"/>
      <c r="J108" s="49"/>
      <c r="K108" s="49"/>
      <c r="L108" s="49"/>
      <c r="M108" s="49"/>
      <c r="N108" s="49"/>
      <c r="O108" s="49"/>
      <c r="P108" s="49"/>
      <c r="Q108" s="29"/>
      <c r="R108" s="29"/>
      <c r="AG108" s="13"/>
      <c r="AH108" s="29"/>
      <c r="AI108" s="29"/>
      <c r="AJ108" s="29"/>
      <c r="AK108" s="29"/>
      <c r="AL108" s="51"/>
      <c r="AM108" s="29"/>
      <c r="AN108" s="29"/>
      <c r="AO108" s="29"/>
      <c r="AP108" s="29"/>
      <c r="AQ108" s="29"/>
      <c r="AZ108" s="29"/>
      <c r="BA108" s="29"/>
      <c r="BB108" s="29"/>
      <c r="BC108" s="29"/>
      <c r="BD108" s="51"/>
      <c r="BE108" s="29"/>
      <c r="BF108" s="29"/>
      <c r="BG108" s="29"/>
      <c r="BH108" s="29"/>
      <c r="BI108" s="29"/>
      <c r="BR108" s="29"/>
      <c r="BS108" s="29"/>
      <c r="BT108" s="2"/>
      <c r="BU108" s="192"/>
      <c r="BV108" s="183"/>
      <c r="BW108" s="2"/>
      <c r="BX108" s="2"/>
      <c r="BY108" s="2"/>
      <c r="BZ108" s="2"/>
      <c r="CA108" s="38"/>
      <c r="CB108" s="46"/>
      <c r="CC108" s="37"/>
      <c r="CD108" s="26"/>
      <c r="CE108" s="26"/>
      <c r="CF108" s="26"/>
      <c r="CI108" s="29"/>
      <c r="CJ108" s="29"/>
      <c r="CK108" s="446"/>
      <c r="CL108" s="446"/>
      <c r="CM108" s="446"/>
      <c r="CN108" s="451"/>
      <c r="CO108" s="451"/>
      <c r="CP108" s="451"/>
      <c r="CQ108"/>
      <c r="CR108" s="446"/>
      <c r="CS108" s="446"/>
      <c r="CT108" s="446"/>
      <c r="CU108" s="451"/>
      <c r="CV108" s="451"/>
      <c r="CW108" s="451"/>
      <c r="CX108" s="26"/>
      <c r="CY108" s="26"/>
      <c r="CZ108" s="29"/>
      <c r="DA108" s="29"/>
      <c r="DB108"/>
      <c r="DC108"/>
      <c r="DD108"/>
      <c r="DE108"/>
      <c r="DF108"/>
      <c r="DG108"/>
      <c r="DH108"/>
      <c r="DI108"/>
      <c r="DJ108"/>
      <c r="DK108"/>
      <c r="DL108"/>
      <c r="DM108"/>
      <c r="DN108"/>
      <c r="DO108" s="26"/>
      <c r="DP108" s="29"/>
      <c r="DQ108" s="29"/>
      <c r="DR108" s="2"/>
      <c r="DS108" s="192"/>
      <c r="DT108" s="183"/>
      <c r="DU108" s="2"/>
      <c r="DV108" s="2"/>
      <c r="DW108" s="2"/>
      <c r="DX108" s="38"/>
      <c r="DY108" s="46"/>
      <c r="DZ108" s="37"/>
      <c r="EA108" s="26"/>
      <c r="EB108" s="26"/>
      <c r="EC108" s="26"/>
      <c r="ED108" s="26"/>
      <c r="EE108" s="29"/>
      <c r="EF108" s="29"/>
      <c r="EQ108" s="26"/>
      <c r="ER108" s="26"/>
      <c r="ES108" s="26"/>
      <c r="EV108" s="29"/>
      <c r="EW108" s="29"/>
      <c r="FH108" s="26"/>
      <c r="FI108" s="26"/>
      <c r="FJ108" s="26"/>
    </row>
    <row r="109" spans="1:166" ht="15" customHeight="1">
      <c r="A109" s="371"/>
      <c r="C109" s="49"/>
      <c r="D109" s="49"/>
      <c r="E109" s="49"/>
      <c r="F109" s="49"/>
      <c r="G109" s="49"/>
      <c r="H109" s="49"/>
      <c r="I109" s="49"/>
      <c r="J109" s="49"/>
      <c r="K109" s="49"/>
      <c r="L109" s="49"/>
      <c r="M109" s="49"/>
      <c r="N109" s="49"/>
      <c r="O109" s="49"/>
      <c r="P109" s="49"/>
      <c r="Q109" s="29"/>
      <c r="R109" s="29"/>
      <c r="AG109" s="13"/>
      <c r="AH109" s="29"/>
      <c r="AI109" s="29"/>
      <c r="AJ109" s="29"/>
      <c r="AK109" s="29"/>
      <c r="AL109" s="51"/>
      <c r="AM109" s="29"/>
      <c r="AN109" s="29"/>
      <c r="AO109" s="29"/>
      <c r="AP109" s="29"/>
      <c r="AQ109" s="29"/>
      <c r="AZ109" s="29"/>
      <c r="BA109" s="29"/>
      <c r="BB109" s="29"/>
      <c r="BC109" s="29"/>
      <c r="BD109" s="51"/>
      <c r="BE109" s="29"/>
      <c r="BF109" s="29"/>
      <c r="BG109" s="29"/>
      <c r="BH109" s="29"/>
      <c r="BI109" s="29"/>
      <c r="BR109" s="29"/>
      <c r="BS109" s="29"/>
      <c r="BT109" s="2"/>
      <c r="BU109" s="192"/>
      <c r="BV109" s="183"/>
      <c r="BW109" s="2"/>
      <c r="BX109" s="2"/>
      <c r="BY109" s="2"/>
      <c r="BZ109" s="2"/>
      <c r="CA109" s="38"/>
      <c r="CB109" s="46"/>
      <c r="CC109" s="37"/>
      <c r="CD109" s="26"/>
      <c r="CE109" s="26"/>
      <c r="CF109" s="26"/>
      <c r="CI109" s="29"/>
      <c r="CJ109" s="29"/>
      <c r="CK109" s="446"/>
      <c r="CL109" s="446"/>
      <c r="CM109" s="446"/>
      <c r="CN109" s="451"/>
      <c r="CO109" s="451"/>
      <c r="CP109" s="451"/>
      <c r="CQ109"/>
      <c r="CR109" s="446"/>
      <c r="CS109" s="446"/>
      <c r="CT109" s="446"/>
      <c r="CU109" s="451"/>
      <c r="CV109" s="451"/>
      <c r="CW109" s="451"/>
      <c r="CX109" s="26"/>
      <c r="CY109" s="26"/>
      <c r="CZ109" s="29"/>
      <c r="DA109" s="29"/>
      <c r="DB109"/>
      <c r="DC109"/>
      <c r="DD109"/>
      <c r="DE109"/>
      <c r="DF109"/>
      <c r="DG109"/>
      <c r="DH109"/>
      <c r="DI109"/>
      <c r="DJ109"/>
      <c r="DK109"/>
      <c r="DL109"/>
      <c r="DM109"/>
      <c r="DN109"/>
      <c r="DO109" s="26"/>
      <c r="DP109" s="29"/>
      <c r="DQ109" s="29"/>
      <c r="DR109" s="2"/>
      <c r="DS109" s="192"/>
      <c r="DT109" s="183"/>
      <c r="DU109" s="2"/>
      <c r="DV109" s="2"/>
      <c r="DW109" s="2"/>
      <c r="DX109" s="38"/>
      <c r="DY109" s="46"/>
      <c r="DZ109" s="37"/>
      <c r="EA109" s="26"/>
      <c r="EB109" s="26"/>
      <c r="EC109" s="26"/>
      <c r="ED109" s="26"/>
      <c r="EE109" s="29"/>
      <c r="EF109" s="29"/>
      <c r="EQ109" s="26"/>
      <c r="ER109" s="26"/>
      <c r="ES109" s="26"/>
      <c r="EV109" s="29"/>
      <c r="EW109" s="29"/>
      <c r="FH109" s="26"/>
      <c r="FI109" s="26"/>
      <c r="FJ109" s="26"/>
    </row>
    <row r="110" spans="1:166" ht="15" customHeight="1">
      <c r="AG110" s="13"/>
      <c r="BT110" s="2"/>
      <c r="BU110" s="29"/>
      <c r="BV110" s="29"/>
      <c r="BW110" s="29"/>
      <c r="BX110" s="29"/>
      <c r="BY110" s="29"/>
      <c r="BZ110" s="29"/>
      <c r="CA110" s="29"/>
      <c r="CB110" s="29"/>
      <c r="CK110" s="446"/>
      <c r="CL110" s="446"/>
      <c r="CM110" s="446"/>
      <c r="CN110" s="451"/>
      <c r="CO110" s="451"/>
      <c r="CP110" s="451"/>
      <c r="CQ110"/>
      <c r="CR110" s="446"/>
      <c r="CS110" s="446"/>
      <c r="CT110" s="446"/>
      <c r="CU110" s="451"/>
      <c r="CV110" s="451"/>
      <c r="CW110" s="451"/>
      <c r="DB110"/>
      <c r="DC110"/>
      <c r="DD110"/>
      <c r="DE110"/>
      <c r="DF110"/>
      <c r="DG110"/>
      <c r="DH110"/>
      <c r="DI110"/>
      <c r="DJ110"/>
      <c r="DK110"/>
      <c r="DL110"/>
      <c r="DM110"/>
      <c r="DN110"/>
      <c r="DR110" s="2"/>
      <c r="DS110" s="29"/>
      <c r="DT110" s="29"/>
      <c r="DU110" s="29"/>
      <c r="DV110" s="29"/>
      <c r="DW110" s="29"/>
      <c r="DX110" s="29"/>
      <c r="DY110" s="29"/>
      <c r="EQ110" s="26"/>
      <c r="ER110" s="26"/>
      <c r="ES110" s="26"/>
      <c r="FH110" s="26"/>
      <c r="FI110" s="26"/>
      <c r="FJ110" s="26"/>
    </row>
    <row r="111" spans="1:166" ht="15" customHeight="1">
      <c r="AG111" s="13"/>
      <c r="BT111" s="2"/>
      <c r="BU111" s="29"/>
      <c r="BV111" s="29"/>
      <c r="BW111" s="29"/>
      <c r="BX111" s="29"/>
      <c r="BY111" s="29"/>
      <c r="BZ111" s="29"/>
      <c r="CA111" s="29"/>
      <c r="CB111" s="29"/>
      <c r="CK111" s="446"/>
      <c r="CL111" s="446"/>
      <c r="CM111" s="446"/>
      <c r="CN111" s="451"/>
      <c r="CO111" s="451"/>
      <c r="CP111" s="451"/>
      <c r="CQ111"/>
      <c r="CR111" s="446"/>
      <c r="CS111" s="446"/>
      <c r="CT111" s="446"/>
      <c r="CU111" s="451"/>
      <c r="CV111" s="451"/>
      <c r="CW111" s="451"/>
      <c r="DB111"/>
      <c r="DC111"/>
      <c r="DD111"/>
      <c r="DE111"/>
      <c r="DF111"/>
      <c r="DG111"/>
      <c r="DH111"/>
      <c r="DI111"/>
      <c r="DJ111"/>
      <c r="DK111"/>
      <c r="DL111"/>
      <c r="DM111"/>
      <c r="DN111"/>
      <c r="DR111" s="2"/>
      <c r="DS111" s="29"/>
      <c r="DT111" s="29"/>
      <c r="DU111" s="29"/>
      <c r="DV111" s="29"/>
      <c r="DW111" s="29"/>
      <c r="DX111" s="29"/>
      <c r="DY111" s="29"/>
      <c r="EQ111" s="26"/>
      <c r="ER111" s="26"/>
      <c r="ES111" s="26"/>
      <c r="EX111" s="2"/>
      <c r="EY111" s="192"/>
      <c r="EZ111" s="183"/>
      <c r="FA111" s="2"/>
      <c r="FB111" s="2"/>
      <c r="FC111" s="2"/>
      <c r="FD111" s="38"/>
      <c r="FE111" s="46"/>
      <c r="FF111" s="37"/>
      <c r="FG111" s="26"/>
      <c r="FH111" s="26"/>
      <c r="FI111" s="26"/>
      <c r="FJ111" s="26"/>
    </row>
    <row r="112" spans="1:166" ht="15" customHeight="1">
      <c r="AG112" s="13"/>
      <c r="BT112" s="29"/>
      <c r="BU112" s="29"/>
      <c r="BV112" s="29"/>
      <c r="BW112" s="29"/>
      <c r="BX112" s="29"/>
      <c r="BY112" s="29"/>
      <c r="BZ112" s="29"/>
      <c r="CA112" s="29"/>
      <c r="CB112" s="29"/>
      <c r="CK112" s="446"/>
      <c r="CL112" s="446"/>
      <c r="CM112" s="446"/>
      <c r="CN112" s="451"/>
      <c r="CO112" s="451"/>
      <c r="CP112" s="451"/>
      <c r="CQ112"/>
      <c r="CR112" s="446"/>
      <c r="CS112" s="446"/>
      <c r="CT112" s="446"/>
      <c r="CU112" s="451"/>
      <c r="CV112" s="451"/>
      <c r="CW112" s="451"/>
      <c r="DB112"/>
      <c r="DC112"/>
      <c r="DD112"/>
      <c r="DE112"/>
      <c r="DF112"/>
      <c r="DG112"/>
      <c r="DH112"/>
      <c r="DI112"/>
      <c r="DJ112"/>
      <c r="DK112"/>
      <c r="DL112"/>
      <c r="DM112"/>
      <c r="DN112"/>
      <c r="DR112" s="29"/>
      <c r="DS112" s="29"/>
      <c r="DT112" s="29"/>
      <c r="DU112" s="29"/>
      <c r="DV112" s="29"/>
      <c r="DW112" s="29"/>
      <c r="DX112" s="29"/>
      <c r="DY112" s="29"/>
      <c r="EG112" s="2"/>
      <c r="EH112" s="192"/>
      <c r="EI112" s="183"/>
      <c r="EJ112" s="2"/>
      <c r="EK112" s="2"/>
      <c r="EL112" s="2"/>
      <c r="EM112" s="38"/>
      <c r="EN112" s="46"/>
      <c r="EO112" s="37"/>
      <c r="EP112" s="26"/>
      <c r="EQ112" s="26"/>
      <c r="ER112" s="26"/>
      <c r="ES112" s="26"/>
      <c r="EX112" s="2"/>
      <c r="EY112" s="192"/>
      <c r="EZ112" s="183"/>
      <c r="FA112" s="2"/>
      <c r="FB112" s="2"/>
      <c r="FC112" s="2"/>
      <c r="FD112" s="38"/>
      <c r="FE112" s="46"/>
      <c r="FF112" s="37"/>
      <c r="FG112" s="26"/>
      <c r="FH112" s="26"/>
      <c r="FI112" s="26"/>
      <c r="FJ112" s="26"/>
    </row>
    <row r="113" spans="33:161" ht="15" customHeight="1">
      <c r="AG113" s="13"/>
      <c r="BT113" s="29"/>
      <c r="BU113" s="29"/>
      <c r="BV113" s="29"/>
      <c r="BW113" s="29"/>
      <c r="BX113" s="29"/>
      <c r="BY113" s="29"/>
      <c r="BZ113" s="29"/>
      <c r="CA113" s="29"/>
      <c r="CB113" s="29"/>
      <c r="CK113"/>
      <c r="CL113"/>
      <c r="CM113"/>
      <c r="CN113"/>
      <c r="CO113"/>
      <c r="CP113"/>
      <c r="CQ113"/>
      <c r="CR113"/>
      <c r="CS113"/>
      <c r="CT113"/>
      <c r="CU113"/>
      <c r="CV113"/>
      <c r="CW113"/>
      <c r="DB113"/>
      <c r="DC113"/>
      <c r="DD113"/>
      <c r="DE113"/>
      <c r="DF113"/>
      <c r="DG113"/>
      <c r="DH113"/>
      <c r="DI113"/>
      <c r="DJ113"/>
      <c r="DK113"/>
      <c r="DL113"/>
      <c r="DM113"/>
      <c r="DN113"/>
      <c r="DR113" s="29"/>
      <c r="DS113" s="29"/>
      <c r="DT113" s="29"/>
      <c r="DU113" s="29"/>
      <c r="DV113" s="29"/>
      <c r="DW113" s="29"/>
      <c r="DX113" s="29"/>
      <c r="DY113" s="29"/>
      <c r="EG113" s="2"/>
      <c r="EH113" s="192"/>
      <c r="EI113" s="183"/>
      <c r="EJ113" s="2"/>
      <c r="EK113" s="2"/>
      <c r="EL113" s="2"/>
      <c r="EM113" s="38"/>
      <c r="EN113" s="46"/>
      <c r="EO113" s="37"/>
      <c r="EP113" s="26"/>
      <c r="EQ113" s="26"/>
      <c r="ER113" s="26"/>
      <c r="ES113" s="26"/>
      <c r="EX113" s="2"/>
      <c r="EY113" s="29"/>
      <c r="EZ113" s="29"/>
      <c r="FA113" s="29"/>
      <c r="FB113" s="29"/>
      <c r="FC113" s="29"/>
      <c r="FD113" s="29"/>
      <c r="FE113" s="29"/>
    </row>
    <row r="114" spans="33:161" ht="15" customHeight="1">
      <c r="AG114" s="13"/>
      <c r="BT114" s="29"/>
      <c r="BU114" s="29"/>
      <c r="BV114" s="29"/>
      <c r="BW114" s="29"/>
      <c r="BX114" s="29"/>
      <c r="BY114" s="29"/>
      <c r="BZ114" s="29"/>
      <c r="CA114" s="29"/>
      <c r="CB114" s="29"/>
      <c r="CK114"/>
      <c r="CL114"/>
      <c r="CM114"/>
      <c r="CN114"/>
      <c r="CO114"/>
      <c r="CP114"/>
      <c r="CQ114"/>
      <c r="CR114"/>
      <c r="CS114"/>
      <c r="CT114"/>
      <c r="CU114"/>
      <c r="CV114"/>
      <c r="CW114"/>
      <c r="DB114" s="457"/>
      <c r="DC114" s="457"/>
      <c r="DD114" s="457"/>
      <c r="DE114" s="457"/>
      <c r="DF114" s="457"/>
      <c r="DG114" s="457"/>
      <c r="DH114"/>
      <c r="DI114" s="457"/>
      <c r="DJ114" s="457"/>
      <c r="DK114" s="457"/>
      <c r="DL114" s="457"/>
      <c r="DM114" s="457"/>
      <c r="DN114" s="457"/>
      <c r="DR114" s="29"/>
      <c r="DS114" s="29"/>
      <c r="DT114" s="29"/>
      <c r="DU114" s="29"/>
      <c r="DV114" s="29"/>
      <c r="DW114" s="29"/>
      <c r="DX114" s="29"/>
      <c r="DY114" s="29"/>
      <c r="EG114" s="2"/>
      <c r="EH114" s="29"/>
      <c r="EI114" s="29"/>
      <c r="EJ114" s="29"/>
      <c r="EK114" s="29"/>
      <c r="EL114" s="29"/>
      <c r="EM114" s="29"/>
      <c r="EN114" s="29"/>
      <c r="EX114" s="2"/>
      <c r="EY114" s="29"/>
      <c r="EZ114" s="29"/>
      <c r="FA114" s="29"/>
      <c r="FB114" s="29"/>
      <c r="FC114" s="29"/>
      <c r="FD114" s="29"/>
      <c r="FE114" s="29"/>
    </row>
    <row r="115" spans="33:161" ht="15" customHeight="1">
      <c r="AG115" s="13"/>
      <c r="BT115" s="29"/>
      <c r="BU115" s="29"/>
      <c r="BV115" s="29"/>
      <c r="BW115" s="29"/>
      <c r="BX115" s="29"/>
      <c r="BY115" s="29"/>
      <c r="BZ115" s="29"/>
      <c r="CA115" s="29"/>
      <c r="CB115" s="29"/>
      <c r="CU115" s="26"/>
      <c r="CV115" s="26"/>
      <c r="CW115" s="26"/>
      <c r="DL115" s="26"/>
      <c r="DM115" s="26"/>
      <c r="DN115" s="26"/>
      <c r="DR115" s="29"/>
      <c r="DS115" s="29"/>
      <c r="DT115" s="29"/>
      <c r="DU115" s="29"/>
      <c r="DV115" s="29"/>
      <c r="DW115" s="29"/>
      <c r="DX115" s="29"/>
      <c r="DY115" s="29"/>
      <c r="EG115" s="2"/>
      <c r="EH115" s="29"/>
      <c r="EI115" s="29"/>
      <c r="EJ115" s="29"/>
      <c r="EK115" s="29"/>
      <c r="EL115" s="29"/>
      <c r="EM115" s="29"/>
      <c r="EN115" s="29"/>
      <c r="EX115" s="29"/>
      <c r="EY115" s="29"/>
      <c r="EZ115" s="29"/>
      <c r="FA115" s="29"/>
      <c r="FB115" s="29"/>
      <c r="FC115" s="29"/>
      <c r="FD115" s="29"/>
      <c r="FE115" s="29"/>
    </row>
    <row r="116" spans="33:161" ht="15" customHeight="1">
      <c r="AG116" s="13"/>
      <c r="BT116" s="29"/>
      <c r="BU116" s="29"/>
      <c r="BV116" s="29"/>
      <c r="BW116" s="29"/>
      <c r="BX116" s="29"/>
      <c r="BY116" s="29"/>
      <c r="BZ116" s="29"/>
      <c r="CA116" s="29"/>
      <c r="CB116" s="29"/>
      <c r="CU116" s="37"/>
      <c r="CV116" s="37"/>
      <c r="CW116" s="37"/>
      <c r="DL116" s="37"/>
      <c r="DM116" s="37"/>
      <c r="DN116" s="37"/>
      <c r="DR116" s="29"/>
      <c r="DS116" s="29"/>
      <c r="DT116" s="29"/>
      <c r="DU116" s="29"/>
      <c r="DV116" s="29"/>
      <c r="DW116" s="29"/>
      <c r="DX116" s="29"/>
      <c r="DY116" s="29"/>
      <c r="EG116" s="29"/>
      <c r="EH116" s="29"/>
      <c r="EI116" s="29"/>
      <c r="EJ116" s="29"/>
      <c r="EK116" s="29"/>
      <c r="EL116" s="29"/>
      <c r="EM116" s="29"/>
      <c r="EN116" s="29"/>
      <c r="EX116" s="29"/>
      <c r="EY116" s="29"/>
      <c r="EZ116" s="29"/>
      <c r="FA116" s="29"/>
      <c r="FB116" s="29"/>
      <c r="FC116" s="29"/>
      <c r="FD116" s="29"/>
      <c r="FE116" s="29"/>
    </row>
    <row r="117" spans="33:161" ht="15" customHeight="1">
      <c r="AG117" s="13"/>
      <c r="BT117" s="29"/>
      <c r="BU117" s="29"/>
      <c r="BV117" s="29"/>
      <c r="BW117" s="29"/>
      <c r="BX117" s="29"/>
      <c r="BY117" s="29"/>
      <c r="BZ117" s="29"/>
      <c r="CA117" s="29"/>
      <c r="CB117" s="29"/>
      <c r="CU117" s="37"/>
      <c r="CV117" s="37"/>
      <c r="CW117" s="37"/>
      <c r="DL117" s="37"/>
      <c r="DM117" s="37"/>
      <c r="DN117" s="37"/>
      <c r="DR117" s="29"/>
      <c r="DS117" s="29"/>
      <c r="DT117" s="29"/>
      <c r="DU117" s="29"/>
      <c r="DV117" s="29"/>
      <c r="DW117" s="29"/>
      <c r="DX117" s="29"/>
      <c r="DY117" s="29"/>
      <c r="EG117" s="29"/>
      <c r="EH117" s="29"/>
      <c r="EI117" s="29"/>
      <c r="EJ117" s="29"/>
      <c r="EK117" s="29"/>
      <c r="EL117" s="29"/>
      <c r="EM117" s="29"/>
      <c r="EN117" s="29"/>
      <c r="EX117" s="29"/>
      <c r="EY117" s="29"/>
      <c r="EZ117" s="29"/>
      <c r="FA117" s="29"/>
      <c r="FB117" s="29"/>
      <c r="FC117" s="29"/>
      <c r="FD117" s="29"/>
      <c r="FE117" s="29"/>
    </row>
    <row r="118" spans="33:161" ht="15" customHeight="1">
      <c r="AG118" s="13"/>
      <c r="BT118" s="29"/>
      <c r="BU118" s="29"/>
      <c r="BV118" s="29"/>
      <c r="BW118" s="29"/>
      <c r="BX118" s="29"/>
      <c r="BY118" s="29"/>
      <c r="BZ118" s="29"/>
      <c r="CA118" s="29"/>
      <c r="CB118" s="29"/>
      <c r="CU118" s="26"/>
      <c r="CV118" s="26"/>
      <c r="CW118" s="26"/>
      <c r="DL118" s="26"/>
      <c r="DM118" s="26"/>
      <c r="DN118" s="26"/>
      <c r="DR118" s="29"/>
      <c r="DS118" s="29"/>
      <c r="DT118" s="29"/>
      <c r="DU118" s="29"/>
      <c r="DV118" s="29"/>
      <c r="DW118" s="29"/>
      <c r="DX118" s="29"/>
      <c r="DY118" s="29"/>
      <c r="EG118" s="29"/>
      <c r="EH118" s="29"/>
      <c r="EI118" s="29"/>
      <c r="EJ118" s="29"/>
      <c r="EK118" s="29"/>
      <c r="EL118" s="29"/>
      <c r="EM118" s="29"/>
      <c r="EN118" s="29"/>
      <c r="EX118" s="29"/>
      <c r="EY118" s="29"/>
      <c r="EZ118" s="29"/>
      <c r="FA118" s="29"/>
      <c r="FB118" s="29"/>
      <c r="FC118" s="29"/>
      <c r="FD118" s="29"/>
      <c r="FE118" s="29"/>
    </row>
    <row r="119" spans="33:161" ht="15" customHeight="1">
      <c r="AG119" s="13"/>
      <c r="BT119" s="29"/>
      <c r="BU119" s="29"/>
      <c r="BV119" s="29"/>
      <c r="BW119" s="29"/>
      <c r="BX119" s="29"/>
      <c r="BY119" s="29"/>
      <c r="BZ119" s="29"/>
      <c r="CA119" s="29"/>
      <c r="CB119" s="29"/>
      <c r="CU119" s="26"/>
      <c r="CV119" s="26"/>
      <c r="CW119" s="26"/>
      <c r="DL119" s="26"/>
      <c r="DM119" s="26"/>
      <c r="DN119" s="26"/>
      <c r="DR119" s="29"/>
      <c r="DS119" s="29"/>
      <c r="DT119" s="29"/>
      <c r="DU119" s="29"/>
      <c r="DV119" s="29"/>
      <c r="DW119" s="29"/>
      <c r="DX119" s="29"/>
      <c r="DY119" s="29"/>
      <c r="EG119" s="29"/>
      <c r="EH119" s="29"/>
      <c r="EI119" s="29"/>
      <c r="EJ119" s="29"/>
      <c r="EK119" s="29"/>
      <c r="EL119" s="29"/>
      <c r="EM119" s="29"/>
      <c r="EN119" s="29"/>
      <c r="EX119" s="29"/>
      <c r="EY119" s="29"/>
      <c r="EZ119" s="29"/>
      <c r="FA119" s="29"/>
      <c r="FB119" s="29"/>
      <c r="FC119" s="29"/>
      <c r="FD119" s="29"/>
      <c r="FE119" s="29"/>
    </row>
    <row r="120" spans="33:161" ht="15" customHeight="1">
      <c r="AG120" s="13"/>
      <c r="BT120" s="29"/>
      <c r="BU120" s="29"/>
      <c r="BV120" s="29"/>
      <c r="BW120" s="29"/>
      <c r="BX120" s="29"/>
      <c r="BY120" s="29"/>
      <c r="BZ120" s="29"/>
      <c r="CA120" s="29"/>
      <c r="CB120" s="29"/>
      <c r="CU120" s="26"/>
      <c r="CV120" s="26"/>
      <c r="CW120" s="26"/>
      <c r="DL120" s="26"/>
      <c r="DM120" s="26"/>
      <c r="DN120" s="26"/>
      <c r="DR120" s="29"/>
      <c r="DS120" s="29"/>
      <c r="DT120" s="29"/>
      <c r="DU120" s="29"/>
      <c r="DV120" s="29"/>
      <c r="DW120" s="29"/>
      <c r="DX120" s="29"/>
      <c r="DY120" s="29"/>
      <c r="EG120" s="29"/>
      <c r="EH120" s="29"/>
      <c r="EI120" s="29"/>
      <c r="EJ120" s="29"/>
      <c r="EK120" s="29"/>
      <c r="EL120" s="29"/>
      <c r="EM120" s="29"/>
      <c r="EN120" s="29"/>
      <c r="EX120" s="29"/>
      <c r="EY120" s="29"/>
      <c r="EZ120" s="29"/>
      <c r="FA120" s="29"/>
      <c r="FB120" s="29"/>
      <c r="FC120" s="29"/>
      <c r="FD120" s="29"/>
      <c r="FE120" s="29"/>
    </row>
    <row r="121" spans="33:161" ht="15" customHeight="1">
      <c r="AG121" s="13"/>
      <c r="BT121" s="29"/>
      <c r="BU121" s="29"/>
      <c r="BV121" s="29"/>
      <c r="BW121" s="29"/>
      <c r="BX121" s="29"/>
      <c r="BY121" s="29"/>
      <c r="BZ121" s="29"/>
      <c r="CA121" s="29"/>
      <c r="CB121" s="29"/>
      <c r="CU121" s="26"/>
      <c r="CV121" s="26"/>
      <c r="CW121" s="26"/>
      <c r="DL121" s="26"/>
      <c r="DM121" s="26"/>
      <c r="DN121" s="26"/>
      <c r="DR121" s="29"/>
      <c r="DS121" s="29"/>
      <c r="DT121" s="29"/>
      <c r="DU121" s="29"/>
      <c r="DV121" s="29"/>
      <c r="DW121" s="29"/>
      <c r="DX121" s="29"/>
      <c r="DY121" s="29"/>
      <c r="EG121" s="29"/>
      <c r="EH121" s="29"/>
      <c r="EI121" s="29"/>
      <c r="EJ121" s="29"/>
      <c r="EK121" s="29"/>
      <c r="EL121" s="29"/>
      <c r="EM121" s="29"/>
      <c r="EN121" s="29"/>
      <c r="EX121" s="29"/>
      <c r="EY121" s="29"/>
      <c r="EZ121" s="29"/>
      <c r="FA121" s="29"/>
      <c r="FB121" s="29"/>
      <c r="FC121" s="29"/>
      <c r="FD121" s="29"/>
      <c r="FE121" s="29"/>
    </row>
    <row r="122" spans="33:161" ht="15" customHeight="1">
      <c r="AG122" s="13"/>
      <c r="BT122" s="29"/>
      <c r="BU122" s="29"/>
      <c r="BV122" s="29"/>
      <c r="BW122" s="29"/>
      <c r="BX122" s="29"/>
      <c r="BY122" s="29"/>
      <c r="BZ122" s="29"/>
      <c r="CA122" s="29"/>
      <c r="CB122" s="29"/>
      <c r="CU122" s="26"/>
      <c r="CV122" s="26"/>
      <c r="CW122" s="26"/>
      <c r="DL122" s="26"/>
      <c r="DM122" s="26"/>
      <c r="DN122" s="26"/>
      <c r="DR122" s="29"/>
      <c r="DS122" s="29"/>
      <c r="DT122" s="29"/>
      <c r="DU122" s="29"/>
      <c r="DV122" s="29"/>
      <c r="DW122" s="29"/>
      <c r="DX122" s="29"/>
      <c r="DY122" s="29"/>
      <c r="EG122" s="29"/>
      <c r="EH122" s="29"/>
      <c r="EI122" s="29"/>
      <c r="EJ122" s="29"/>
      <c r="EK122" s="29"/>
      <c r="EL122" s="29"/>
      <c r="EM122" s="29"/>
      <c r="EN122" s="29"/>
      <c r="EX122" s="29"/>
      <c r="EY122" s="29"/>
      <c r="EZ122" s="29"/>
      <c r="FA122" s="29"/>
      <c r="FB122" s="29"/>
      <c r="FC122" s="29"/>
      <c r="FD122" s="29"/>
      <c r="FE122" s="29"/>
    </row>
    <row r="123" spans="33:161" ht="15" customHeight="1">
      <c r="AG123" s="13"/>
      <c r="BT123" s="29"/>
      <c r="BU123" s="29"/>
      <c r="BV123" s="29"/>
      <c r="BW123" s="29"/>
      <c r="BX123" s="29"/>
      <c r="BY123" s="29"/>
      <c r="BZ123" s="29"/>
      <c r="CA123" s="29"/>
      <c r="CB123" s="29"/>
      <c r="CK123" s="2"/>
      <c r="CL123" s="192"/>
      <c r="CM123" s="183"/>
      <c r="CN123" s="2"/>
      <c r="CO123" s="2"/>
      <c r="CP123" s="2"/>
      <c r="CQ123" s="38"/>
      <c r="CR123" s="46"/>
      <c r="CS123" s="37"/>
      <c r="CT123" s="26"/>
      <c r="CU123" s="26"/>
      <c r="CV123" s="26"/>
      <c r="CW123" s="26"/>
      <c r="DB123" s="2"/>
      <c r="DC123" s="192"/>
      <c r="DD123" s="183"/>
      <c r="DE123" s="2"/>
      <c r="DF123" s="2"/>
      <c r="DG123" s="2"/>
      <c r="DH123" s="38"/>
      <c r="DI123" s="46"/>
      <c r="DJ123" s="37"/>
      <c r="DK123" s="26"/>
      <c r="DL123" s="26"/>
      <c r="DM123" s="26"/>
      <c r="DN123" s="26"/>
      <c r="DR123" s="29"/>
      <c r="DS123" s="29"/>
      <c r="DT123" s="29"/>
      <c r="DU123" s="29"/>
      <c r="DV123" s="29"/>
      <c r="DW123" s="29"/>
      <c r="DX123" s="29"/>
      <c r="DY123" s="29"/>
      <c r="EG123" s="29"/>
      <c r="EH123" s="29"/>
      <c r="EI123" s="29"/>
      <c r="EJ123" s="29"/>
      <c r="EK123" s="29"/>
      <c r="EL123" s="29"/>
      <c r="EM123" s="29"/>
      <c r="EN123" s="29"/>
      <c r="EX123" s="29"/>
      <c r="EY123" s="29"/>
      <c r="EZ123" s="29"/>
      <c r="FA123" s="29"/>
      <c r="FB123" s="29"/>
      <c r="FC123" s="29"/>
      <c r="FD123" s="29"/>
      <c r="FE123" s="29"/>
    </row>
    <row r="124" spans="33:161" ht="15" customHeight="1">
      <c r="AG124" s="13"/>
      <c r="BT124" s="29"/>
      <c r="BU124" s="29"/>
      <c r="BV124" s="29"/>
      <c r="BW124" s="29"/>
      <c r="BX124" s="29"/>
      <c r="BY124" s="29"/>
      <c r="BZ124" s="29"/>
      <c r="CA124" s="29"/>
      <c r="CB124" s="29"/>
      <c r="CK124" s="2"/>
      <c r="CL124" s="192"/>
      <c r="CM124" s="183"/>
      <c r="CN124" s="2"/>
      <c r="CO124" s="2"/>
      <c r="CP124" s="2"/>
      <c r="CQ124" s="38"/>
      <c r="CR124" s="46"/>
      <c r="CS124" s="37"/>
      <c r="CT124" s="26"/>
      <c r="CU124" s="26"/>
      <c r="CV124" s="26"/>
      <c r="CW124" s="26"/>
      <c r="DB124" s="2"/>
      <c r="DC124" s="192"/>
      <c r="DD124" s="183"/>
      <c r="DE124" s="2"/>
      <c r="DF124" s="2"/>
      <c r="DG124" s="2"/>
      <c r="DH124" s="38"/>
      <c r="DI124" s="46"/>
      <c r="DJ124" s="37"/>
      <c r="DK124" s="26"/>
      <c r="DL124" s="26"/>
      <c r="DM124" s="26"/>
      <c r="DN124" s="26"/>
      <c r="DR124" s="29"/>
      <c r="DS124" s="29"/>
      <c r="DT124" s="29"/>
      <c r="DU124" s="29"/>
      <c r="DV124" s="29"/>
      <c r="DW124" s="29"/>
      <c r="DX124" s="29"/>
      <c r="DY124" s="29"/>
      <c r="EG124" s="29"/>
      <c r="EH124" s="29"/>
      <c r="EI124" s="29"/>
      <c r="EJ124" s="29"/>
      <c r="EK124" s="29"/>
      <c r="EL124" s="29"/>
      <c r="EM124" s="29"/>
      <c r="EN124" s="29"/>
      <c r="EX124" s="29"/>
      <c r="EY124" s="29"/>
      <c r="EZ124" s="29"/>
      <c r="FA124" s="29"/>
      <c r="FB124" s="29"/>
      <c r="FC124" s="29"/>
      <c r="FD124" s="29"/>
      <c r="FE124" s="29"/>
    </row>
    <row r="125" spans="33:161" ht="15" customHeight="1">
      <c r="AG125" s="13"/>
      <c r="BT125" s="29"/>
      <c r="BU125" s="29"/>
      <c r="BV125" s="29"/>
      <c r="BW125" s="29"/>
      <c r="BX125" s="29"/>
      <c r="BY125" s="29"/>
      <c r="BZ125" s="29"/>
      <c r="CA125" s="29"/>
      <c r="CB125" s="29"/>
      <c r="CK125" s="2"/>
      <c r="CL125" s="29"/>
      <c r="CM125" s="29"/>
      <c r="CN125" s="29"/>
      <c r="CO125" s="29"/>
      <c r="CP125" s="29"/>
      <c r="CQ125" s="29"/>
      <c r="CR125" s="29"/>
      <c r="DB125" s="2"/>
      <c r="DC125" s="29"/>
      <c r="DD125" s="29"/>
      <c r="DE125" s="29"/>
      <c r="DF125" s="29"/>
      <c r="DG125" s="29"/>
      <c r="DH125" s="29"/>
      <c r="DI125" s="29"/>
      <c r="DR125" s="29"/>
      <c r="DS125" s="29"/>
      <c r="DT125" s="29"/>
      <c r="DU125" s="29"/>
      <c r="DV125" s="29"/>
      <c r="DW125" s="29"/>
      <c r="DX125" s="29"/>
      <c r="DY125" s="29"/>
      <c r="EG125" s="29"/>
      <c r="EH125" s="29"/>
      <c r="EI125" s="29"/>
      <c r="EJ125" s="29"/>
      <c r="EK125" s="29"/>
      <c r="EL125" s="29"/>
      <c r="EM125" s="29"/>
      <c r="EN125" s="29"/>
      <c r="EX125" s="29"/>
      <c r="EY125" s="29"/>
      <c r="EZ125" s="29"/>
      <c r="FA125" s="29"/>
      <c r="FB125" s="29"/>
      <c r="FC125" s="29"/>
      <c r="FD125" s="29"/>
      <c r="FE125" s="29"/>
    </row>
    <row r="126" spans="33:161" ht="15" customHeight="1">
      <c r="AG126" s="13"/>
      <c r="BT126" s="29"/>
      <c r="BU126" s="29"/>
      <c r="BV126" s="29"/>
      <c r="BW126" s="29"/>
      <c r="BX126" s="29"/>
      <c r="BY126" s="29"/>
      <c r="BZ126" s="29"/>
      <c r="CA126" s="29"/>
      <c r="CB126" s="29"/>
      <c r="CK126" s="2"/>
      <c r="CL126" s="29"/>
      <c r="CM126" s="29"/>
      <c r="CN126" s="29"/>
      <c r="CO126" s="29"/>
      <c r="CP126" s="29"/>
      <c r="CQ126" s="29"/>
      <c r="CR126" s="29"/>
      <c r="DB126" s="2"/>
      <c r="DC126" s="29"/>
      <c r="DD126" s="29"/>
      <c r="DE126" s="29"/>
      <c r="DF126" s="29"/>
      <c r="DG126" s="29"/>
      <c r="DH126" s="29"/>
      <c r="DI126" s="29"/>
      <c r="DR126" s="29"/>
      <c r="DS126" s="29"/>
      <c r="DT126" s="29"/>
      <c r="DU126" s="29"/>
      <c r="DV126" s="29"/>
      <c r="DW126" s="29"/>
      <c r="DX126" s="29"/>
      <c r="DY126" s="29"/>
      <c r="EG126" s="29"/>
      <c r="EH126" s="29"/>
      <c r="EI126" s="29"/>
      <c r="EJ126" s="29"/>
      <c r="EK126" s="29"/>
      <c r="EL126" s="29"/>
      <c r="EM126" s="29"/>
      <c r="EN126" s="29"/>
      <c r="EX126" s="29"/>
      <c r="EY126" s="29"/>
      <c r="EZ126" s="29"/>
      <c r="FA126" s="29"/>
      <c r="FB126" s="29"/>
      <c r="FC126" s="29"/>
      <c r="FD126" s="29"/>
      <c r="FE126" s="29"/>
    </row>
    <row r="127" spans="33:161" ht="15" customHeight="1">
      <c r="AG127" s="13"/>
      <c r="BT127" s="29"/>
      <c r="BU127" s="29"/>
      <c r="BV127" s="29"/>
      <c r="BW127" s="29"/>
      <c r="BX127" s="29"/>
      <c r="BY127" s="29"/>
      <c r="BZ127" s="29"/>
      <c r="CA127" s="29"/>
      <c r="CB127" s="29"/>
      <c r="CK127" s="29"/>
      <c r="CL127" s="29"/>
      <c r="CM127" s="29"/>
      <c r="CN127" s="29"/>
      <c r="CO127" s="29"/>
      <c r="CP127" s="29"/>
      <c r="CQ127" s="29"/>
      <c r="CR127" s="29"/>
      <c r="DB127" s="29"/>
      <c r="DC127" s="29"/>
      <c r="DD127" s="29"/>
      <c r="DE127" s="29"/>
      <c r="DF127" s="29"/>
      <c r="DG127" s="29"/>
      <c r="DH127" s="29"/>
      <c r="DI127" s="29"/>
      <c r="DR127" s="29"/>
      <c r="DS127" s="29"/>
      <c r="DT127" s="29"/>
      <c r="DU127" s="29"/>
      <c r="DV127" s="29"/>
      <c r="DW127" s="29"/>
      <c r="DX127" s="29"/>
      <c r="DY127" s="29"/>
      <c r="EG127" s="29"/>
      <c r="EH127" s="29"/>
      <c r="EI127" s="29"/>
      <c r="EJ127" s="29"/>
      <c r="EK127" s="29"/>
      <c r="EL127" s="29"/>
      <c r="EM127" s="29"/>
      <c r="EN127" s="29"/>
      <c r="EX127" s="29"/>
      <c r="EY127" s="29"/>
      <c r="EZ127" s="29"/>
      <c r="FA127" s="29"/>
      <c r="FB127" s="29"/>
      <c r="FC127" s="29"/>
      <c r="FD127" s="29"/>
      <c r="FE127" s="29"/>
    </row>
    <row r="128" spans="33:161" ht="15" customHeight="1">
      <c r="AG128" s="13"/>
      <c r="BT128" s="29"/>
      <c r="BU128" s="29"/>
      <c r="BV128" s="29"/>
      <c r="BW128" s="29"/>
      <c r="BX128" s="29"/>
      <c r="BY128" s="29"/>
      <c r="BZ128" s="29"/>
      <c r="CA128" s="29"/>
      <c r="CB128" s="29"/>
      <c r="CK128" s="29"/>
      <c r="CL128" s="29"/>
      <c r="CM128" s="29"/>
      <c r="CN128" s="29"/>
      <c r="CO128" s="29"/>
      <c r="CP128" s="29"/>
      <c r="CQ128" s="29"/>
      <c r="CR128" s="29"/>
      <c r="DB128" s="29"/>
      <c r="DC128" s="29"/>
      <c r="DD128" s="29"/>
      <c r="DE128" s="29"/>
      <c r="DF128" s="29"/>
      <c r="DG128" s="29"/>
      <c r="DH128" s="29"/>
      <c r="DI128" s="29"/>
      <c r="DR128" s="29"/>
      <c r="DS128" s="29"/>
      <c r="DT128" s="29"/>
      <c r="DU128" s="29"/>
      <c r="DV128" s="29"/>
      <c r="DW128" s="29"/>
      <c r="DX128" s="29"/>
      <c r="DY128" s="29"/>
      <c r="EG128" s="29"/>
      <c r="EH128" s="29"/>
      <c r="EI128" s="29"/>
      <c r="EJ128" s="29"/>
      <c r="EK128" s="29"/>
      <c r="EL128" s="29"/>
      <c r="EM128" s="29"/>
      <c r="EN128" s="29"/>
      <c r="EX128" s="29"/>
      <c r="EY128" s="29"/>
      <c r="EZ128" s="29"/>
      <c r="FA128" s="29"/>
      <c r="FB128" s="29"/>
      <c r="FC128" s="29"/>
      <c r="FD128" s="29"/>
      <c r="FE128" s="29"/>
    </row>
    <row r="129" spans="33:161" ht="15" customHeight="1">
      <c r="AG129" s="13"/>
      <c r="BT129" s="29"/>
      <c r="BU129" s="29"/>
      <c r="BV129" s="29"/>
      <c r="BW129" s="29"/>
      <c r="BX129" s="29"/>
      <c r="BY129" s="29"/>
      <c r="BZ129" s="29"/>
      <c r="CA129" s="29"/>
      <c r="CB129" s="29"/>
      <c r="CK129" s="29"/>
      <c r="CL129" s="29"/>
      <c r="CM129" s="29"/>
      <c r="CN129" s="29"/>
      <c r="CO129" s="29"/>
      <c r="CP129" s="29"/>
      <c r="CQ129" s="29"/>
      <c r="CR129" s="29"/>
      <c r="DB129" s="29"/>
      <c r="DC129" s="29"/>
      <c r="DD129" s="29"/>
      <c r="DE129" s="29"/>
      <c r="DF129" s="29"/>
      <c r="DG129" s="29"/>
      <c r="DH129" s="29"/>
      <c r="DI129" s="29"/>
      <c r="DR129" s="29"/>
      <c r="DS129" s="29"/>
      <c r="DT129" s="29"/>
      <c r="DU129" s="29"/>
      <c r="DV129" s="29"/>
      <c r="DW129" s="29"/>
      <c r="DX129" s="29"/>
      <c r="DY129" s="29"/>
      <c r="EG129" s="29"/>
      <c r="EH129" s="29"/>
      <c r="EI129" s="29"/>
      <c r="EJ129" s="29"/>
      <c r="EK129" s="29"/>
      <c r="EL129" s="29"/>
      <c r="EM129" s="29"/>
      <c r="EN129" s="29"/>
      <c r="EX129" s="29"/>
      <c r="EY129" s="29"/>
      <c r="EZ129" s="29"/>
      <c r="FA129" s="29"/>
      <c r="FB129" s="29"/>
      <c r="FC129" s="29"/>
      <c r="FD129" s="29"/>
      <c r="FE129" s="29"/>
    </row>
    <row r="130" spans="33:161" ht="15" customHeight="1">
      <c r="AG130" s="13"/>
      <c r="BT130" s="29"/>
      <c r="BU130" s="29"/>
      <c r="BV130" s="29"/>
      <c r="BW130" s="29"/>
      <c r="BX130" s="29"/>
      <c r="BY130" s="29"/>
      <c r="BZ130" s="29"/>
      <c r="CA130" s="29"/>
      <c r="CB130" s="29"/>
      <c r="CK130" s="29"/>
      <c r="CL130" s="29"/>
      <c r="CM130" s="29"/>
      <c r="CN130" s="29"/>
      <c r="CO130" s="29"/>
      <c r="CP130" s="29"/>
      <c r="CQ130" s="29"/>
      <c r="CR130" s="29"/>
      <c r="DB130" s="29"/>
      <c r="DC130" s="29"/>
      <c r="DD130" s="29"/>
      <c r="DE130" s="29"/>
      <c r="DF130" s="29"/>
      <c r="DG130" s="29"/>
      <c r="DH130" s="29"/>
      <c r="DI130" s="29"/>
      <c r="DR130" s="29"/>
      <c r="DS130" s="29"/>
      <c r="DT130" s="29"/>
      <c r="DU130" s="29"/>
      <c r="DV130" s="29"/>
      <c r="DW130" s="29"/>
      <c r="DX130" s="29"/>
      <c r="DY130" s="29"/>
      <c r="EG130" s="29"/>
      <c r="EH130" s="29"/>
      <c r="EI130" s="29"/>
      <c r="EJ130" s="29"/>
      <c r="EK130" s="29"/>
      <c r="EL130" s="29"/>
      <c r="EM130" s="29"/>
      <c r="EN130" s="29"/>
      <c r="EX130" s="29"/>
      <c r="EY130" s="29"/>
      <c r="EZ130" s="29"/>
      <c r="FA130" s="29"/>
      <c r="FB130" s="29"/>
      <c r="FC130" s="29"/>
      <c r="FD130" s="29"/>
      <c r="FE130" s="29"/>
    </row>
    <row r="131" spans="33:161" ht="15" customHeight="1">
      <c r="AG131" s="13"/>
      <c r="BT131" s="29"/>
      <c r="BU131" s="29"/>
      <c r="BV131" s="29"/>
      <c r="BW131" s="29"/>
      <c r="BX131" s="29"/>
      <c r="BY131" s="29"/>
      <c r="BZ131" s="29"/>
      <c r="CA131" s="29"/>
      <c r="CB131" s="29"/>
      <c r="CK131" s="29"/>
      <c r="CL131" s="29"/>
      <c r="CM131" s="29"/>
      <c r="CN131" s="29"/>
      <c r="CO131" s="29"/>
      <c r="CP131" s="29"/>
      <c r="CQ131" s="29"/>
      <c r="CR131" s="29"/>
      <c r="DB131" s="29"/>
      <c r="DC131" s="29"/>
      <c r="DD131" s="29"/>
      <c r="DE131" s="29"/>
      <c r="DF131" s="29"/>
      <c r="DG131" s="29"/>
      <c r="DH131" s="29"/>
      <c r="DI131" s="29"/>
      <c r="DR131" s="29"/>
      <c r="DS131" s="29"/>
      <c r="DT131" s="29"/>
      <c r="DU131" s="29"/>
      <c r="DV131" s="29"/>
      <c r="DW131" s="29"/>
      <c r="DX131" s="29"/>
      <c r="DY131" s="29"/>
      <c r="EG131" s="29"/>
      <c r="EH131" s="29"/>
      <c r="EI131" s="29"/>
      <c r="EJ131" s="29"/>
      <c r="EK131" s="29"/>
      <c r="EL131" s="29"/>
      <c r="EM131" s="29"/>
      <c r="EN131" s="29"/>
      <c r="EX131" s="29"/>
      <c r="EY131" s="29"/>
      <c r="EZ131" s="29"/>
      <c r="FA131" s="29"/>
      <c r="FB131" s="29"/>
      <c r="FC131" s="29"/>
      <c r="FD131" s="29"/>
      <c r="FE131" s="29"/>
    </row>
    <row r="132" spans="33:161" ht="15" customHeight="1">
      <c r="AG132" s="13"/>
      <c r="CK132" s="29"/>
      <c r="CL132" s="29"/>
      <c r="CM132" s="29"/>
      <c r="CN132" s="29"/>
      <c r="CO132" s="29"/>
      <c r="CP132" s="29"/>
      <c r="CQ132" s="29"/>
      <c r="CR132" s="29"/>
      <c r="DB132" s="29"/>
      <c r="DC132" s="29"/>
      <c r="DD132" s="29"/>
      <c r="DE132" s="29"/>
      <c r="DF132" s="29"/>
      <c r="DG132" s="29"/>
      <c r="DH132" s="29"/>
      <c r="DI132" s="29"/>
      <c r="EG132" s="29"/>
      <c r="EH132" s="29"/>
      <c r="EI132" s="29"/>
      <c r="EJ132" s="29"/>
      <c r="EK132" s="29"/>
      <c r="EL132" s="29"/>
      <c r="EM132" s="29"/>
      <c r="EN132" s="29"/>
      <c r="EX132" s="29"/>
      <c r="EY132" s="29"/>
      <c r="EZ132" s="29"/>
      <c r="FA132" s="29"/>
      <c r="FB132" s="29"/>
      <c r="FC132" s="29"/>
      <c r="FD132" s="29"/>
      <c r="FE132" s="29"/>
    </row>
    <row r="133" spans="33:161" ht="15" customHeight="1">
      <c r="AG133" s="13"/>
      <c r="CK133" s="29"/>
      <c r="CL133" s="29"/>
      <c r="CM133" s="29"/>
      <c r="CN133" s="29"/>
      <c r="CO133" s="29"/>
      <c r="CP133" s="29"/>
      <c r="CQ133" s="29"/>
      <c r="CR133" s="29"/>
      <c r="DB133" s="29"/>
      <c r="DC133" s="29"/>
      <c r="DD133" s="29"/>
      <c r="DE133" s="29"/>
      <c r="DF133" s="29"/>
      <c r="DG133" s="29"/>
      <c r="DH133" s="29"/>
      <c r="DI133" s="29"/>
      <c r="EG133" s="29"/>
      <c r="EH133" s="29"/>
      <c r="EI133" s="29"/>
      <c r="EJ133" s="29"/>
      <c r="EK133" s="29"/>
      <c r="EL133" s="29"/>
      <c r="EM133" s="29"/>
      <c r="EN133" s="29"/>
      <c r="EX133" s="29"/>
      <c r="EY133" s="29"/>
      <c r="EZ133" s="29"/>
      <c r="FA133" s="29"/>
      <c r="FB133" s="29"/>
      <c r="FC133" s="29"/>
      <c r="FD133" s="29"/>
      <c r="FE133" s="29"/>
    </row>
    <row r="134" spans="33:161" ht="15" customHeight="1">
      <c r="AG134" s="13"/>
      <c r="CK134" s="29"/>
      <c r="CL134" s="29"/>
      <c r="CM134" s="29"/>
      <c r="CN134" s="29"/>
      <c r="CO134" s="29"/>
      <c r="CP134" s="29"/>
      <c r="CQ134" s="29"/>
      <c r="CR134" s="29"/>
      <c r="DB134" s="29"/>
      <c r="DC134" s="29"/>
      <c r="DD134" s="29"/>
      <c r="DE134" s="29"/>
      <c r="DF134" s="29"/>
      <c r="DG134" s="29"/>
      <c r="DH134" s="29"/>
      <c r="DI134" s="29"/>
      <c r="EG134" s="29"/>
      <c r="EH134" s="29"/>
      <c r="EI134" s="29"/>
      <c r="EJ134" s="29"/>
      <c r="EK134" s="29"/>
      <c r="EL134" s="29"/>
      <c r="EM134" s="29"/>
      <c r="EN134" s="29"/>
      <c r="EX134" s="29"/>
      <c r="EY134" s="29"/>
      <c r="EZ134" s="29"/>
      <c r="FA134" s="29"/>
      <c r="FB134" s="29"/>
      <c r="FC134" s="29"/>
      <c r="FD134" s="29"/>
      <c r="FE134" s="29"/>
    </row>
    <row r="135" spans="33:161" ht="15" customHeight="1">
      <c r="AG135" s="13"/>
      <c r="CK135" s="29"/>
      <c r="CL135" s="29"/>
      <c r="CM135" s="29"/>
      <c r="CN135" s="29"/>
      <c r="CO135" s="29"/>
      <c r="CP135" s="29"/>
      <c r="CQ135" s="29"/>
      <c r="CR135" s="29"/>
      <c r="DB135" s="29"/>
      <c r="DC135" s="29"/>
      <c r="DD135" s="29"/>
      <c r="DE135" s="29"/>
      <c r="DF135" s="29"/>
      <c r="DG135" s="29"/>
      <c r="DH135" s="29"/>
      <c r="DI135" s="29"/>
      <c r="EG135" s="29"/>
      <c r="EH135" s="29"/>
      <c r="EI135" s="29"/>
      <c r="EJ135" s="29"/>
      <c r="EK135" s="29"/>
      <c r="EL135" s="29"/>
      <c r="EM135" s="29"/>
      <c r="EN135" s="29"/>
    </row>
    <row r="136" spans="33:161" ht="15" customHeight="1">
      <c r="AG136" s="13"/>
      <c r="CK136" s="29"/>
      <c r="CL136" s="29"/>
      <c r="CM136" s="29"/>
      <c r="CN136" s="29"/>
      <c r="CO136" s="29"/>
      <c r="CP136" s="29"/>
      <c r="CQ136" s="29"/>
      <c r="CR136" s="29"/>
      <c r="DB136" s="29"/>
      <c r="DC136" s="29"/>
      <c r="DD136" s="29"/>
      <c r="DE136" s="29"/>
      <c r="DF136" s="29"/>
      <c r="DG136" s="29"/>
      <c r="DH136" s="29"/>
      <c r="DI136" s="29"/>
    </row>
    <row r="137" spans="33:161" ht="15" customHeight="1">
      <c r="AG137" s="13"/>
      <c r="CK137" s="29"/>
      <c r="CL137" s="29"/>
      <c r="CM137" s="29"/>
      <c r="CN137" s="29"/>
      <c r="CO137" s="29"/>
      <c r="CP137" s="29"/>
      <c r="CQ137" s="29"/>
      <c r="CR137" s="29"/>
      <c r="DB137" s="29"/>
      <c r="DC137" s="29"/>
      <c r="DD137" s="29"/>
      <c r="DE137" s="29"/>
      <c r="DF137" s="29"/>
      <c r="DG137" s="29"/>
      <c r="DH137" s="29"/>
      <c r="DI137" s="29"/>
    </row>
    <row r="138" spans="33:161" ht="15" customHeight="1">
      <c r="AG138" s="13"/>
      <c r="CK138" s="29"/>
      <c r="CL138" s="29"/>
      <c r="CM138" s="29"/>
      <c r="CN138" s="29"/>
      <c r="CO138" s="29"/>
      <c r="CP138" s="29"/>
      <c r="CQ138" s="29"/>
      <c r="CR138" s="29"/>
      <c r="DB138" s="29"/>
      <c r="DC138" s="29"/>
      <c r="DD138" s="29"/>
      <c r="DE138" s="29"/>
      <c r="DF138" s="29"/>
      <c r="DG138" s="29"/>
      <c r="DH138" s="29"/>
      <c r="DI138" s="29"/>
    </row>
    <row r="139" spans="33:161" ht="15" customHeight="1">
      <c r="AG139" s="13"/>
      <c r="CK139" s="29"/>
      <c r="CL139" s="29"/>
      <c r="CM139" s="29"/>
      <c r="CN139" s="29"/>
      <c r="CO139" s="29"/>
      <c r="CP139" s="29"/>
      <c r="CQ139" s="29"/>
      <c r="CR139" s="29"/>
      <c r="DB139" s="29"/>
      <c r="DC139" s="29"/>
      <c r="DD139" s="29"/>
      <c r="DE139" s="29"/>
      <c r="DF139" s="29"/>
      <c r="DG139" s="29"/>
      <c r="DH139" s="29"/>
      <c r="DI139" s="29"/>
    </row>
    <row r="140" spans="33:161" ht="15" customHeight="1">
      <c r="AG140" s="13"/>
      <c r="CK140" s="29"/>
      <c r="CL140" s="29"/>
      <c r="CM140" s="29"/>
      <c r="CN140" s="29"/>
      <c r="CO140" s="29"/>
      <c r="CP140" s="29"/>
      <c r="CQ140" s="29"/>
      <c r="CR140" s="29"/>
      <c r="DB140" s="29"/>
      <c r="DC140" s="29"/>
      <c r="DD140" s="29"/>
      <c r="DE140" s="29"/>
      <c r="DF140" s="29"/>
      <c r="DG140" s="29"/>
      <c r="DH140" s="29"/>
      <c r="DI140" s="29"/>
    </row>
    <row r="141" spans="33:161" ht="15" customHeight="1">
      <c r="AG141" s="13"/>
      <c r="CK141" s="29"/>
      <c r="CL141" s="29"/>
      <c r="CM141" s="29"/>
      <c r="CN141" s="29"/>
      <c r="CO141" s="29"/>
      <c r="CP141" s="29"/>
      <c r="CQ141" s="29"/>
      <c r="CR141" s="29"/>
      <c r="DB141" s="29"/>
      <c r="DC141" s="29"/>
      <c r="DD141" s="29"/>
      <c r="DE141" s="29"/>
      <c r="DF141" s="29"/>
      <c r="DG141" s="29"/>
      <c r="DH141" s="29"/>
      <c r="DI141" s="29"/>
    </row>
    <row r="142" spans="33:161" ht="15" customHeight="1">
      <c r="AG142" s="13"/>
      <c r="CK142" s="29"/>
      <c r="CL142" s="29"/>
      <c r="CM142" s="29"/>
      <c r="CN142" s="29"/>
      <c r="CO142" s="29"/>
      <c r="CP142" s="29"/>
      <c r="CQ142" s="29"/>
      <c r="CR142" s="29"/>
      <c r="DB142" s="29"/>
      <c r="DC142" s="29"/>
      <c r="DD142" s="29"/>
      <c r="DE142" s="29"/>
      <c r="DF142" s="29"/>
      <c r="DG142" s="29"/>
      <c r="DH142" s="29"/>
      <c r="DI142" s="29"/>
    </row>
    <row r="143" spans="33:161" ht="15" customHeight="1">
      <c r="AG143" s="13"/>
      <c r="CK143" s="29"/>
      <c r="CL143" s="29"/>
      <c r="CM143" s="29"/>
      <c r="CN143" s="29"/>
      <c r="CO143" s="29"/>
      <c r="CP143" s="29"/>
      <c r="CQ143" s="29"/>
      <c r="CR143" s="29"/>
      <c r="DB143" s="29"/>
      <c r="DC143" s="29"/>
      <c r="DD143" s="29"/>
      <c r="DE143" s="29"/>
      <c r="DF143" s="29"/>
      <c r="DG143" s="29"/>
      <c r="DH143" s="29"/>
      <c r="DI143" s="29"/>
    </row>
    <row r="144" spans="33:161" ht="15" customHeight="1">
      <c r="AG144" s="13"/>
      <c r="CK144" s="29"/>
      <c r="CL144" s="29"/>
      <c r="CM144" s="29"/>
      <c r="CN144" s="29"/>
      <c r="CO144" s="29"/>
      <c r="CP144" s="29"/>
      <c r="CQ144" s="29"/>
      <c r="CR144" s="29"/>
      <c r="DB144" s="29"/>
      <c r="DC144" s="29"/>
      <c r="DD144" s="29"/>
      <c r="DE144" s="29"/>
      <c r="DF144" s="29"/>
      <c r="DG144" s="29"/>
      <c r="DH144" s="29"/>
      <c r="DI144" s="29"/>
    </row>
    <row r="145" spans="33:113" ht="15" customHeight="1">
      <c r="AG145" s="13"/>
      <c r="CK145" s="29"/>
      <c r="CL145" s="29"/>
      <c r="CM145" s="29"/>
      <c r="CN145" s="29"/>
      <c r="CO145" s="29"/>
      <c r="CP145" s="29"/>
      <c r="CQ145" s="29"/>
      <c r="CR145" s="29"/>
      <c r="DB145" s="29"/>
      <c r="DC145" s="29"/>
      <c r="DD145" s="29"/>
      <c r="DE145" s="29"/>
      <c r="DF145" s="29"/>
      <c r="DG145" s="29"/>
      <c r="DH145" s="29"/>
      <c r="DI145" s="29"/>
    </row>
    <row r="146" spans="33:113" ht="15" customHeight="1">
      <c r="AG146" s="13"/>
      <c r="CK146" s="29"/>
      <c r="CL146" s="29"/>
      <c r="CM146" s="29"/>
      <c r="CN146" s="29"/>
      <c r="CO146" s="29"/>
      <c r="CP146" s="29"/>
      <c r="CQ146" s="29"/>
      <c r="CR146" s="29"/>
      <c r="DB146" s="29"/>
      <c r="DC146" s="29"/>
      <c r="DD146" s="29"/>
      <c r="DE146" s="29"/>
      <c r="DF146" s="29"/>
      <c r="DG146" s="29"/>
      <c r="DH146" s="29"/>
      <c r="DI146" s="29"/>
    </row>
    <row r="147" spans="33:113" ht="15" customHeight="1">
      <c r="AG147" s="13"/>
    </row>
    <row r="148" spans="33:113" ht="15" customHeight="1">
      <c r="AG148" s="13"/>
    </row>
    <row r="149" spans="33:113" ht="15" customHeight="1">
      <c r="AG149" s="13"/>
    </row>
    <row r="150" spans="33:113" ht="15" customHeight="1">
      <c r="AG150" s="13"/>
    </row>
    <row r="151" spans="33:113" ht="15" customHeight="1">
      <c r="AG151" s="13"/>
    </row>
    <row r="152" spans="33:113" ht="15" customHeight="1">
      <c r="AG152" s="13"/>
    </row>
    <row r="153" spans="33:113" ht="15" customHeight="1">
      <c r="AG153" s="13"/>
    </row>
    <row r="154" spans="33:113" ht="15" customHeight="1">
      <c r="AG154" s="13"/>
    </row>
    <row r="155" spans="33:113" ht="15" customHeight="1">
      <c r="AG155" s="13"/>
    </row>
    <row r="156" spans="33:113" ht="15" customHeight="1">
      <c r="AG156" s="13"/>
    </row>
    <row r="157" spans="33:113" ht="15" customHeight="1">
      <c r="AG157" s="13"/>
    </row>
    <row r="158" spans="33:113" ht="15" customHeight="1">
      <c r="AG158" s="13"/>
    </row>
    <row r="159" spans="33:113" ht="15" customHeight="1">
      <c r="AG159" s="13"/>
    </row>
    <row r="160" spans="33:113" ht="15" customHeight="1">
      <c r="AG160" s="13"/>
    </row>
    <row r="161" spans="33:33" ht="15" customHeight="1">
      <c r="AG161" s="13"/>
    </row>
    <row r="162" spans="33:33" ht="15" customHeight="1">
      <c r="AG162" s="13"/>
    </row>
    <row r="163" spans="33:33" ht="15" customHeight="1">
      <c r="AG163" s="13"/>
    </row>
    <row r="164" spans="33:33" ht="15" customHeight="1">
      <c r="AG164" s="13"/>
    </row>
    <row r="165" spans="33:33" ht="15" customHeight="1">
      <c r="AG165" s="13"/>
    </row>
    <row r="166" spans="33:33" ht="15" customHeight="1">
      <c r="AG166" s="13"/>
    </row>
    <row r="167" spans="33:33" ht="15" customHeight="1">
      <c r="AG167" s="13"/>
    </row>
    <row r="168" spans="33:33" ht="15" customHeight="1">
      <c r="AG168" s="13"/>
    </row>
    <row r="169" spans="33:33" ht="15" customHeight="1">
      <c r="AG169" s="13"/>
    </row>
    <row r="170" spans="33:33" ht="15" customHeight="1">
      <c r="AG170" s="13"/>
    </row>
    <row r="171" spans="33:33" ht="15" customHeight="1">
      <c r="AG171" s="13"/>
    </row>
    <row r="172" spans="33:33" ht="15" customHeight="1">
      <c r="AG172" s="13"/>
    </row>
    <row r="173" spans="33:33" ht="15" customHeight="1">
      <c r="AG173" s="13"/>
    </row>
    <row r="174" spans="33:33" ht="15" customHeight="1">
      <c r="AG174" s="13"/>
    </row>
    <row r="175" spans="33:33" ht="15" customHeight="1">
      <c r="AG175" s="13"/>
    </row>
    <row r="176" spans="33:33" ht="15" customHeight="1">
      <c r="AG176" s="13"/>
    </row>
    <row r="177" spans="33:33" ht="15" customHeight="1">
      <c r="AG177" s="13"/>
    </row>
    <row r="178" spans="33:33" ht="15" customHeight="1">
      <c r="AG178" s="13"/>
    </row>
    <row r="179" spans="33:33" ht="15" customHeight="1">
      <c r="AG179" s="13"/>
    </row>
    <row r="180" spans="33:33" ht="15" customHeight="1">
      <c r="AG180" s="13"/>
    </row>
    <row r="181" spans="33:33" ht="15" customHeight="1">
      <c r="AG181" s="13"/>
    </row>
    <row r="182" spans="33:33" ht="15" customHeight="1">
      <c r="AG182" s="13"/>
    </row>
    <row r="183" spans="33:33" ht="15" customHeight="1">
      <c r="AG183" s="13"/>
    </row>
    <row r="184" spans="33:33" ht="15" customHeight="1">
      <c r="AG184" s="13"/>
    </row>
    <row r="185" spans="33:33" ht="15" customHeight="1">
      <c r="AG185" s="13"/>
    </row>
    <row r="186" spans="33:33" ht="15" customHeight="1">
      <c r="AG186" s="13"/>
    </row>
    <row r="187" spans="33:33" ht="15" customHeight="1">
      <c r="AG187" s="13"/>
    </row>
    <row r="188" spans="33:33" ht="15" customHeight="1">
      <c r="AG188" s="13"/>
    </row>
    <row r="189" spans="33:33" ht="15" customHeight="1">
      <c r="AG189" s="13"/>
    </row>
    <row r="190" spans="33:33" ht="15" customHeight="1">
      <c r="AG190" s="13"/>
    </row>
    <row r="191" spans="33:33" ht="15" customHeight="1">
      <c r="AG191" s="13"/>
    </row>
    <row r="192" spans="33:33" ht="15" customHeight="1">
      <c r="AG192" s="13"/>
    </row>
    <row r="193" spans="33:33" ht="15" customHeight="1">
      <c r="AG193" s="13"/>
    </row>
    <row r="194" spans="33:33" ht="15" customHeight="1">
      <c r="AG194" s="13"/>
    </row>
    <row r="195" spans="33:33" ht="15" customHeight="1">
      <c r="AG195" s="13"/>
    </row>
    <row r="196" spans="33:33" ht="15" customHeight="1">
      <c r="AG196" s="13"/>
    </row>
    <row r="197" spans="33:33" ht="15" customHeight="1">
      <c r="AG197" s="13"/>
    </row>
    <row r="198" spans="33:33" ht="15" customHeight="1">
      <c r="AG198" s="13"/>
    </row>
    <row r="199" spans="33:33" ht="15" customHeight="1">
      <c r="AG199" s="13"/>
    </row>
    <row r="200" spans="33:33" ht="15" customHeight="1">
      <c r="AG200" s="13"/>
    </row>
    <row r="201" spans="33:33" ht="15" customHeight="1">
      <c r="AG201" s="13"/>
    </row>
    <row r="202" spans="33:33" ht="15" customHeight="1">
      <c r="AG202" s="13"/>
    </row>
    <row r="203" spans="33:33" ht="15" customHeight="1">
      <c r="AG203" s="13"/>
    </row>
    <row r="204" spans="33:33" ht="15" customHeight="1">
      <c r="AG204" s="13"/>
    </row>
    <row r="205" spans="33:33" ht="15" customHeight="1">
      <c r="AG205" s="13"/>
    </row>
    <row r="206" spans="33:33" ht="15" customHeight="1">
      <c r="AG206" s="13"/>
    </row>
    <row r="207" spans="33:33" ht="15" customHeight="1">
      <c r="AG207" s="13"/>
    </row>
    <row r="208" spans="33:33" ht="15" customHeight="1">
      <c r="AG208" s="13"/>
    </row>
    <row r="209" spans="33:33" ht="15" customHeight="1">
      <c r="AG209" s="13"/>
    </row>
    <row r="210" spans="33:33" ht="15" customHeight="1">
      <c r="AG210" s="13"/>
    </row>
    <row r="211" spans="33:33" ht="15" customHeight="1">
      <c r="AG211" s="13"/>
    </row>
    <row r="212" spans="33:33" ht="15" customHeight="1">
      <c r="AG212" s="13"/>
    </row>
    <row r="213" spans="33:33" ht="15" customHeight="1">
      <c r="AG213" s="13"/>
    </row>
    <row r="214" spans="33:33" ht="15" customHeight="1">
      <c r="AG214" s="13"/>
    </row>
    <row r="215" spans="33:33" ht="15" customHeight="1">
      <c r="AG215" s="13"/>
    </row>
    <row r="216" spans="33:33" ht="15" customHeight="1">
      <c r="AG216" s="13"/>
    </row>
    <row r="217" spans="33:33" ht="15" customHeight="1">
      <c r="AG217" s="13"/>
    </row>
    <row r="218" spans="33:33" ht="15" customHeight="1">
      <c r="AG218" s="13"/>
    </row>
    <row r="219" spans="33:33" ht="15" customHeight="1">
      <c r="AG219" s="13"/>
    </row>
    <row r="220" spans="33:33" ht="15" customHeight="1">
      <c r="AG220" s="13"/>
    </row>
    <row r="221" spans="33:33" ht="15" customHeight="1">
      <c r="AG221" s="13"/>
    </row>
    <row r="222" spans="33:33" ht="15" customHeight="1">
      <c r="AG222" s="13"/>
    </row>
    <row r="223" spans="33:33" ht="15" customHeight="1">
      <c r="AG223" s="13"/>
    </row>
    <row r="224" spans="33:33" ht="15" customHeight="1">
      <c r="AG224" s="13"/>
    </row>
    <row r="225" spans="33:33" ht="15" customHeight="1">
      <c r="AG225" s="13"/>
    </row>
    <row r="226" spans="33:33" ht="15" customHeight="1">
      <c r="AG226" s="13"/>
    </row>
    <row r="227" spans="33:33" ht="15" customHeight="1">
      <c r="AG227" s="13"/>
    </row>
    <row r="228" spans="33:33" ht="15" customHeight="1">
      <c r="AG228" s="13"/>
    </row>
    <row r="229" spans="33:33" ht="15" customHeight="1">
      <c r="AG229" s="13"/>
    </row>
    <row r="230" spans="33:33" ht="15" customHeight="1">
      <c r="AG230" s="13"/>
    </row>
    <row r="231" spans="33:33" ht="15" customHeight="1">
      <c r="AG231" s="13"/>
    </row>
    <row r="232" spans="33:33" ht="15" customHeight="1">
      <c r="AG232" s="13"/>
    </row>
    <row r="233" spans="33:33" ht="15" customHeight="1">
      <c r="AG233" s="13"/>
    </row>
    <row r="234" spans="33:33" ht="15" customHeight="1">
      <c r="AG234" s="13"/>
    </row>
    <row r="235" spans="33:33" ht="15" customHeight="1">
      <c r="AG235" s="13"/>
    </row>
    <row r="236" spans="33:33" ht="15" customHeight="1">
      <c r="AG236" s="13"/>
    </row>
    <row r="237" spans="33:33" ht="15" customHeight="1">
      <c r="AG237" s="13"/>
    </row>
    <row r="238" spans="33:33" ht="15" customHeight="1">
      <c r="AG238" s="13"/>
    </row>
    <row r="239" spans="33:33" ht="15" customHeight="1">
      <c r="AG239" s="13"/>
    </row>
    <row r="240" spans="33:33" ht="15" customHeight="1">
      <c r="AG240" s="13"/>
    </row>
    <row r="241" spans="33:33" ht="15" customHeight="1">
      <c r="AG241" s="13"/>
    </row>
    <row r="242" spans="33:33" ht="15" customHeight="1">
      <c r="AG242" s="13"/>
    </row>
    <row r="243" spans="33:33" ht="15" customHeight="1">
      <c r="AG243" s="13"/>
    </row>
    <row r="244" spans="33:33" ht="15" customHeight="1">
      <c r="AG244" s="13"/>
    </row>
    <row r="245" spans="33:33" ht="15" customHeight="1">
      <c r="AG245" s="13"/>
    </row>
    <row r="246" spans="33:33" ht="15" customHeight="1">
      <c r="AG246" s="13"/>
    </row>
    <row r="247" spans="33:33" ht="15" customHeight="1">
      <c r="AG247" s="13"/>
    </row>
    <row r="248" spans="33:33" ht="15" customHeight="1">
      <c r="AG248" s="13"/>
    </row>
    <row r="249" spans="33:33" ht="15" customHeight="1">
      <c r="AG249" s="13"/>
    </row>
    <row r="250" spans="33:33" ht="15" customHeight="1">
      <c r="AG250" s="13"/>
    </row>
    <row r="251" spans="33:33" ht="15" customHeight="1">
      <c r="AG251" s="13"/>
    </row>
    <row r="252" spans="33:33" ht="15" customHeight="1">
      <c r="AG252" s="13"/>
    </row>
    <row r="253" spans="33:33" ht="15" customHeight="1">
      <c r="AG253" s="13"/>
    </row>
    <row r="254" spans="33:33" ht="15" customHeight="1">
      <c r="AG254" s="13"/>
    </row>
    <row r="255" spans="33:33" ht="15" customHeight="1">
      <c r="AG255" s="13"/>
    </row>
    <row r="256" spans="33:33" ht="15" customHeight="1">
      <c r="AG256" s="13"/>
    </row>
    <row r="257" spans="33:33" ht="15" customHeight="1">
      <c r="AG257" s="13"/>
    </row>
    <row r="258" spans="33:33" ht="15" customHeight="1">
      <c r="AG258" s="13"/>
    </row>
    <row r="259" spans="33:33" ht="15" customHeight="1">
      <c r="AG259" s="13"/>
    </row>
    <row r="260" spans="33:33" ht="15" customHeight="1">
      <c r="AG260" s="13"/>
    </row>
    <row r="261" spans="33:33" ht="15" customHeight="1">
      <c r="AG261" s="13"/>
    </row>
    <row r="262" spans="33:33" ht="15" customHeight="1">
      <c r="AG262" s="13"/>
    </row>
    <row r="263" spans="33:33" ht="15" customHeight="1">
      <c r="AG263" s="13"/>
    </row>
    <row r="264" spans="33:33" ht="15" customHeight="1">
      <c r="AG264" s="13"/>
    </row>
    <row r="265" spans="33:33" ht="15" customHeight="1">
      <c r="AG265" s="13"/>
    </row>
    <row r="266" spans="33:33" ht="15" customHeight="1">
      <c r="AG266" s="13"/>
    </row>
    <row r="267" spans="33:33" ht="15" customHeight="1">
      <c r="AG267" s="13"/>
    </row>
    <row r="268" spans="33:33" ht="15" customHeight="1">
      <c r="AG268" s="13"/>
    </row>
    <row r="269" spans="33:33" ht="15" customHeight="1">
      <c r="AG269" s="13"/>
    </row>
    <row r="270" spans="33:33" ht="15" customHeight="1">
      <c r="AG270" s="13"/>
    </row>
    <row r="271" spans="33:33" ht="15" customHeight="1">
      <c r="AG271" s="13"/>
    </row>
    <row r="272" spans="33:33" ht="15" customHeight="1">
      <c r="AG272" s="13"/>
    </row>
    <row r="273" spans="33:33" ht="15" customHeight="1">
      <c r="AG273" s="13"/>
    </row>
    <row r="274" spans="33:33" ht="15" customHeight="1">
      <c r="AG274" s="13"/>
    </row>
    <row r="275" spans="33:33" ht="15" customHeight="1">
      <c r="AG275" s="13"/>
    </row>
    <row r="276" spans="33:33" ht="15" customHeight="1">
      <c r="AG276" s="13"/>
    </row>
    <row r="277" spans="33:33" ht="15" customHeight="1">
      <c r="AG277" s="13"/>
    </row>
    <row r="278" spans="33:33" ht="15" customHeight="1">
      <c r="AG278" s="13"/>
    </row>
    <row r="279" spans="33:33" ht="15" customHeight="1">
      <c r="AG279" s="13"/>
    </row>
    <row r="280" spans="33:33" ht="15" customHeight="1">
      <c r="AG280" s="13"/>
    </row>
    <row r="281" spans="33:33" ht="15" customHeight="1">
      <c r="AG281" s="13"/>
    </row>
    <row r="282" spans="33:33" ht="15" customHeight="1">
      <c r="AG282" s="13"/>
    </row>
    <row r="283" spans="33:33" ht="15" customHeight="1">
      <c r="AG283" s="13"/>
    </row>
    <row r="284" spans="33:33" ht="15" customHeight="1">
      <c r="AG284" s="13"/>
    </row>
    <row r="285" spans="33:33" ht="15" customHeight="1">
      <c r="AG285" s="13"/>
    </row>
    <row r="286" spans="33:33" ht="15" customHeight="1">
      <c r="AG286" s="13"/>
    </row>
    <row r="287" spans="33:33" ht="15" customHeight="1">
      <c r="AG287" s="13"/>
    </row>
    <row r="288" spans="33:33" ht="15" customHeight="1">
      <c r="AG288" s="13"/>
    </row>
    <row r="289" spans="33:33" ht="15" customHeight="1">
      <c r="AG289" s="13"/>
    </row>
    <row r="290" spans="33:33" ht="15" customHeight="1">
      <c r="AG290" s="13"/>
    </row>
    <row r="291" spans="33:33" ht="15" customHeight="1">
      <c r="AG291" s="13"/>
    </row>
    <row r="292" spans="33:33" ht="15" customHeight="1">
      <c r="AG292" s="13"/>
    </row>
    <row r="293" spans="33:33" ht="15" customHeight="1">
      <c r="AG293" s="13"/>
    </row>
    <row r="294" spans="33:33" ht="15" customHeight="1">
      <c r="AG294" s="13"/>
    </row>
    <row r="295" spans="33:33" ht="15" customHeight="1">
      <c r="AG295" s="13"/>
    </row>
    <row r="296" spans="33:33" ht="15" customHeight="1">
      <c r="AG296" s="13"/>
    </row>
    <row r="297" spans="33:33" ht="15" customHeight="1">
      <c r="AG297" s="13"/>
    </row>
    <row r="298" spans="33:33" ht="15" customHeight="1">
      <c r="AG298" s="13"/>
    </row>
    <row r="299" spans="33:33" ht="15" customHeight="1">
      <c r="AG299" s="13"/>
    </row>
    <row r="300" spans="33:33" ht="15" customHeight="1">
      <c r="AG300" s="13"/>
    </row>
    <row r="301" spans="33:33" ht="15" customHeight="1">
      <c r="AG301" s="13"/>
    </row>
    <row r="302" spans="33:33" ht="15" customHeight="1">
      <c r="AG302" s="13"/>
    </row>
    <row r="303" spans="33:33" ht="15" customHeight="1">
      <c r="AG303" s="13"/>
    </row>
    <row r="304" spans="33:33" ht="15" customHeight="1">
      <c r="AG304" s="13"/>
    </row>
    <row r="305" spans="33:33" ht="15" customHeight="1">
      <c r="AG305" s="13"/>
    </row>
    <row r="306" spans="33:33" ht="15" customHeight="1">
      <c r="AG306" s="13"/>
    </row>
    <row r="307" spans="33:33" ht="15" customHeight="1">
      <c r="AG307" s="13"/>
    </row>
    <row r="308" spans="33:33" ht="15" customHeight="1">
      <c r="AG308" s="13"/>
    </row>
    <row r="309" spans="33:33" ht="15" customHeight="1">
      <c r="AG309" s="13"/>
    </row>
    <row r="310" spans="33:33" ht="15" customHeight="1">
      <c r="AG310" s="13"/>
    </row>
    <row r="311" spans="33:33" ht="15" customHeight="1">
      <c r="AG311" s="13"/>
    </row>
    <row r="312" spans="33:33" ht="15" customHeight="1">
      <c r="AG312" s="13"/>
    </row>
    <row r="313" spans="33:33" ht="15" customHeight="1">
      <c r="AG313" s="13"/>
    </row>
    <row r="314" spans="33:33" ht="15" customHeight="1">
      <c r="AG314" s="13"/>
    </row>
    <row r="315" spans="33:33" ht="15" customHeight="1">
      <c r="AG315" s="13"/>
    </row>
    <row r="316" spans="33:33" ht="15" customHeight="1">
      <c r="AG316" s="13"/>
    </row>
    <row r="317" spans="33:33" ht="15" customHeight="1">
      <c r="AG317" s="13"/>
    </row>
    <row r="318" spans="33:33" ht="15" customHeight="1">
      <c r="AG318" s="13"/>
    </row>
    <row r="319" spans="33:33" ht="15" customHeight="1">
      <c r="AG319" s="13"/>
    </row>
    <row r="320" spans="33:33" ht="15" customHeight="1">
      <c r="AG320" s="13"/>
    </row>
    <row r="321" spans="33:33" ht="15" customHeight="1">
      <c r="AG321" s="13"/>
    </row>
    <row r="322" spans="33:33" ht="15" customHeight="1">
      <c r="AG322" s="13"/>
    </row>
    <row r="323" spans="33:33" ht="15" customHeight="1">
      <c r="AG323" s="13"/>
    </row>
    <row r="324" spans="33:33" ht="15" customHeight="1">
      <c r="AG324" s="13"/>
    </row>
    <row r="325" spans="33:33" ht="15" customHeight="1">
      <c r="AG325" s="13"/>
    </row>
    <row r="326" spans="33:33" ht="15" customHeight="1">
      <c r="AG326" s="13"/>
    </row>
    <row r="327" spans="33:33" ht="15" customHeight="1">
      <c r="AG327" s="13"/>
    </row>
    <row r="328" spans="33:33" ht="15" customHeight="1">
      <c r="AG328" s="13"/>
    </row>
    <row r="329" spans="33:33" ht="15" customHeight="1">
      <c r="AG329" s="13"/>
    </row>
    <row r="330" spans="33:33" ht="15" customHeight="1">
      <c r="AG330" s="13"/>
    </row>
    <row r="331" spans="33:33" ht="15" customHeight="1">
      <c r="AG331" s="13"/>
    </row>
  </sheetData>
  <mergeCells count="394">
    <mergeCell ref="DP100:DP101"/>
    <mergeCell ref="DR1:ED4"/>
    <mergeCell ref="DP5:DP99"/>
    <mergeCell ref="DR5:DW6"/>
    <mergeCell ref="DY5:ED6"/>
    <mergeCell ref="DR7:DW23"/>
    <mergeCell ref="DY7:ED23"/>
    <mergeCell ref="DR24:DW25"/>
    <mergeCell ref="DY24:ED25"/>
    <mergeCell ref="DR26:DW42"/>
    <mergeCell ref="DY26:ED42"/>
    <mergeCell ref="DR43:DW44"/>
    <mergeCell ref="DY43:ED44"/>
    <mergeCell ref="DR45:DW61"/>
    <mergeCell ref="DY45:ED61"/>
    <mergeCell ref="DR62:DW63"/>
    <mergeCell ref="DY62:ED63"/>
    <mergeCell ref="DR64:DW80"/>
    <mergeCell ref="DY64:ED80"/>
    <mergeCell ref="DR81:DW82"/>
    <mergeCell ref="DY81:ED82"/>
    <mergeCell ref="DR83:DW99"/>
    <mergeCell ref="DY83:ED99"/>
    <mergeCell ref="CZ100:CZ101"/>
    <mergeCell ref="DB1:DN4"/>
    <mergeCell ref="CZ5:CZ99"/>
    <mergeCell ref="DB5:DG6"/>
    <mergeCell ref="DI5:DN6"/>
    <mergeCell ref="DB29:DG30"/>
    <mergeCell ref="DI29:DN30"/>
    <mergeCell ref="DB53:DG54"/>
    <mergeCell ref="DI53:DN54"/>
    <mergeCell ref="DB77:DG78"/>
    <mergeCell ref="DI77:DN78"/>
    <mergeCell ref="DB79:DG98"/>
    <mergeCell ref="DI79:DN98"/>
    <mergeCell ref="DB7:DG27"/>
    <mergeCell ref="DI7:DN27"/>
    <mergeCell ref="DB31:DG51"/>
    <mergeCell ref="DI31:DN51"/>
    <mergeCell ref="DB55:DG75"/>
    <mergeCell ref="DI55:DN75"/>
    <mergeCell ref="FE60:FE62"/>
    <mergeCell ref="FF60:FG62"/>
    <mergeCell ref="FH60:FH62"/>
    <mergeCell ref="FI60:FJ62"/>
    <mergeCell ref="FF63:FG65"/>
    <mergeCell ref="FH63:FH65"/>
    <mergeCell ref="FE51:FE53"/>
    <mergeCell ref="FF51:FG53"/>
    <mergeCell ref="FH51:FH53"/>
    <mergeCell ref="FI51:FJ53"/>
    <mergeCell ref="FE54:FE56"/>
    <mergeCell ref="FF54:FG56"/>
    <mergeCell ref="FH54:FH56"/>
    <mergeCell ref="FI54:FJ56"/>
    <mergeCell ref="FE57:FE59"/>
    <mergeCell ref="FF57:FG59"/>
    <mergeCell ref="FH57:FH59"/>
    <mergeCell ref="FI57:FJ59"/>
    <mergeCell ref="FE42:FE44"/>
    <mergeCell ref="FF42:FG44"/>
    <mergeCell ref="FH42:FH44"/>
    <mergeCell ref="FI42:FJ44"/>
    <mergeCell ref="FE45:FE47"/>
    <mergeCell ref="FF45:FG47"/>
    <mergeCell ref="FH45:FH47"/>
    <mergeCell ref="FI45:FJ47"/>
    <mergeCell ref="FE48:FE50"/>
    <mergeCell ref="FF48:FG50"/>
    <mergeCell ref="FH48:FH50"/>
    <mergeCell ref="FI48:FJ50"/>
    <mergeCell ref="FF37:FG38"/>
    <mergeCell ref="FI37:FJ38"/>
    <mergeCell ref="FE39:FE41"/>
    <mergeCell ref="FF39:FG41"/>
    <mergeCell ref="FH39:FH41"/>
    <mergeCell ref="FI39:FJ41"/>
    <mergeCell ref="EX37:EX38"/>
    <mergeCell ref="EY37:FC38"/>
    <mergeCell ref="EX39:EX41"/>
    <mergeCell ref="EY39:FC41"/>
    <mergeCell ref="EX42:EX44"/>
    <mergeCell ref="EY42:FC44"/>
    <mergeCell ref="EX45:EX47"/>
    <mergeCell ref="EY45:FC47"/>
    <mergeCell ref="EX48:EX50"/>
    <mergeCell ref="EY48:FC50"/>
    <mergeCell ref="EX51:EX53"/>
    <mergeCell ref="EX54:EX56"/>
    <mergeCell ref="EY51:FC53"/>
    <mergeCell ref="EY54:FC56"/>
    <mergeCell ref="FH9:FJ16"/>
    <mergeCell ref="EX25:EY32"/>
    <mergeCell ref="EZ25:EZ32"/>
    <mergeCell ref="FA25:FC32"/>
    <mergeCell ref="FD17:FG24"/>
    <mergeCell ref="FH17:FJ24"/>
    <mergeCell ref="FD25:FJ32"/>
    <mergeCell ref="EX17:EY24"/>
    <mergeCell ref="EZ17:EZ24"/>
    <mergeCell ref="FA17:FC24"/>
    <mergeCell ref="FA7:FC8"/>
    <mergeCell ref="EX5:FJ6"/>
    <mergeCell ref="FH7:FJ8"/>
    <mergeCell ref="FD7:FG8"/>
    <mergeCell ref="FE63:FE65"/>
    <mergeCell ref="FI63:FJ65"/>
    <mergeCell ref="EV100:EV101"/>
    <mergeCell ref="EX63:EX65"/>
    <mergeCell ref="EY63:FC65"/>
    <mergeCell ref="EX68:FC69"/>
    <mergeCell ref="EX90:EY90"/>
    <mergeCell ref="FE68:FJ69"/>
    <mergeCell ref="EX60:EX62"/>
    <mergeCell ref="EY60:FC62"/>
    <mergeCell ref="EX35:FC36"/>
    <mergeCell ref="FE35:FJ36"/>
    <mergeCell ref="FE37:FE38"/>
    <mergeCell ref="FH37:FH38"/>
    <mergeCell ref="EX57:EX59"/>
    <mergeCell ref="EY57:FC59"/>
    <mergeCell ref="EX9:EY16"/>
    <mergeCell ref="EZ9:EZ16"/>
    <mergeCell ref="FA9:FC16"/>
    <mergeCell ref="FD9:FG16"/>
    <mergeCell ref="EX1:FJ4"/>
    <mergeCell ref="EV5:EV99"/>
    <mergeCell ref="EP64:EQ66"/>
    <mergeCell ref="EP67:EQ69"/>
    <mergeCell ref="ER43:ES45"/>
    <mergeCell ref="ER46:ES48"/>
    <mergeCell ref="ER49:ES51"/>
    <mergeCell ref="ER52:ES54"/>
    <mergeCell ref="ER55:ES57"/>
    <mergeCell ref="ER58:ES60"/>
    <mergeCell ref="ER61:ES63"/>
    <mergeCell ref="ER64:ES66"/>
    <mergeCell ref="ER67:ES69"/>
    <mergeCell ref="EP40:EQ42"/>
    <mergeCell ref="ER40:ES42"/>
    <mergeCell ref="EP43:EQ45"/>
    <mergeCell ref="EP46:EQ48"/>
    <mergeCell ref="EP49:EQ51"/>
    <mergeCell ref="EP52:EQ54"/>
    <mergeCell ref="EP55:EQ57"/>
    <mergeCell ref="EP58:EQ60"/>
    <mergeCell ref="EP61:EQ63"/>
    <mergeCell ref="EX7:EY8"/>
    <mergeCell ref="EZ7:EZ8"/>
    <mergeCell ref="EN46:EN48"/>
    <mergeCell ref="EN49:EN51"/>
    <mergeCell ref="EN52:EN54"/>
    <mergeCell ref="EN55:EN57"/>
    <mergeCell ref="EN58:EN60"/>
    <mergeCell ref="EN61:EN63"/>
    <mergeCell ref="EN64:EN66"/>
    <mergeCell ref="EN67:EN69"/>
    <mergeCell ref="EO43:EO45"/>
    <mergeCell ref="EO46:EO48"/>
    <mergeCell ref="EO49:EO51"/>
    <mergeCell ref="EO52:EO54"/>
    <mergeCell ref="EO55:EO57"/>
    <mergeCell ref="EO58:EO60"/>
    <mergeCell ref="EO61:EO63"/>
    <mergeCell ref="EO64:EO66"/>
    <mergeCell ref="EO67:EO69"/>
    <mergeCell ref="EG46:EH47"/>
    <mergeCell ref="EG48:EH49"/>
    <mergeCell ref="EG50:EH51"/>
    <mergeCell ref="EG52:EH63"/>
    <mergeCell ref="EI52:EJ63"/>
    <mergeCell ref="EK40:EL41"/>
    <mergeCell ref="EK42:EL43"/>
    <mergeCell ref="EK44:EL45"/>
    <mergeCell ref="EK46:EL47"/>
    <mergeCell ref="EK48:EL49"/>
    <mergeCell ref="EK50:EL51"/>
    <mergeCell ref="EI42:EJ43"/>
    <mergeCell ref="EI44:EJ45"/>
    <mergeCell ref="EI46:EJ47"/>
    <mergeCell ref="EI48:EJ49"/>
    <mergeCell ref="EI50:EJ51"/>
    <mergeCell ref="EK52:EL63"/>
    <mergeCell ref="EN12:EN14"/>
    <mergeCell ref="EO15:EO17"/>
    <mergeCell ref="EP15:EP17"/>
    <mergeCell ref="EQ15:EQ17"/>
    <mergeCell ref="ER15:ES17"/>
    <mergeCell ref="EN24:EN26"/>
    <mergeCell ref="EO24:EO26"/>
    <mergeCell ref="EG42:EH43"/>
    <mergeCell ref="EG44:EH45"/>
    <mergeCell ref="EN40:EN42"/>
    <mergeCell ref="EO40:EO42"/>
    <mergeCell ref="EN43:EN45"/>
    <mergeCell ref="EO38:EO39"/>
    <mergeCell ref="EP38:EQ39"/>
    <mergeCell ref="ER38:ES39"/>
    <mergeCell ref="EN18:EN20"/>
    <mergeCell ref="EO18:EO20"/>
    <mergeCell ref="EP18:EP20"/>
    <mergeCell ref="EQ18:EQ20"/>
    <mergeCell ref="ER18:ES20"/>
    <mergeCell ref="EN21:EN23"/>
    <mergeCell ref="EO21:EO23"/>
    <mergeCell ref="EP21:EP23"/>
    <mergeCell ref="EQ21:EQ23"/>
    <mergeCell ref="EQ24:EQ26"/>
    <mergeCell ref="ER21:ES23"/>
    <mergeCell ref="ER24:ES26"/>
    <mergeCell ref="AZ100:AZ101"/>
    <mergeCell ref="BB5:BB6"/>
    <mergeCell ref="BC5:BC6"/>
    <mergeCell ref="BD5:BD6"/>
    <mergeCell ref="BE5:BE6"/>
    <mergeCell ref="BF5:BF6"/>
    <mergeCell ref="BH5:BH6"/>
    <mergeCell ref="BI5:BI6"/>
    <mergeCell ref="BJ5:BJ6"/>
    <mergeCell ref="BK5:BK6"/>
    <mergeCell ref="BL5:BL6"/>
    <mergeCell ref="BM5:BM6"/>
    <mergeCell ref="BN5:BN6"/>
    <mergeCell ref="BO5:BO6"/>
    <mergeCell ref="BR100:BR101"/>
    <mergeCell ref="EE100:EE101"/>
    <mergeCell ref="EG38:EH39"/>
    <mergeCell ref="EI38:EJ39"/>
    <mergeCell ref="EK38:EL39"/>
    <mergeCell ref="EG7:EL33"/>
    <mergeCell ref="EN38:EN39"/>
    <mergeCell ref="BB1:BO4"/>
    <mergeCell ref="AZ5:AZ99"/>
    <mergeCell ref="AU39:AW39"/>
    <mergeCell ref="C5:O6"/>
    <mergeCell ref="C66:H67"/>
    <mergeCell ref="S5:S6"/>
    <mergeCell ref="T5:T6"/>
    <mergeCell ref="U5:U6"/>
    <mergeCell ref="V5:V6"/>
    <mergeCell ref="AR46:AR47"/>
    <mergeCell ref="AS46:AS47"/>
    <mergeCell ref="AP37:AW38"/>
    <mergeCell ref="AB5:AB6"/>
    <mergeCell ref="AC5:AC6"/>
    <mergeCell ref="AJ5:AW6"/>
    <mergeCell ref="W5:W6"/>
    <mergeCell ref="X5:X6"/>
    <mergeCell ref="Y5:Y6"/>
    <mergeCell ref="Z5:Z6"/>
    <mergeCell ref="AU41:AW41"/>
    <mergeCell ref="AU42:AW42"/>
    <mergeCell ref="AU43:AW43"/>
    <mergeCell ref="J66:O67"/>
    <mergeCell ref="AJ43:AK43"/>
    <mergeCell ref="A1:A2"/>
    <mergeCell ref="A3:A4"/>
    <mergeCell ref="C1:O4"/>
    <mergeCell ref="A5:A99"/>
    <mergeCell ref="S1:AC4"/>
    <mergeCell ref="Q5:Q99"/>
    <mergeCell ref="C75:D75"/>
    <mergeCell ref="C76:D76"/>
    <mergeCell ref="C77:D77"/>
    <mergeCell ref="C78:D78"/>
    <mergeCell ref="C7:O38"/>
    <mergeCell ref="J86:O87"/>
    <mergeCell ref="C96:D96"/>
    <mergeCell ref="C97:D97"/>
    <mergeCell ref="C98:D98"/>
    <mergeCell ref="J90:K90"/>
    <mergeCell ref="AA5:AA6"/>
    <mergeCell ref="C41:H42"/>
    <mergeCell ref="C71:D71"/>
    <mergeCell ref="C72:D72"/>
    <mergeCell ref="C73:D73"/>
    <mergeCell ref="C74:D74"/>
    <mergeCell ref="C70:D70"/>
    <mergeCell ref="J89:K89"/>
    <mergeCell ref="A100:A101"/>
    <mergeCell ref="C86:H87"/>
    <mergeCell ref="C68:D68"/>
    <mergeCell ref="C69:D69"/>
    <mergeCell ref="C93:D93"/>
    <mergeCell ref="C94:D94"/>
    <mergeCell ref="C95:D95"/>
    <mergeCell ref="C91:D91"/>
    <mergeCell ref="C92:D92"/>
    <mergeCell ref="C88:D88"/>
    <mergeCell ref="C89:D89"/>
    <mergeCell ref="C90:D90"/>
    <mergeCell ref="J41:O42"/>
    <mergeCell ref="J91:K91"/>
    <mergeCell ref="J92:K92"/>
    <mergeCell ref="J93:K93"/>
    <mergeCell ref="J94:K94"/>
    <mergeCell ref="J95:K95"/>
    <mergeCell ref="J88:K88"/>
    <mergeCell ref="AH100:AH101"/>
    <mergeCell ref="AJ41:AK41"/>
    <mergeCell ref="AJ42:AK42"/>
    <mergeCell ref="AH5:AH99"/>
    <mergeCell ref="Q100:Q101"/>
    <mergeCell ref="S78:S81"/>
    <mergeCell ref="S82:S84"/>
    <mergeCell ref="S85:S88"/>
    <mergeCell ref="S89:S90"/>
    <mergeCell ref="S91:S96"/>
    <mergeCell ref="S7:S42"/>
    <mergeCell ref="S43:S47"/>
    <mergeCell ref="S48:S57"/>
    <mergeCell ref="S58:S59"/>
    <mergeCell ref="S60:S68"/>
    <mergeCell ref="S69:S73"/>
    <mergeCell ref="S74:S77"/>
    <mergeCell ref="AP42:AQ42"/>
    <mergeCell ref="AP43:AQ43"/>
    <mergeCell ref="AJ39:AK39"/>
    <mergeCell ref="AJ40:AK40"/>
    <mergeCell ref="AP39:AQ39"/>
    <mergeCell ref="AL46:AL47"/>
    <mergeCell ref="AM46:AM47"/>
    <mergeCell ref="AN46:AN47"/>
    <mergeCell ref="AP46:AP47"/>
    <mergeCell ref="AQ46:AQ47"/>
    <mergeCell ref="AK46:AK47"/>
    <mergeCell ref="CK1:CW4"/>
    <mergeCell ref="CI5:CI99"/>
    <mergeCell ref="CI100:CI101"/>
    <mergeCell ref="CK5:CP6"/>
    <mergeCell ref="CR5:CW6"/>
    <mergeCell ref="CK29:CP30"/>
    <mergeCell ref="CR29:CW30"/>
    <mergeCell ref="CK53:CP54"/>
    <mergeCell ref="CR53:CW54"/>
    <mergeCell ref="CK77:CP78"/>
    <mergeCell ref="CR77:CW78"/>
    <mergeCell ref="CK31:CP51"/>
    <mergeCell ref="CR7:CW27"/>
    <mergeCell ref="CK7:CP27"/>
    <mergeCell ref="CR31:CW51"/>
    <mergeCell ref="CK55:CP75"/>
    <mergeCell ref="CR55:CW75"/>
    <mergeCell ref="CK79:CP98"/>
    <mergeCell ref="CR79:CW98"/>
    <mergeCell ref="BT1:CF4"/>
    <mergeCell ref="BT5:CF6"/>
    <mergeCell ref="BT87:CF99"/>
    <mergeCell ref="AJ1:AW4"/>
    <mergeCell ref="BT59:BX60"/>
    <mergeCell ref="BZ59:CF60"/>
    <mergeCell ref="AJ46:AJ47"/>
    <mergeCell ref="AV46:AV47"/>
    <mergeCell ref="AW46:AW47"/>
    <mergeCell ref="BR5:BR99"/>
    <mergeCell ref="BT37:BX38"/>
    <mergeCell ref="BZ37:CF38"/>
    <mergeCell ref="AP40:AQ40"/>
    <mergeCell ref="AJ7:AW35"/>
    <mergeCell ref="AJ37:AN38"/>
    <mergeCell ref="AR40:AT40"/>
    <mergeCell ref="AR41:AT41"/>
    <mergeCell ref="AR42:AT42"/>
    <mergeCell ref="AR43:AT43"/>
    <mergeCell ref="AU40:AW40"/>
    <mergeCell ref="AT46:AT47"/>
    <mergeCell ref="AU46:AU47"/>
    <mergeCell ref="AR39:AT39"/>
    <mergeCell ref="AP41:AQ41"/>
    <mergeCell ref="EG1:ES4"/>
    <mergeCell ref="EE5:EE99"/>
    <mergeCell ref="EG5:EL6"/>
    <mergeCell ref="EN5:ES6"/>
    <mergeCell ref="EG36:EL37"/>
    <mergeCell ref="EN36:ES37"/>
    <mergeCell ref="EG40:EH41"/>
    <mergeCell ref="EI40:EJ41"/>
    <mergeCell ref="EO9:EO11"/>
    <mergeCell ref="EP9:EP11"/>
    <mergeCell ref="EQ9:EQ11"/>
    <mergeCell ref="ER9:ES11"/>
    <mergeCell ref="EN7:EN8"/>
    <mergeCell ref="EO7:EO8"/>
    <mergeCell ref="EP7:EP8"/>
    <mergeCell ref="EQ7:EQ8"/>
    <mergeCell ref="ER7:ES8"/>
    <mergeCell ref="EN9:EN11"/>
    <mergeCell ref="EO12:EO14"/>
    <mergeCell ref="EP12:EP14"/>
    <mergeCell ref="EQ12:EQ14"/>
    <mergeCell ref="ER12:ES14"/>
    <mergeCell ref="EN15:EN17"/>
    <mergeCell ref="EP24:EP26"/>
  </mergeCells>
  <phoneticPr fontId="21" type="noConversion"/>
  <conditionalFormatting sqref="L88 CA108:CA109">
    <cfRule type="expression" dxfId="38" priority="13" stopIfTrue="1">
      <formula>N88&lt;0</formula>
    </cfRule>
  </conditionalFormatting>
  <conditionalFormatting sqref="CQ123:CQ124">
    <cfRule type="expression" dxfId="37" priority="5" stopIfTrue="1">
      <formula>CS123&lt;0</formula>
    </cfRule>
  </conditionalFormatting>
  <conditionalFormatting sqref="DH123:DH124">
    <cfRule type="expression" dxfId="36" priority="2" stopIfTrue="1">
      <formula>DJ123&lt;0</formula>
    </cfRule>
  </conditionalFormatting>
  <conditionalFormatting sqref="DX108:DX109">
    <cfRule type="expression" dxfId="35" priority="1" stopIfTrue="1">
      <formula>DZ108&lt;0</formula>
    </cfRule>
  </conditionalFormatting>
  <conditionalFormatting sqref="EM112:EM113">
    <cfRule type="expression" dxfId="34" priority="4" stopIfTrue="1">
      <formula>EO112&lt;0</formula>
    </cfRule>
  </conditionalFormatting>
  <conditionalFormatting sqref="FD111:FD112">
    <cfRule type="expression" dxfId="33" priority="3" stopIfTrue="1">
      <formula>FF111&lt;0</formula>
    </cfRule>
  </conditionalFormatting>
  <pageMargins left="0.23622047244094488" right="0.23622047244094488" top="0.74803149606299213" bottom="0.74803149606299213" header="0.31496062992125984" footer="0.31496062992125984"/>
  <pageSetup paperSize="9" scale="32" pageOrder="overThenDown" orientation="portrait" r:id="rId1"/>
  <headerFooter>
    <oddHeader>&amp;L&amp;"Calibri,粗體"&amp;24Fixed Income Weekly Recap &amp;D&amp;R&amp;G</oddHeader>
    <oddFooter>&amp;L&amp;"微軟正黑體,粗體"&amp;U免責聲明：&amp;"微軟正黑體,標準"&amp;U
本報告內容僅供參考，客戶應審慎考量本身之需求與投資風險，本公司恕不負任何法律責任，亦不作任何保證。本報告中之內容或有取材於本公司認可之來源，但並不保證其真實性或完整性；報告中所有資訊或預估，變更時本公司將不作預告，若資料內容有未盡完善之處，恕不負責。此外，非經本公司同意，不得將本報告加以複製或轉載。</oddFooter>
  </headerFooter>
  <drawing r:id="rId2"/>
  <legacyDrawingHF r:id="rId3"/>
  <webPublishItems count="1">
    <webPublishItem id="22562" divId="Sinopac_Foreign_Bond_Review_22562" sourceType="sheet" destinationFile="C:\Documents and Settings\Administrator\桌面\Comments\template\Sinopac_Foreign_Bond_Review.mht"/>
  </webPublishItem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3">
    <tabColor rgb="FFFFC000"/>
    <pageSetUpPr fitToPage="1"/>
  </sheetPr>
  <dimension ref="E1:BB230"/>
  <sheetViews>
    <sheetView zoomScale="85" zoomScaleNormal="85" workbookViewId="0">
      <pane xSplit="9" ySplit="6" topLeftCell="J132" activePane="bottomRight" state="frozen"/>
      <selection pane="topRight" activeCell="F1" sqref="F1"/>
      <selection pane="bottomLeft" activeCell="A7" sqref="A7"/>
      <selection pane="bottomRight" activeCell="L148" sqref="L148"/>
    </sheetView>
  </sheetViews>
  <sheetFormatPr defaultColWidth="9" defaultRowHeight="12.75"/>
  <cols>
    <col min="1" max="4" width="9" style="66"/>
    <col min="5" max="5" width="16" style="71" bestFit="1" customWidth="1"/>
    <col min="6" max="6" width="18.75" style="66" bestFit="1" customWidth="1"/>
    <col min="7" max="7" width="18.75" style="66" customWidth="1"/>
    <col min="8" max="8" width="22" style="66" customWidth="1"/>
    <col min="9" max="9" width="14.125" style="66" customWidth="1"/>
    <col min="10" max="10" width="26.125" style="66" customWidth="1"/>
    <col min="11" max="11" width="27.75" style="66" customWidth="1"/>
    <col min="12" max="12" width="10.25" style="67" customWidth="1"/>
    <col min="13" max="15" width="8.625" style="68" customWidth="1"/>
    <col min="16" max="16" width="18.75" style="69" customWidth="1"/>
    <col min="17" max="17" width="7.75" style="69" customWidth="1"/>
    <col min="18" max="18" width="7.375" style="69" customWidth="1"/>
    <col min="19" max="19" width="9.125" style="69" customWidth="1"/>
    <col min="20" max="20" width="7.375" style="70" customWidth="1"/>
    <col min="21" max="21" width="8.25" style="70" customWidth="1"/>
    <col min="22" max="22" width="7.625" style="70" customWidth="1"/>
    <col min="23" max="26" width="8.25" style="70" customWidth="1"/>
    <col min="27" max="27" width="7.375" style="70" customWidth="1"/>
    <col min="28" max="33" width="7.25" style="66" customWidth="1"/>
    <col min="34" max="34" width="10.125" style="66" customWidth="1"/>
    <col min="35" max="39" width="5" style="66" customWidth="1"/>
    <col min="40" max="40" width="9" style="66" customWidth="1"/>
    <col min="41" max="41" width="19" style="66" customWidth="1"/>
    <col min="42" max="42" width="9" style="66" customWidth="1"/>
    <col min="43" max="43" width="11.25" style="66" customWidth="1"/>
    <col min="44" max="44" width="14" style="66" customWidth="1"/>
    <col min="45" max="48" width="9" style="66" customWidth="1"/>
    <col min="49" max="49" width="12.25" style="66" customWidth="1"/>
    <col min="50" max="50" width="11.625" style="66" customWidth="1"/>
    <col min="51" max="51" width="11.875" style="66" customWidth="1"/>
    <col min="52" max="53" width="11.625" style="66" bestFit="1" customWidth="1"/>
    <col min="54" max="16384" width="9" style="66"/>
  </cols>
  <sheetData>
    <row r="1" spans="5:54">
      <c r="E1" s="65">
        <f ca="1">TODAY()</f>
        <v>46241</v>
      </c>
      <c r="F1" s="65">
        <f ca="1">WORKDAY(E1,-3)</f>
        <v>46238</v>
      </c>
      <c r="V1" s="70" t="s">
        <v>884</v>
      </c>
    </row>
    <row r="2" spans="5:54">
      <c r="E2" s="65">
        <f ca="1">TODAY()-1</f>
        <v>46240</v>
      </c>
      <c r="V2" s="70" t="s">
        <v>486</v>
      </c>
      <c r="X2" s="70" t="s">
        <v>885</v>
      </c>
      <c r="AX2" s="66" t="s">
        <v>886</v>
      </c>
    </row>
    <row r="3" spans="5:54">
      <c r="F3" s="66" t="s">
        <v>887</v>
      </c>
      <c r="J3" s="66" t="s">
        <v>1189</v>
      </c>
      <c r="K3" s="66" t="s">
        <v>888</v>
      </c>
      <c r="L3" s="72" t="s">
        <v>25</v>
      </c>
      <c r="M3" s="68" t="s">
        <v>889</v>
      </c>
      <c r="N3" s="68" t="s">
        <v>890</v>
      </c>
      <c r="O3" s="68" t="s">
        <v>891</v>
      </c>
      <c r="P3" s="69" t="s">
        <v>892</v>
      </c>
      <c r="Q3" s="69" t="s">
        <v>893</v>
      </c>
      <c r="R3" s="69" t="s">
        <v>894</v>
      </c>
      <c r="S3" s="69" t="s">
        <v>895</v>
      </c>
      <c r="U3" s="70" t="s">
        <v>896</v>
      </c>
      <c r="V3" s="70" t="s">
        <v>897</v>
      </c>
      <c r="W3" s="70" t="s">
        <v>898</v>
      </c>
      <c r="X3" s="70" t="s">
        <v>885</v>
      </c>
      <c r="Y3" s="70" t="s">
        <v>899</v>
      </c>
      <c r="Z3" s="70" t="s">
        <v>900</v>
      </c>
      <c r="AT3" s="66" t="s">
        <v>901</v>
      </c>
      <c r="AU3" s="66" t="s">
        <v>901</v>
      </c>
      <c r="AV3" s="66" t="s">
        <v>901</v>
      </c>
      <c r="AX3" s="66" t="s">
        <v>902</v>
      </c>
    </row>
    <row r="4" spans="5:54" ht="17.25" thickBot="1">
      <c r="I4" s="73">
        <f ca="1">TODAY()</f>
        <v>46241</v>
      </c>
      <c r="L4" s="72"/>
      <c r="T4" s="74" t="e">
        <f t="array" aca="1" ref="T4" ca="1">(_xll.BDP("US0003M Index","PX_LAST")+110/10000*100)%</f>
        <v>#NAME?</v>
      </c>
      <c r="AB4" s="634"/>
      <c r="AC4" s="634"/>
      <c r="AD4" s="634"/>
      <c r="AE4" s="634"/>
      <c r="AF4" s="634"/>
      <c r="AG4" s="634"/>
      <c r="AO4" s="66" t="s">
        <v>903</v>
      </c>
      <c r="AR4" s="66" t="s">
        <v>904</v>
      </c>
      <c r="AT4" s="66" t="s">
        <v>881</v>
      </c>
      <c r="AU4" s="66" t="s">
        <v>882</v>
      </c>
      <c r="AV4" s="66" t="s">
        <v>905</v>
      </c>
    </row>
    <row r="5" spans="5:54" ht="19.5" customHeight="1" thickBot="1">
      <c r="E5" s="75"/>
      <c r="F5" s="76"/>
      <c r="G5" s="76" t="s">
        <v>906</v>
      </c>
      <c r="I5" s="77" t="s">
        <v>907</v>
      </c>
      <c r="J5" s="77" t="s">
        <v>908</v>
      </c>
      <c r="K5" s="78" t="s">
        <v>909</v>
      </c>
      <c r="L5" s="635" t="s">
        <v>910</v>
      </c>
      <c r="M5" s="636"/>
      <c r="N5" s="636"/>
      <c r="O5" s="637"/>
      <c r="P5" s="635" t="s">
        <v>911</v>
      </c>
      <c r="Q5" s="636"/>
      <c r="R5" s="636"/>
      <c r="S5" s="637"/>
      <c r="T5" s="635" t="s">
        <v>912</v>
      </c>
      <c r="U5" s="636"/>
      <c r="V5" s="636"/>
      <c r="W5" s="637"/>
      <c r="X5" s="635" t="s">
        <v>913</v>
      </c>
      <c r="Y5" s="636"/>
      <c r="Z5" s="637"/>
      <c r="AA5" s="79"/>
      <c r="AB5" s="638"/>
      <c r="AC5" s="638"/>
      <c r="AD5" s="638"/>
      <c r="AE5" s="638"/>
      <c r="AF5" s="638"/>
      <c r="AG5" s="638"/>
      <c r="AH5" s="639" t="s">
        <v>914</v>
      </c>
      <c r="AI5" s="639"/>
      <c r="AJ5" s="639"/>
      <c r="AK5" s="639" t="s">
        <v>915</v>
      </c>
      <c r="AL5" s="639"/>
      <c r="AM5" s="639"/>
      <c r="AN5" s="66" t="s">
        <v>916</v>
      </c>
      <c r="AT5" s="66" t="s">
        <v>916</v>
      </c>
      <c r="AU5" s="66" t="s">
        <v>916</v>
      </c>
      <c r="AV5" s="66" t="s">
        <v>916</v>
      </c>
      <c r="AW5" s="66" t="s">
        <v>881</v>
      </c>
      <c r="AX5" s="66" t="s">
        <v>882</v>
      </c>
      <c r="AY5" s="66" t="s">
        <v>905</v>
      </c>
      <c r="AZ5" s="80"/>
      <c r="BA5" s="81"/>
    </row>
    <row r="6" spans="5:54" ht="14.25" thickBot="1">
      <c r="E6" s="75"/>
      <c r="F6" s="76"/>
      <c r="G6" s="76"/>
      <c r="I6" s="82"/>
      <c r="J6" s="83"/>
      <c r="K6" s="84"/>
      <c r="L6" s="85" t="s">
        <v>917</v>
      </c>
      <c r="M6" s="86" t="s">
        <v>1187</v>
      </c>
      <c r="N6" s="86" t="s">
        <v>918</v>
      </c>
      <c r="O6" s="87" t="s">
        <v>919</v>
      </c>
      <c r="P6" s="85" t="s">
        <v>920</v>
      </c>
      <c r="Q6" s="86" t="s">
        <v>1187</v>
      </c>
      <c r="R6" s="86" t="s">
        <v>921</v>
      </c>
      <c r="S6" s="87" t="s">
        <v>922</v>
      </c>
      <c r="T6" s="88" t="s">
        <v>923</v>
      </c>
      <c r="U6" s="89" t="s">
        <v>55</v>
      </c>
      <c r="V6" s="90" t="s">
        <v>76</v>
      </c>
      <c r="W6" s="91" t="s">
        <v>396</v>
      </c>
      <c r="X6" s="92" t="s">
        <v>55</v>
      </c>
      <c r="Y6" s="90" t="s">
        <v>76</v>
      </c>
      <c r="Z6" s="91" t="s">
        <v>396</v>
      </c>
      <c r="AB6" s="93" t="s">
        <v>881</v>
      </c>
      <c r="AC6" s="93" t="s">
        <v>882</v>
      </c>
      <c r="AD6" s="93" t="s">
        <v>883</v>
      </c>
      <c r="AE6" s="93" t="s">
        <v>881</v>
      </c>
      <c r="AF6" s="93" t="s">
        <v>882</v>
      </c>
      <c r="AG6" s="93" t="s">
        <v>883</v>
      </c>
      <c r="AH6" s="94" t="s">
        <v>881</v>
      </c>
      <c r="AI6" s="95" t="s">
        <v>882</v>
      </c>
      <c r="AJ6" s="95" t="s">
        <v>883</v>
      </c>
      <c r="AK6" s="94" t="s">
        <v>881</v>
      </c>
      <c r="AL6" s="95" t="s">
        <v>882</v>
      </c>
      <c r="AM6" s="95" t="s">
        <v>883</v>
      </c>
      <c r="AN6" s="70" t="s">
        <v>924</v>
      </c>
      <c r="AT6" s="66">
        <f ca="1">SUM(AT7:AT195)</f>
        <v>0</v>
      </c>
      <c r="AU6" s="66">
        <f ca="1">SUM(AU7:AU195)</f>
        <v>0</v>
      </c>
      <c r="AV6" s="66">
        <f ca="1">SUM(AV7:AV195)</f>
        <v>0</v>
      </c>
      <c r="AW6" s="66" t="s">
        <v>925</v>
      </c>
      <c r="AY6" s="66" t="s">
        <v>926</v>
      </c>
      <c r="AZ6" s="80" t="s">
        <v>927</v>
      </c>
      <c r="BA6" s="81" t="s">
        <v>928</v>
      </c>
      <c r="BB6" s="81" t="s">
        <v>929</v>
      </c>
    </row>
    <row r="7" spans="5:54" ht="16.5" customHeight="1" thickBot="1">
      <c r="E7" s="96" t="s">
        <v>930</v>
      </c>
      <c r="F7" s="66" t="e">
        <f ca="1">_xll.BDP($E7,F$3)&amp;" BEST Curncy"</f>
        <v>#NAME?</v>
      </c>
      <c r="G7" s="97" t="e">
        <f ca="1">AR7</f>
        <v>#NAME?</v>
      </c>
      <c r="I7" s="640" t="s">
        <v>931</v>
      </c>
      <c r="J7" s="98" t="e">
        <f ca="1">_xll.BDP($E7,J$3)</f>
        <v>#NAME?</v>
      </c>
      <c r="K7" s="99" t="e">
        <f ca="1">_xll.BDP($E7,K$3)</f>
        <v>#NAME?</v>
      </c>
      <c r="L7" s="100" t="str">
        <f ca="1">IF(ISNUMBER(_xll.BDH($E7,"PX_LAST",TEXT($E$2,"YYYYMMDD"),TEXT($E$2,"YYYYMMDD"),"days=a","fill=p")),_xll.BDH($E7,"PX_LAST",TEXT($E$2,"YYYYMMDD"),TEXT($E$2,"YYYYMMDD"),"days=a","fill=p"),"-")</f>
        <v>-</v>
      </c>
      <c r="M7" s="100" t="str">
        <f ca="1">IF(ISNUMBER(_xll.BDH($E7,"PX_LAST",TEXT($E$2-7,"YYYYMMDD"),TEXT($E$2-7,"YYYYMMDD"),"days=a","fill=p")),_xll.BDH($E7,"PX_LAST",TEXT($E$2-7,"YYYYMMDD"),TEXT($E$2-7,"YYYYMMDD"),"days=a","fill=p"),"-")</f>
        <v>-</v>
      </c>
      <c r="N7" s="180" t="str">
        <f ca="1">IF(ISNUMBER(($L7-$M7)/$M7),($L7-$M7)/$M7,"-")</f>
        <v>-</v>
      </c>
      <c r="O7" s="101" t="e">
        <f ca="1">IF(OR(_xll.BDP($E7,O$3)="#N/A N/A",_xll.BDP($E7,O$3)="#N/A Invalid Security"), "-", _xll.BDP($E7,O$3))</f>
        <v>#NAME?</v>
      </c>
      <c r="P7" s="182" t="str">
        <f ca="1">IF(ISNUMBER(_xll.BDH($F7,"PX_LAST",TEXT($E$2,"YYYYMMDD"),TEXT($E$2,"YYYYMMDD"),"days=a","fill=p")),_xll.BDH($F7,"PX_LAST",TEXT($E$2,"YYYYMMDD"),TEXT($E$2,"YYYYMMDD"),"days=a","fill=p"),"-")</f>
        <v>-</v>
      </c>
      <c r="Q7" s="182" t="str">
        <f ca="1">IF(ISNUMBER(_xll.BDH($F7,"PX_LAST",TEXT($E$2-7,"YYYYMMDD"),TEXT($E$2-7,"YYYYMMDD"),"days=a","fill=p")),_xll.BDH($F7,"PX_LAST",TEXT($E$2-7,"YYYYMMDD"),TEXT($E$2-7,"YYYYMMDD"),"days=a","fill=p"),"-")</f>
        <v>-</v>
      </c>
      <c r="R7" s="102" t="str">
        <f ca="1">IF(ISNUMBER($P7-$Q7),$P7-$Q7,"-")</f>
        <v>-</v>
      </c>
      <c r="S7" s="103" t="str">
        <f ca="1">IF(ISNUMBER(_xll.BDP($F7,S$3)),_xll.BDP($F7,S$3),"-")</f>
        <v>-</v>
      </c>
      <c r="T7" s="104" t="e">
        <f ca="1">IF(OR(AH7&gt;0, AI7&gt;0, AJ7&gt;0, AK7&gt;0, AL7&gt;0, AM7&gt;0), "Y"," ")</f>
        <v>#NAME?</v>
      </c>
      <c r="U7" s="105" t="e">
        <f ca="1">IF(OR(_xll.BDP($E7,U$3)="#N/A N/A",_xll.BDP($E7,U$3)="#N/A Invalid Security"), "-", _xll.BDP($E7,U$3))</f>
        <v>#NAME?</v>
      </c>
      <c r="V7" s="105" t="e">
        <f ca="1">IF(OR(_xll.BDP($E7,V$2)="#N/A N/A",_xll.BDP($E7,V$2)="#N/A Invalid Security"), "-", _xll.BDP($E7,V$2))</f>
        <v>#NAME?</v>
      </c>
      <c r="W7" s="106" t="e">
        <f ca="1">IF(OR(_xll.BDP($E7,W$3)="#N/A N/A",_xll.BDP($E7,W$3)="#N/A Invalid Security"), "-", _xll.BDP($E7,W$3))</f>
        <v>#NAME?</v>
      </c>
      <c r="X7" s="105" t="e">
        <f ca="1">IF(OR(_xll.BDP($E7,X$3)="#N/A N/A",_xll.BDP($E7,X$3)="#N/A Invalid Security"), " ", _xll.BDP($E7,X$3))</f>
        <v>#NAME?</v>
      </c>
      <c r="Y7" s="105" t="e">
        <f ca="1">IF(OR(_xll.BDP($E7,Y$3)="#N/A N/A",_xll.BDP($E7,Y$3)="#N/A Invalid Security"), " ", _xll.BDP($E7,Y$3))</f>
        <v>#NAME?</v>
      </c>
      <c r="Z7" s="106" t="e">
        <f ca="1">IF(OR(_xll.BDP($E7,Z$3)="#N/A N/A",_xll.BDP($E7,Z$3)="#N/A Invalid Security"), " ", _xll.BDP($E7,Z$3))</f>
        <v>#NAME?</v>
      </c>
      <c r="AA7" s="107"/>
      <c r="AB7" s="93" t="s">
        <v>932</v>
      </c>
      <c r="AC7" s="93" t="s">
        <v>933</v>
      </c>
      <c r="AD7" s="93" t="s">
        <v>934</v>
      </c>
      <c r="AE7" s="93" t="s">
        <v>935</v>
      </c>
      <c r="AF7" s="93" t="s">
        <v>935</v>
      </c>
      <c r="AG7" s="93" t="s">
        <v>936</v>
      </c>
      <c r="AH7" s="95" t="e">
        <f t="shared" ref="AH7:AM7" ca="1" si="0">IF(U7=AB7, 0,1)</f>
        <v>#NAME?</v>
      </c>
      <c r="AI7" s="95" t="e">
        <f t="shared" ca="1" si="0"/>
        <v>#NAME?</v>
      </c>
      <c r="AJ7" s="95" t="e">
        <f t="shared" ca="1" si="0"/>
        <v>#NAME?</v>
      </c>
      <c r="AK7" s="95" t="e">
        <f t="shared" ca="1" si="0"/>
        <v>#NAME?</v>
      </c>
      <c r="AL7" s="95" t="e">
        <f t="shared" ca="1" si="0"/>
        <v>#NAME?</v>
      </c>
      <c r="AM7" s="95" t="e">
        <f t="shared" ca="1" si="0"/>
        <v>#NAME?</v>
      </c>
      <c r="AN7" s="66" t="str">
        <f t="shared" ref="AN7:AN33" ca="1" si="1">IF(SUM(AT7:AV7)&gt;0,"Y","")</f>
        <v/>
      </c>
      <c r="AO7" s="108" t="e" cm="1">
        <f t="array" aca="1" ref="AO7" ca="1">_xll.BDP($E7,"cur_mkt_cap")</f>
        <v>#NAME?</v>
      </c>
      <c r="AP7" s="108" t="e" cm="1">
        <f t="array" aca="1" ref="AP7" ca="1">_xll.BDP($E7,"crncy")</f>
        <v>#NAME?</v>
      </c>
      <c r="AQ7" s="109" t="e" cm="1">
        <f t="array" aca="1" ref="AQ7" ca="1">_xll.BDP("USD"&amp;AP7&amp;" curncy","px_last")</f>
        <v>#NAME?</v>
      </c>
      <c r="AR7" s="109" t="e">
        <f ca="1">AO7/AQ7/1000000000</f>
        <v>#NAME?</v>
      </c>
      <c r="AT7" s="66" t="str">
        <f t="shared" ref="AT7:AV22" ca="1" si="2">IF(AND(AW7&lt;=$E$1,AW7&gt;=$F$1),1,"")</f>
        <v/>
      </c>
      <c r="AU7" s="66" t="str">
        <f t="shared" ca="1" si="2"/>
        <v/>
      </c>
      <c r="AV7" s="66" t="str">
        <f t="shared" ca="1" si="2"/>
        <v/>
      </c>
      <c r="AW7" s="73" t="str" cm="1">
        <f t="array" aca="1" ref="AW7" ca="1">IF(ISERROR(DATEVALUE(_xll.BDP($E7,AW$6))),"",DATEVALUE(_xll.BDP($E7,AW$6)))</f>
        <v/>
      </c>
      <c r="AX7" s="73" t="str" cm="1">
        <f t="array" aca="1" ref="AX7" ca="1">IF(ISERROR(DATEVALUE(_xll.BDP($E7,AX$2))),"",DATEVALUE(_xll.BDP($E7,AX$2)))</f>
        <v/>
      </c>
      <c r="AY7" s="73" t="str" cm="1">
        <f t="array" aca="1" ref="AY7" ca="1">IF(ISERROR(DATEVALUE(_xll.BDP($E7,AY$6))),"",DATEVALUE(_xll.BDP($E7,AY$6)))</f>
        <v/>
      </c>
      <c r="AZ7" s="110" t="e" cm="1">
        <f t="array" aca="1" ref="AZ7" ca="1">IF(_xll.BQL($E7, "last(matches(px_last(dates=range(-1w,0d)), dayofweek(px_last(dates=range(-1w,0d)).date)==6))")="#N/A","-",_xll.BQL($E7, "last(matches(px_last(dates=range(-1w,0d)), dayofweek(px_last(dates=range(-1w,0d)).date)==6))"))</f>
        <v>#NAME?</v>
      </c>
      <c r="BA7" s="109" t="e" cm="1">
        <f t="array" aca="1" ref="BA7" ca="1">IF(_xll.BQL(E7,"first(last(matches(px_last(dates=range(-1M,0D)),dayofweek(px_last(dates=range(-1M,0D)).date)==6),2),1)")="#N/A","-",_xll.BQL(E7,"first(last(matches(px_last(dates=range(-1M,0D)),dayofweek(px_last(dates=range(-1M,0D)).date)==6),2),1)"))</f>
        <v>#NAME?</v>
      </c>
      <c r="BB7" s="109" t="str">
        <f ca="1">IF(ISERROR((AZ7/BA7-1)*100),"-",(AZ7/BA7-1)*100)</f>
        <v>-</v>
      </c>
    </row>
    <row r="8" spans="5:54" ht="16.5" customHeight="1" thickBot="1">
      <c r="E8" s="111" t="s">
        <v>937</v>
      </c>
      <c r="F8" s="66" t="e">
        <f ca="1">_xll.BDP($E8,F$3)&amp;" BEST Curncy"</f>
        <v>#NAME?</v>
      </c>
      <c r="G8" s="97" t="e">
        <f t="shared" ref="G8:G33" ca="1" si="3">AR8</f>
        <v>#NAME?</v>
      </c>
      <c r="I8" s="641"/>
      <c r="J8" s="98" t="e">
        <f ca="1">_xll.BDP($E8,J$3)</f>
        <v>#NAME?</v>
      </c>
      <c r="K8" s="99" t="e">
        <f ca="1">_xll.BDP($E8,K$3)</f>
        <v>#NAME?</v>
      </c>
      <c r="L8" s="100" t="str">
        <f ca="1">IF(ISNUMBER(_xll.BDH($E8,"PX_LAST",TEXT($E$2,"YYYYMMDD"),TEXT($E$2,"YYYYMMDD"),"days=a","fill=p")),_xll.BDH($E8,"PX_LAST",TEXT($E$2,"YYYYMMDD"),TEXT($E$2,"YYYYMMDD"),"days=a","fill=p"),"-")</f>
        <v>-</v>
      </c>
      <c r="M8" s="100" t="str">
        <f ca="1">IF(ISNUMBER(_xll.BDH($E8,"PX_LAST",TEXT($E$2-7,"YYYYMMDD"),TEXT($E$2-7,"YYYYMMDD"),"days=a","fill=p")),_xll.BDH($E8,"PX_LAST",TEXT($E$2-7,"YYYYMMDD"),TEXT($E$2-7,"YYYYMMDD"),"days=a","fill=p"),"-")</f>
        <v>-</v>
      </c>
      <c r="N8" s="180" t="str">
        <f t="shared" ref="N8:N71" ca="1" si="4">IF(ISNUMBER(($L8-$M8)/$M8),($L8-$M8)/$M8,"-")</f>
        <v>-</v>
      </c>
      <c r="O8" s="101" t="e">
        <f ca="1">IF(OR(_xll.BDP($E8,O$3)="#N/A N/A",_xll.BDP($E8,O$3)="#N/A Invalid Security"), "-", _xll.BDP($E8,O$3))</f>
        <v>#NAME?</v>
      </c>
      <c r="P8" s="182" t="str">
        <f ca="1">IF(ISNUMBER(_xll.BDH($F8,"PX_LAST",TEXT($E$2,"YYYYMMDD"),TEXT($E$2,"YYYYMMDD"),"days=a","fill=p")),_xll.BDH($F8,"PX_LAST",TEXT($E$2,"YYYYMMDD"),TEXT($E$2,"YYYYMMDD"),"days=a","fill=p"),"-")</f>
        <v>-</v>
      </c>
      <c r="Q8" s="182" t="str">
        <f ca="1">IF(ISNUMBER(_xll.BDH($F8,"PX_LAST",TEXT($E$2-7,"YYYYMMDD"),TEXT($E$2-7,"YYYYMMDD"),"days=a","fill=p")),_xll.BDH($F8,"PX_LAST",TEXT($E$2-7,"YYYYMMDD"),TEXT($E$2-7,"YYYYMMDD"),"days=a","fill=p"),"-")</f>
        <v>-</v>
      </c>
      <c r="R8" s="102" t="str">
        <f t="shared" ref="R8:R71" ca="1" si="5">IF(ISNUMBER($P8-$Q8),$P8-$Q8,"-")</f>
        <v>-</v>
      </c>
      <c r="S8" s="103" t="str">
        <f ca="1">IF(ISNUMBER(_xll.BDP($F8,S$3)),_xll.BDP($F8,S$3),"-")</f>
        <v>-</v>
      </c>
      <c r="T8" s="104" t="e">
        <f t="shared" ref="T8:T29" ca="1" si="6">IF(OR(AH8&gt;0, AI8&gt;0, AJ8&gt;0, AK8&gt;0, AL8&gt;0, AM8&gt;0), "Y"," ")</f>
        <v>#NAME?</v>
      </c>
      <c r="U8" s="105" t="e">
        <f ca="1">IF(OR(_xll.BDP($E8,U$3)="#N/A N/A",_xll.BDP($E8,U$3)="#N/A Invalid Security"), "-", _xll.BDP($E8,U$3))</f>
        <v>#NAME?</v>
      </c>
      <c r="V8" s="105" t="e">
        <f ca="1">IF(OR(_xll.BDP($E8,V$2)="#N/A N/A",_xll.BDP($E8,V$2)="#N/A Invalid Security"), "-", _xll.BDP($E8,V$2))</f>
        <v>#NAME?</v>
      </c>
      <c r="W8" s="106" t="e">
        <f ca="1">IF(OR(_xll.BDP($E8,W$3)="#N/A N/A",_xll.BDP($E8,W$3)="#N/A Invalid Security"), "-", _xll.BDP($E8,W$3))</f>
        <v>#NAME?</v>
      </c>
      <c r="X8" s="105" t="e">
        <f ca="1">IF(OR(_xll.BDP($E8,X$3)="#N/A N/A",_xll.BDP($E8,X$3)="#N/A Invalid Security"), " ", _xll.BDP($E8,X$3))</f>
        <v>#NAME?</v>
      </c>
      <c r="Y8" s="105" t="e">
        <f ca="1">IF(OR(_xll.BDP($E8,Y$3)="#N/A N/A",_xll.BDP($E8,Y$3)="#N/A Invalid Security"), " ", _xll.BDP($E8,Y$3))</f>
        <v>#NAME?</v>
      </c>
      <c r="Z8" s="106" t="e">
        <f ca="1">IF(OR(_xll.BDP($E8,Z$3)="#N/A N/A",_xll.BDP($E8,Z$3)="#N/A Invalid Security"), " ", _xll.BDP($E8,Z$3))</f>
        <v>#NAME?</v>
      </c>
      <c r="AA8" s="107"/>
      <c r="AB8" s="93" t="s">
        <v>938</v>
      </c>
      <c r="AC8" s="93" t="s">
        <v>939</v>
      </c>
      <c r="AD8" s="93" t="s">
        <v>876</v>
      </c>
      <c r="AE8" s="93" t="s">
        <v>940</v>
      </c>
      <c r="AF8" s="93" t="s">
        <v>940</v>
      </c>
      <c r="AG8" s="93" t="s">
        <v>940</v>
      </c>
      <c r="AH8" s="95" t="e">
        <f t="shared" ref="AH8:AH33" ca="1" si="7">IF(U8=AB8, 0,1)</f>
        <v>#NAME?</v>
      </c>
      <c r="AI8" s="95" t="e">
        <f t="shared" ref="AI8:AI33" ca="1" si="8">IF(V8=AC8, 0,1)</f>
        <v>#NAME?</v>
      </c>
      <c r="AJ8" s="95" t="e">
        <f t="shared" ref="AJ8:AJ33" ca="1" si="9">IF(W8=AD8, 0,1)</f>
        <v>#NAME?</v>
      </c>
      <c r="AK8" s="95" t="e">
        <f t="shared" ref="AK8:AK33" ca="1" si="10">IF(X8=AE8, 0,1)</f>
        <v>#NAME?</v>
      </c>
      <c r="AL8" s="95" t="e">
        <f t="shared" ref="AL8:AL33" ca="1" si="11">IF(Y8=AF8, 0,1)</f>
        <v>#NAME?</v>
      </c>
      <c r="AM8" s="95" t="e">
        <f t="shared" ref="AM8:AM33" ca="1" si="12">IF(Z8=AG8, 0,1)</f>
        <v>#NAME?</v>
      </c>
      <c r="AN8" s="66" t="str">
        <f t="shared" ca="1" si="1"/>
        <v/>
      </c>
      <c r="AO8" s="108" t="e" cm="1">
        <f t="array" aca="1" ref="AO8" ca="1">_xll.BDP($E8,"cur_mkt_cap")</f>
        <v>#NAME?</v>
      </c>
      <c r="AP8" s="108" t="e" cm="1">
        <f t="array" aca="1" ref="AP8" ca="1">_xll.BDP($E8,"crncy")</f>
        <v>#NAME?</v>
      </c>
      <c r="AQ8" s="109" t="e" cm="1">
        <f t="array" aca="1" ref="AQ8" ca="1">_xll.BDP("USD"&amp;AP8&amp;" curncy","px_last")</f>
        <v>#NAME?</v>
      </c>
      <c r="AR8" s="109" t="e">
        <f t="shared" ref="AR8:AR33" ca="1" si="13">AO8/AQ8/1000000000</f>
        <v>#NAME?</v>
      </c>
      <c r="AT8" s="66" t="str">
        <f t="shared" ca="1" si="2"/>
        <v/>
      </c>
      <c r="AU8" s="66" t="str">
        <f t="shared" ca="1" si="2"/>
        <v/>
      </c>
      <c r="AV8" s="66" t="str">
        <f t="shared" ca="1" si="2"/>
        <v/>
      </c>
      <c r="AW8" s="73" t="str" cm="1">
        <f t="array" aca="1" ref="AW8" ca="1">IF(ISERROR(DATEVALUE(_xll.BDP($E8,AW$6))),"",DATEVALUE(_xll.BDP($E8,AW$6)))</f>
        <v/>
      </c>
      <c r="AX8" s="73" t="str" cm="1">
        <f t="array" aca="1" ref="AX8" ca="1">IF(ISERROR(DATEVALUE(_xll.BDP($E8,AX$2))),"",DATEVALUE(_xll.BDP($E8,AX$2)))</f>
        <v/>
      </c>
      <c r="AY8" s="73" t="str" cm="1">
        <f t="array" aca="1" ref="AY8" ca="1">IF(ISERROR(DATEVALUE(_xll.BDP($E8,AY$6))),"",DATEVALUE(_xll.BDP($E8,AY$6)))</f>
        <v/>
      </c>
      <c r="AZ8" s="110" t="e" cm="1">
        <f t="array" aca="1" ref="AZ8" ca="1">IF(_xll.BQL($E8, "last(matches(px_last(dates=range(-1w,0d)), dayofweek(px_last(dates=range(-1w,0d)).date)==6))")="#N/A","-",_xll.BQL($E8, "last(matches(px_last(dates=range(-1w,0d)), dayofweek(px_last(dates=range(-1w,0d)).date)==6))"))</f>
        <v>#NAME?</v>
      </c>
      <c r="BA8" s="109" t="e" cm="1">
        <f t="array" aca="1" ref="BA8" ca="1">IF(_xll.BQL(E8,"first(last(matches(px_last(dates=range(-1M,0D)),dayofweek(px_last(dates=range(-1M,0D)).date)==6),2),1)")="#N/A","-",_xll.BQL(E8,"first(last(matches(px_last(dates=range(-1M,0D)),dayofweek(px_last(dates=range(-1M,0D)).date)==6),2),1)"))</f>
        <v>#NAME?</v>
      </c>
      <c r="BB8" s="109" t="str">
        <f t="shared" ref="BB8:BB35" ca="1" si="14">IF(ISERROR((AZ8/BA8-1)*100),"-",(AZ8/BA8-1)*100)</f>
        <v>-</v>
      </c>
    </row>
    <row r="9" spans="5:54" ht="16.5" customHeight="1" thickBot="1">
      <c r="E9" s="111" t="s">
        <v>941</v>
      </c>
      <c r="F9" s="66" t="e">
        <f ca="1">_xll.BDP($E9,F$3)&amp;" BEST Curncy"</f>
        <v>#NAME?</v>
      </c>
      <c r="G9" s="97" t="e">
        <f t="shared" ca="1" si="3"/>
        <v>#NAME?</v>
      </c>
      <c r="I9" s="641"/>
      <c r="J9" s="98" t="e">
        <f ca="1">_xll.BDP($E9,J$3)</f>
        <v>#NAME?</v>
      </c>
      <c r="K9" s="99" t="e">
        <f ca="1">_xll.BDP($E9,K$3)</f>
        <v>#NAME?</v>
      </c>
      <c r="L9" s="100" t="str">
        <f ca="1">IF(ISNUMBER(_xll.BDH($E9,"PX_LAST",TEXT($E$2,"YYYYMMDD"),TEXT($E$2,"YYYYMMDD"),"days=a","fill=p")),_xll.BDH($E9,"PX_LAST",TEXT($E$2,"YYYYMMDD"),TEXT($E$2,"YYYYMMDD"),"days=a","fill=p"),"-")</f>
        <v>-</v>
      </c>
      <c r="M9" s="100" t="str">
        <f ca="1">IF(ISNUMBER(_xll.BDH($E9,"PX_LAST",TEXT($E$2-7,"YYYYMMDD"),TEXT($E$2-7,"YYYYMMDD"),"days=a","fill=p")),_xll.BDH($E9,"PX_LAST",TEXT($E$2-7,"YYYYMMDD"),TEXT($E$2-7,"YYYYMMDD"),"days=a","fill=p"),"-")</f>
        <v>-</v>
      </c>
      <c r="N9" s="180" t="str">
        <f t="shared" ca="1" si="4"/>
        <v>-</v>
      </c>
      <c r="O9" s="101" t="e">
        <f ca="1">IF(OR(_xll.BDP($E9,O$3)="#N/A N/A",_xll.BDP($E9,O$3)="#N/A Invalid Security"), "-", _xll.BDP($E9,O$3))</f>
        <v>#NAME?</v>
      </c>
      <c r="P9" s="182" t="str">
        <f ca="1">IF(ISNUMBER(_xll.BDH($F9,"PX_LAST",TEXT($E$2,"YYYYMMDD"),TEXT($E$2,"YYYYMMDD"),"days=a","fill=p")),_xll.BDH($F9,"PX_LAST",TEXT($E$2,"YYYYMMDD"),TEXT($E$2,"YYYYMMDD"),"days=a","fill=p"),"-")</f>
        <v>-</v>
      </c>
      <c r="Q9" s="182" t="str">
        <f ca="1">IF(ISNUMBER(_xll.BDH($F9,"PX_LAST",TEXT($E$2-7,"YYYYMMDD"),TEXT($E$2-7,"YYYYMMDD"),"days=a","fill=p")),_xll.BDH($F9,"PX_LAST",TEXT($E$2-7,"YYYYMMDD"),TEXT($E$2-7,"YYYYMMDD"),"days=a","fill=p"),"-")</f>
        <v>-</v>
      </c>
      <c r="R9" s="102" t="str">
        <f t="shared" ca="1" si="5"/>
        <v>-</v>
      </c>
      <c r="S9" s="103" t="str">
        <f ca="1">IF(ISNUMBER(_xll.BDP($F9,S$3)),_xll.BDP($F9,S$3),"-")</f>
        <v>-</v>
      </c>
      <c r="T9" s="104" t="e">
        <f t="shared" ca="1" si="6"/>
        <v>#NAME?</v>
      </c>
      <c r="U9" s="105" t="e">
        <f ca="1">IF(OR(_xll.BDP($E9,U$3)="#N/A N/A",_xll.BDP($E9,U$3)="#N/A Invalid Security"), "-", _xll.BDP($E9,U$3))</f>
        <v>#NAME?</v>
      </c>
      <c r="V9" s="105" t="e">
        <f ca="1">IF(OR(_xll.BDP($E9,V$2)="#N/A N/A",_xll.BDP($E9,V$2)="#N/A Invalid Security"), "-", _xll.BDP($E9,V$2))</f>
        <v>#NAME?</v>
      </c>
      <c r="W9" s="106" t="e">
        <f ca="1">IF(OR(_xll.BDP($E9,W$3)="#N/A N/A",_xll.BDP($E9,W$3)="#N/A Invalid Security"), "-", _xll.BDP($E9,W$3))</f>
        <v>#NAME?</v>
      </c>
      <c r="X9" s="105" t="e">
        <f ca="1">IF(OR(_xll.BDP($E9,X$3)="#N/A N/A",_xll.BDP($E9,X$3)="#N/A Invalid Security"), " ", _xll.BDP($E9,X$3))</f>
        <v>#NAME?</v>
      </c>
      <c r="Y9" s="105" t="e">
        <f ca="1">IF(OR(_xll.BDP($E9,Y$3)="#N/A N/A",_xll.BDP($E9,Y$3)="#N/A Invalid Security"), " ", _xll.BDP($E9,Y$3))</f>
        <v>#NAME?</v>
      </c>
      <c r="Z9" s="106" t="e">
        <f ca="1">IF(OR(_xll.BDP($E9,Z$3)="#N/A N/A",_xll.BDP($E9,Z$3)="#N/A Invalid Security"), " ", _xll.BDP($E9,Z$3))</f>
        <v>#NAME?</v>
      </c>
      <c r="AA9" s="107"/>
      <c r="AB9" s="93" t="s">
        <v>938</v>
      </c>
      <c r="AC9" s="93" t="s">
        <v>942</v>
      </c>
      <c r="AD9" s="93" t="s">
        <v>876</v>
      </c>
      <c r="AE9" s="93" t="s">
        <v>940</v>
      </c>
      <c r="AF9" s="93" t="s">
        <v>940</v>
      </c>
      <c r="AG9" s="93" t="s">
        <v>940</v>
      </c>
      <c r="AH9" s="95" t="e">
        <f t="shared" ca="1" si="7"/>
        <v>#NAME?</v>
      </c>
      <c r="AI9" s="95" t="e">
        <f t="shared" ca="1" si="8"/>
        <v>#NAME?</v>
      </c>
      <c r="AJ9" s="95" t="e">
        <f t="shared" ca="1" si="9"/>
        <v>#NAME?</v>
      </c>
      <c r="AK9" s="95" t="e">
        <f t="shared" ca="1" si="10"/>
        <v>#NAME?</v>
      </c>
      <c r="AL9" s="95" t="e">
        <f t="shared" ca="1" si="11"/>
        <v>#NAME?</v>
      </c>
      <c r="AM9" s="95" t="e">
        <f t="shared" ca="1" si="12"/>
        <v>#NAME?</v>
      </c>
      <c r="AN9" s="66" t="str">
        <f t="shared" ca="1" si="1"/>
        <v/>
      </c>
      <c r="AO9" s="108" t="e" cm="1">
        <f t="array" aca="1" ref="AO9" ca="1">_xll.BDP($E9,"cur_mkt_cap")</f>
        <v>#NAME?</v>
      </c>
      <c r="AP9" s="108" t="e" cm="1">
        <f t="array" aca="1" ref="AP9" ca="1">_xll.BDP($E9,"crncy")</f>
        <v>#NAME?</v>
      </c>
      <c r="AQ9" s="109" t="e" cm="1">
        <f t="array" aca="1" ref="AQ9" ca="1">_xll.BDP("USD"&amp;AP9&amp;" curncy","px_last")</f>
        <v>#NAME?</v>
      </c>
      <c r="AR9" s="109" t="e">
        <f t="shared" ca="1" si="13"/>
        <v>#NAME?</v>
      </c>
      <c r="AT9" s="66" t="str">
        <f t="shared" ca="1" si="2"/>
        <v/>
      </c>
      <c r="AU9" s="66" t="str">
        <f t="shared" ca="1" si="2"/>
        <v/>
      </c>
      <c r="AV9" s="66" t="str">
        <f t="shared" ca="1" si="2"/>
        <v/>
      </c>
      <c r="AW9" s="73" t="str" cm="1">
        <f t="array" aca="1" ref="AW9" ca="1">IF(ISERROR(DATEVALUE(_xll.BDP($E9,AW$6))),"",DATEVALUE(_xll.BDP($E9,AW$6)))</f>
        <v/>
      </c>
      <c r="AX9" s="73" t="str" cm="1">
        <f t="array" aca="1" ref="AX9" ca="1">IF(ISERROR(DATEVALUE(_xll.BDP($E9,AX$2))),"",DATEVALUE(_xll.BDP($E9,AX$2)))</f>
        <v/>
      </c>
      <c r="AY9" s="73" t="str" cm="1">
        <f t="array" aca="1" ref="AY9" ca="1">IF(ISERROR(DATEVALUE(_xll.BDP($E9,AY$6))),"",DATEVALUE(_xll.BDP($E9,AY$6)))</f>
        <v/>
      </c>
      <c r="AZ9" s="110" t="e" cm="1">
        <f t="array" aca="1" ref="AZ9" ca="1">IF(_xll.BQL($E9, "last(matches(px_last(dates=range(-1w,0d)), dayofweek(px_last(dates=range(-1w,0d)).date)==6))")="#N/A","-",_xll.BQL($E9, "last(matches(px_last(dates=range(-1w,0d)), dayofweek(px_last(dates=range(-1w,0d)).date)==6))"))</f>
        <v>#NAME?</v>
      </c>
      <c r="BA9" s="109" t="e" cm="1">
        <f t="array" aca="1" ref="BA9" ca="1">IF(_xll.BQL(E9,"first(last(matches(px_last(dates=range(-1M,0D)),dayofweek(px_last(dates=range(-1M,0D)).date)==6),2),1)")="#N/A","-",_xll.BQL(E9,"first(last(matches(px_last(dates=range(-1M,0D)),dayofweek(px_last(dates=range(-1M,0D)).date)==6),2),1)"))</f>
        <v>#NAME?</v>
      </c>
      <c r="BB9" s="109" t="str">
        <f t="shared" ca="1" si="14"/>
        <v>-</v>
      </c>
    </row>
    <row r="10" spans="5:54" ht="16.5" customHeight="1" thickBot="1">
      <c r="E10" s="111" t="s">
        <v>943</v>
      </c>
      <c r="F10" s="66" t="e">
        <f ca="1">_xll.BDP($E10,F$3)&amp;" BEST Curncy"</f>
        <v>#NAME?</v>
      </c>
      <c r="G10" s="97" t="e">
        <f t="shared" ca="1" si="3"/>
        <v>#NAME?</v>
      </c>
      <c r="I10" s="641"/>
      <c r="J10" s="98" t="e">
        <f ca="1">_xll.BDP($E10,J$3)</f>
        <v>#NAME?</v>
      </c>
      <c r="K10" s="99" t="e">
        <f ca="1">_xll.BDP($E10,K$3)</f>
        <v>#NAME?</v>
      </c>
      <c r="L10" s="100" t="str">
        <f ca="1">IF(ISNUMBER(_xll.BDH($E10,"PX_LAST",TEXT($E$2,"YYYYMMDD"),TEXT($E$2,"YYYYMMDD"),"days=a","fill=p")),_xll.BDH($E10,"PX_LAST",TEXT($E$2,"YYYYMMDD"),TEXT($E$2,"YYYYMMDD"),"days=a","fill=p"),"-")</f>
        <v>-</v>
      </c>
      <c r="M10" s="100" t="str">
        <f ca="1">IF(ISNUMBER(_xll.BDH($E10,"PX_LAST",TEXT($E$2-7,"YYYYMMDD"),TEXT($E$2-7,"YYYYMMDD"),"days=a","fill=p")),_xll.BDH($E10,"PX_LAST",TEXT($E$2-7,"YYYYMMDD"),TEXT($E$2-7,"YYYYMMDD"),"days=a","fill=p"),"-")</f>
        <v>-</v>
      </c>
      <c r="N10" s="180" t="str">
        <f t="shared" ca="1" si="4"/>
        <v>-</v>
      </c>
      <c r="O10" s="101" t="e">
        <f ca="1">IF(OR(_xll.BDP($E10,O$3)="#N/A N/A",_xll.BDP($E10,O$3)="#N/A Invalid Security"), "-", _xll.BDP($E10,O$3))</f>
        <v>#NAME?</v>
      </c>
      <c r="P10" s="182" t="str">
        <f ca="1">IF(ISNUMBER(_xll.BDH($F10,"PX_LAST",TEXT($E$2,"YYYYMMDD"),TEXT($E$2,"YYYYMMDD"),"days=a","fill=p")),_xll.BDH($F10,"PX_LAST",TEXT($E$2,"YYYYMMDD"),TEXT($E$2,"YYYYMMDD"),"days=a","fill=p"),"-")</f>
        <v>-</v>
      </c>
      <c r="Q10" s="182" t="str">
        <f ca="1">IF(ISNUMBER(_xll.BDH($F10,"PX_LAST",TEXT($E$2-7,"YYYYMMDD"),TEXT($E$2-7,"YYYYMMDD"),"days=a","fill=p")),_xll.BDH($F10,"PX_LAST",TEXT($E$2-7,"YYYYMMDD"),TEXT($E$2-7,"YYYYMMDD"),"days=a","fill=p"),"-")</f>
        <v>-</v>
      </c>
      <c r="R10" s="102" t="str">
        <f t="shared" ca="1" si="5"/>
        <v>-</v>
      </c>
      <c r="S10" s="103" t="str">
        <f ca="1">IF(ISNUMBER(_xll.BDP($F10,S$3)),_xll.BDP($F10,S$3),"-")</f>
        <v>-</v>
      </c>
      <c r="T10" s="104" t="e">
        <f t="shared" ca="1" si="6"/>
        <v>#NAME?</v>
      </c>
      <c r="U10" s="105" t="e">
        <f ca="1">IF(OR(_xll.BDP($E10,U$3)="#N/A N/A",_xll.BDP($E10,U$3)="#N/A Invalid Security"), "-", _xll.BDP($E10,U$3))</f>
        <v>#NAME?</v>
      </c>
      <c r="V10" s="105" t="e">
        <f ca="1">IF(OR(_xll.BDP($E10,V$2)="#N/A N/A",_xll.BDP($E10,V$2)="#N/A Invalid Security"), "-", _xll.BDP($E10,V$2))</f>
        <v>#NAME?</v>
      </c>
      <c r="W10" s="106" t="e">
        <f ca="1">IF(OR(_xll.BDP($E10,W$3)="#N/A N/A",_xll.BDP($E10,W$3)="#N/A Invalid Security"), "-", _xll.BDP($E10,W$3))</f>
        <v>#NAME?</v>
      </c>
      <c r="X10" s="105" t="e">
        <f ca="1">IF(OR(_xll.BDP($E10,X$3)="#N/A N/A",_xll.BDP($E10,X$3)="#N/A Invalid Security"), " ", _xll.BDP($E10,X$3))</f>
        <v>#NAME?</v>
      </c>
      <c r="Y10" s="105" t="e">
        <f ca="1">IF(OR(_xll.BDP($E10,Y$3)="#N/A N/A",_xll.BDP($E10,Y$3)="#N/A Invalid Security"), " ", _xll.BDP($E10,Y$3))</f>
        <v>#NAME?</v>
      </c>
      <c r="Z10" s="106" t="e">
        <f ca="1">IF(OR(_xll.BDP($E10,Z$3)="#N/A N/A",_xll.BDP($E10,Z$3)="#N/A Invalid Security"), " ", _xll.BDP($E10,Z$3))</f>
        <v>#NAME?</v>
      </c>
      <c r="AA10" s="107"/>
      <c r="AB10" s="93" t="s">
        <v>876</v>
      </c>
      <c r="AC10" s="93" t="s">
        <v>939</v>
      </c>
      <c r="AD10" s="93" t="s">
        <v>876</v>
      </c>
      <c r="AE10" s="93" t="s">
        <v>940</v>
      </c>
      <c r="AF10" s="93" t="s">
        <v>940</v>
      </c>
      <c r="AG10" s="93" t="s">
        <v>940</v>
      </c>
      <c r="AH10" s="95" t="e">
        <f t="shared" ca="1" si="7"/>
        <v>#NAME?</v>
      </c>
      <c r="AI10" s="95" t="e">
        <f t="shared" ca="1" si="8"/>
        <v>#NAME?</v>
      </c>
      <c r="AJ10" s="95" t="e">
        <f t="shared" ca="1" si="9"/>
        <v>#NAME?</v>
      </c>
      <c r="AK10" s="95" t="e">
        <f t="shared" ca="1" si="10"/>
        <v>#NAME?</v>
      </c>
      <c r="AL10" s="95" t="e">
        <f t="shared" ca="1" si="11"/>
        <v>#NAME?</v>
      </c>
      <c r="AM10" s="95" t="e">
        <f t="shared" ca="1" si="12"/>
        <v>#NAME?</v>
      </c>
      <c r="AN10" s="66" t="str">
        <f t="shared" ca="1" si="1"/>
        <v/>
      </c>
      <c r="AO10" s="108" t="e" cm="1">
        <f t="array" aca="1" ref="AO10" ca="1">_xll.BDP($E10,"cur_mkt_cap")</f>
        <v>#NAME?</v>
      </c>
      <c r="AP10" s="108" t="e" cm="1">
        <f t="array" aca="1" ref="AP10" ca="1">_xll.BDP($E10,"crncy")</f>
        <v>#NAME?</v>
      </c>
      <c r="AQ10" s="109" t="e" cm="1">
        <f t="array" aca="1" ref="AQ10" ca="1">_xll.BDP("USD"&amp;AP10&amp;" curncy","px_last")</f>
        <v>#NAME?</v>
      </c>
      <c r="AR10" s="109" t="e">
        <f t="shared" ca="1" si="13"/>
        <v>#NAME?</v>
      </c>
      <c r="AT10" s="66" t="str">
        <f t="shared" ca="1" si="2"/>
        <v/>
      </c>
      <c r="AU10" s="66" t="str">
        <f t="shared" ca="1" si="2"/>
        <v/>
      </c>
      <c r="AV10" s="66" t="str">
        <f t="shared" ca="1" si="2"/>
        <v/>
      </c>
      <c r="AW10" s="73" t="str" cm="1">
        <f t="array" aca="1" ref="AW10" ca="1">IF(ISERROR(DATEVALUE(_xll.BDP($E10,AW$6))),"",DATEVALUE(_xll.BDP($E10,AW$6)))</f>
        <v/>
      </c>
      <c r="AX10" s="73" t="str" cm="1">
        <f t="array" aca="1" ref="AX10" ca="1">IF(ISERROR(DATEVALUE(_xll.BDP($E10,AX$2))),"",DATEVALUE(_xll.BDP($E10,AX$2)))</f>
        <v/>
      </c>
      <c r="AY10" s="73" t="str" cm="1">
        <f t="array" aca="1" ref="AY10" ca="1">IF(ISERROR(DATEVALUE(_xll.BDP($E10,AY$6))),"",DATEVALUE(_xll.BDP($E10,AY$6)))</f>
        <v/>
      </c>
      <c r="AZ10" s="110" t="e" cm="1">
        <f t="array" aca="1" ref="AZ10" ca="1">IF(_xll.BQL($E10, "last(matches(px_last(dates=range(-1w,0d)), dayofweek(px_last(dates=range(-1w,0d)).date)==6))")="#N/A","-",_xll.BQL($E10, "last(matches(px_last(dates=range(-1w,0d)), dayofweek(px_last(dates=range(-1w,0d)).date)==6))"))</f>
        <v>#NAME?</v>
      </c>
      <c r="BA10" s="109" t="e" cm="1">
        <f t="array" aca="1" ref="BA10" ca="1">IF(_xll.BQL(E10,"first(last(matches(px_last(dates=range(-1M,0D)),dayofweek(px_last(dates=range(-1M,0D)).date)==6),2),1)")="#N/A","-",_xll.BQL(E10,"first(last(matches(px_last(dates=range(-1M,0D)),dayofweek(px_last(dates=range(-1M,0D)).date)==6),2),1)"))</f>
        <v>#NAME?</v>
      </c>
      <c r="BB10" s="109" t="str">
        <f t="shared" ca="1" si="14"/>
        <v>-</v>
      </c>
    </row>
    <row r="11" spans="5:54" ht="16.5" customHeight="1" thickBot="1">
      <c r="E11" s="111" t="s">
        <v>944</v>
      </c>
      <c r="F11" s="66" t="e">
        <f ca="1">_xll.BDP($E11,F$3)&amp;" BEST Curncy"</f>
        <v>#NAME?</v>
      </c>
      <c r="G11" s="97" t="e">
        <f t="shared" ca="1" si="3"/>
        <v>#NAME?</v>
      </c>
      <c r="H11" s="66">
        <f ca="1">IF(ISNUMBER(L12),1,0)</f>
        <v>0</v>
      </c>
      <c r="I11" s="641"/>
      <c r="J11" s="98" t="e">
        <f ca="1">_xll.BDP($E11,J$3)</f>
        <v>#NAME?</v>
      </c>
      <c r="K11" s="99" t="e">
        <f ca="1">_xll.BDP($E11,K$3)</f>
        <v>#NAME?</v>
      </c>
      <c r="L11" s="100" t="str">
        <f ca="1">IF(ISNUMBER(_xll.BDH($E11,"PX_LAST",TEXT($E$2,"YYYYMMDD"),TEXT($E$2,"YYYYMMDD"),"days=a","fill=p")),_xll.BDH($E11,"PX_LAST",TEXT($E$2,"YYYYMMDD"),TEXT($E$2,"YYYYMMDD"),"days=a","fill=p"),"-")</f>
        <v>-</v>
      </c>
      <c r="M11" s="100" t="str">
        <f ca="1">IF(ISNUMBER(_xll.BDH($E11,"PX_LAST",TEXT($E$2-7,"YYYYMMDD"),TEXT($E$2-7,"YYYYMMDD"),"days=a","fill=p")),_xll.BDH($E11,"PX_LAST",TEXT($E$2-7,"YYYYMMDD"),TEXT($E$2-7,"YYYYMMDD"),"days=a","fill=p"),"-")</f>
        <v>-</v>
      </c>
      <c r="N11" s="180" t="str">
        <f t="shared" ca="1" si="4"/>
        <v>-</v>
      </c>
      <c r="O11" s="101" t="e">
        <f ca="1">IF(OR(_xll.BDP($E11,O$3)="#N/A N/A",_xll.BDP($E11,O$3)="#N/A Invalid Security"), "-", _xll.BDP($E11,O$3))</f>
        <v>#NAME?</v>
      </c>
      <c r="P11" s="182" t="str">
        <f ca="1">IF(ISNUMBER(_xll.BDH($F11,"PX_LAST",TEXT($E$2,"YYYYMMDD"),TEXT($E$2,"YYYYMMDD"),"days=a","fill=p")),_xll.BDH($F11,"PX_LAST",TEXT($E$2,"YYYYMMDD"),TEXT($E$2,"YYYYMMDD"),"days=a","fill=p"),"-")</f>
        <v>-</v>
      </c>
      <c r="Q11" s="182" t="str">
        <f ca="1">IF(ISNUMBER(_xll.BDH($F11,"PX_LAST",TEXT($E$2-7,"YYYYMMDD"),TEXT($E$2-7,"YYYYMMDD"),"days=a","fill=p")),_xll.BDH($F11,"PX_LAST",TEXT($E$2-7,"YYYYMMDD"),TEXT($E$2-7,"YYYYMMDD"),"days=a","fill=p"),"-")</f>
        <v>-</v>
      </c>
      <c r="R11" s="102" t="str">
        <f t="shared" ca="1" si="5"/>
        <v>-</v>
      </c>
      <c r="S11" s="103" t="str">
        <f ca="1">IF(ISNUMBER(_xll.BDP($F11,S$3)),_xll.BDP($F11,S$3),"-")</f>
        <v>-</v>
      </c>
      <c r="T11" s="104" t="e">
        <f t="shared" ca="1" si="6"/>
        <v>#NAME?</v>
      </c>
      <c r="U11" s="105" t="e">
        <f ca="1">IF(OR(_xll.BDP($E11,U$3)="#N/A N/A",_xll.BDP($E11,U$3)="#N/A Invalid Security"), "-", _xll.BDP($E11,U$3))</f>
        <v>#NAME?</v>
      </c>
      <c r="V11" s="105" t="e">
        <f ca="1">IF(OR(_xll.BDP($E11,V$2)="#N/A N/A",_xll.BDP($E11,V$2)="#N/A Invalid Security"), "-", _xll.BDP($E11,V$2))</f>
        <v>#NAME?</v>
      </c>
      <c r="W11" s="106" t="e">
        <f ca="1">IF(OR(_xll.BDP($E11,W$3)="#N/A N/A",_xll.BDP($E11,W$3)="#N/A Invalid Security"), "-", _xll.BDP($E11,W$3))</f>
        <v>#NAME?</v>
      </c>
      <c r="X11" s="105" t="e">
        <f ca="1">IF(OR(_xll.BDP($E11,X$3)="#N/A N/A",_xll.BDP($E11,X$3)="#N/A Invalid Security"), " ", _xll.BDP($E11,X$3))</f>
        <v>#NAME?</v>
      </c>
      <c r="Y11" s="105" t="e">
        <f ca="1">IF(OR(_xll.BDP($E11,Y$3)="#N/A N/A",_xll.BDP($E11,Y$3)="#N/A Invalid Security"), " ", _xll.BDP($E11,Y$3))</f>
        <v>#NAME?</v>
      </c>
      <c r="Z11" s="106" t="e">
        <f ca="1">IF(OR(_xll.BDP($E11,Z$3)="#N/A N/A",_xll.BDP($E11,Z$3)="#N/A Invalid Security"), " ", _xll.BDP($E11,Z$3))</f>
        <v>#NAME?</v>
      </c>
      <c r="AA11" s="107"/>
      <c r="AB11" s="93" t="s">
        <v>938</v>
      </c>
      <c r="AC11" s="93" t="s">
        <v>942</v>
      </c>
      <c r="AD11" s="93" t="s">
        <v>876</v>
      </c>
      <c r="AE11" s="93" t="s">
        <v>940</v>
      </c>
      <c r="AF11" s="93" t="s">
        <v>940</v>
      </c>
      <c r="AG11" s="93" t="s">
        <v>940</v>
      </c>
      <c r="AH11" s="95" t="e">
        <f t="shared" ca="1" si="7"/>
        <v>#NAME?</v>
      </c>
      <c r="AI11" s="95" t="e">
        <f t="shared" ca="1" si="8"/>
        <v>#NAME?</v>
      </c>
      <c r="AJ11" s="95" t="e">
        <f t="shared" ca="1" si="9"/>
        <v>#NAME?</v>
      </c>
      <c r="AK11" s="95" t="e">
        <f t="shared" ca="1" si="10"/>
        <v>#NAME?</v>
      </c>
      <c r="AL11" s="95" t="e">
        <f t="shared" ca="1" si="11"/>
        <v>#NAME?</v>
      </c>
      <c r="AM11" s="95" t="e">
        <f t="shared" ca="1" si="12"/>
        <v>#NAME?</v>
      </c>
      <c r="AN11" s="66" t="str">
        <f t="shared" ca="1" si="1"/>
        <v/>
      </c>
      <c r="AO11" s="108" t="e" cm="1">
        <f t="array" aca="1" ref="AO11" ca="1">_xll.BDP($E11,"cur_mkt_cap")</f>
        <v>#NAME?</v>
      </c>
      <c r="AP11" s="108" t="e" cm="1">
        <f t="array" aca="1" ref="AP11" ca="1">_xll.BDP($E11,"crncy")</f>
        <v>#NAME?</v>
      </c>
      <c r="AQ11" s="109" t="e" cm="1">
        <f t="array" aca="1" ref="AQ11" ca="1">_xll.BDP("USD"&amp;AP11&amp;" curncy","px_last")</f>
        <v>#NAME?</v>
      </c>
      <c r="AR11" s="109" t="e">
        <f t="shared" ca="1" si="13"/>
        <v>#NAME?</v>
      </c>
      <c r="AT11" s="66" t="str">
        <f t="shared" ca="1" si="2"/>
        <v/>
      </c>
      <c r="AU11" s="66" t="str">
        <f t="shared" ca="1" si="2"/>
        <v/>
      </c>
      <c r="AV11" s="66" t="str">
        <f t="shared" ca="1" si="2"/>
        <v/>
      </c>
      <c r="AW11" s="73" t="str" cm="1">
        <f t="array" aca="1" ref="AW11" ca="1">IF(ISERROR(DATEVALUE(_xll.BDP($E11,AW$6))),"",DATEVALUE(_xll.BDP($E11,AW$6)))</f>
        <v/>
      </c>
      <c r="AX11" s="73" t="str" cm="1">
        <f t="array" aca="1" ref="AX11" ca="1">IF(ISERROR(DATEVALUE(_xll.BDP($E11,AX$2))),"",DATEVALUE(_xll.BDP($E11,AX$2)))</f>
        <v/>
      </c>
      <c r="AY11" s="73" t="str" cm="1">
        <f t="array" aca="1" ref="AY11" ca="1">IF(ISERROR(DATEVALUE(_xll.BDP($E11,AY$6))),"",DATEVALUE(_xll.BDP($E11,AY$6)))</f>
        <v/>
      </c>
      <c r="AZ11" s="110" t="e" cm="1">
        <f t="array" aca="1" ref="AZ11" ca="1">IF(_xll.BQL($E11, "last(matches(px_last(dates=range(-1w,0d)), dayofweek(px_last(dates=range(-1w,0d)).date)==6))")="#N/A","-",_xll.BQL($E11, "last(matches(px_last(dates=range(-1w,0d)), dayofweek(px_last(dates=range(-1w,0d)).date)==6))"))</f>
        <v>#NAME?</v>
      </c>
      <c r="BA11" s="109" t="e" cm="1">
        <f t="array" aca="1" ref="BA11" ca="1">IF(_xll.BQL(E11,"first(last(matches(px_last(dates=range(-1M,0D)),dayofweek(px_last(dates=range(-1M,0D)).date)==6),2),1)")="#N/A","-",_xll.BQL(E11,"first(last(matches(px_last(dates=range(-1M,0D)),dayofweek(px_last(dates=range(-1M,0D)).date)==6),2),1)"))</f>
        <v>#NAME?</v>
      </c>
      <c r="BB11" s="109" t="str">
        <f t="shared" ca="1" si="14"/>
        <v>-</v>
      </c>
    </row>
    <row r="12" spans="5:54" ht="16.5" customHeight="1" thickBot="1">
      <c r="E12" s="111" t="s">
        <v>945</v>
      </c>
      <c r="F12" s="66" t="e">
        <f ca="1">_xll.BDP($E12,F$3)&amp;" BEST Curncy"</f>
        <v>#NAME?</v>
      </c>
      <c r="G12" s="97" t="e">
        <f t="shared" ca="1" si="3"/>
        <v>#NAME?</v>
      </c>
      <c r="I12" s="641"/>
      <c r="J12" s="98" t="e">
        <f ca="1">_xll.BDP($E12,J$3)</f>
        <v>#NAME?</v>
      </c>
      <c r="K12" s="99" t="e">
        <f ca="1">_xll.BDP($E12,K$3)</f>
        <v>#NAME?</v>
      </c>
      <c r="L12" s="100" t="str">
        <f ca="1">IF(ISNUMBER(_xll.BDH($E12,"PX_LAST",TEXT($E$2,"YYYYMMDD"),TEXT($E$2,"YYYYMMDD"),"days=a","fill=p")),_xll.BDH($E12,"PX_LAST",TEXT($E$2,"YYYYMMDD"),TEXT($E$2,"YYYYMMDD"),"days=a","fill=p"),"-")</f>
        <v>-</v>
      </c>
      <c r="M12" s="100" t="str">
        <f ca="1">IF(ISNUMBER(_xll.BDH($E12,"PX_LAST",TEXT($E$2-7,"YYYYMMDD"),TEXT($E$2-7,"YYYYMMDD"),"days=a","fill=p")),_xll.BDH($E12,"PX_LAST",TEXT($E$2-7,"YYYYMMDD"),TEXT($E$2-7,"YYYYMMDD"),"days=a","fill=p"),"-")</f>
        <v>-</v>
      </c>
      <c r="N12" s="180" t="str">
        <f t="shared" ca="1" si="4"/>
        <v>-</v>
      </c>
      <c r="O12" s="101" t="e">
        <f ca="1">IF(OR(_xll.BDP($E12,O$3)="#N/A N/A",_xll.BDP($E12,O$3)="#N/A Invalid Security"), "-", _xll.BDP($E12,O$3))</f>
        <v>#NAME?</v>
      </c>
      <c r="P12" s="182" t="str">
        <f ca="1">IF(ISNUMBER(_xll.BDH($F12,"PX_LAST",TEXT($E$2,"YYYYMMDD"),TEXT($E$2,"YYYYMMDD"),"days=a","fill=p")),_xll.BDH($F12,"PX_LAST",TEXT($E$2,"YYYYMMDD"),TEXT($E$2,"YYYYMMDD"),"days=a","fill=p"),"-")</f>
        <v>-</v>
      </c>
      <c r="Q12" s="182" t="str">
        <f ca="1">IF(ISNUMBER(_xll.BDH($F12,"PX_LAST",TEXT($E$2-7,"YYYYMMDD"),TEXT($E$2-7,"YYYYMMDD"),"days=a","fill=p")),_xll.BDH($F12,"PX_LAST",TEXT($E$2-7,"YYYYMMDD"),TEXT($E$2-7,"YYYYMMDD"),"days=a","fill=p"),"-")</f>
        <v>-</v>
      </c>
      <c r="R12" s="102" t="str">
        <f t="shared" ca="1" si="5"/>
        <v>-</v>
      </c>
      <c r="S12" s="103" t="str">
        <f ca="1">IF(ISNUMBER(_xll.BDP($F12,S$3)),_xll.BDP($F12,S$3),"-")</f>
        <v>-</v>
      </c>
      <c r="T12" s="104" t="e">
        <f t="shared" ca="1" si="6"/>
        <v>#NAME?</v>
      </c>
      <c r="U12" s="105" t="e">
        <f ca="1">IF(OR(_xll.BDP($E12,U$3)="#N/A N/A",_xll.BDP($E12,U$3)="#N/A Invalid Security"), "-", _xll.BDP($E12,U$3))</f>
        <v>#NAME?</v>
      </c>
      <c r="V12" s="105" t="e">
        <f ca="1">IF(OR(_xll.BDP($E12,V$2)="#N/A N/A",_xll.BDP($E12,V$2)="#N/A Invalid Security"), "-", _xll.BDP($E12,V$2))</f>
        <v>#NAME?</v>
      </c>
      <c r="W12" s="106" t="e">
        <f ca="1">IF(OR(_xll.BDP($E12,W$3)="#N/A N/A",_xll.BDP($E12,W$3)="#N/A Invalid Security"), "-", _xll.BDP($E12,W$3))</f>
        <v>#NAME?</v>
      </c>
      <c r="X12" s="105" t="e">
        <f ca="1">IF(OR(_xll.BDP($E12,X$3)="#N/A N/A",_xll.BDP($E12,X$3)="#N/A Invalid Security"), " ", _xll.BDP($E12,X$3))</f>
        <v>#NAME?</v>
      </c>
      <c r="Y12" s="105" t="e">
        <f ca="1">IF(OR(_xll.BDP($E12,Y$3)="#N/A N/A",_xll.BDP($E12,Y$3)="#N/A Invalid Security"), " ", _xll.BDP($E12,Y$3))</f>
        <v>#NAME?</v>
      </c>
      <c r="Z12" s="106" t="e">
        <f ca="1">IF(OR(_xll.BDP($E12,Z$3)="#N/A N/A",_xll.BDP($E12,Z$3)="#N/A Invalid Security"), " ", _xll.BDP($E12,Z$3))</f>
        <v>#NAME?</v>
      </c>
      <c r="AA12" s="107"/>
      <c r="AB12" s="93" t="s">
        <v>1188</v>
      </c>
      <c r="AC12" s="93" t="s">
        <v>942</v>
      </c>
      <c r="AD12" s="93" t="s">
        <v>876</v>
      </c>
      <c r="AE12" s="93" t="s">
        <v>940</v>
      </c>
      <c r="AF12" s="93" t="s">
        <v>940</v>
      </c>
      <c r="AG12" s="93" t="s">
        <v>940</v>
      </c>
      <c r="AH12" s="95" t="e">
        <f t="shared" ca="1" si="7"/>
        <v>#NAME?</v>
      </c>
      <c r="AI12" s="95" t="e">
        <f t="shared" ca="1" si="8"/>
        <v>#NAME?</v>
      </c>
      <c r="AJ12" s="95" t="e">
        <f t="shared" ca="1" si="9"/>
        <v>#NAME?</v>
      </c>
      <c r="AK12" s="95" t="e">
        <f t="shared" ca="1" si="10"/>
        <v>#NAME?</v>
      </c>
      <c r="AL12" s="95" t="e">
        <f t="shared" ca="1" si="11"/>
        <v>#NAME?</v>
      </c>
      <c r="AM12" s="95" t="e">
        <f t="shared" ca="1" si="12"/>
        <v>#NAME?</v>
      </c>
      <c r="AN12" s="66" t="str">
        <f t="shared" ca="1" si="1"/>
        <v/>
      </c>
      <c r="AO12" s="108" t="e" cm="1">
        <f t="array" aca="1" ref="AO12" ca="1">_xll.BDP($E12,"cur_mkt_cap")</f>
        <v>#NAME?</v>
      </c>
      <c r="AP12" s="108" t="e" cm="1">
        <f t="array" aca="1" ref="AP12" ca="1">_xll.BDP($E12,"crncy")</f>
        <v>#NAME?</v>
      </c>
      <c r="AQ12" s="109" t="e" cm="1">
        <f t="array" aca="1" ref="AQ12" ca="1">_xll.BDP("USD"&amp;AP12&amp;" curncy","px_last")</f>
        <v>#NAME?</v>
      </c>
      <c r="AR12" s="109" t="e">
        <f t="shared" ca="1" si="13"/>
        <v>#NAME?</v>
      </c>
      <c r="AT12" s="66" t="str">
        <f t="shared" ca="1" si="2"/>
        <v/>
      </c>
      <c r="AU12" s="66" t="str">
        <f t="shared" ca="1" si="2"/>
        <v/>
      </c>
      <c r="AV12" s="66" t="str">
        <f t="shared" ca="1" si="2"/>
        <v/>
      </c>
      <c r="AW12" s="73" t="str" cm="1">
        <f t="array" aca="1" ref="AW12" ca="1">IF(ISERROR(DATEVALUE(_xll.BDP($E12,AW$6))),"",DATEVALUE(_xll.BDP($E12,AW$6)))</f>
        <v/>
      </c>
      <c r="AX12" s="73" t="str" cm="1">
        <f t="array" aca="1" ref="AX12" ca="1">IF(ISERROR(DATEVALUE(_xll.BDP($E12,AX$2))),"",DATEVALUE(_xll.BDP($E12,AX$2)))</f>
        <v/>
      </c>
      <c r="AY12" s="73" t="str" cm="1">
        <f t="array" aca="1" ref="AY12" ca="1">IF(ISERROR(DATEVALUE(_xll.BDP($E12,AY$6))),"",DATEVALUE(_xll.BDP($E12,AY$6)))</f>
        <v/>
      </c>
      <c r="AZ12" s="110" t="e" cm="1">
        <f t="array" aca="1" ref="AZ12" ca="1">IF(_xll.BQL($E12, "last(matches(px_last(dates=range(-1w,0d)), dayofweek(px_last(dates=range(-1w,0d)).date)==6))")="#N/A","-",_xll.BQL($E12, "last(matches(px_last(dates=range(-1w,0d)), dayofweek(px_last(dates=range(-1w,0d)).date)==6))"))</f>
        <v>#NAME?</v>
      </c>
      <c r="BA12" s="109" t="e" cm="1">
        <f t="array" aca="1" ref="BA12" ca="1">IF(_xll.BQL(E12,"first(last(matches(px_last(dates=range(-1M,0D)),dayofweek(px_last(dates=range(-1M,0D)).date)==6),2),1)")="#N/A","-",_xll.BQL(E12,"first(last(matches(px_last(dates=range(-1M,0D)),dayofweek(px_last(dates=range(-1M,0D)).date)==6),2),1)"))</f>
        <v>#NAME?</v>
      </c>
      <c r="BB12" s="109" t="str">
        <f t="shared" ca="1" si="14"/>
        <v>-</v>
      </c>
    </row>
    <row r="13" spans="5:54" ht="16.5" customHeight="1" thickBot="1">
      <c r="E13" s="111" t="s">
        <v>946</v>
      </c>
      <c r="F13" s="66" t="e">
        <f ca="1">_xll.BDP($E13,F$3)&amp;" BEST Curncy"</f>
        <v>#NAME?</v>
      </c>
      <c r="G13" s="97" t="e">
        <f t="shared" ca="1" si="3"/>
        <v>#NAME?</v>
      </c>
      <c r="I13" s="641"/>
      <c r="J13" s="98" t="e">
        <f ca="1">_xll.BDP($E13,J$3)</f>
        <v>#NAME?</v>
      </c>
      <c r="K13" s="99" t="e">
        <f ca="1">_xll.BDP($E13,K$3)</f>
        <v>#NAME?</v>
      </c>
      <c r="L13" s="100" t="str">
        <f ca="1">IF(ISNUMBER(_xll.BDH($E13,"PX_LAST",TEXT($E$2,"YYYYMMDD"),TEXT($E$2,"YYYYMMDD"),"days=a","fill=p")),_xll.BDH($E13,"PX_LAST",TEXT($E$2,"YYYYMMDD"),TEXT($E$2,"YYYYMMDD"),"days=a","fill=p"),"-")</f>
        <v>-</v>
      </c>
      <c r="M13" s="100" t="str">
        <f ca="1">IF(ISNUMBER(_xll.BDH($E13,"PX_LAST",TEXT($E$2-7,"YYYYMMDD"),TEXT($E$2-7,"YYYYMMDD"),"days=a","fill=p")),_xll.BDH($E13,"PX_LAST",TEXT($E$2-7,"YYYYMMDD"),TEXT($E$2-7,"YYYYMMDD"),"days=a","fill=p"),"-")</f>
        <v>-</v>
      </c>
      <c r="N13" s="180" t="str">
        <f t="shared" ca="1" si="4"/>
        <v>-</v>
      </c>
      <c r="O13" s="101" t="e">
        <f ca="1">IF(OR(_xll.BDP($E13,O$3)="#N/A N/A",_xll.BDP($E13,O$3)="#N/A Invalid Security"), "-", _xll.BDP($E13,O$3))</f>
        <v>#NAME?</v>
      </c>
      <c r="P13" s="182" t="str">
        <f ca="1">IF(ISNUMBER(_xll.BDH($F13,"PX_LAST",TEXT($E$2,"YYYYMMDD"),TEXT($E$2,"YYYYMMDD"),"days=a","fill=p")),_xll.BDH($F13,"PX_LAST",TEXT($E$2,"YYYYMMDD"),TEXT($E$2,"YYYYMMDD"),"days=a","fill=p"),"-")</f>
        <v>-</v>
      </c>
      <c r="Q13" s="182" t="str">
        <f ca="1">IF(ISNUMBER(_xll.BDH($F13,"PX_LAST",TEXT($E$2-7,"YYYYMMDD"),TEXT($E$2-7,"YYYYMMDD"),"days=a","fill=p")),_xll.BDH($F13,"PX_LAST",TEXT($E$2-7,"YYYYMMDD"),TEXT($E$2-7,"YYYYMMDD"),"days=a","fill=p"),"-")</f>
        <v>-</v>
      </c>
      <c r="R13" s="102" t="str">
        <f t="shared" ca="1" si="5"/>
        <v>-</v>
      </c>
      <c r="S13" s="103" t="str">
        <f ca="1">IF(ISNUMBER(_xll.BDP($F13,S$3)),_xll.BDP($F13,S$3),"-")</f>
        <v>-</v>
      </c>
      <c r="T13" s="104" t="e">
        <f t="shared" ca="1" si="6"/>
        <v>#NAME?</v>
      </c>
      <c r="U13" s="105" t="e">
        <f ca="1">IF(OR(_xll.BDP($E13,U$3)="#N/A N/A",_xll.BDP($E13,U$3)="#N/A Invalid Security"), "-", _xll.BDP($E13,U$3))</f>
        <v>#NAME?</v>
      </c>
      <c r="V13" s="105" t="e">
        <f ca="1">IF(OR(_xll.BDP($E13,V$2)="#N/A N/A",_xll.BDP($E13,V$2)="#N/A Invalid Security"), "-", _xll.BDP($E13,V$2))</f>
        <v>#NAME?</v>
      </c>
      <c r="W13" s="106" t="e">
        <f ca="1">IF(OR(_xll.BDP($E13,W$3)="#N/A N/A",_xll.BDP($E13,W$3)="#N/A Invalid Security"), "-", _xll.BDP($E13,W$3))</f>
        <v>#NAME?</v>
      </c>
      <c r="X13" s="105" t="e">
        <f ca="1">IF(OR(_xll.BDP($E13,X$3)="#N/A N/A",_xll.BDP($E13,X$3)="#N/A Invalid Security"), " ", _xll.BDP($E13,X$3))</f>
        <v>#NAME?</v>
      </c>
      <c r="Y13" s="105" t="e">
        <f ca="1">IF(OR(_xll.BDP($E13,Y$3)="#N/A N/A",_xll.BDP($E13,Y$3)="#N/A Invalid Security"), " ", _xll.BDP($E13,Y$3))</f>
        <v>#NAME?</v>
      </c>
      <c r="Z13" s="106" t="e">
        <f ca="1">IF(OR(_xll.BDP($E13,Z$3)="#N/A N/A",_xll.BDP($E13,Z$3)="#N/A Invalid Security"), " ", _xll.BDP($E13,Z$3))</f>
        <v>#NAME?</v>
      </c>
      <c r="AA13" s="107"/>
      <c r="AB13" s="93" t="s">
        <v>876</v>
      </c>
      <c r="AC13" s="93" t="s">
        <v>874</v>
      </c>
      <c r="AD13" s="93" t="s">
        <v>876</v>
      </c>
      <c r="AE13" s="93" t="s">
        <v>940</v>
      </c>
      <c r="AF13" s="93" t="s">
        <v>940</v>
      </c>
      <c r="AG13" s="93" t="s">
        <v>940</v>
      </c>
      <c r="AH13" s="95" t="e">
        <f t="shared" ca="1" si="7"/>
        <v>#NAME?</v>
      </c>
      <c r="AI13" s="95" t="e">
        <f t="shared" ca="1" si="8"/>
        <v>#NAME?</v>
      </c>
      <c r="AJ13" s="95" t="e">
        <f t="shared" ca="1" si="9"/>
        <v>#NAME?</v>
      </c>
      <c r="AK13" s="95" t="e">
        <f t="shared" ca="1" si="10"/>
        <v>#NAME?</v>
      </c>
      <c r="AL13" s="95" t="e">
        <f t="shared" ca="1" si="11"/>
        <v>#NAME?</v>
      </c>
      <c r="AM13" s="95" t="e">
        <f t="shared" ca="1" si="12"/>
        <v>#NAME?</v>
      </c>
      <c r="AN13" s="66" t="str">
        <f t="shared" ca="1" si="1"/>
        <v/>
      </c>
      <c r="AO13" s="108" t="e" cm="1">
        <f t="array" aca="1" ref="AO13" ca="1">_xll.BDP($E13,"cur_mkt_cap")</f>
        <v>#NAME?</v>
      </c>
      <c r="AP13" s="108" t="e" cm="1">
        <f t="array" aca="1" ref="AP13" ca="1">_xll.BDP($E13,"crncy")</f>
        <v>#NAME?</v>
      </c>
      <c r="AQ13" s="109" t="e" cm="1">
        <f t="array" aca="1" ref="AQ13" ca="1">_xll.BDP("USD"&amp;AP13&amp;" curncy","px_last")</f>
        <v>#NAME?</v>
      </c>
      <c r="AR13" s="109" t="e">
        <f t="shared" ca="1" si="13"/>
        <v>#NAME?</v>
      </c>
      <c r="AT13" s="66" t="str">
        <f t="shared" ca="1" si="2"/>
        <v/>
      </c>
      <c r="AU13" s="66" t="str">
        <f t="shared" ca="1" si="2"/>
        <v/>
      </c>
      <c r="AV13" s="66" t="str">
        <f t="shared" ca="1" si="2"/>
        <v/>
      </c>
      <c r="AW13" s="73" t="str" cm="1">
        <f t="array" aca="1" ref="AW13" ca="1">IF(ISERROR(DATEVALUE(_xll.BDP($E13,AW$6))),"",DATEVALUE(_xll.BDP($E13,AW$6)))</f>
        <v/>
      </c>
      <c r="AX13" s="73" t="str" cm="1">
        <f t="array" aca="1" ref="AX13" ca="1">IF(ISERROR(DATEVALUE(_xll.BDP($E13,AX$2))),"",DATEVALUE(_xll.BDP($E13,AX$2)))</f>
        <v/>
      </c>
      <c r="AY13" s="73" t="str" cm="1">
        <f t="array" aca="1" ref="AY13" ca="1">IF(ISERROR(DATEVALUE(_xll.BDP($E13,AY$6))),"",DATEVALUE(_xll.BDP($E13,AY$6)))</f>
        <v/>
      </c>
      <c r="AZ13" s="110" t="e" cm="1">
        <f t="array" aca="1" ref="AZ13" ca="1">IF(_xll.BQL($E13, "last(matches(px_last(dates=range(-1w,0d)), dayofweek(px_last(dates=range(-1w,0d)).date)==6))")="#N/A","-",_xll.BQL($E13, "last(matches(px_last(dates=range(-1w,0d)), dayofweek(px_last(dates=range(-1w,0d)).date)==6))"))</f>
        <v>#NAME?</v>
      </c>
      <c r="BA13" s="109" t="e" cm="1">
        <f t="array" aca="1" ref="BA13" ca="1">IF(_xll.BQL(E13,"first(last(matches(px_last(dates=range(-1M,0D)),dayofweek(px_last(dates=range(-1M,0D)).date)==6),2),1)")="#N/A","-",_xll.BQL(E13,"first(last(matches(px_last(dates=range(-1M,0D)),dayofweek(px_last(dates=range(-1M,0D)).date)==6),2),1)"))</f>
        <v>#NAME?</v>
      </c>
      <c r="BB13" s="109" t="str">
        <f t="shared" ca="1" si="14"/>
        <v>-</v>
      </c>
    </row>
    <row r="14" spans="5:54" ht="16.5" customHeight="1" thickBot="1">
      <c r="E14" s="111" t="s">
        <v>947</v>
      </c>
      <c r="F14" s="66" t="e">
        <f ca="1">_xll.BDP($E14,F$3)&amp;" BEST Curncy"</f>
        <v>#NAME?</v>
      </c>
      <c r="G14" s="97" t="e">
        <f t="shared" ca="1" si="3"/>
        <v>#NAME?</v>
      </c>
      <c r="I14" s="641"/>
      <c r="J14" s="98" t="e">
        <f ca="1">_xll.BDP($E14,J$3)</f>
        <v>#NAME?</v>
      </c>
      <c r="K14" s="99" t="e">
        <f ca="1">_xll.BDP($E14,K$3)</f>
        <v>#NAME?</v>
      </c>
      <c r="L14" s="100" t="str">
        <f ca="1">IF(ISNUMBER(_xll.BDH($E14,"PX_LAST",TEXT($E$2,"YYYYMMDD"),TEXT($E$2,"YYYYMMDD"),"days=a","fill=p")),_xll.BDH($E14,"PX_LAST",TEXT($E$2,"YYYYMMDD"),TEXT($E$2,"YYYYMMDD"),"days=a","fill=p"),"-")</f>
        <v>-</v>
      </c>
      <c r="M14" s="100" t="str">
        <f ca="1">IF(ISNUMBER(_xll.BDH($E14,"PX_LAST",TEXT($E$2-7,"YYYYMMDD"),TEXT($E$2-7,"YYYYMMDD"),"days=a","fill=p")),_xll.BDH($E14,"PX_LAST",TEXT($E$2-7,"YYYYMMDD"),TEXT($E$2-7,"YYYYMMDD"),"days=a","fill=p"),"-")</f>
        <v>-</v>
      </c>
      <c r="N14" s="180" t="str">
        <f t="shared" ca="1" si="4"/>
        <v>-</v>
      </c>
      <c r="O14" s="101" t="e">
        <f ca="1">IF(OR(_xll.BDP($E14,O$3)="#N/A N/A",_xll.BDP($E14,O$3)="#N/A Invalid Security"), "-", _xll.BDP($E14,O$3))</f>
        <v>#NAME?</v>
      </c>
      <c r="P14" s="182" t="str">
        <f ca="1">IF(ISNUMBER(_xll.BDH($F14,"PX_LAST",TEXT($E$2,"YYYYMMDD"),TEXT($E$2,"YYYYMMDD"),"days=a","fill=p")),_xll.BDH($F14,"PX_LAST",TEXT($E$2,"YYYYMMDD"),TEXT($E$2,"YYYYMMDD"),"days=a","fill=p"),"-")</f>
        <v>-</v>
      </c>
      <c r="Q14" s="182" t="str">
        <f ca="1">IF(ISNUMBER(_xll.BDH($F14,"PX_LAST",TEXT($E$2-7,"YYYYMMDD"),TEXT($E$2-7,"YYYYMMDD"),"days=a","fill=p")),_xll.BDH($F14,"PX_LAST",TEXT($E$2-7,"YYYYMMDD"),TEXT($E$2-7,"YYYYMMDD"),"days=a","fill=p"),"-")</f>
        <v>-</v>
      </c>
      <c r="R14" s="102" t="str">
        <f t="shared" ca="1" si="5"/>
        <v>-</v>
      </c>
      <c r="S14" s="103" t="str">
        <f ca="1">IF(ISNUMBER(_xll.BDP($F14,S$3)),_xll.BDP($F14,S$3),"-")</f>
        <v>-</v>
      </c>
      <c r="T14" s="104" t="e">
        <f t="shared" ca="1" si="6"/>
        <v>#NAME?</v>
      </c>
      <c r="U14" s="105" t="e">
        <f ca="1">IF(OR(_xll.BDP($E14,U$3)="#N/A N/A",_xll.BDP($E14,U$3)="#N/A Invalid Security"), "-", _xll.BDP($E14,U$3))</f>
        <v>#NAME?</v>
      </c>
      <c r="V14" s="105" t="e">
        <f ca="1">IF(OR(_xll.BDP($E14,V$2)="#N/A N/A",_xll.BDP($E14,V$2)="#N/A Invalid Security"), "-", _xll.BDP($E14,V$2))</f>
        <v>#NAME?</v>
      </c>
      <c r="W14" s="106" t="e">
        <f ca="1">IF(OR(_xll.BDP($E14,W$3)="#N/A N/A",_xll.BDP($E14,W$3)="#N/A Invalid Security"), "-", _xll.BDP($E14,W$3))</f>
        <v>#NAME?</v>
      </c>
      <c r="X14" s="105" t="e">
        <f ca="1">IF(OR(_xll.BDP($E14,X$3)="#N/A N/A",_xll.BDP($E14,X$3)="#N/A Invalid Security"), " ", _xll.BDP($E14,X$3))</f>
        <v>#NAME?</v>
      </c>
      <c r="Y14" s="105" t="e">
        <f ca="1">IF(OR(_xll.BDP($E14,Y$3)="#N/A N/A",_xll.BDP($E14,Y$3)="#N/A Invalid Security"), " ", _xll.BDP($E14,Y$3))</f>
        <v>#NAME?</v>
      </c>
      <c r="Z14" s="106" t="e">
        <f ca="1">IF(OR(_xll.BDP($E14,Z$3)="#N/A N/A",_xll.BDP($E14,Z$3)="#N/A Invalid Security"), " ", _xll.BDP($E14,Z$3))</f>
        <v>#NAME?</v>
      </c>
      <c r="AA14" s="107"/>
      <c r="AB14" s="93" t="s">
        <v>877</v>
      </c>
      <c r="AC14" s="93" t="s">
        <v>875</v>
      </c>
      <c r="AD14" s="93" t="s">
        <v>932</v>
      </c>
      <c r="AE14" s="93" t="s">
        <v>940</v>
      </c>
      <c r="AF14" s="93" t="s">
        <v>940</v>
      </c>
      <c r="AG14" s="93" t="s">
        <v>948</v>
      </c>
      <c r="AH14" s="95" t="e">
        <f t="shared" ca="1" si="7"/>
        <v>#NAME?</v>
      </c>
      <c r="AI14" s="95" t="e">
        <f t="shared" ca="1" si="8"/>
        <v>#NAME?</v>
      </c>
      <c r="AJ14" s="95" t="e">
        <f t="shared" ca="1" si="9"/>
        <v>#NAME?</v>
      </c>
      <c r="AK14" s="95" t="e">
        <f t="shared" ca="1" si="10"/>
        <v>#NAME?</v>
      </c>
      <c r="AL14" s="95" t="e">
        <f t="shared" ca="1" si="11"/>
        <v>#NAME?</v>
      </c>
      <c r="AM14" s="95" t="e">
        <f t="shared" ca="1" si="12"/>
        <v>#NAME?</v>
      </c>
      <c r="AN14" s="66" t="str">
        <f t="shared" ca="1" si="1"/>
        <v/>
      </c>
      <c r="AO14" s="108" t="e" cm="1">
        <f t="array" aca="1" ref="AO14" ca="1">_xll.BDP($E14,"cur_mkt_cap")</f>
        <v>#NAME?</v>
      </c>
      <c r="AP14" s="108" t="e" cm="1">
        <f t="array" aca="1" ref="AP14" ca="1">_xll.BDP($E14,"crncy")</f>
        <v>#NAME?</v>
      </c>
      <c r="AQ14" s="109" t="e" cm="1">
        <f t="array" aca="1" ref="AQ14" ca="1">_xll.BDP("USD"&amp;AP14&amp;" curncy","px_last")</f>
        <v>#NAME?</v>
      </c>
      <c r="AR14" s="109" t="e">
        <f t="shared" ca="1" si="13"/>
        <v>#NAME?</v>
      </c>
      <c r="AT14" s="66" t="str">
        <f t="shared" ca="1" si="2"/>
        <v/>
      </c>
      <c r="AU14" s="66" t="str">
        <f t="shared" ca="1" si="2"/>
        <v/>
      </c>
      <c r="AV14" s="66" t="str">
        <f t="shared" ca="1" si="2"/>
        <v/>
      </c>
      <c r="AW14" s="73" t="str" cm="1">
        <f t="array" aca="1" ref="AW14" ca="1">IF(ISERROR(DATEVALUE(_xll.BDP($E14,AW$6))),"",DATEVALUE(_xll.BDP($E14,AW$6)))</f>
        <v/>
      </c>
      <c r="AX14" s="73" t="str" cm="1">
        <f t="array" aca="1" ref="AX14" ca="1">IF(ISERROR(DATEVALUE(_xll.BDP($E14,AX$2))),"",DATEVALUE(_xll.BDP($E14,AX$2)))</f>
        <v/>
      </c>
      <c r="AY14" s="73" t="str" cm="1">
        <f t="array" aca="1" ref="AY14" ca="1">IF(ISERROR(DATEVALUE(_xll.BDP($E14,AY$6))),"",DATEVALUE(_xll.BDP($E14,AY$6)))</f>
        <v/>
      </c>
      <c r="AZ14" s="110" t="e" cm="1">
        <f t="array" aca="1" ref="AZ14" ca="1">IF(_xll.BQL($E14, "last(matches(px_last(dates=range(-1w,0d)), dayofweek(px_last(dates=range(-1w,0d)).date)==6))")="#N/A","-",_xll.BQL($E14, "last(matches(px_last(dates=range(-1w,0d)), dayofweek(px_last(dates=range(-1w,0d)).date)==6))"))</f>
        <v>#NAME?</v>
      </c>
      <c r="BA14" s="109" t="e" cm="1">
        <f t="array" aca="1" ref="BA14" ca="1">IF(_xll.BQL(E14,"first(last(matches(px_last(dates=range(-1M,0D)),dayofweek(px_last(dates=range(-1M,0D)).date)==6),2),1)")="#N/A","-",_xll.BQL(E14,"first(last(matches(px_last(dates=range(-1M,0D)),dayofweek(px_last(dates=range(-1M,0D)).date)==6),2),1)"))</f>
        <v>#NAME?</v>
      </c>
      <c r="BB14" s="109" t="str">
        <f t="shared" ca="1" si="14"/>
        <v>-</v>
      </c>
    </row>
    <row r="15" spans="5:54" ht="16.5" customHeight="1" thickBot="1">
      <c r="E15" s="111" t="s">
        <v>949</v>
      </c>
      <c r="F15" s="66" t="e">
        <f ca="1">_xll.BDP($E15,F$3)&amp;" BEST Curncy"</f>
        <v>#NAME?</v>
      </c>
      <c r="G15" s="97" t="e">
        <f t="shared" ca="1" si="3"/>
        <v>#NAME?</v>
      </c>
      <c r="I15" s="642"/>
      <c r="J15" s="98" t="e">
        <f ca="1">_xll.BDP($E15,J$3)</f>
        <v>#NAME?</v>
      </c>
      <c r="K15" s="99" t="e">
        <f ca="1">_xll.BDP($E15,K$3)</f>
        <v>#NAME?</v>
      </c>
      <c r="L15" s="100" t="str">
        <f ca="1">IF(ISNUMBER(_xll.BDH($E15,"PX_LAST",TEXT($E$2,"YYYYMMDD"),TEXT($E$2,"YYYYMMDD"),"days=a","fill=p")),_xll.BDH($E15,"PX_LAST",TEXT($E$2,"YYYYMMDD"),TEXT($E$2,"YYYYMMDD"),"days=a","fill=p"),"-")</f>
        <v>-</v>
      </c>
      <c r="M15" s="100" t="str">
        <f ca="1">IF(ISNUMBER(_xll.BDH($E15,"PX_LAST",TEXT($E$2-7,"YYYYMMDD"),TEXT($E$2-7,"YYYYMMDD"),"days=a","fill=p")),_xll.BDH($E15,"PX_LAST",TEXT($E$2-7,"YYYYMMDD"),TEXT($E$2-7,"YYYYMMDD"),"days=a","fill=p"),"-")</f>
        <v>-</v>
      </c>
      <c r="N15" s="180" t="str">
        <f t="shared" ca="1" si="4"/>
        <v>-</v>
      </c>
      <c r="O15" s="101" t="e">
        <f ca="1">IF(OR(_xll.BDP($E15,O$3)="#N/A N/A",_xll.BDP($E15,O$3)="#N/A Invalid Security"), "-", _xll.BDP($E15,O$3))</f>
        <v>#NAME?</v>
      </c>
      <c r="P15" s="182" t="str">
        <f ca="1">IF(ISNUMBER(_xll.BDH($F15,"PX_LAST",TEXT($E$2,"YYYYMMDD"),TEXT($E$2,"YYYYMMDD"),"days=a","fill=p")),_xll.BDH($F15,"PX_LAST",TEXT($E$2,"YYYYMMDD"),TEXT($E$2,"YYYYMMDD"),"days=a","fill=p"),"-")</f>
        <v>-</v>
      </c>
      <c r="Q15" s="182" t="str">
        <f ca="1">IF(ISNUMBER(_xll.BDH($F15,"PX_LAST",TEXT($E$2-7,"YYYYMMDD"),TEXT($E$2-7,"YYYYMMDD"),"days=a","fill=p")),_xll.BDH($F15,"PX_LAST",TEXT($E$2-7,"YYYYMMDD"),TEXT($E$2-7,"YYYYMMDD"),"days=a","fill=p"),"-")</f>
        <v>-</v>
      </c>
      <c r="R15" s="102" t="str">
        <f t="shared" ca="1" si="5"/>
        <v>-</v>
      </c>
      <c r="S15" s="103" t="str">
        <f ca="1">IF(ISNUMBER(_xll.BDP($F15,S$3)),_xll.BDP($F15,S$3),"-")</f>
        <v>-</v>
      </c>
      <c r="T15" s="104" t="e">
        <f t="shared" ca="1" si="6"/>
        <v>#NAME?</v>
      </c>
      <c r="U15" s="105" t="e">
        <f ca="1">IF(OR(_xll.BDP($E15,U$3)="#N/A N/A",_xll.BDP($E15,U$3)="#N/A Invalid Security"), "-", _xll.BDP($E15,U$3))</f>
        <v>#NAME?</v>
      </c>
      <c r="V15" s="105" t="e">
        <f ca="1">IF(OR(_xll.BDP($E15,V$2)="#N/A N/A",_xll.BDP($E15,V$2)="#N/A Invalid Security"), "-", _xll.BDP($E15,V$2))</f>
        <v>#NAME?</v>
      </c>
      <c r="W15" s="106" t="e">
        <f ca="1">IF(OR(_xll.BDP($E15,W$3)="#N/A N/A",_xll.BDP($E15,W$3)="#N/A Invalid Security"), "-", _xll.BDP($E15,W$3))</f>
        <v>#NAME?</v>
      </c>
      <c r="X15" s="105" t="e">
        <f ca="1">IF(OR(_xll.BDP($E15,X$3)="#N/A N/A",_xll.BDP($E15,X$3)="#N/A Invalid Security"), " ", _xll.BDP($E15,X$3))</f>
        <v>#NAME?</v>
      </c>
      <c r="Y15" s="105" t="e">
        <f ca="1">IF(OR(_xll.BDP($E15,Y$3)="#N/A N/A",_xll.BDP($E15,Y$3)="#N/A Invalid Security"), " ", _xll.BDP($E15,Y$3))</f>
        <v>#NAME?</v>
      </c>
      <c r="Z15" s="106" t="e">
        <f ca="1">IF(OR(_xll.BDP($E15,Z$3)="#N/A N/A",_xll.BDP($E15,Z$3)="#N/A Invalid Security"), " ", _xll.BDP($E15,Z$3))</f>
        <v>#NAME?</v>
      </c>
      <c r="AA15" s="107"/>
      <c r="AB15" s="93" t="s">
        <v>950</v>
      </c>
      <c r="AC15" s="93" t="s">
        <v>875</v>
      </c>
      <c r="AD15" s="93" t="s">
        <v>950</v>
      </c>
      <c r="AE15" s="93" t="s">
        <v>940</v>
      </c>
      <c r="AF15" s="93" t="s">
        <v>940</v>
      </c>
      <c r="AG15" s="93" t="s">
        <v>940</v>
      </c>
      <c r="AH15" s="95" t="e">
        <f t="shared" ca="1" si="7"/>
        <v>#NAME?</v>
      </c>
      <c r="AI15" s="95" t="e">
        <f t="shared" ca="1" si="8"/>
        <v>#NAME?</v>
      </c>
      <c r="AJ15" s="95" t="e">
        <f t="shared" ca="1" si="9"/>
        <v>#NAME?</v>
      </c>
      <c r="AK15" s="95" t="e">
        <f t="shared" ca="1" si="10"/>
        <v>#NAME?</v>
      </c>
      <c r="AL15" s="95" t="e">
        <f t="shared" ca="1" si="11"/>
        <v>#NAME?</v>
      </c>
      <c r="AM15" s="95" t="e">
        <f t="shared" ca="1" si="12"/>
        <v>#NAME?</v>
      </c>
      <c r="AN15" s="66" t="str">
        <f t="shared" ca="1" si="1"/>
        <v/>
      </c>
      <c r="AO15" s="108" t="e" cm="1">
        <f t="array" aca="1" ref="AO15" ca="1">_xll.BDP($E15,"cur_mkt_cap")</f>
        <v>#NAME?</v>
      </c>
      <c r="AP15" s="108" t="e" cm="1">
        <f t="array" aca="1" ref="AP15" ca="1">_xll.BDP($E15,"crncy")</f>
        <v>#NAME?</v>
      </c>
      <c r="AQ15" s="109" t="e" cm="1">
        <f t="array" aca="1" ref="AQ15" ca="1">_xll.BDP("USD"&amp;AP15&amp;" curncy","px_last")</f>
        <v>#NAME?</v>
      </c>
      <c r="AR15" s="109" t="e">
        <f t="shared" ca="1" si="13"/>
        <v>#NAME?</v>
      </c>
      <c r="AT15" s="66" t="str">
        <f t="shared" ca="1" si="2"/>
        <v/>
      </c>
      <c r="AU15" s="66" t="str">
        <f t="shared" ca="1" si="2"/>
        <v/>
      </c>
      <c r="AV15" s="66" t="str">
        <f t="shared" ca="1" si="2"/>
        <v/>
      </c>
      <c r="AW15" s="73" t="str" cm="1">
        <f t="array" aca="1" ref="AW15" ca="1">IF(ISERROR(DATEVALUE(_xll.BDP($E15,AW$6))),"",DATEVALUE(_xll.BDP($E15,AW$6)))</f>
        <v/>
      </c>
      <c r="AX15" s="73" t="str" cm="1">
        <f t="array" aca="1" ref="AX15" ca="1">IF(ISERROR(DATEVALUE(_xll.BDP($E15,AX$2))),"",DATEVALUE(_xll.BDP($E15,AX$2)))</f>
        <v/>
      </c>
      <c r="AY15" s="73" t="str" cm="1">
        <f t="array" aca="1" ref="AY15" ca="1">IF(ISERROR(DATEVALUE(_xll.BDP($E15,AY$6))),"",DATEVALUE(_xll.BDP($E15,AY$6)))</f>
        <v/>
      </c>
      <c r="AZ15" s="110" t="e" cm="1">
        <f t="array" aca="1" ref="AZ15" ca="1">IF(_xll.BQL($E15, "last(matches(px_last(dates=range(-1w,0d)), dayofweek(px_last(dates=range(-1w,0d)).date)==6))")="#N/A","-",_xll.BQL($E15, "last(matches(px_last(dates=range(-1w,0d)), dayofweek(px_last(dates=range(-1w,0d)).date)==6))"))</f>
        <v>#NAME?</v>
      </c>
      <c r="BA15" s="109" t="e" cm="1">
        <f t="array" aca="1" ref="BA15" ca="1">IF(_xll.BQL(E15,"first(last(matches(px_last(dates=range(-1M,0D)),dayofweek(px_last(dates=range(-1M,0D)).date)==6),2),1)")="#N/A","-",_xll.BQL(E15,"first(last(matches(px_last(dates=range(-1M,0D)),dayofweek(px_last(dates=range(-1M,0D)).date)==6),2),1)"))</f>
        <v>#NAME?</v>
      </c>
      <c r="BB15" s="109" t="str">
        <f t="shared" ca="1" si="14"/>
        <v>-</v>
      </c>
    </row>
    <row r="16" spans="5:54" s="121" customFormat="1" ht="16.5" customHeight="1" thickBot="1">
      <c r="E16" s="120" t="s">
        <v>951</v>
      </c>
      <c r="F16" s="121" t="e">
        <f ca="1">_xll.BDP($E16,F$3)&amp;" best Curncy"</f>
        <v>#NAME?</v>
      </c>
      <c r="G16" s="122" t="e">
        <f t="shared" ca="1" si="3"/>
        <v>#NAME?</v>
      </c>
      <c r="I16" s="643" t="s">
        <v>952</v>
      </c>
      <c r="J16" s="98" t="e">
        <f ca="1">_xll.BDP($E16,J$3)</f>
        <v>#NAME?</v>
      </c>
      <c r="K16" s="99" t="e">
        <f ca="1">_xll.BDP($E16,K$3)</f>
        <v>#NAME?</v>
      </c>
      <c r="L16" s="100" t="str">
        <f ca="1">IF(ISNUMBER(_xll.BDH($E16,"PX_LAST",TEXT($E$2,"YYYYMMDD"),TEXT($E$2,"YYYYMMDD"),"days=a","fill=p")),_xll.BDH($E16,"PX_LAST",TEXT($E$2,"YYYYMMDD"),TEXT($E$2,"YYYYMMDD"),"days=a","fill=p"),"-")</f>
        <v>-</v>
      </c>
      <c r="M16" s="100" t="str">
        <f ca="1">IF(ISNUMBER(_xll.BDH($E16,"PX_LAST",TEXT($E$2-7,"YYYYMMDD"),TEXT($E$2-7,"YYYYMMDD"),"days=a","fill=p")),_xll.BDH($E16,"PX_LAST",TEXT($E$2-7,"YYYYMMDD"),TEXT($E$2-7,"YYYYMMDD"),"days=a","fill=p"),"-")</f>
        <v>-</v>
      </c>
      <c r="N16" s="180" t="str">
        <f t="shared" ca="1" si="4"/>
        <v>-</v>
      </c>
      <c r="O16" s="101" t="e">
        <f ca="1">IF(OR(_xll.BDP($E16,O$3)="#N/A N/A",_xll.BDP($E16,O$3)="#N/A Invalid Security"), "-", _xll.BDP($E16,O$3))</f>
        <v>#NAME?</v>
      </c>
      <c r="P16" s="182" t="str">
        <f ca="1">IF(ISNUMBER(_xll.BDH($F16,"PX_LAST",TEXT($E$2,"YYYYMMDD"),TEXT($E$2,"YYYYMMDD"),"days=a","fill=p")),_xll.BDH($F16,"PX_LAST",TEXT($E$2,"YYYYMMDD"),TEXT($E$2,"YYYYMMDD"),"days=a","fill=p"),"-")</f>
        <v>-</v>
      </c>
      <c r="Q16" s="182" t="str">
        <f ca="1">IF(ISNUMBER(_xll.BDH($F16,"PX_LAST",TEXT($E$2-7,"YYYYMMDD"),TEXT($E$2-7,"YYYYMMDD"),"days=a","fill=p")),_xll.BDH($F16,"PX_LAST",TEXT($E$2-7,"YYYYMMDD"),TEXT($E$2-7,"YYYYMMDD"),"days=a","fill=p"),"-")</f>
        <v>-</v>
      </c>
      <c r="R16" s="102" t="str">
        <f t="shared" ca="1" si="5"/>
        <v>-</v>
      </c>
      <c r="S16" s="103" t="str">
        <f ca="1">IF(ISNUMBER(_xll.BDP($F16,S$3)),_xll.BDP($F16,S$3),"-")</f>
        <v>-</v>
      </c>
      <c r="T16" s="104" t="e">
        <f t="shared" ca="1" si="6"/>
        <v>#NAME?</v>
      </c>
      <c r="U16" s="105" t="e">
        <f ca="1">IF(OR(_xll.BDP($E16,U$3)="#N/A N/A",_xll.BDP($E16,U$3)="#N/A Invalid Security"), "-", _xll.BDP($E16,U$3))</f>
        <v>#NAME?</v>
      </c>
      <c r="V16" s="105" t="e">
        <f ca="1">IF(OR(_xll.BDP($E16,V$2)="#N/A N/A",_xll.BDP($E16,V$2)="#N/A Invalid Security"), "-", _xll.BDP($E16,V$2))</f>
        <v>#NAME?</v>
      </c>
      <c r="W16" s="106" t="e">
        <f ca="1">IF(OR(_xll.BDP($E16,W$3)="#N/A N/A",_xll.BDP($E16,W$3)="#N/A Invalid Security"), "-", _xll.BDP($E16,W$3))</f>
        <v>#NAME?</v>
      </c>
      <c r="X16" s="105" t="e">
        <f ca="1">IF(OR(_xll.BDP($E16,X$3)="#N/A N/A",_xll.BDP($E16,X$3)="#N/A Invalid Security"), " ", _xll.BDP($E16,X$3))</f>
        <v>#NAME?</v>
      </c>
      <c r="Y16" s="105" t="e">
        <f ca="1">IF(OR(_xll.BDP($E16,Y$3)="#N/A N/A",_xll.BDP($E16,Y$3)="#N/A Invalid Security"), " ", _xll.BDP($E16,Y$3))</f>
        <v>#NAME?</v>
      </c>
      <c r="Z16" s="106" t="e">
        <f ca="1">IF(OR(_xll.BDP($E16,Z$3)="#N/A N/A",_xll.BDP($E16,Z$3)="#N/A Invalid Security"), " ", _xll.BDP($E16,Z$3))</f>
        <v>#NAME?</v>
      </c>
      <c r="AA16" s="123"/>
      <c r="AB16" s="124" t="s">
        <v>953</v>
      </c>
      <c r="AC16" s="124" t="s">
        <v>939</v>
      </c>
      <c r="AD16" s="124" t="s">
        <v>876</v>
      </c>
      <c r="AE16" s="124" t="s">
        <v>940</v>
      </c>
      <c r="AF16" s="124" t="s">
        <v>935</v>
      </c>
      <c r="AG16" s="124" t="s">
        <v>940</v>
      </c>
      <c r="AH16" s="95" t="e">
        <f t="shared" ca="1" si="7"/>
        <v>#NAME?</v>
      </c>
      <c r="AI16" s="95" t="e">
        <f t="shared" ca="1" si="8"/>
        <v>#NAME?</v>
      </c>
      <c r="AJ16" s="95" t="e">
        <f t="shared" ca="1" si="9"/>
        <v>#NAME?</v>
      </c>
      <c r="AK16" s="95" t="e">
        <f t="shared" ca="1" si="10"/>
        <v>#NAME?</v>
      </c>
      <c r="AL16" s="95" t="e">
        <f t="shared" ca="1" si="11"/>
        <v>#NAME?</v>
      </c>
      <c r="AM16" s="95" t="e">
        <f t="shared" ca="1" si="12"/>
        <v>#NAME?</v>
      </c>
      <c r="AN16" s="121" t="str">
        <f t="shared" ca="1" si="1"/>
        <v/>
      </c>
      <c r="AO16" s="108" t="e" cm="1">
        <f t="array" aca="1" ref="AO16" ca="1">_xll.BDP($E16,"cur_mkt_cap")</f>
        <v>#NAME?</v>
      </c>
      <c r="AP16" s="108" t="e" cm="1">
        <f t="array" aca="1" ref="AP16" ca="1">_xll.BDP($E16,"crncy")</f>
        <v>#NAME?</v>
      </c>
      <c r="AQ16" s="109" t="e" cm="1">
        <f t="array" aca="1" ref="AQ16" ca="1">_xll.BDP("USD"&amp;AP16&amp;" curncy","px_last")</f>
        <v>#NAME?</v>
      </c>
      <c r="AR16" s="109" t="e">
        <f t="shared" ca="1" si="13"/>
        <v>#NAME?</v>
      </c>
      <c r="AT16" s="121" t="str">
        <f t="shared" ca="1" si="2"/>
        <v/>
      </c>
      <c r="AU16" s="121" t="str">
        <f t="shared" ca="1" si="2"/>
        <v/>
      </c>
      <c r="AV16" s="121" t="str">
        <f t="shared" ca="1" si="2"/>
        <v/>
      </c>
      <c r="AW16" s="73" t="str" cm="1">
        <f t="array" aca="1" ref="AW16" ca="1">IF(ISERROR(DATEVALUE(_xll.BDP($E16,AW$6))),"",DATEVALUE(_xll.BDP($E16,AW$6)))</f>
        <v/>
      </c>
      <c r="AX16" s="73" t="str" cm="1">
        <f t="array" aca="1" ref="AX16" ca="1">IF(ISERROR(DATEVALUE(_xll.BDP($E16,AX$2))),"",DATEVALUE(_xll.BDP($E16,AX$2)))</f>
        <v/>
      </c>
      <c r="AY16" s="73" t="str" cm="1">
        <f t="array" aca="1" ref="AY16" ca="1">IF(ISERROR(DATEVALUE(_xll.BDP($E16,AY$6))),"",DATEVALUE(_xll.BDP($E16,AY$6)))</f>
        <v/>
      </c>
      <c r="AZ16" s="110" t="e" cm="1">
        <f t="array" aca="1" ref="AZ16" ca="1">IF(_xll.BQL($E16, "last(matches(px_last(dates=range(-1w,0d)), dayofweek(px_last(dates=range(-1w,0d)).date)==6))")="#N/A","-",_xll.BQL($E16, "last(matches(px_last(dates=range(-1w,0d)), dayofweek(px_last(dates=range(-1w,0d)).date)==6))"))</f>
        <v>#NAME?</v>
      </c>
      <c r="BA16" s="109" t="e" cm="1">
        <f t="array" aca="1" ref="BA16" ca="1">IF(_xll.BQL(E16,"first(last(matches(px_last(dates=range(-1M,0D)),dayofweek(px_last(dates=range(-1M,0D)).date)==6),2),1)")="#N/A","-",_xll.BQL(E16,"first(last(matches(px_last(dates=range(-1M,0D)),dayofweek(px_last(dates=range(-1M,0D)).date)==6),2),1)"))</f>
        <v>#NAME?</v>
      </c>
      <c r="BB16" s="109" t="str">
        <f t="shared" ca="1" si="14"/>
        <v>-</v>
      </c>
    </row>
    <row r="17" spans="5:54" s="121" customFormat="1" ht="16.5" customHeight="1" thickBot="1">
      <c r="E17" s="120" t="s">
        <v>954</v>
      </c>
      <c r="F17" s="181" t="str">
        <f>"SOFTB CDS JPY SR 5Y D14"&amp;" BEST Curncy"</f>
        <v>SOFTB CDS JPY SR 5Y D14 BEST Curncy</v>
      </c>
      <c r="G17" s="122" t="e">
        <f t="shared" ca="1" si="3"/>
        <v>#NAME?</v>
      </c>
      <c r="I17" s="644"/>
      <c r="J17" s="98" t="e">
        <f ca="1">_xll.BDP($E17,J$3)</f>
        <v>#NAME?</v>
      </c>
      <c r="K17" s="99" t="e">
        <f ca="1">_xll.BDP($E17,K$3)</f>
        <v>#NAME?</v>
      </c>
      <c r="L17" s="100" t="str">
        <f ca="1">IF(ISNUMBER(_xll.BDH($E17,"PX_LAST",TEXT($E$2,"YYYYMMDD"),TEXT($E$2,"YYYYMMDD"),"days=a","fill=p")),_xll.BDH($E17,"PX_LAST",TEXT($E$2,"YYYYMMDD"),TEXT($E$2,"YYYYMMDD"),"days=a","fill=p"),"-")</f>
        <v>-</v>
      </c>
      <c r="M17" s="100" t="str">
        <f ca="1">IF(ISNUMBER(_xll.BDH($E17,"PX_LAST",TEXT($E$2-7,"YYYYMMDD"),TEXT($E$2-7,"YYYYMMDD"),"days=a","fill=p")),_xll.BDH($E17,"PX_LAST",TEXT($E$2-7,"YYYYMMDD"),TEXT($E$2-7,"YYYYMMDD"),"days=a","fill=p"),"-")</f>
        <v>-</v>
      </c>
      <c r="N17" s="180" t="str">
        <f t="shared" ca="1" si="4"/>
        <v>-</v>
      </c>
      <c r="O17" s="101" t="e">
        <f ca="1">IF(OR(_xll.BDP($E17,O$3)="#N/A N/A",_xll.BDP($E17,O$3)="#N/A Invalid Security"), "-", _xll.BDP($E17,O$3))</f>
        <v>#NAME?</v>
      </c>
      <c r="P17" s="182" t="str">
        <f ca="1">IF(ISNUMBER(_xll.BDH($F17,"PX_LAST",TEXT($E$2,"YYYYMMDD"),TEXT($E$2,"YYYYMMDD"),"days=a","fill=p")),_xll.BDH($F17,"PX_LAST",TEXT($E$2,"YYYYMMDD"),TEXT($E$2,"YYYYMMDD"),"days=a","fill=p"),"-")</f>
        <v>-</v>
      </c>
      <c r="Q17" s="182" t="str">
        <f ca="1">IF(ISNUMBER(_xll.BDH($F17,"PX_LAST",TEXT($E$2-7,"YYYYMMDD"),TEXT($E$2-7,"YYYYMMDD"),"days=a","fill=p")),_xll.BDH($F17,"PX_LAST",TEXT($E$2-7,"YYYYMMDD"),TEXT($E$2-7,"YYYYMMDD"),"days=a","fill=p"),"-")</f>
        <v>-</v>
      </c>
      <c r="R17" s="102" t="str">
        <f t="shared" ca="1" si="5"/>
        <v>-</v>
      </c>
      <c r="S17" s="103" t="str">
        <f ca="1">IF(ISNUMBER(_xll.BDP($F17,S$3)),_xll.BDP($F17,S$3),"-")</f>
        <v>-</v>
      </c>
      <c r="T17" s="104" t="e">
        <f t="shared" ca="1" si="6"/>
        <v>#NAME?</v>
      </c>
      <c r="U17" s="105" t="e">
        <f ca="1">IF(OR(_xll.BDP($E17,U$3)="#N/A N/A",_xll.BDP($E17,U$3)="#N/A Invalid Security"), "-", _xll.BDP($E17,U$3))</f>
        <v>#NAME?</v>
      </c>
      <c r="V17" s="105" t="e">
        <f ca="1">IF(OR(_xll.BDP($E17,V$2)="#N/A N/A",_xll.BDP($E17,V$2)="#N/A Invalid Security"), "-", _xll.BDP($E17,V$2))</f>
        <v>#NAME?</v>
      </c>
      <c r="W17" s="106" t="e">
        <f ca="1">IF(OR(_xll.BDP($E17,W$3)="#N/A N/A",_xll.BDP($E17,W$3)="#N/A Invalid Security"), "-", _xll.BDP($E17,W$3))</f>
        <v>#NAME?</v>
      </c>
      <c r="X17" s="105" t="e">
        <f ca="1">IF(OR(_xll.BDP($E17,X$3)="#N/A N/A",_xll.BDP($E17,X$3)="#N/A Invalid Security"), " ", _xll.BDP($E17,X$3))</f>
        <v>#NAME?</v>
      </c>
      <c r="Y17" s="105" t="e">
        <f ca="1">IF(OR(_xll.BDP($E17,Y$3)="#N/A N/A",_xll.BDP($E17,Y$3)="#N/A Invalid Security"), " ", _xll.BDP($E17,Y$3))</f>
        <v>#NAME?</v>
      </c>
      <c r="Z17" s="106" t="e">
        <f ca="1">IF(OR(_xll.BDP($E17,Z$3)="#N/A N/A",_xll.BDP($E17,Z$3)="#N/A Invalid Security"), " ", _xll.BDP($E17,Z$3))</f>
        <v>#NAME?</v>
      </c>
      <c r="AA17" s="123"/>
      <c r="AB17" s="124" t="s">
        <v>955</v>
      </c>
      <c r="AC17" s="124" t="s">
        <v>956</v>
      </c>
      <c r="AD17" s="124" t="s">
        <v>934</v>
      </c>
      <c r="AE17" s="124" t="s">
        <v>940</v>
      </c>
      <c r="AF17" s="124" t="s">
        <v>948</v>
      </c>
      <c r="AG17" s="124" t="s">
        <v>936</v>
      </c>
      <c r="AH17" s="95" t="e">
        <f t="shared" ca="1" si="7"/>
        <v>#NAME?</v>
      </c>
      <c r="AI17" s="95" t="e">
        <f t="shared" ca="1" si="8"/>
        <v>#NAME?</v>
      </c>
      <c r="AJ17" s="95" t="e">
        <f t="shared" ca="1" si="9"/>
        <v>#NAME?</v>
      </c>
      <c r="AK17" s="95" t="e">
        <f t="shared" ca="1" si="10"/>
        <v>#NAME?</v>
      </c>
      <c r="AL17" s="95" t="e">
        <f t="shared" ca="1" si="11"/>
        <v>#NAME?</v>
      </c>
      <c r="AM17" s="95" t="e">
        <f t="shared" ca="1" si="12"/>
        <v>#NAME?</v>
      </c>
      <c r="AN17" s="121" t="str">
        <f t="shared" ca="1" si="1"/>
        <v/>
      </c>
      <c r="AO17" s="108" t="e" cm="1">
        <f t="array" aca="1" ref="AO17" ca="1">_xll.BDP($E17,"cur_mkt_cap")</f>
        <v>#NAME?</v>
      </c>
      <c r="AP17" s="108" t="e" cm="1">
        <f t="array" aca="1" ref="AP17" ca="1">_xll.BDP($E17,"crncy")</f>
        <v>#NAME?</v>
      </c>
      <c r="AQ17" s="109" t="e" cm="1">
        <f t="array" aca="1" ref="AQ17" ca="1">_xll.BDP("USD"&amp;AP17&amp;" curncy","px_last")</f>
        <v>#NAME?</v>
      </c>
      <c r="AR17" s="109" t="e">
        <f t="shared" ca="1" si="13"/>
        <v>#NAME?</v>
      </c>
      <c r="AT17" s="121" t="str">
        <f t="shared" ca="1" si="2"/>
        <v/>
      </c>
      <c r="AU17" s="121" t="str">
        <f t="shared" ca="1" si="2"/>
        <v/>
      </c>
      <c r="AV17" s="121" t="str">
        <f t="shared" ca="1" si="2"/>
        <v/>
      </c>
      <c r="AW17" s="73" t="str" cm="1">
        <f t="array" aca="1" ref="AW17" ca="1">IF(ISERROR(DATEVALUE(_xll.BDP($E17,AW$6))),"",DATEVALUE(_xll.BDP($E17,AW$6)))</f>
        <v/>
      </c>
      <c r="AX17" s="73" t="str" cm="1">
        <f t="array" aca="1" ref="AX17" ca="1">IF(ISERROR(DATEVALUE(_xll.BDP($E17,AX$2))),"",DATEVALUE(_xll.BDP($E17,AX$2)))</f>
        <v/>
      </c>
      <c r="AY17" s="73" t="str" cm="1">
        <f t="array" aca="1" ref="AY17" ca="1">IF(ISERROR(DATEVALUE(_xll.BDP($E17,AY$6))),"",DATEVALUE(_xll.BDP($E17,AY$6)))</f>
        <v/>
      </c>
      <c r="AZ17" s="110" t="e" cm="1">
        <f t="array" aca="1" ref="AZ17" ca="1">IF(_xll.BQL($E17, "last(matches(px_last(dates=range(-1w,0d)), dayofweek(px_last(dates=range(-1w,0d)).date)==6))")="#N/A","-",_xll.BQL($E17, "last(matches(px_last(dates=range(-1w,0d)), dayofweek(px_last(dates=range(-1w,0d)).date)==6))"))</f>
        <v>#NAME?</v>
      </c>
      <c r="BA17" s="109" t="e" cm="1">
        <f t="array" aca="1" ref="BA17" ca="1">IF(_xll.BQL(E17,"first(last(matches(px_last(dates=range(-1M,0D)),dayofweek(px_last(dates=range(-1M,0D)).date)==6),2),1)")="#N/A","-",_xll.BQL(E17,"first(last(matches(px_last(dates=range(-1M,0D)),dayofweek(px_last(dates=range(-1M,0D)).date)==6),2),1)"))</f>
        <v>#NAME?</v>
      </c>
      <c r="BB17" s="109" t="str">
        <f t="shared" ca="1" si="14"/>
        <v>-</v>
      </c>
    </row>
    <row r="18" spans="5:54" s="121" customFormat="1" ht="16.5" customHeight="1" thickBot="1">
      <c r="E18" s="120" t="s">
        <v>957</v>
      </c>
      <c r="F18" s="121" t="e">
        <f ca="1">_xll.BDP($E18,F$3)&amp;" BEST Curncy"</f>
        <v>#NAME?</v>
      </c>
      <c r="G18" s="122" t="e">
        <f t="shared" ca="1" si="3"/>
        <v>#NAME?</v>
      </c>
      <c r="I18" s="644"/>
      <c r="J18" s="98" t="e">
        <f ca="1">_xll.BDP($E18,J$3)</f>
        <v>#NAME?</v>
      </c>
      <c r="K18" s="99" t="e">
        <f ca="1">_xll.BDP($E18,K$3)</f>
        <v>#NAME?</v>
      </c>
      <c r="L18" s="100" t="str">
        <f ca="1">IF(ISNUMBER(_xll.BDH($E18,"PX_LAST",TEXT($E$2,"YYYYMMDD"),TEXT($E$2,"YYYYMMDD"),"days=a","fill=p")),_xll.BDH($E18,"PX_LAST",TEXT($E$2,"YYYYMMDD"),TEXT($E$2,"YYYYMMDD"),"days=a","fill=p"),"-")</f>
        <v>-</v>
      </c>
      <c r="M18" s="100" t="str">
        <f ca="1">IF(ISNUMBER(_xll.BDH($E18,"PX_LAST",TEXT($E$2-7,"YYYYMMDD"),TEXT($E$2-7,"YYYYMMDD"),"days=a","fill=p")),_xll.BDH($E18,"PX_LAST",TEXT($E$2-7,"YYYYMMDD"),TEXT($E$2-7,"YYYYMMDD"),"days=a","fill=p"),"-")</f>
        <v>-</v>
      </c>
      <c r="N18" s="180" t="str">
        <f t="shared" ca="1" si="4"/>
        <v>-</v>
      </c>
      <c r="O18" s="101" t="e">
        <f ca="1">IF(OR(_xll.BDP($E18,O$3)="#N/A N/A",_xll.BDP($E18,O$3)="#N/A Invalid Security"), "-", _xll.BDP($E18,O$3))</f>
        <v>#NAME?</v>
      </c>
      <c r="P18" s="182" t="str">
        <f ca="1">IF(ISNUMBER(_xll.BDH($F18,"PX_LAST",TEXT($E$2,"YYYYMMDD"),TEXT($E$2,"YYYYMMDD"),"days=a","fill=p")),_xll.BDH($F18,"PX_LAST",TEXT($E$2,"YYYYMMDD"),TEXT($E$2,"YYYYMMDD"),"days=a","fill=p"),"-")</f>
        <v>-</v>
      </c>
      <c r="Q18" s="182" t="str">
        <f ca="1">IF(ISNUMBER(_xll.BDH($F18,"PX_LAST",TEXT($E$2-7,"YYYYMMDD"),TEXT($E$2-7,"YYYYMMDD"),"days=a","fill=p")),_xll.BDH($F18,"PX_LAST",TEXT($E$2-7,"YYYYMMDD"),TEXT($E$2-7,"YYYYMMDD"),"days=a","fill=p"),"-")</f>
        <v>-</v>
      </c>
      <c r="R18" s="102" t="str">
        <f t="shared" ca="1" si="5"/>
        <v>-</v>
      </c>
      <c r="S18" s="103" t="str">
        <f ca="1">IF(ISNUMBER(_xll.BDP($F18,S$3)),_xll.BDP($F18,S$3),"-")</f>
        <v>-</v>
      </c>
      <c r="T18" s="104" t="e">
        <f t="shared" ca="1" si="6"/>
        <v>#NAME?</v>
      </c>
      <c r="U18" s="105" t="e">
        <f ca="1">IF(OR(_xll.BDP($E18,U$3)="#N/A N/A",_xll.BDP($E18,U$3)="#N/A Invalid Security"), "-", _xll.BDP($E18,U$3))</f>
        <v>#NAME?</v>
      </c>
      <c r="V18" s="105" t="e">
        <f ca="1">IF(OR(_xll.BDP($E18,V$2)="#N/A N/A",_xll.BDP($E18,V$2)="#N/A Invalid Security"), "-", _xll.BDP($E18,V$2))</f>
        <v>#NAME?</v>
      </c>
      <c r="W18" s="106" t="e">
        <f ca="1">IF(OR(_xll.BDP($E18,W$3)="#N/A N/A",_xll.BDP($E18,W$3)="#N/A Invalid Security"), "-", _xll.BDP($E18,W$3))</f>
        <v>#NAME?</v>
      </c>
      <c r="X18" s="105" t="e">
        <f ca="1">IF(OR(_xll.BDP($E18,X$3)="#N/A N/A",_xll.BDP($E18,X$3)="#N/A Invalid Security"), " ", _xll.BDP($E18,X$3))</f>
        <v>#NAME?</v>
      </c>
      <c r="Y18" s="105" t="e">
        <f ca="1">IF(OR(_xll.BDP($E18,Y$3)="#N/A N/A",_xll.BDP($E18,Y$3)="#N/A Invalid Security"), " ", _xll.BDP($E18,Y$3))</f>
        <v>#NAME?</v>
      </c>
      <c r="Z18" s="106" t="e">
        <f ca="1">IF(OR(_xll.BDP($E18,Z$3)="#N/A N/A",_xll.BDP($E18,Z$3)="#N/A Invalid Security"), " ", _xll.BDP($E18,Z$3))</f>
        <v>#NAME?</v>
      </c>
      <c r="AA18" s="123"/>
      <c r="AB18" s="124" t="s">
        <v>958</v>
      </c>
      <c r="AC18" s="124" t="s">
        <v>959</v>
      </c>
      <c r="AD18" s="124" t="s">
        <v>960</v>
      </c>
      <c r="AE18" s="124" t="s">
        <v>940</v>
      </c>
      <c r="AF18" s="124" t="s">
        <v>936</v>
      </c>
      <c r="AG18" s="124" t="s">
        <v>936</v>
      </c>
      <c r="AH18" s="95" t="e">
        <f t="shared" ca="1" si="7"/>
        <v>#NAME?</v>
      </c>
      <c r="AI18" s="95" t="e">
        <f t="shared" ca="1" si="8"/>
        <v>#NAME?</v>
      </c>
      <c r="AJ18" s="95" t="e">
        <f t="shared" ca="1" si="9"/>
        <v>#NAME?</v>
      </c>
      <c r="AK18" s="95" t="e">
        <f t="shared" ca="1" si="10"/>
        <v>#NAME?</v>
      </c>
      <c r="AL18" s="95" t="e">
        <f t="shared" ca="1" si="11"/>
        <v>#NAME?</v>
      </c>
      <c r="AM18" s="95" t="e">
        <f t="shared" ca="1" si="12"/>
        <v>#NAME?</v>
      </c>
      <c r="AN18" s="121" t="str">
        <f t="shared" ca="1" si="1"/>
        <v/>
      </c>
      <c r="AO18" s="108" t="e" cm="1">
        <f t="array" aca="1" ref="AO18" ca="1">_xll.BDP($E18,"cur_mkt_cap")</f>
        <v>#NAME?</v>
      </c>
      <c r="AP18" s="108" t="e" cm="1">
        <f t="array" aca="1" ref="AP18" ca="1">_xll.BDP($E18,"crncy")</f>
        <v>#NAME?</v>
      </c>
      <c r="AQ18" s="109" t="e" cm="1">
        <f t="array" aca="1" ref="AQ18" ca="1">_xll.BDP("USD"&amp;AP18&amp;" curncy","px_last")</f>
        <v>#NAME?</v>
      </c>
      <c r="AR18" s="109" t="e">
        <f t="shared" ca="1" si="13"/>
        <v>#NAME?</v>
      </c>
      <c r="AT18" s="121" t="str">
        <f t="shared" ca="1" si="2"/>
        <v/>
      </c>
      <c r="AU18" s="121" t="str">
        <f t="shared" ca="1" si="2"/>
        <v/>
      </c>
      <c r="AV18" s="121" t="str">
        <f t="shared" ca="1" si="2"/>
        <v/>
      </c>
      <c r="AW18" s="73" t="str" cm="1">
        <f t="array" aca="1" ref="AW18" ca="1">IF(ISERROR(DATEVALUE(_xll.BDP($E18,AW$6))),"",DATEVALUE(_xll.BDP($E18,AW$6)))</f>
        <v/>
      </c>
      <c r="AX18" s="73" t="str" cm="1">
        <f t="array" aca="1" ref="AX18" ca="1">IF(ISERROR(DATEVALUE(_xll.BDP($E18,AX$2))),"",DATEVALUE(_xll.BDP($E18,AX$2)))</f>
        <v/>
      </c>
      <c r="AY18" s="73" t="str" cm="1">
        <f t="array" aca="1" ref="AY18" ca="1">IF(ISERROR(DATEVALUE(_xll.BDP($E18,AY$6))),"",DATEVALUE(_xll.BDP($E18,AY$6)))</f>
        <v/>
      </c>
      <c r="AZ18" s="110" t="e" cm="1">
        <f t="array" aca="1" ref="AZ18" ca="1">IF(_xll.BQL($E18, "last(matches(px_last(dates=range(-1w,0d)), dayofweek(px_last(dates=range(-1w,0d)).date)==6))")="#N/A","-",_xll.BQL($E18, "last(matches(px_last(dates=range(-1w,0d)), dayofweek(px_last(dates=range(-1w,0d)).date)==6))"))</f>
        <v>#NAME?</v>
      </c>
      <c r="BA18" s="109" t="e" cm="1">
        <f t="array" aca="1" ref="BA18" ca="1">IF(_xll.BQL(E18,"first(last(matches(px_last(dates=range(-1M,0D)),dayofweek(px_last(dates=range(-1M,0D)).date)==6),2),1)")="#N/A","-",_xll.BQL(E18,"first(last(matches(px_last(dates=range(-1M,0D)),dayofweek(px_last(dates=range(-1M,0D)).date)==6),2),1)"))</f>
        <v>#NAME?</v>
      </c>
      <c r="BB18" s="109" t="str">
        <f t="shared" ca="1" si="14"/>
        <v>-</v>
      </c>
    </row>
    <row r="19" spans="5:54" ht="16.5" customHeight="1" thickBot="1">
      <c r="E19" s="96" t="s">
        <v>961</v>
      </c>
      <c r="F19" s="66" t="e">
        <f ca="1">_xll.BDP($E19,F$3)&amp;" BEST Curncy"</f>
        <v>#NAME?</v>
      </c>
      <c r="G19" s="97" t="e">
        <f t="shared" ca="1" si="3"/>
        <v>#NAME?</v>
      </c>
      <c r="I19" s="644"/>
      <c r="J19" s="98" t="e">
        <f ca="1">_xll.BDP($E19,J$3)</f>
        <v>#NAME?</v>
      </c>
      <c r="K19" s="99" t="e">
        <f ca="1">_xll.BDP($E19,K$3)</f>
        <v>#NAME?</v>
      </c>
      <c r="L19" s="100" t="str">
        <f ca="1">IF(ISNUMBER(_xll.BDH($E19,"PX_LAST",TEXT($E$2,"YYYYMMDD"),TEXT($E$2,"YYYYMMDD"),"days=a","fill=p")),_xll.BDH($E19,"PX_LAST",TEXT($E$2,"YYYYMMDD"),TEXT($E$2,"YYYYMMDD"),"days=a","fill=p"),"-")</f>
        <v>-</v>
      </c>
      <c r="M19" s="100" t="str">
        <f ca="1">IF(ISNUMBER(_xll.BDH($E19,"PX_LAST",TEXT($E$2-7,"YYYYMMDD"),TEXT($E$2-7,"YYYYMMDD"),"days=a","fill=p")),_xll.BDH($E19,"PX_LAST",TEXT($E$2-7,"YYYYMMDD"),TEXT($E$2-7,"YYYYMMDD"),"days=a","fill=p"),"-")</f>
        <v>-</v>
      </c>
      <c r="N19" s="180" t="str">
        <f t="shared" ca="1" si="4"/>
        <v>-</v>
      </c>
      <c r="O19" s="101" t="e">
        <f ca="1">IF(OR(_xll.BDP($E19,O$3)="#N/A N/A",_xll.BDP($E19,O$3)="#N/A Invalid Security"), "-", _xll.BDP($E19,O$3))</f>
        <v>#NAME?</v>
      </c>
      <c r="P19" s="182" t="str">
        <f ca="1">IF(ISNUMBER(_xll.BDH($F19,"PX_LAST",TEXT($E$2,"YYYYMMDD"),TEXT($E$2,"YYYYMMDD"),"days=a","fill=p")),_xll.BDH($F19,"PX_LAST",TEXT($E$2,"YYYYMMDD"),TEXT($E$2,"YYYYMMDD"),"days=a","fill=p"),"-")</f>
        <v>-</v>
      </c>
      <c r="Q19" s="182" t="str">
        <f ca="1">IF(ISNUMBER(_xll.BDH($F19,"PX_LAST",TEXT($E$2-7,"YYYYMMDD"),TEXT($E$2-7,"YYYYMMDD"),"days=a","fill=p")),_xll.BDH($F19,"PX_LAST",TEXT($E$2-7,"YYYYMMDD"),TEXT($E$2-7,"YYYYMMDD"),"days=a","fill=p"),"-")</f>
        <v>-</v>
      </c>
      <c r="R19" s="102" t="str">
        <f t="shared" ca="1" si="5"/>
        <v>-</v>
      </c>
      <c r="S19" s="103" t="str">
        <f ca="1">IF(ISNUMBER(_xll.BDP($F19,S$3)),_xll.BDP($F19,S$3),"-")</f>
        <v>-</v>
      </c>
      <c r="T19" s="104" t="e">
        <f t="shared" ca="1" si="6"/>
        <v>#NAME?</v>
      </c>
      <c r="U19" s="105" t="e">
        <f ca="1">IF(OR(_xll.BDP($E19,U$3)="#N/A N/A",_xll.BDP($E19,U$3)="#N/A Invalid Security"), "-", _xll.BDP($E19,U$3))</f>
        <v>#NAME?</v>
      </c>
      <c r="V19" s="105" t="e">
        <f ca="1">IF(OR(_xll.BDP($E19,V$2)="#N/A N/A",_xll.BDP($E19,V$2)="#N/A Invalid Security"), "-", _xll.BDP($E19,V$2))</f>
        <v>#NAME?</v>
      </c>
      <c r="W19" s="106" t="e">
        <f ca="1">IF(OR(_xll.BDP($E19,W$3)="#N/A N/A",_xll.BDP($E19,W$3)="#N/A Invalid Security"), "-", _xll.BDP($E19,W$3))</f>
        <v>#NAME?</v>
      </c>
      <c r="X19" s="105" t="e">
        <f ca="1">IF(OR(_xll.BDP($E19,X$3)="#N/A N/A",_xll.BDP($E19,X$3)="#N/A Invalid Security"), " ", _xll.BDP($E19,X$3))</f>
        <v>#NAME?</v>
      </c>
      <c r="Y19" s="105" t="e">
        <f ca="1">IF(OR(_xll.BDP($E19,Y$3)="#N/A N/A",_xll.BDP($E19,Y$3)="#N/A Invalid Security"), " ", _xll.BDP($E19,Y$3))</f>
        <v>#NAME?</v>
      </c>
      <c r="Z19" s="106" t="e">
        <f ca="1">IF(OR(_xll.BDP($E19,Z$3)="#N/A N/A",_xll.BDP($E19,Z$3)="#N/A Invalid Security"), " ", _xll.BDP($E19,Z$3))</f>
        <v>#NAME?</v>
      </c>
      <c r="AA19" s="107"/>
      <c r="AB19" s="93" t="s">
        <v>932</v>
      </c>
      <c r="AC19" s="93" t="s">
        <v>875</v>
      </c>
      <c r="AD19" s="93" t="s">
        <v>950</v>
      </c>
      <c r="AE19" s="93" t="s">
        <v>948</v>
      </c>
      <c r="AF19" s="93" t="s">
        <v>940</v>
      </c>
      <c r="AG19" s="93" t="s">
        <v>940</v>
      </c>
      <c r="AH19" s="95" t="e">
        <f t="shared" ca="1" si="7"/>
        <v>#NAME?</v>
      </c>
      <c r="AI19" s="95" t="e">
        <f t="shared" ca="1" si="8"/>
        <v>#NAME?</v>
      </c>
      <c r="AJ19" s="95" t="e">
        <f t="shared" ca="1" si="9"/>
        <v>#NAME?</v>
      </c>
      <c r="AK19" s="95" t="e">
        <f t="shared" ca="1" si="10"/>
        <v>#NAME?</v>
      </c>
      <c r="AL19" s="95" t="e">
        <f t="shared" ca="1" si="11"/>
        <v>#NAME?</v>
      </c>
      <c r="AM19" s="95" t="e">
        <f t="shared" ca="1" si="12"/>
        <v>#NAME?</v>
      </c>
      <c r="AN19" s="66" t="str">
        <f t="shared" ca="1" si="1"/>
        <v/>
      </c>
      <c r="AO19" s="108" t="e" cm="1">
        <f t="array" aca="1" ref="AO19" ca="1">_xll.BDP($E19,"cur_mkt_cap")</f>
        <v>#NAME?</v>
      </c>
      <c r="AP19" s="108" t="e" cm="1">
        <f t="array" aca="1" ref="AP19" ca="1">_xll.BDP($E19,"crncy")</f>
        <v>#NAME?</v>
      </c>
      <c r="AQ19" s="109" t="e" cm="1">
        <f t="array" aca="1" ref="AQ19" ca="1">_xll.BDP("USD"&amp;AP19&amp;" curncy","px_last")</f>
        <v>#NAME?</v>
      </c>
      <c r="AR19" s="109" t="e">
        <f t="shared" ca="1" si="13"/>
        <v>#NAME?</v>
      </c>
      <c r="AT19" s="66" t="str">
        <f t="shared" ca="1" si="2"/>
        <v/>
      </c>
      <c r="AU19" s="66" t="str">
        <f t="shared" ca="1" si="2"/>
        <v/>
      </c>
      <c r="AV19" s="66" t="str">
        <f t="shared" ca="1" si="2"/>
        <v/>
      </c>
      <c r="AW19" s="73" t="str" cm="1">
        <f t="array" aca="1" ref="AW19" ca="1">IF(ISERROR(DATEVALUE(_xll.BDP($E19,AW$6))),"",DATEVALUE(_xll.BDP($E19,AW$6)))</f>
        <v/>
      </c>
      <c r="AX19" s="73" t="str" cm="1">
        <f t="array" aca="1" ref="AX19" ca="1">IF(ISERROR(DATEVALUE(_xll.BDP($E19,AX$2))),"",DATEVALUE(_xll.BDP($E19,AX$2)))</f>
        <v/>
      </c>
      <c r="AY19" s="73" t="str" cm="1">
        <f t="array" aca="1" ref="AY19" ca="1">IF(ISERROR(DATEVALUE(_xll.BDP($E19,AY$6))),"",DATEVALUE(_xll.BDP($E19,AY$6)))</f>
        <v/>
      </c>
      <c r="AZ19" s="110" t="e" cm="1">
        <f t="array" aca="1" ref="AZ19" ca="1">IF(_xll.BQL($E19, "last(matches(px_last(dates=range(-1w,0d)), dayofweek(px_last(dates=range(-1w,0d)).date)==6))")="#N/A","-",_xll.BQL($E19, "last(matches(px_last(dates=range(-1w,0d)), dayofweek(px_last(dates=range(-1w,0d)).date)==6))"))</f>
        <v>#NAME?</v>
      </c>
      <c r="BA19" s="109" t="e" cm="1">
        <f t="array" aca="1" ref="BA19" ca="1">IF(_xll.BQL(E19,"first(last(matches(px_last(dates=range(-1M,0D)),dayofweek(px_last(dates=range(-1M,0D)).date)==6),2),1)")="#N/A","-",_xll.BQL(E19,"first(last(matches(px_last(dates=range(-1M,0D)),dayofweek(px_last(dates=range(-1M,0D)).date)==6),2),1)"))</f>
        <v>#NAME?</v>
      </c>
      <c r="BB19" s="109" t="str">
        <f t="shared" ca="1" si="14"/>
        <v>-</v>
      </c>
    </row>
    <row r="20" spans="5:54" ht="16.5" customHeight="1" thickBot="1">
      <c r="E20" s="96" t="s">
        <v>962</v>
      </c>
      <c r="F20" s="66" t="e">
        <f ca="1">_xll.BDP($E20,F$3)&amp;" BEST Curncy"</f>
        <v>#NAME?</v>
      </c>
      <c r="G20" s="97" t="e">
        <f t="shared" ca="1" si="3"/>
        <v>#NAME?</v>
      </c>
      <c r="I20" s="644"/>
      <c r="J20" s="98" t="e">
        <f ca="1">_xll.BDP($E20,J$3)</f>
        <v>#NAME?</v>
      </c>
      <c r="K20" s="99" t="e">
        <f ca="1">_xll.BDP($E20,K$3)</f>
        <v>#NAME?</v>
      </c>
      <c r="L20" s="100" t="str">
        <f ca="1">IF(ISNUMBER(_xll.BDH($E20,"PX_LAST",TEXT($E$2,"YYYYMMDD"),TEXT($E$2,"YYYYMMDD"),"days=a","fill=p")),_xll.BDH($E20,"PX_LAST",TEXT($E$2,"YYYYMMDD"),TEXT($E$2,"YYYYMMDD"),"days=a","fill=p"),"-")</f>
        <v>-</v>
      </c>
      <c r="M20" s="100" t="str">
        <f ca="1">IF(ISNUMBER(_xll.BDH($E20,"PX_LAST",TEXT($E$2-7,"YYYYMMDD"),TEXT($E$2-7,"YYYYMMDD"),"days=a","fill=p")),_xll.BDH($E20,"PX_LAST",TEXT($E$2-7,"YYYYMMDD"),TEXT($E$2-7,"YYYYMMDD"),"days=a","fill=p"),"-")</f>
        <v>-</v>
      </c>
      <c r="N20" s="180" t="str">
        <f t="shared" ca="1" si="4"/>
        <v>-</v>
      </c>
      <c r="O20" s="101" t="e">
        <f ca="1">IF(OR(_xll.BDP($E20,O$3)="#N/A N/A",_xll.BDP($E20,O$3)="#N/A Invalid Security"), "-", _xll.BDP($E20,O$3))</f>
        <v>#NAME?</v>
      </c>
      <c r="P20" s="182" t="str">
        <f ca="1">IF(ISNUMBER(_xll.BDH($F20,"PX_LAST",TEXT($E$2,"YYYYMMDD"),TEXT($E$2,"YYYYMMDD"),"days=a","fill=p")),_xll.BDH($F20,"PX_LAST",TEXT($E$2,"YYYYMMDD"),TEXT($E$2,"YYYYMMDD"),"days=a","fill=p"),"-")</f>
        <v>-</v>
      </c>
      <c r="Q20" s="182" t="str">
        <f ca="1">IF(ISNUMBER(_xll.BDH($F20,"PX_LAST",TEXT($E$2-7,"YYYYMMDD"),TEXT($E$2-7,"YYYYMMDD"),"days=a","fill=p")),_xll.BDH($F20,"PX_LAST",TEXT($E$2-7,"YYYYMMDD"),TEXT($E$2-7,"YYYYMMDD"),"days=a","fill=p"),"-")</f>
        <v>-</v>
      </c>
      <c r="R20" s="102" t="str">
        <f t="shared" ca="1" si="5"/>
        <v>-</v>
      </c>
      <c r="S20" s="103" t="str">
        <f ca="1">IF(ISNUMBER(_xll.BDP($F20,S$3)),_xll.BDP($F20,S$3),"-")</f>
        <v>-</v>
      </c>
      <c r="T20" s="104" t="e">
        <f t="shared" ca="1" si="6"/>
        <v>#NAME?</v>
      </c>
      <c r="U20" s="105" t="e">
        <f ca="1">IF(OR(_xll.BDP($E20,U$3)="#N/A N/A",_xll.BDP($E20,U$3)="#N/A Invalid Security"), "-", _xll.BDP($E20,U$3))</f>
        <v>#NAME?</v>
      </c>
      <c r="V20" s="105" t="e">
        <f ca="1">IF(OR(_xll.BDP($E20,V$2)="#N/A N/A",_xll.BDP($E20,V$2)="#N/A Invalid Security"), "-", _xll.BDP($E20,V$2))</f>
        <v>#NAME?</v>
      </c>
      <c r="W20" s="106" t="e">
        <f ca="1">IF(OR(_xll.BDP($E20,W$3)="#N/A N/A",_xll.BDP($E20,W$3)="#N/A Invalid Security"), "-", _xll.BDP($E20,W$3))</f>
        <v>#NAME?</v>
      </c>
      <c r="X20" s="105" t="e">
        <f ca="1">IF(OR(_xll.BDP($E20,X$3)="#N/A N/A",_xll.BDP($E20,X$3)="#N/A Invalid Security"), " ", _xll.BDP($E20,X$3))</f>
        <v>#NAME?</v>
      </c>
      <c r="Y20" s="105" t="e">
        <f ca="1">IF(OR(_xll.BDP($E20,Y$3)="#N/A N/A",_xll.BDP($E20,Y$3)="#N/A Invalid Security"), " ", _xll.BDP($E20,Y$3))</f>
        <v>#NAME?</v>
      </c>
      <c r="Z20" s="106" t="e">
        <f ca="1">IF(OR(_xll.BDP($E20,Z$3)="#N/A N/A",_xll.BDP($E20,Z$3)="#N/A Invalid Security"), " ", _xll.BDP($E20,Z$3))</f>
        <v>#NAME?</v>
      </c>
      <c r="AA20" s="107"/>
      <c r="AB20" s="93" t="s">
        <v>950</v>
      </c>
      <c r="AC20" s="93" t="s">
        <v>933</v>
      </c>
      <c r="AD20" s="93" t="s">
        <v>938</v>
      </c>
      <c r="AE20" s="93" t="s">
        <v>940</v>
      </c>
      <c r="AF20" s="93" t="s">
        <v>940</v>
      </c>
      <c r="AG20" s="93" t="s">
        <v>940</v>
      </c>
      <c r="AH20" s="95" t="e">
        <f t="shared" ca="1" si="7"/>
        <v>#NAME?</v>
      </c>
      <c r="AI20" s="95" t="e">
        <f t="shared" ca="1" si="8"/>
        <v>#NAME?</v>
      </c>
      <c r="AJ20" s="95" t="e">
        <f t="shared" ca="1" si="9"/>
        <v>#NAME?</v>
      </c>
      <c r="AK20" s="95" t="e">
        <f t="shared" ca="1" si="10"/>
        <v>#NAME?</v>
      </c>
      <c r="AL20" s="95" t="e">
        <f t="shared" ca="1" si="11"/>
        <v>#NAME?</v>
      </c>
      <c r="AM20" s="95" t="e">
        <f t="shared" ca="1" si="12"/>
        <v>#NAME?</v>
      </c>
      <c r="AN20" s="66" t="str">
        <f t="shared" ca="1" si="1"/>
        <v/>
      </c>
      <c r="AO20" s="108" t="e" cm="1">
        <f t="array" aca="1" ref="AO20" ca="1">_xll.BDP($E20,"cur_mkt_cap")</f>
        <v>#NAME?</v>
      </c>
      <c r="AP20" s="108" t="e" cm="1">
        <f t="array" aca="1" ref="AP20" ca="1">_xll.BDP($E20,"crncy")</f>
        <v>#NAME?</v>
      </c>
      <c r="AQ20" s="109" t="e" cm="1">
        <f t="array" aca="1" ref="AQ20" ca="1">_xll.BDP("USD"&amp;AP20&amp;" curncy","px_last")</f>
        <v>#NAME?</v>
      </c>
      <c r="AR20" s="109" t="e">
        <f t="shared" ca="1" si="13"/>
        <v>#NAME?</v>
      </c>
      <c r="AT20" s="66" t="str">
        <f t="shared" ca="1" si="2"/>
        <v/>
      </c>
      <c r="AU20" s="66" t="str">
        <f t="shared" ca="1" si="2"/>
        <v/>
      </c>
      <c r="AV20" s="66" t="str">
        <f t="shared" ca="1" si="2"/>
        <v/>
      </c>
      <c r="AW20" s="73" t="str" cm="1">
        <f t="array" aca="1" ref="AW20" ca="1">IF(ISERROR(DATEVALUE(_xll.BDP($E20,AW$6))),"",DATEVALUE(_xll.BDP($E20,AW$6)))</f>
        <v/>
      </c>
      <c r="AX20" s="73" t="str" cm="1">
        <f t="array" aca="1" ref="AX20" ca="1">IF(ISERROR(DATEVALUE(_xll.BDP($E20,AX$2))),"",DATEVALUE(_xll.BDP($E20,AX$2)))</f>
        <v/>
      </c>
      <c r="AY20" s="73" t="str" cm="1">
        <f t="array" aca="1" ref="AY20" ca="1">IF(ISERROR(DATEVALUE(_xll.BDP($E20,AY$6))),"",DATEVALUE(_xll.BDP($E20,AY$6)))</f>
        <v/>
      </c>
      <c r="AZ20" s="110" t="e" cm="1">
        <f t="array" aca="1" ref="AZ20" ca="1">IF(_xll.BQL($E20, "last(matches(px_last(dates=range(-1w,0d)), dayofweek(px_last(dates=range(-1w,0d)).date)==6))")="#N/A","-",_xll.BQL($E20, "last(matches(px_last(dates=range(-1w,0d)), dayofweek(px_last(dates=range(-1w,0d)).date)==6))"))</f>
        <v>#NAME?</v>
      </c>
      <c r="BA20" s="109" t="e" cm="1">
        <f t="array" aca="1" ref="BA20" ca="1">IF(_xll.BQL(E20,"first(last(matches(px_last(dates=range(-1M,0D)),dayofweek(px_last(dates=range(-1M,0D)).date)==6),2),1)")="#N/A","-",_xll.BQL(E20,"first(last(matches(px_last(dates=range(-1M,0D)),dayofweek(px_last(dates=range(-1M,0D)).date)==6),2),1)"))</f>
        <v>#NAME?</v>
      </c>
      <c r="BB20" s="109" t="str">
        <f t="shared" ca="1" si="14"/>
        <v>-</v>
      </c>
    </row>
    <row r="21" spans="5:54" ht="16.5" customHeight="1" thickBot="1">
      <c r="E21" s="96" t="s">
        <v>963</v>
      </c>
      <c r="F21" s="66" t="e">
        <f ca="1">_xll.BDP($E21,F$3)&amp;" BEST Curncy"</f>
        <v>#NAME?</v>
      </c>
      <c r="G21" s="97" t="e">
        <f t="shared" ca="1" si="3"/>
        <v>#NAME?</v>
      </c>
      <c r="I21" s="645"/>
      <c r="J21" s="98" t="e">
        <f ca="1">_xll.BDP($E21,J$3)</f>
        <v>#NAME?</v>
      </c>
      <c r="K21" s="99" t="e">
        <f ca="1">_xll.BDP($E21,K$3)</f>
        <v>#NAME?</v>
      </c>
      <c r="L21" s="100" t="str">
        <f ca="1">IF(ISNUMBER(_xll.BDH($E21,"PX_LAST",TEXT($E$2,"YYYYMMDD"),TEXT($E$2,"YYYYMMDD"),"days=a","fill=p")),_xll.BDH($E21,"PX_LAST",TEXT($E$2,"YYYYMMDD"),TEXT($E$2,"YYYYMMDD"),"days=a","fill=p"),"-")</f>
        <v>-</v>
      </c>
      <c r="M21" s="100" t="str">
        <f ca="1">IF(ISNUMBER(_xll.BDH($E21,"PX_LAST",TEXT($E$2-7,"YYYYMMDD"),TEXT($E$2-7,"YYYYMMDD"),"days=a","fill=p")),_xll.BDH($E21,"PX_LAST",TEXT($E$2-7,"YYYYMMDD"),TEXT($E$2-7,"YYYYMMDD"),"days=a","fill=p"),"-")</f>
        <v>-</v>
      </c>
      <c r="N21" s="180" t="str">
        <f t="shared" ca="1" si="4"/>
        <v>-</v>
      </c>
      <c r="O21" s="101" t="e">
        <f ca="1">IF(OR(_xll.BDP($E21,O$3)="#N/A N/A",_xll.BDP($E21,O$3)="#N/A Invalid Security"), "-", _xll.BDP($E21,O$3))</f>
        <v>#NAME?</v>
      </c>
      <c r="P21" s="182" t="str">
        <f ca="1">IF(ISNUMBER(_xll.BDH($F21,"PX_LAST",TEXT($E$2,"YYYYMMDD"),TEXT($E$2,"YYYYMMDD"),"days=a","fill=p")),_xll.BDH($F21,"PX_LAST",TEXT($E$2,"YYYYMMDD"),TEXT($E$2,"YYYYMMDD"),"days=a","fill=p"),"-")</f>
        <v>-</v>
      </c>
      <c r="Q21" s="182" t="str">
        <f ca="1">IF(ISNUMBER(_xll.BDH($F21,"PX_LAST",TEXT($E$2-7,"YYYYMMDD"),TEXT($E$2-7,"YYYYMMDD"),"days=a","fill=p")),_xll.BDH($F21,"PX_LAST",TEXT($E$2-7,"YYYYMMDD"),TEXT($E$2-7,"YYYYMMDD"),"days=a","fill=p"),"-")</f>
        <v>-</v>
      </c>
      <c r="R21" s="102" t="str">
        <f t="shared" ca="1" si="5"/>
        <v>-</v>
      </c>
      <c r="S21" s="103" t="str">
        <f ca="1">IF(ISNUMBER(_xll.BDP($F21,S$3)),_xll.BDP($F21,S$3),"-")</f>
        <v>-</v>
      </c>
      <c r="T21" s="104" t="e">
        <f t="shared" ca="1" si="6"/>
        <v>#NAME?</v>
      </c>
      <c r="U21" s="105" t="e">
        <f ca="1">IF(OR(_xll.BDP($E21,U$3)="#N/A N/A",_xll.BDP($E21,U$3)="#N/A Invalid Security"), "-", _xll.BDP($E21,U$3))</f>
        <v>#NAME?</v>
      </c>
      <c r="V21" s="105" t="e">
        <f ca="1">IF(OR(_xll.BDP($E21,V$2)="#N/A N/A",_xll.BDP($E21,V$2)="#N/A Invalid Security"), "-", _xll.BDP($E21,V$2))</f>
        <v>#NAME?</v>
      </c>
      <c r="W21" s="106" t="e">
        <f ca="1">IF(OR(_xll.BDP($E21,W$3)="#N/A N/A",_xll.BDP($E21,W$3)="#N/A Invalid Security"), "-", _xll.BDP($E21,W$3))</f>
        <v>#NAME?</v>
      </c>
      <c r="X21" s="105" t="e">
        <f ca="1">IF(OR(_xll.BDP($E21,X$3)="#N/A N/A",_xll.BDP($E21,X$3)="#N/A Invalid Security"), " ", _xll.BDP($E21,X$3))</f>
        <v>#NAME?</v>
      </c>
      <c r="Y21" s="105" t="e">
        <f ca="1">IF(OR(_xll.BDP($E21,Y$3)="#N/A N/A",_xll.BDP($E21,Y$3)="#N/A Invalid Security"), " ", _xll.BDP($E21,Y$3))</f>
        <v>#NAME?</v>
      </c>
      <c r="Z21" s="106" t="e">
        <f ca="1">IF(OR(_xll.BDP($E21,Z$3)="#N/A N/A",_xll.BDP($E21,Z$3)="#N/A Invalid Security"), " ", _xll.BDP($E21,Z$3))</f>
        <v>#NAME?</v>
      </c>
      <c r="AA21" s="107"/>
      <c r="AB21" s="93" t="s">
        <v>950</v>
      </c>
      <c r="AC21" s="93" t="s">
        <v>933</v>
      </c>
      <c r="AD21" s="93" t="s">
        <v>950</v>
      </c>
      <c r="AE21" s="93" t="s">
        <v>940</v>
      </c>
      <c r="AF21" s="93" t="s">
        <v>940</v>
      </c>
      <c r="AG21" s="93" t="s">
        <v>940</v>
      </c>
      <c r="AH21" s="95" t="e">
        <f t="shared" ca="1" si="7"/>
        <v>#NAME?</v>
      </c>
      <c r="AI21" s="95" t="e">
        <f t="shared" ca="1" si="8"/>
        <v>#NAME?</v>
      </c>
      <c r="AJ21" s="95" t="e">
        <f t="shared" ca="1" si="9"/>
        <v>#NAME?</v>
      </c>
      <c r="AK21" s="95" t="e">
        <f t="shared" ca="1" si="10"/>
        <v>#NAME?</v>
      </c>
      <c r="AL21" s="95" t="e">
        <f t="shared" ca="1" si="11"/>
        <v>#NAME?</v>
      </c>
      <c r="AM21" s="95" t="e">
        <f t="shared" ca="1" si="12"/>
        <v>#NAME?</v>
      </c>
      <c r="AN21" s="66" t="str">
        <f t="shared" ca="1" si="1"/>
        <v/>
      </c>
      <c r="AO21" s="108" t="e" cm="1">
        <f t="array" aca="1" ref="AO21" ca="1">_xll.BDP($E21,"cur_mkt_cap")</f>
        <v>#NAME?</v>
      </c>
      <c r="AP21" s="108" t="e" cm="1">
        <f t="array" aca="1" ref="AP21" ca="1">_xll.BDP($E21,"crncy")</f>
        <v>#NAME?</v>
      </c>
      <c r="AQ21" s="109" t="e" cm="1">
        <f t="array" aca="1" ref="AQ21" ca="1">_xll.BDP("USD"&amp;AP21&amp;" curncy","px_last")</f>
        <v>#NAME?</v>
      </c>
      <c r="AR21" s="109" t="e">
        <f t="shared" ca="1" si="13"/>
        <v>#NAME?</v>
      </c>
      <c r="AT21" s="66" t="str">
        <f t="shared" ca="1" si="2"/>
        <v/>
      </c>
      <c r="AU21" s="66" t="str">
        <f t="shared" ca="1" si="2"/>
        <v/>
      </c>
      <c r="AV21" s="66" t="str">
        <f t="shared" ca="1" si="2"/>
        <v/>
      </c>
      <c r="AW21" s="73" t="str" cm="1">
        <f t="array" aca="1" ref="AW21" ca="1">IF(ISERROR(DATEVALUE(_xll.BDP($E21,AW$6))),"",DATEVALUE(_xll.BDP($E21,AW$6)))</f>
        <v/>
      </c>
      <c r="AX21" s="73" t="str" cm="1">
        <f t="array" aca="1" ref="AX21" ca="1">IF(ISERROR(DATEVALUE(_xll.BDP($E21,AX$2))),"",DATEVALUE(_xll.BDP($E21,AX$2)))</f>
        <v/>
      </c>
      <c r="AY21" s="73" t="str" cm="1">
        <f t="array" aca="1" ref="AY21" ca="1">IF(ISERROR(DATEVALUE(_xll.BDP($E21,AY$6))),"",DATEVALUE(_xll.BDP($E21,AY$6)))</f>
        <v/>
      </c>
      <c r="AZ21" s="110" t="e" cm="1">
        <f t="array" aca="1" ref="AZ21" ca="1">IF(_xll.BQL($E21, "last(matches(px_last(dates=range(-1w,0d)), dayofweek(px_last(dates=range(-1w,0d)).date)==6))")="#N/A","-",_xll.BQL($E21, "last(matches(px_last(dates=range(-1w,0d)), dayofweek(px_last(dates=range(-1w,0d)).date)==6))"))</f>
        <v>#NAME?</v>
      </c>
      <c r="BA21" s="109" t="e" cm="1">
        <f t="array" aca="1" ref="BA21" ca="1">IF(_xll.BQL(E21,"first(last(matches(px_last(dates=range(-1M,0D)),dayofweek(px_last(dates=range(-1M,0D)).date)==6),2),1)")="#N/A","-",_xll.BQL(E21,"first(last(matches(px_last(dates=range(-1M,0D)),dayofweek(px_last(dates=range(-1M,0D)).date)==6),2),1)"))</f>
        <v>#NAME?</v>
      </c>
      <c r="BB21" s="109" t="str">
        <f t="shared" ca="1" si="14"/>
        <v>-</v>
      </c>
    </row>
    <row r="22" spans="5:54" ht="16.5" customHeight="1" thickBot="1">
      <c r="E22" s="96" t="s">
        <v>964</v>
      </c>
      <c r="F22" s="66" t="e">
        <f ca="1">_xll.BDP($E22,F$3)&amp;" BEST Curncy"</f>
        <v>#NAME?</v>
      </c>
      <c r="G22" s="97" t="e">
        <f t="shared" ca="1" si="3"/>
        <v>#NAME?</v>
      </c>
      <c r="I22" s="645"/>
      <c r="J22" s="98" t="e">
        <f ca="1">_xll.BDP($E22,J$3)</f>
        <v>#NAME?</v>
      </c>
      <c r="K22" s="99" t="e">
        <f ca="1">_xll.BDP($E22,K$3)</f>
        <v>#NAME?</v>
      </c>
      <c r="L22" s="100" t="str">
        <f ca="1">IF(ISNUMBER(_xll.BDH($E22,"PX_LAST",TEXT($E$2,"YYYYMMDD"),TEXT($E$2,"YYYYMMDD"),"days=a","fill=p")),_xll.BDH($E22,"PX_LAST",TEXT($E$2,"YYYYMMDD"),TEXT($E$2,"YYYYMMDD"),"days=a","fill=p"),"-")</f>
        <v>-</v>
      </c>
      <c r="M22" s="100" t="str">
        <f ca="1">IF(ISNUMBER(_xll.BDH($E22,"PX_LAST",TEXT($E$2-7,"YYYYMMDD"),TEXT($E$2-7,"YYYYMMDD"),"days=a","fill=p")),_xll.BDH($E22,"PX_LAST",TEXT($E$2-7,"YYYYMMDD"),TEXT($E$2-7,"YYYYMMDD"),"days=a","fill=p"),"-")</f>
        <v>-</v>
      </c>
      <c r="N22" s="180" t="str">
        <f t="shared" ca="1" si="4"/>
        <v>-</v>
      </c>
      <c r="O22" s="101" t="e">
        <f ca="1">IF(OR(_xll.BDP($E22,O$3)="#N/A N/A",_xll.BDP($E22,O$3)="#N/A Invalid Security"), "-", _xll.BDP($E22,O$3))</f>
        <v>#NAME?</v>
      </c>
      <c r="P22" s="182" t="str">
        <f ca="1">IF(ISNUMBER(_xll.BDH($F22,"PX_LAST",TEXT($E$2,"YYYYMMDD"),TEXT($E$2,"YYYYMMDD"),"days=a","fill=p")),_xll.BDH($F22,"PX_LAST",TEXT($E$2,"YYYYMMDD"),TEXT($E$2,"YYYYMMDD"),"days=a","fill=p"),"-")</f>
        <v>-</v>
      </c>
      <c r="Q22" s="182" t="str">
        <f ca="1">IF(ISNUMBER(_xll.BDH($F22,"PX_LAST",TEXT($E$2-7,"YYYYMMDD"),TEXT($E$2-7,"YYYYMMDD"),"days=a","fill=p")),_xll.BDH($F22,"PX_LAST",TEXT($E$2-7,"YYYYMMDD"),TEXT($E$2-7,"YYYYMMDD"),"days=a","fill=p"),"-")</f>
        <v>-</v>
      </c>
      <c r="R22" s="102" t="str">
        <f t="shared" ca="1" si="5"/>
        <v>-</v>
      </c>
      <c r="S22" s="103" t="str">
        <f ca="1">IF(ISNUMBER(_xll.BDP($F22,S$3)),_xll.BDP($F22,S$3),"-")</f>
        <v>-</v>
      </c>
      <c r="T22" s="104" t="e">
        <f t="shared" ca="1" si="6"/>
        <v>#NAME?</v>
      </c>
      <c r="U22" s="105" t="e">
        <f ca="1">IF(OR(_xll.BDP($E22,U$3)="#N/A N/A",_xll.BDP($E22,U$3)="#N/A Invalid Security"), "-", _xll.BDP($E22,U$3))</f>
        <v>#NAME?</v>
      </c>
      <c r="V22" s="105" t="e">
        <f ca="1">IF(OR(_xll.BDP($E22,V$2)="#N/A N/A",_xll.BDP($E22,V$2)="#N/A Invalid Security"), "-", _xll.BDP($E22,V$2))</f>
        <v>#NAME?</v>
      </c>
      <c r="W22" s="106" t="e">
        <f ca="1">IF(OR(_xll.BDP($E22,W$3)="#N/A N/A",_xll.BDP($E22,W$3)="#N/A Invalid Security"), "-", _xll.BDP($E22,W$3))</f>
        <v>#NAME?</v>
      </c>
      <c r="X22" s="105" t="e">
        <f ca="1">IF(OR(_xll.BDP($E22,X$3)="#N/A N/A",_xll.BDP($E22,X$3)="#N/A Invalid Security"), " ", _xll.BDP($E22,X$3))</f>
        <v>#NAME?</v>
      </c>
      <c r="Y22" s="105" t="e">
        <f ca="1">IF(OR(_xll.BDP($E22,Y$3)="#N/A N/A",_xll.BDP($E22,Y$3)="#N/A Invalid Security"), " ", _xll.BDP($E22,Y$3))</f>
        <v>#NAME?</v>
      </c>
      <c r="Z22" s="106" t="e">
        <f ca="1">IF(OR(_xll.BDP($E22,Z$3)="#N/A N/A",_xll.BDP($E22,Z$3)="#N/A Invalid Security"), " ", _xll.BDP($E22,Z$3))</f>
        <v>#NAME?</v>
      </c>
      <c r="AA22" s="107"/>
      <c r="AB22" s="93" t="s">
        <v>950</v>
      </c>
      <c r="AC22" s="93" t="s">
        <v>933</v>
      </c>
      <c r="AD22" s="93" t="s">
        <v>950</v>
      </c>
      <c r="AE22" s="93" t="s">
        <v>948</v>
      </c>
      <c r="AF22" s="93" t="s">
        <v>948</v>
      </c>
      <c r="AG22" s="93" t="s">
        <v>940</v>
      </c>
      <c r="AH22" s="95" t="e">
        <f t="shared" ca="1" si="7"/>
        <v>#NAME?</v>
      </c>
      <c r="AI22" s="95" t="e">
        <f t="shared" ca="1" si="8"/>
        <v>#NAME?</v>
      </c>
      <c r="AJ22" s="95" t="e">
        <f t="shared" ca="1" si="9"/>
        <v>#NAME?</v>
      </c>
      <c r="AK22" s="95" t="e">
        <f t="shared" ca="1" si="10"/>
        <v>#NAME?</v>
      </c>
      <c r="AL22" s="95" t="e">
        <f t="shared" ca="1" si="11"/>
        <v>#NAME?</v>
      </c>
      <c r="AM22" s="95" t="e">
        <f t="shared" ca="1" si="12"/>
        <v>#NAME?</v>
      </c>
      <c r="AN22" s="66" t="str">
        <f t="shared" ca="1" si="1"/>
        <v/>
      </c>
      <c r="AO22" s="108" t="e" cm="1">
        <f t="array" aca="1" ref="AO22" ca="1">_xll.BDP($E22,"cur_mkt_cap")</f>
        <v>#NAME?</v>
      </c>
      <c r="AP22" s="108" t="e" cm="1">
        <f t="array" aca="1" ref="AP22" ca="1">_xll.BDP($E22,"crncy")</f>
        <v>#NAME?</v>
      </c>
      <c r="AQ22" s="109" t="e" cm="1">
        <f t="array" aca="1" ref="AQ22" ca="1">_xll.BDP("USD"&amp;AP22&amp;" curncy","px_last")</f>
        <v>#NAME?</v>
      </c>
      <c r="AR22" s="109" t="e">
        <f t="shared" ca="1" si="13"/>
        <v>#NAME?</v>
      </c>
      <c r="AT22" s="66" t="str">
        <f t="shared" ca="1" si="2"/>
        <v/>
      </c>
      <c r="AU22" s="66" t="str">
        <f t="shared" ca="1" si="2"/>
        <v/>
      </c>
      <c r="AV22" s="66" t="str">
        <f t="shared" ca="1" si="2"/>
        <v/>
      </c>
      <c r="AW22" s="73" t="str" cm="1">
        <f t="array" aca="1" ref="AW22" ca="1">IF(ISERROR(DATEVALUE(_xll.BDP($E22,AW$6))),"",DATEVALUE(_xll.BDP($E22,AW$6)))</f>
        <v/>
      </c>
      <c r="AX22" s="73" t="str" cm="1">
        <f t="array" aca="1" ref="AX22" ca="1">IF(ISERROR(DATEVALUE(_xll.BDP($E22,AX$2))),"",DATEVALUE(_xll.BDP($E22,AX$2)))</f>
        <v/>
      </c>
      <c r="AY22" s="73" t="str" cm="1">
        <f t="array" aca="1" ref="AY22" ca="1">IF(ISERROR(DATEVALUE(_xll.BDP($E22,AY$6))),"",DATEVALUE(_xll.BDP($E22,AY$6)))</f>
        <v/>
      </c>
      <c r="AZ22" s="110" t="e" cm="1">
        <f t="array" aca="1" ref="AZ22" ca="1">IF(_xll.BQL($E22, "last(matches(px_last(dates=range(-1w,0d)), dayofweek(px_last(dates=range(-1w,0d)).date)==6))")="#N/A","-",_xll.BQL($E22, "last(matches(px_last(dates=range(-1w,0d)), dayofweek(px_last(dates=range(-1w,0d)).date)==6))"))</f>
        <v>#NAME?</v>
      </c>
      <c r="BA22" s="109" t="e" cm="1">
        <f t="array" aca="1" ref="BA22" ca="1">IF(_xll.BQL(E22,"first(last(matches(px_last(dates=range(-1M,0D)),dayofweek(px_last(dates=range(-1M,0D)).date)==6),2),1)")="#N/A","-",_xll.BQL(E22,"first(last(matches(px_last(dates=range(-1M,0D)),dayofweek(px_last(dates=range(-1M,0D)).date)==6),2),1)"))</f>
        <v>#NAME?</v>
      </c>
      <c r="BB22" s="109" t="str">
        <f t="shared" ca="1" si="14"/>
        <v>-</v>
      </c>
    </row>
    <row r="23" spans="5:54" ht="16.5" customHeight="1" thickBot="1">
      <c r="E23" s="96" t="s">
        <v>965</v>
      </c>
      <c r="F23" s="66" t="e">
        <f ca="1">_xll.BDP($E23,F$3)&amp;" BEST Curncy"</f>
        <v>#NAME?</v>
      </c>
      <c r="G23" s="97" t="e">
        <f t="shared" ca="1" si="3"/>
        <v>#NAME?</v>
      </c>
      <c r="I23" s="645"/>
      <c r="J23" s="98" t="e">
        <f ca="1">_xll.BDP($E23,J$3)</f>
        <v>#NAME?</v>
      </c>
      <c r="K23" s="99" t="e">
        <f ca="1">_xll.BDP($E23,K$3)</f>
        <v>#NAME?</v>
      </c>
      <c r="L23" s="100" t="str">
        <f ca="1">IF(ISNUMBER(_xll.BDH($E23,"PX_LAST",TEXT($E$2,"YYYYMMDD"),TEXT($E$2,"YYYYMMDD"),"days=a","fill=p")),_xll.BDH($E23,"PX_LAST",TEXT($E$2,"YYYYMMDD"),TEXT($E$2,"YYYYMMDD"),"days=a","fill=p"),"-")</f>
        <v>-</v>
      </c>
      <c r="M23" s="100" t="str">
        <f ca="1">IF(ISNUMBER(_xll.BDH($E23,"PX_LAST",TEXT($E$2-7,"YYYYMMDD"),TEXT($E$2-7,"YYYYMMDD"),"days=a","fill=p")),_xll.BDH($E23,"PX_LAST",TEXT($E$2-7,"YYYYMMDD"),TEXT($E$2-7,"YYYYMMDD"),"days=a","fill=p"),"-")</f>
        <v>-</v>
      </c>
      <c r="N23" s="180" t="str">
        <f t="shared" ca="1" si="4"/>
        <v>-</v>
      </c>
      <c r="O23" s="101" t="e">
        <f ca="1">IF(OR(_xll.BDP($E23,O$3)="#N/A N/A",_xll.BDP($E23,O$3)="#N/A Invalid Security"), "-", _xll.BDP($E23,O$3))</f>
        <v>#NAME?</v>
      </c>
      <c r="P23" s="182" t="str">
        <f ca="1">IF(ISNUMBER(_xll.BDH($F23,"PX_LAST",TEXT($E$2,"YYYYMMDD"),TEXT($E$2,"YYYYMMDD"),"days=a","fill=p")),_xll.BDH($F23,"PX_LAST",TEXT($E$2,"YYYYMMDD"),TEXT($E$2,"YYYYMMDD"),"days=a","fill=p"),"-")</f>
        <v>-</v>
      </c>
      <c r="Q23" s="182" t="str">
        <f ca="1">IF(ISNUMBER(_xll.BDH($F23,"PX_LAST",TEXT($E$2-7,"YYYYMMDD"),TEXT($E$2-7,"YYYYMMDD"),"days=a","fill=p")),_xll.BDH($F23,"PX_LAST",TEXT($E$2-7,"YYYYMMDD"),TEXT($E$2-7,"YYYYMMDD"),"days=a","fill=p"),"-")</f>
        <v>-</v>
      </c>
      <c r="R23" s="102" t="str">
        <f t="shared" ca="1" si="5"/>
        <v>-</v>
      </c>
      <c r="S23" s="103" t="str">
        <f ca="1">IF(ISNUMBER(_xll.BDP($F23,S$3)),_xll.BDP($F23,S$3),"-")</f>
        <v>-</v>
      </c>
      <c r="T23" s="104" t="e">
        <f t="shared" ca="1" si="6"/>
        <v>#NAME?</v>
      </c>
      <c r="U23" s="105" t="e">
        <f ca="1">IF(OR(_xll.BDP($E23,U$3)="#N/A N/A",_xll.BDP($E23,U$3)="#N/A Invalid Security"), "-", _xll.BDP($E23,U$3))</f>
        <v>#NAME?</v>
      </c>
      <c r="V23" s="105" t="e">
        <f ca="1">IF(OR(_xll.BDP($E23,V$2)="#N/A N/A",_xll.BDP($E23,V$2)="#N/A Invalid Security"), "-", _xll.BDP($E23,V$2))</f>
        <v>#NAME?</v>
      </c>
      <c r="W23" s="106" t="e">
        <f ca="1">IF(OR(_xll.BDP($E23,W$3)="#N/A N/A",_xll.BDP($E23,W$3)="#N/A Invalid Security"), "-", _xll.BDP($E23,W$3))</f>
        <v>#NAME?</v>
      </c>
      <c r="X23" s="105" t="e">
        <f ca="1">IF(OR(_xll.BDP($E23,X$3)="#N/A N/A",_xll.BDP($E23,X$3)="#N/A Invalid Security"), " ", _xll.BDP($E23,X$3))</f>
        <v>#NAME?</v>
      </c>
      <c r="Y23" s="105" t="e">
        <f ca="1">IF(OR(_xll.BDP($E23,Y$3)="#N/A N/A",_xll.BDP($E23,Y$3)="#N/A Invalid Security"), " ", _xll.BDP($E23,Y$3))</f>
        <v>#NAME?</v>
      </c>
      <c r="Z23" s="106" t="e">
        <f ca="1">IF(OR(_xll.BDP($E23,Z$3)="#N/A N/A",_xll.BDP($E23,Z$3)="#N/A Invalid Security"), " ", _xll.BDP($E23,Z$3))</f>
        <v>#NAME?</v>
      </c>
      <c r="AA23" s="107"/>
      <c r="AB23" s="93" t="s">
        <v>938</v>
      </c>
      <c r="AC23" s="93" t="s">
        <v>942</v>
      </c>
      <c r="AD23" s="93" t="s">
        <v>938</v>
      </c>
      <c r="AE23" s="93" t="s">
        <v>940</v>
      </c>
      <c r="AF23" s="93" t="s">
        <v>940</v>
      </c>
      <c r="AG23" s="93" t="s">
        <v>940</v>
      </c>
      <c r="AH23" s="95" t="e">
        <f t="shared" ca="1" si="7"/>
        <v>#NAME?</v>
      </c>
      <c r="AI23" s="95" t="e">
        <f t="shared" ca="1" si="8"/>
        <v>#NAME?</v>
      </c>
      <c r="AJ23" s="95" t="e">
        <f t="shared" ca="1" si="9"/>
        <v>#NAME?</v>
      </c>
      <c r="AK23" s="95" t="e">
        <f t="shared" ca="1" si="10"/>
        <v>#NAME?</v>
      </c>
      <c r="AL23" s="95" t="e">
        <f t="shared" ca="1" si="11"/>
        <v>#NAME?</v>
      </c>
      <c r="AM23" s="95" t="e">
        <f t="shared" ca="1" si="12"/>
        <v>#NAME?</v>
      </c>
      <c r="AN23" s="66" t="str">
        <f t="shared" ca="1" si="1"/>
        <v/>
      </c>
      <c r="AO23" s="108" t="e" cm="1">
        <f t="array" aca="1" ref="AO23" ca="1">_xll.BDP($E23,"cur_mkt_cap")</f>
        <v>#NAME?</v>
      </c>
      <c r="AP23" s="108" t="e" cm="1">
        <f t="array" aca="1" ref="AP23" ca="1">_xll.BDP($E23,"crncy")</f>
        <v>#NAME?</v>
      </c>
      <c r="AQ23" s="109" t="e" cm="1">
        <f t="array" aca="1" ref="AQ23" ca="1">_xll.BDP("USD"&amp;AP23&amp;" curncy","px_last")</f>
        <v>#NAME?</v>
      </c>
      <c r="AR23" s="109" t="e">
        <f t="shared" ca="1" si="13"/>
        <v>#NAME?</v>
      </c>
      <c r="AT23" s="66" t="str">
        <f t="shared" ref="AT23:AV33" ca="1" si="15">IF(AND(AW23&lt;=$E$1,AW23&gt;=$F$1),1,"")</f>
        <v/>
      </c>
      <c r="AU23" s="66" t="str">
        <f t="shared" ca="1" si="15"/>
        <v/>
      </c>
      <c r="AV23" s="66" t="str">
        <f t="shared" ca="1" si="15"/>
        <v/>
      </c>
      <c r="AW23" s="73" t="str" cm="1">
        <f t="array" aca="1" ref="AW23" ca="1">IF(ISERROR(DATEVALUE(_xll.BDP($E23,AW$6))),"",DATEVALUE(_xll.BDP($E23,AW$6)))</f>
        <v/>
      </c>
      <c r="AX23" s="73" t="str" cm="1">
        <f t="array" aca="1" ref="AX23" ca="1">IF(ISERROR(DATEVALUE(_xll.BDP($E23,AX$2))),"",DATEVALUE(_xll.BDP($E23,AX$2)))</f>
        <v/>
      </c>
      <c r="AY23" s="73" t="str" cm="1">
        <f t="array" aca="1" ref="AY23" ca="1">IF(ISERROR(DATEVALUE(_xll.BDP($E23,AY$6))),"",DATEVALUE(_xll.BDP($E23,AY$6)))</f>
        <v/>
      </c>
      <c r="AZ23" s="110" t="e" cm="1">
        <f t="array" aca="1" ref="AZ23" ca="1">IF(_xll.BQL($E23, "last(matches(px_last(dates=range(-1w,0d)), dayofweek(px_last(dates=range(-1w,0d)).date)==6))")="#N/A","-",_xll.BQL($E23, "last(matches(px_last(dates=range(-1w,0d)), dayofweek(px_last(dates=range(-1w,0d)).date)==6))"))</f>
        <v>#NAME?</v>
      </c>
      <c r="BA23" s="109" t="e" cm="1">
        <f t="array" aca="1" ref="BA23" ca="1">IF(_xll.BQL(E23,"first(last(matches(px_last(dates=range(-1M,0D)),dayofweek(px_last(dates=range(-1M,0D)).date)==6),2),1)")="#N/A","-",_xll.BQL(E23,"first(last(matches(px_last(dates=range(-1M,0D)),dayofweek(px_last(dates=range(-1M,0D)).date)==6),2),1)"))</f>
        <v>#NAME?</v>
      </c>
      <c r="BB23" s="109" t="str">
        <f t="shared" ca="1" si="14"/>
        <v>-</v>
      </c>
    </row>
    <row r="24" spans="5:54" ht="16.5" customHeight="1" thickBot="1">
      <c r="E24" s="96" t="s">
        <v>966</v>
      </c>
      <c r="F24" s="66" t="e">
        <f ca="1">_xll.BDP($E24,F$3)&amp;" BEST Curncy"</f>
        <v>#NAME?</v>
      </c>
      <c r="G24" s="97" t="e">
        <f t="shared" ca="1" si="3"/>
        <v>#NAME?</v>
      </c>
      <c r="I24" s="645"/>
      <c r="J24" s="98" t="e">
        <f ca="1">_xll.BDP($E24,J$3)</f>
        <v>#NAME?</v>
      </c>
      <c r="K24" s="99" t="e">
        <f ca="1">_xll.BDP($E24,K$3)</f>
        <v>#NAME?</v>
      </c>
      <c r="L24" s="100" t="str">
        <f ca="1">IF(ISNUMBER(_xll.BDH($E24,"PX_LAST",TEXT($E$2,"YYYYMMDD"),TEXT($E$2,"YYYYMMDD"),"days=a","fill=p")),_xll.BDH($E24,"PX_LAST",TEXT($E$2,"YYYYMMDD"),TEXT($E$2,"YYYYMMDD"),"days=a","fill=p"),"-")</f>
        <v>-</v>
      </c>
      <c r="M24" s="100" t="str">
        <f ca="1">IF(ISNUMBER(_xll.BDH($E24,"PX_LAST",TEXT($E$2-7,"YYYYMMDD"),TEXT($E$2-7,"YYYYMMDD"),"days=a","fill=p")),_xll.BDH($E24,"PX_LAST",TEXT($E$2-7,"YYYYMMDD"),TEXT($E$2-7,"YYYYMMDD"),"days=a","fill=p"),"-")</f>
        <v>-</v>
      </c>
      <c r="N24" s="180" t="str">
        <f t="shared" ca="1" si="4"/>
        <v>-</v>
      </c>
      <c r="O24" s="101" t="e">
        <f ca="1">IF(OR(_xll.BDP($E24,O$3)="#N/A N/A",_xll.BDP($E24,O$3)="#N/A Invalid Security"), "-", _xll.BDP($E24,O$3))</f>
        <v>#NAME?</v>
      </c>
      <c r="P24" s="182" t="str">
        <f ca="1">IF(ISNUMBER(_xll.BDH($F24,"PX_LAST",TEXT($E$2,"YYYYMMDD"),TEXT($E$2,"YYYYMMDD"),"days=a","fill=p")),_xll.BDH($F24,"PX_LAST",TEXT($E$2,"YYYYMMDD"),TEXT($E$2,"YYYYMMDD"),"days=a","fill=p"),"-")</f>
        <v>-</v>
      </c>
      <c r="Q24" s="182" t="str">
        <f ca="1">IF(ISNUMBER(_xll.BDH($F24,"PX_LAST",TEXT($E$2-7,"YYYYMMDD"),TEXT($E$2-7,"YYYYMMDD"),"days=a","fill=p")),_xll.BDH($F24,"PX_LAST",TEXT($E$2-7,"YYYYMMDD"),TEXT($E$2-7,"YYYYMMDD"),"days=a","fill=p"),"-")</f>
        <v>-</v>
      </c>
      <c r="R24" s="102" t="str">
        <f t="shared" ca="1" si="5"/>
        <v>-</v>
      </c>
      <c r="S24" s="103" t="str">
        <f ca="1">IF(ISNUMBER(_xll.BDP($F24,S$3)),_xll.BDP($F24,S$3),"-")</f>
        <v>-</v>
      </c>
      <c r="T24" s="104" t="e">
        <f t="shared" ca="1" si="6"/>
        <v>#NAME?</v>
      </c>
      <c r="U24" s="105" t="e">
        <f ca="1">IF(OR(_xll.BDP($E24,U$3)="#N/A N/A",_xll.BDP($E24,U$3)="#N/A Invalid Security"), "-", _xll.BDP($E24,U$3))</f>
        <v>#NAME?</v>
      </c>
      <c r="V24" s="105" t="e">
        <f ca="1">IF(OR(_xll.BDP($E24,V$2)="#N/A N/A",_xll.BDP($E24,V$2)="#N/A Invalid Security"), "-", _xll.BDP($E24,V$2))</f>
        <v>#NAME?</v>
      </c>
      <c r="W24" s="106" t="e">
        <f ca="1">IF(OR(_xll.BDP($E24,W$3)="#N/A N/A",_xll.BDP($E24,W$3)="#N/A Invalid Security"), "-", _xll.BDP($E24,W$3))</f>
        <v>#NAME?</v>
      </c>
      <c r="X24" s="105" t="e">
        <f ca="1">IF(OR(_xll.BDP($E24,X$3)="#N/A N/A",_xll.BDP($E24,X$3)="#N/A Invalid Security"), " ", _xll.BDP($E24,X$3))</f>
        <v>#NAME?</v>
      </c>
      <c r="Y24" s="105" t="e">
        <f ca="1">IF(OR(_xll.BDP($E24,Y$3)="#N/A N/A",_xll.BDP($E24,Y$3)="#N/A Invalid Security"), " ", _xll.BDP($E24,Y$3))</f>
        <v>#NAME?</v>
      </c>
      <c r="Z24" s="106" t="e">
        <f ca="1">IF(OR(_xll.BDP($E24,Z$3)="#N/A N/A",_xll.BDP($E24,Z$3)="#N/A Invalid Security"), " ", _xll.BDP($E24,Z$3))</f>
        <v>#NAME?</v>
      </c>
      <c r="AA24" s="107"/>
      <c r="AB24" s="93" t="s">
        <v>932</v>
      </c>
      <c r="AC24" s="93" t="s">
        <v>875</v>
      </c>
      <c r="AD24" s="93" t="s">
        <v>932</v>
      </c>
      <c r="AE24" s="93" t="s">
        <v>940</v>
      </c>
      <c r="AF24" s="93" t="s">
        <v>940</v>
      </c>
      <c r="AG24" s="93" t="s">
        <v>948</v>
      </c>
      <c r="AH24" s="95" t="e">
        <f t="shared" ca="1" si="7"/>
        <v>#NAME?</v>
      </c>
      <c r="AI24" s="95" t="e">
        <f t="shared" ca="1" si="8"/>
        <v>#NAME?</v>
      </c>
      <c r="AJ24" s="95" t="e">
        <f t="shared" ca="1" si="9"/>
        <v>#NAME?</v>
      </c>
      <c r="AK24" s="95" t="e">
        <f t="shared" ca="1" si="10"/>
        <v>#NAME?</v>
      </c>
      <c r="AL24" s="95" t="e">
        <f t="shared" ca="1" si="11"/>
        <v>#NAME?</v>
      </c>
      <c r="AM24" s="95" t="e">
        <f t="shared" ca="1" si="12"/>
        <v>#NAME?</v>
      </c>
      <c r="AN24" s="66" t="str">
        <f t="shared" ca="1" si="1"/>
        <v/>
      </c>
      <c r="AO24" s="108" t="e" cm="1">
        <f t="array" aca="1" ref="AO24" ca="1">_xll.BDP($E24,"cur_mkt_cap")</f>
        <v>#NAME?</v>
      </c>
      <c r="AP24" s="108" t="e" cm="1">
        <f t="array" aca="1" ref="AP24" ca="1">_xll.BDP($E24,"crncy")</f>
        <v>#NAME?</v>
      </c>
      <c r="AQ24" s="109" t="e" cm="1">
        <f t="array" aca="1" ref="AQ24" ca="1">_xll.BDP("USD"&amp;AP24&amp;" curncy","px_last")</f>
        <v>#NAME?</v>
      </c>
      <c r="AR24" s="109" t="e">
        <f t="shared" ca="1" si="13"/>
        <v>#NAME?</v>
      </c>
      <c r="AT24" s="66" t="str">
        <f t="shared" ca="1" si="15"/>
        <v/>
      </c>
      <c r="AU24" s="66" t="str">
        <f t="shared" ca="1" si="15"/>
        <v/>
      </c>
      <c r="AV24" s="66" t="str">
        <f t="shared" ca="1" si="15"/>
        <v/>
      </c>
      <c r="AW24" s="73" t="str" cm="1">
        <f t="array" aca="1" ref="AW24" ca="1">IF(ISERROR(DATEVALUE(_xll.BDP($E24,AW$6))),"",DATEVALUE(_xll.BDP($E24,AW$6)))</f>
        <v/>
      </c>
      <c r="AX24" s="73" t="str" cm="1">
        <f t="array" aca="1" ref="AX24" ca="1">IF(ISERROR(DATEVALUE(_xll.BDP($E24,AX$2))),"",DATEVALUE(_xll.BDP($E24,AX$2)))</f>
        <v/>
      </c>
      <c r="AY24" s="73" t="str" cm="1">
        <f t="array" aca="1" ref="AY24" ca="1">IF(ISERROR(DATEVALUE(_xll.BDP($E24,AY$6))),"",DATEVALUE(_xll.BDP($E24,AY$6)))</f>
        <v/>
      </c>
      <c r="AZ24" s="110" t="e" cm="1">
        <f t="array" aca="1" ref="AZ24" ca="1">IF(_xll.BQL($E24, "last(matches(px_last(dates=range(-1w,0d)), dayofweek(px_last(dates=range(-1w,0d)).date)==6))")="#N/A","-",_xll.BQL($E24, "last(matches(px_last(dates=range(-1w,0d)), dayofweek(px_last(dates=range(-1w,0d)).date)==6))"))</f>
        <v>#NAME?</v>
      </c>
      <c r="BA24" s="109" t="e" cm="1">
        <f t="array" aca="1" ref="BA24" ca="1">IF(_xll.BQL(E24,"first(last(matches(px_last(dates=range(-1M,0D)),dayofweek(px_last(dates=range(-1M,0D)).date)==6),2),1)")="#N/A","-",_xll.BQL(E24,"first(last(matches(px_last(dates=range(-1M,0D)),dayofweek(px_last(dates=range(-1M,0D)).date)==6),2),1)"))</f>
        <v>#NAME?</v>
      </c>
      <c r="BB24" s="109" t="str">
        <f t="shared" ca="1" si="14"/>
        <v>-</v>
      </c>
    </row>
    <row r="25" spans="5:54" ht="16.5" customHeight="1" thickBot="1">
      <c r="E25" s="96" t="s">
        <v>967</v>
      </c>
      <c r="F25" s="66" t="e">
        <f ca="1">_xll.BDP($E25,F$3)&amp;" BEST Curncy"</f>
        <v>#NAME?</v>
      </c>
      <c r="G25" s="97" t="e">
        <f t="shared" ca="1" si="3"/>
        <v>#NAME?</v>
      </c>
      <c r="I25" s="645"/>
      <c r="J25" s="98" t="e">
        <f ca="1">_xll.BDP($E25,J$3)</f>
        <v>#NAME?</v>
      </c>
      <c r="K25" s="99" t="e">
        <f ca="1">_xll.BDP($E25,K$3)</f>
        <v>#NAME?</v>
      </c>
      <c r="L25" s="100" t="str">
        <f ca="1">IF(ISNUMBER(_xll.BDH($E25,"PX_LAST",TEXT($E$2,"YYYYMMDD"),TEXT($E$2,"YYYYMMDD"),"days=a","fill=p")),_xll.BDH($E25,"PX_LAST",TEXT($E$2,"YYYYMMDD"),TEXT($E$2,"YYYYMMDD"),"days=a","fill=p"),"-")</f>
        <v>-</v>
      </c>
      <c r="M25" s="100" t="str">
        <f ca="1">IF(ISNUMBER(_xll.BDH($E25,"PX_LAST",TEXT($E$2-7,"YYYYMMDD"),TEXT($E$2-7,"YYYYMMDD"),"days=a","fill=p")),_xll.BDH($E25,"PX_LAST",TEXT($E$2-7,"YYYYMMDD"),TEXT($E$2-7,"YYYYMMDD"),"days=a","fill=p"),"-")</f>
        <v>-</v>
      </c>
      <c r="N25" s="180" t="str">
        <f t="shared" ca="1" si="4"/>
        <v>-</v>
      </c>
      <c r="O25" s="101" t="e">
        <f ca="1">IF(OR(_xll.BDP($E25,O$3)="#N/A N/A",_xll.BDP($E25,O$3)="#N/A Invalid Security"), "-", _xll.BDP($E25,O$3))</f>
        <v>#NAME?</v>
      </c>
      <c r="P25" s="182" t="str">
        <f ca="1">IF(ISNUMBER(_xll.BDH($F25,"PX_LAST",TEXT($E$2,"YYYYMMDD"),TEXT($E$2,"YYYYMMDD"),"days=a","fill=p")),_xll.BDH($F25,"PX_LAST",TEXT($E$2,"YYYYMMDD"),TEXT($E$2,"YYYYMMDD"),"days=a","fill=p"),"-")</f>
        <v>-</v>
      </c>
      <c r="Q25" s="182" t="str">
        <f ca="1">IF(ISNUMBER(_xll.BDH($F25,"PX_LAST",TEXT($E$2-7,"YYYYMMDD"),TEXT($E$2-7,"YYYYMMDD"),"days=a","fill=p")),_xll.BDH($F25,"PX_LAST",TEXT($E$2-7,"YYYYMMDD"),TEXT($E$2-7,"YYYYMMDD"),"days=a","fill=p"),"-")</f>
        <v>-</v>
      </c>
      <c r="R25" s="102" t="str">
        <f t="shared" ca="1" si="5"/>
        <v>-</v>
      </c>
      <c r="S25" s="103" t="str">
        <f ca="1">IF(ISNUMBER(_xll.BDP($F25,S$3)),_xll.BDP($F25,S$3),"-")</f>
        <v>-</v>
      </c>
      <c r="T25" s="104" t="e">
        <f t="shared" ca="1" si="6"/>
        <v>#NAME?</v>
      </c>
      <c r="U25" s="105" t="e">
        <f ca="1">IF(OR(_xll.BDP($E25,U$3)="#N/A N/A",_xll.BDP($E25,U$3)="#N/A Invalid Security"), "-", _xll.BDP($E25,U$3))</f>
        <v>#NAME?</v>
      </c>
      <c r="V25" s="105" t="e">
        <f ca="1">IF(OR(_xll.BDP($E25,V$2)="#N/A N/A",_xll.BDP($E25,V$2)="#N/A Invalid Security"), "-", _xll.BDP($E25,V$2))</f>
        <v>#NAME?</v>
      </c>
      <c r="W25" s="106" t="e">
        <f ca="1">IF(OR(_xll.BDP($E25,W$3)="#N/A N/A",_xll.BDP($E25,W$3)="#N/A Invalid Security"), "-", _xll.BDP($E25,W$3))</f>
        <v>#NAME?</v>
      </c>
      <c r="X25" s="105" t="e">
        <f ca="1">IF(OR(_xll.BDP($E25,X$3)="#N/A N/A",_xll.BDP($E25,X$3)="#N/A Invalid Security"), " ", _xll.BDP($E25,X$3))</f>
        <v>#NAME?</v>
      </c>
      <c r="Y25" s="105" t="e">
        <f ca="1">IF(OR(_xll.BDP($E25,Y$3)="#N/A N/A",_xll.BDP($E25,Y$3)="#N/A Invalid Security"), " ", _xll.BDP($E25,Y$3))</f>
        <v>#NAME?</v>
      </c>
      <c r="Z25" s="106" t="e">
        <f ca="1">IF(OR(_xll.BDP($E25,Z$3)="#N/A N/A",_xll.BDP($E25,Z$3)="#N/A Invalid Security"), " ", _xll.BDP($E25,Z$3))</f>
        <v>#NAME?</v>
      </c>
      <c r="AA25" s="107"/>
      <c r="AB25" s="93" t="s">
        <v>932</v>
      </c>
      <c r="AC25" s="93" t="s">
        <v>934</v>
      </c>
      <c r="AD25" s="93" t="s">
        <v>950</v>
      </c>
      <c r="AE25" s="93" t="s">
        <v>948</v>
      </c>
      <c r="AF25" s="93" t="s">
        <v>936</v>
      </c>
      <c r="AG25" s="93" t="s">
        <v>940</v>
      </c>
      <c r="AH25" s="95" t="e">
        <f t="shared" ca="1" si="7"/>
        <v>#NAME?</v>
      </c>
      <c r="AI25" s="95" t="e">
        <f t="shared" ca="1" si="8"/>
        <v>#NAME?</v>
      </c>
      <c r="AJ25" s="95" t="e">
        <f t="shared" ca="1" si="9"/>
        <v>#NAME?</v>
      </c>
      <c r="AK25" s="95" t="e">
        <f t="shared" ca="1" si="10"/>
        <v>#NAME?</v>
      </c>
      <c r="AL25" s="95" t="e">
        <f t="shared" ca="1" si="11"/>
        <v>#NAME?</v>
      </c>
      <c r="AM25" s="95" t="e">
        <f t="shared" ca="1" si="12"/>
        <v>#NAME?</v>
      </c>
      <c r="AN25" s="66" t="str">
        <f t="shared" ca="1" si="1"/>
        <v/>
      </c>
      <c r="AO25" s="108" t="e" cm="1">
        <f t="array" aca="1" ref="AO25" ca="1">_xll.BDP($E25,"cur_mkt_cap")</f>
        <v>#NAME?</v>
      </c>
      <c r="AP25" s="108" t="e" cm="1">
        <f t="array" aca="1" ref="AP25" ca="1">_xll.BDP($E25,"crncy")</f>
        <v>#NAME?</v>
      </c>
      <c r="AQ25" s="109" t="e" cm="1">
        <f t="array" aca="1" ref="AQ25" ca="1">_xll.BDP("USD"&amp;AP25&amp;" curncy","px_last")</f>
        <v>#NAME?</v>
      </c>
      <c r="AR25" s="109" t="e">
        <f t="shared" ca="1" si="13"/>
        <v>#NAME?</v>
      </c>
      <c r="AT25" s="66" t="str">
        <f t="shared" ca="1" si="15"/>
        <v/>
      </c>
      <c r="AU25" s="66" t="str">
        <f t="shared" ca="1" si="15"/>
        <v/>
      </c>
      <c r="AV25" s="66" t="str">
        <f t="shared" ca="1" si="15"/>
        <v/>
      </c>
      <c r="AW25" s="73" t="str" cm="1">
        <f t="array" aca="1" ref="AW25" ca="1">IF(ISERROR(DATEVALUE(_xll.BDP($E25,AW$6))),"",DATEVALUE(_xll.BDP($E25,AW$6)))</f>
        <v/>
      </c>
      <c r="AX25" s="73" t="str" cm="1">
        <f t="array" aca="1" ref="AX25" ca="1">IF(ISERROR(DATEVALUE(_xll.BDP($E25,AX$2))),"",DATEVALUE(_xll.BDP($E25,AX$2)))</f>
        <v/>
      </c>
      <c r="AY25" s="73" t="str" cm="1">
        <f t="array" aca="1" ref="AY25" ca="1">IF(ISERROR(DATEVALUE(_xll.BDP($E25,AY$6))),"",DATEVALUE(_xll.BDP($E25,AY$6)))</f>
        <v/>
      </c>
      <c r="AZ25" s="110" t="e" cm="1">
        <f t="array" aca="1" ref="AZ25" ca="1">IF(_xll.BQL($E25, "last(matches(px_last(dates=range(-1w,0d)), dayofweek(px_last(dates=range(-1w,0d)).date)==6))")="#N/A","-",_xll.BQL($E25, "last(matches(px_last(dates=range(-1w,0d)), dayofweek(px_last(dates=range(-1w,0d)).date)==6))"))</f>
        <v>#NAME?</v>
      </c>
      <c r="BA25" s="109" t="e" cm="1">
        <f t="array" aca="1" ref="BA25" ca="1">IF(_xll.BQL(E25,"first(last(matches(px_last(dates=range(-1M,0D)),dayofweek(px_last(dates=range(-1M,0D)).date)==6),2),1)")="#N/A","-",_xll.BQL(E25,"first(last(matches(px_last(dates=range(-1M,0D)),dayofweek(px_last(dates=range(-1M,0D)).date)==6),2),1)"))</f>
        <v>#NAME?</v>
      </c>
      <c r="BB25" s="109" t="str">
        <f t="shared" ca="1" si="14"/>
        <v>-</v>
      </c>
    </row>
    <row r="26" spans="5:54" ht="16.5" customHeight="1" thickBot="1">
      <c r="E26" s="96" t="s">
        <v>968</v>
      </c>
      <c r="F26" s="66" t="e">
        <f ca="1">_xll.BDP($E26,F$3)&amp;" BEST Curncy"</f>
        <v>#NAME?</v>
      </c>
      <c r="G26" s="97" t="e">
        <f t="shared" ca="1" si="3"/>
        <v>#NAME?</v>
      </c>
      <c r="I26" s="645"/>
      <c r="J26" s="98" t="e">
        <f ca="1">_xll.BDP($E26,J$3)</f>
        <v>#NAME?</v>
      </c>
      <c r="K26" s="99" t="e">
        <f ca="1">_xll.BDP($E26,K$3)</f>
        <v>#NAME?</v>
      </c>
      <c r="L26" s="100" t="str">
        <f ca="1">IF(ISNUMBER(_xll.BDH($E26,"PX_LAST",TEXT($E$2,"YYYYMMDD"),TEXT($E$2,"YYYYMMDD"),"days=a","fill=p")),_xll.BDH($E26,"PX_LAST",TEXT($E$2,"YYYYMMDD"),TEXT($E$2,"YYYYMMDD"),"days=a","fill=p"),"-")</f>
        <v>-</v>
      </c>
      <c r="M26" s="100" t="str">
        <f ca="1">IF(ISNUMBER(_xll.BDH($E26,"PX_LAST",TEXT($E$2-7,"YYYYMMDD"),TEXT($E$2-7,"YYYYMMDD"),"days=a","fill=p")),_xll.BDH($E26,"PX_LAST",TEXT($E$2-7,"YYYYMMDD"),TEXT($E$2-7,"YYYYMMDD"),"days=a","fill=p"),"-")</f>
        <v>-</v>
      </c>
      <c r="N26" s="180" t="str">
        <f t="shared" ca="1" si="4"/>
        <v>-</v>
      </c>
      <c r="O26" s="101" t="e">
        <f ca="1">IF(OR(_xll.BDP($E26,O$3)="#N/A N/A",_xll.BDP($E26,O$3)="#N/A Invalid Security"), "-", _xll.BDP($E26,O$3))</f>
        <v>#NAME?</v>
      </c>
      <c r="P26" s="182" t="str">
        <f ca="1">IF(ISNUMBER(_xll.BDH($F26,"PX_LAST",TEXT($E$2,"YYYYMMDD"),TEXT($E$2,"YYYYMMDD"),"days=a","fill=p")),_xll.BDH($F26,"PX_LAST",TEXT($E$2,"YYYYMMDD"),TEXT($E$2,"YYYYMMDD"),"days=a","fill=p"),"-")</f>
        <v>-</v>
      </c>
      <c r="Q26" s="182" t="str">
        <f ca="1">IF(ISNUMBER(_xll.BDH($F26,"PX_LAST",TEXT($E$2-7,"YYYYMMDD"),TEXT($E$2-7,"YYYYMMDD"),"days=a","fill=p")),_xll.BDH($F26,"PX_LAST",TEXT($E$2-7,"YYYYMMDD"),TEXT($E$2-7,"YYYYMMDD"),"days=a","fill=p"),"-")</f>
        <v>-</v>
      </c>
      <c r="R26" s="102" t="str">
        <f t="shared" ca="1" si="5"/>
        <v>-</v>
      </c>
      <c r="S26" s="103" t="str">
        <f ca="1">IF(ISNUMBER(_xll.BDP($F26,S$3)),_xll.BDP($F26,S$3),"-")</f>
        <v>-</v>
      </c>
      <c r="T26" s="104" t="e">
        <f t="shared" ca="1" si="6"/>
        <v>#NAME?</v>
      </c>
      <c r="U26" s="105" t="e">
        <f ca="1">IF(OR(_xll.BDP($E26,U$3)="#N/A N/A",_xll.BDP($E26,U$3)="#N/A Invalid Security"), "-", _xll.BDP($E26,U$3))</f>
        <v>#NAME?</v>
      </c>
      <c r="V26" s="105" t="e">
        <f ca="1">IF(OR(_xll.BDP($E26,V$2)="#N/A N/A",_xll.BDP($E26,V$2)="#N/A Invalid Security"), "-", _xll.BDP($E26,V$2))</f>
        <v>#NAME?</v>
      </c>
      <c r="W26" s="106" t="e">
        <f ca="1">IF(OR(_xll.BDP($E26,W$3)="#N/A N/A",_xll.BDP($E26,W$3)="#N/A Invalid Security"), "-", _xll.BDP($E26,W$3))</f>
        <v>#NAME?</v>
      </c>
      <c r="X26" s="105" t="e">
        <f ca="1">IF(OR(_xll.BDP($E26,X$3)="#N/A N/A",_xll.BDP($E26,X$3)="#N/A Invalid Security"), " ", _xll.BDP($E26,X$3))</f>
        <v>#NAME?</v>
      </c>
      <c r="Y26" s="105" t="e">
        <f ca="1">IF(OR(_xll.BDP($E26,Y$3)="#N/A N/A",_xll.BDP($E26,Y$3)="#N/A Invalid Security"), " ", _xll.BDP($E26,Y$3))</f>
        <v>#NAME?</v>
      </c>
      <c r="Z26" s="106" t="e">
        <f ca="1">IF(OR(_xll.BDP($E26,Z$3)="#N/A N/A",_xll.BDP($E26,Z$3)="#N/A Invalid Security"), " ", _xll.BDP($E26,Z$3))</f>
        <v>#NAME?</v>
      </c>
      <c r="AA26" s="107"/>
      <c r="AB26" s="93" t="s">
        <v>877</v>
      </c>
      <c r="AC26" s="93" t="s">
        <v>969</v>
      </c>
      <c r="AD26" s="93" t="s">
        <v>932</v>
      </c>
      <c r="AE26" s="93" t="s">
        <v>940</v>
      </c>
      <c r="AF26" s="93" t="s">
        <v>940</v>
      </c>
      <c r="AG26" s="93" t="s">
        <v>940</v>
      </c>
      <c r="AH26" s="95" t="e">
        <f t="shared" ca="1" si="7"/>
        <v>#NAME?</v>
      </c>
      <c r="AI26" s="95" t="e">
        <f t="shared" ca="1" si="8"/>
        <v>#NAME?</v>
      </c>
      <c r="AJ26" s="95" t="e">
        <f t="shared" ca="1" si="9"/>
        <v>#NAME?</v>
      </c>
      <c r="AK26" s="95" t="e">
        <f t="shared" ca="1" si="10"/>
        <v>#NAME?</v>
      </c>
      <c r="AL26" s="95" t="e">
        <f t="shared" ca="1" si="11"/>
        <v>#NAME?</v>
      </c>
      <c r="AM26" s="95" t="e">
        <f t="shared" ca="1" si="12"/>
        <v>#NAME?</v>
      </c>
      <c r="AN26" s="66" t="str">
        <f t="shared" ca="1" si="1"/>
        <v/>
      </c>
      <c r="AO26" s="108" t="e" cm="1">
        <f t="array" aca="1" ref="AO26" ca="1">_xll.BDP($E26,"cur_mkt_cap")</f>
        <v>#NAME?</v>
      </c>
      <c r="AP26" s="108" t="e" cm="1">
        <f t="array" aca="1" ref="AP26" ca="1">_xll.BDP($E26,"crncy")</f>
        <v>#NAME?</v>
      </c>
      <c r="AQ26" s="109" t="e" cm="1">
        <f t="array" aca="1" ref="AQ26" ca="1">_xll.BDP("USD"&amp;AP26&amp;" curncy","px_last")</f>
        <v>#NAME?</v>
      </c>
      <c r="AR26" s="109" t="e">
        <f t="shared" ca="1" si="13"/>
        <v>#NAME?</v>
      </c>
      <c r="AT26" s="66" t="str">
        <f t="shared" ca="1" si="15"/>
        <v/>
      </c>
      <c r="AU26" s="66" t="str">
        <f t="shared" ca="1" si="15"/>
        <v/>
      </c>
      <c r="AV26" s="66" t="str">
        <f t="shared" ca="1" si="15"/>
        <v/>
      </c>
      <c r="AW26" s="73" t="str" cm="1">
        <f t="array" aca="1" ref="AW26" ca="1">IF(ISERROR(DATEVALUE(_xll.BDP($E26,AW$6))),"",DATEVALUE(_xll.BDP($E26,AW$6)))</f>
        <v/>
      </c>
      <c r="AX26" s="73" t="str" cm="1">
        <f t="array" aca="1" ref="AX26" ca="1">IF(ISERROR(DATEVALUE(_xll.BDP($E26,AX$2))),"",DATEVALUE(_xll.BDP($E26,AX$2)))</f>
        <v/>
      </c>
      <c r="AY26" s="73" t="str" cm="1">
        <f t="array" aca="1" ref="AY26" ca="1">IF(ISERROR(DATEVALUE(_xll.BDP($E26,AY$6))),"",DATEVALUE(_xll.BDP($E26,AY$6)))</f>
        <v/>
      </c>
      <c r="AZ26" s="110" t="e" cm="1">
        <f t="array" aca="1" ref="AZ26" ca="1">IF(_xll.BQL($E26, "last(matches(px_last(dates=range(-1w,0d)), dayofweek(px_last(dates=range(-1w,0d)).date)==6))")="#N/A","-",_xll.BQL($E26, "last(matches(px_last(dates=range(-1w,0d)), dayofweek(px_last(dates=range(-1w,0d)).date)==6))"))</f>
        <v>#NAME?</v>
      </c>
      <c r="BA26" s="109" t="e" cm="1">
        <f t="array" aca="1" ref="BA26" ca="1">IF(_xll.BQL(E26,"first(last(matches(px_last(dates=range(-1M,0D)),dayofweek(px_last(dates=range(-1M,0D)).date)==6),2),1)")="#N/A","-",_xll.BQL(E26,"first(last(matches(px_last(dates=range(-1M,0D)),dayofweek(px_last(dates=range(-1M,0D)).date)==6),2),1)"))</f>
        <v>#NAME?</v>
      </c>
      <c r="BB26" s="109" t="str">
        <f t="shared" ca="1" si="14"/>
        <v>-</v>
      </c>
    </row>
    <row r="27" spans="5:54" ht="16.5" customHeight="1" thickBot="1">
      <c r="E27" s="96" t="s">
        <v>970</v>
      </c>
      <c r="F27" s="66" t="e">
        <f ca="1">_xll.BDP($E27,F$3)&amp;" BEST Curncy"</f>
        <v>#NAME?</v>
      </c>
      <c r="G27" s="97" t="e">
        <f t="shared" ca="1" si="3"/>
        <v>#NAME?</v>
      </c>
      <c r="I27" s="645"/>
      <c r="J27" s="98" t="e">
        <f ca="1">_xll.BDP($E27,J$3)</f>
        <v>#NAME?</v>
      </c>
      <c r="K27" s="99" t="e">
        <f ca="1">_xll.BDP($E27,K$3)</f>
        <v>#NAME?</v>
      </c>
      <c r="L27" s="100" t="str">
        <f ca="1">IF(ISNUMBER(_xll.BDH($E27,"PX_LAST",TEXT($E$2,"YYYYMMDD"),TEXT($E$2,"YYYYMMDD"),"days=a","fill=p")),_xll.BDH($E27,"PX_LAST",TEXT($E$2,"YYYYMMDD"),TEXT($E$2,"YYYYMMDD"),"days=a","fill=p"),"-")</f>
        <v>-</v>
      </c>
      <c r="M27" s="100" t="str">
        <f ca="1">IF(ISNUMBER(_xll.BDH($E27,"PX_LAST",TEXT($E$2-7,"YYYYMMDD"),TEXT($E$2-7,"YYYYMMDD"),"days=a","fill=p")),_xll.BDH($E27,"PX_LAST",TEXT($E$2-7,"YYYYMMDD"),TEXT($E$2-7,"YYYYMMDD"),"days=a","fill=p"),"-")</f>
        <v>-</v>
      </c>
      <c r="N27" s="180" t="str">
        <f t="shared" ca="1" si="4"/>
        <v>-</v>
      </c>
      <c r="O27" s="101" t="e">
        <f ca="1">IF(OR(_xll.BDP($E27,O$3)="#N/A N/A",_xll.BDP($E27,O$3)="#N/A Invalid Security"), "-", _xll.BDP($E27,O$3))</f>
        <v>#NAME?</v>
      </c>
      <c r="P27" s="182" t="str">
        <f ca="1">IF(ISNUMBER(_xll.BDH($F27,"PX_LAST",TEXT($E$2,"YYYYMMDD"),TEXT($E$2,"YYYYMMDD"),"days=a","fill=p")),_xll.BDH($F27,"PX_LAST",TEXT($E$2,"YYYYMMDD"),TEXT($E$2,"YYYYMMDD"),"days=a","fill=p"),"-")</f>
        <v>-</v>
      </c>
      <c r="Q27" s="182" t="str">
        <f ca="1">IF(ISNUMBER(_xll.BDH($F27,"PX_LAST",TEXT($E$2-7,"YYYYMMDD"),TEXT($E$2-7,"YYYYMMDD"),"days=a","fill=p")),_xll.BDH($F27,"PX_LAST",TEXT($E$2-7,"YYYYMMDD"),TEXT($E$2-7,"YYYYMMDD"),"days=a","fill=p"),"-")</f>
        <v>-</v>
      </c>
      <c r="R27" s="102" t="str">
        <f t="shared" ca="1" si="5"/>
        <v>-</v>
      </c>
      <c r="S27" s="103" t="str">
        <f ca="1">IF(ISNUMBER(_xll.BDP($F27,S$3)),_xll.BDP($F27,S$3),"-")</f>
        <v>-</v>
      </c>
      <c r="T27" s="104" t="e">
        <f t="shared" ca="1" si="6"/>
        <v>#NAME?</v>
      </c>
      <c r="U27" s="105" t="e">
        <f ca="1">IF(OR(_xll.BDP($E27,U$3)="#N/A N/A",_xll.BDP($E27,U$3)="#N/A Invalid Security"), "-", _xll.BDP($E27,U$3))</f>
        <v>#NAME?</v>
      </c>
      <c r="V27" s="105" t="e">
        <f ca="1">IF(OR(_xll.BDP($E27,V$2)="#N/A N/A",_xll.BDP($E27,V$2)="#N/A Invalid Security"), "-", _xll.BDP($E27,V$2))</f>
        <v>#NAME?</v>
      </c>
      <c r="W27" s="106" t="e">
        <f ca="1">IF(OR(_xll.BDP($E27,W$3)="#N/A N/A",_xll.BDP($E27,W$3)="#N/A Invalid Security"), "-", _xll.BDP($E27,W$3))</f>
        <v>#NAME?</v>
      </c>
      <c r="X27" s="105" t="e">
        <f ca="1">IF(OR(_xll.BDP($E27,X$3)="#N/A N/A",_xll.BDP($E27,X$3)="#N/A Invalid Security"), " ", _xll.BDP($E27,X$3))</f>
        <v>#NAME?</v>
      </c>
      <c r="Y27" s="105" t="e">
        <f ca="1">IF(OR(_xll.BDP($E27,Y$3)="#N/A N/A",_xll.BDP($E27,Y$3)="#N/A Invalid Security"), " ", _xll.BDP($E27,Y$3))</f>
        <v>#NAME?</v>
      </c>
      <c r="Z27" s="106" t="e">
        <f ca="1">IF(OR(_xll.BDP($E27,Z$3)="#N/A N/A",_xll.BDP($E27,Z$3)="#N/A Invalid Security"), " ", _xll.BDP($E27,Z$3))</f>
        <v>#NAME?</v>
      </c>
      <c r="AA27" s="107"/>
      <c r="AB27" s="93" t="s">
        <v>938</v>
      </c>
      <c r="AC27" s="93" t="s">
        <v>942</v>
      </c>
      <c r="AD27" s="93" t="s">
        <v>938</v>
      </c>
      <c r="AE27" s="93" t="s">
        <v>940</v>
      </c>
      <c r="AF27" s="93" t="s">
        <v>940</v>
      </c>
      <c r="AG27" s="93" t="s">
        <v>940</v>
      </c>
      <c r="AH27" s="95" t="e">
        <f t="shared" ca="1" si="7"/>
        <v>#NAME?</v>
      </c>
      <c r="AI27" s="95" t="e">
        <f t="shared" ca="1" si="8"/>
        <v>#NAME?</v>
      </c>
      <c r="AJ27" s="95" t="e">
        <f t="shared" ca="1" si="9"/>
        <v>#NAME?</v>
      </c>
      <c r="AK27" s="95" t="e">
        <f t="shared" ca="1" si="10"/>
        <v>#NAME?</v>
      </c>
      <c r="AL27" s="95" t="e">
        <f t="shared" ca="1" si="11"/>
        <v>#NAME?</v>
      </c>
      <c r="AM27" s="95" t="e">
        <f t="shared" ca="1" si="12"/>
        <v>#NAME?</v>
      </c>
      <c r="AN27" s="66" t="str">
        <f t="shared" ca="1" si="1"/>
        <v/>
      </c>
      <c r="AO27" s="108" t="e" cm="1">
        <f t="array" aca="1" ref="AO27" ca="1">_xll.BDP($E27,"cur_mkt_cap")</f>
        <v>#NAME?</v>
      </c>
      <c r="AP27" s="108" t="e" cm="1">
        <f t="array" aca="1" ref="AP27" ca="1">_xll.BDP($E27,"crncy")</f>
        <v>#NAME?</v>
      </c>
      <c r="AQ27" s="109" t="e" cm="1">
        <f t="array" aca="1" ref="AQ27" ca="1">_xll.BDP("USD"&amp;AP27&amp;" curncy","px_last")</f>
        <v>#NAME?</v>
      </c>
      <c r="AR27" s="109" t="e">
        <f t="shared" ca="1" si="13"/>
        <v>#NAME?</v>
      </c>
      <c r="AT27" s="66" t="str">
        <f t="shared" ca="1" si="15"/>
        <v/>
      </c>
      <c r="AU27" s="66" t="str">
        <f t="shared" ca="1" si="15"/>
        <v/>
      </c>
      <c r="AV27" s="66" t="str">
        <f t="shared" ca="1" si="15"/>
        <v/>
      </c>
      <c r="AW27" s="73" t="str" cm="1">
        <f t="array" aca="1" ref="AW27" ca="1">IF(ISERROR(DATEVALUE(_xll.BDP($E27,AW$6))),"",DATEVALUE(_xll.BDP($E27,AW$6)))</f>
        <v/>
      </c>
      <c r="AX27" s="73" t="str" cm="1">
        <f t="array" aca="1" ref="AX27" ca="1">IF(ISERROR(DATEVALUE(_xll.BDP($E27,AX$2))),"",DATEVALUE(_xll.BDP($E27,AX$2)))</f>
        <v/>
      </c>
      <c r="AY27" s="73" t="str" cm="1">
        <f t="array" aca="1" ref="AY27" ca="1">IF(ISERROR(DATEVALUE(_xll.BDP($E27,AY$6))),"",DATEVALUE(_xll.BDP($E27,AY$6)))</f>
        <v/>
      </c>
      <c r="AZ27" s="110" t="e" cm="1">
        <f t="array" aca="1" ref="AZ27" ca="1">IF(_xll.BQL($E27, "last(matches(px_last(dates=range(-1w,0d)), dayofweek(px_last(dates=range(-1w,0d)).date)==6))")="#N/A","-",_xll.BQL($E27, "last(matches(px_last(dates=range(-1w,0d)), dayofweek(px_last(dates=range(-1w,0d)).date)==6))"))</f>
        <v>#NAME?</v>
      </c>
      <c r="BA27" s="109" t="e" cm="1">
        <f t="array" aca="1" ref="BA27" ca="1">IF(_xll.BQL(E27,"first(last(matches(px_last(dates=range(-1M,0D)),dayofweek(px_last(dates=range(-1M,0D)).date)==6),2),1)")="#N/A","-",_xll.BQL(E27,"first(last(matches(px_last(dates=range(-1M,0D)),dayofweek(px_last(dates=range(-1M,0D)).date)==6),2),1)"))</f>
        <v>#NAME?</v>
      </c>
      <c r="BB27" s="109" t="str">
        <f t="shared" ca="1" si="14"/>
        <v>-</v>
      </c>
    </row>
    <row r="28" spans="5:54" ht="16.5" customHeight="1" thickBot="1">
      <c r="E28" s="96" t="s">
        <v>971</v>
      </c>
      <c r="F28" s="66" t="e">
        <f ca="1">_xll.BDP($E28,F$3)&amp;" BEST Curncy"</f>
        <v>#NAME?</v>
      </c>
      <c r="G28" s="97" t="e">
        <f t="shared" ca="1" si="3"/>
        <v>#NAME?</v>
      </c>
      <c r="I28" s="646"/>
      <c r="J28" s="98" t="e">
        <f ca="1">_xll.BDP($E28,J$3)</f>
        <v>#NAME?</v>
      </c>
      <c r="K28" s="99" t="e">
        <f ca="1">_xll.BDP($E28,K$3)</f>
        <v>#NAME?</v>
      </c>
      <c r="L28" s="100" t="str">
        <f ca="1">IF(ISNUMBER(_xll.BDH($E28,"PX_LAST",TEXT($E$2,"YYYYMMDD"),TEXT($E$2,"YYYYMMDD"),"days=a","fill=p")),_xll.BDH($E28,"PX_LAST",TEXT($E$2,"YYYYMMDD"),TEXT($E$2,"YYYYMMDD"),"days=a","fill=p"),"-")</f>
        <v>-</v>
      </c>
      <c r="M28" s="100" t="str">
        <f ca="1">IF(ISNUMBER(_xll.BDH($E28,"PX_LAST",TEXT($E$2-7,"YYYYMMDD"),TEXT($E$2-7,"YYYYMMDD"),"days=a","fill=p")),_xll.BDH($E28,"PX_LAST",TEXT($E$2-7,"YYYYMMDD"),TEXT($E$2-7,"YYYYMMDD"),"days=a","fill=p"),"-")</f>
        <v>-</v>
      </c>
      <c r="N28" s="180" t="str">
        <f t="shared" ca="1" si="4"/>
        <v>-</v>
      </c>
      <c r="O28" s="101" t="e">
        <f ca="1">IF(OR(_xll.BDP($E28,O$3)="#N/A N/A",_xll.BDP($E28,O$3)="#N/A Invalid Security"), "-", _xll.BDP($E28,O$3))</f>
        <v>#NAME?</v>
      </c>
      <c r="P28" s="182" t="str">
        <f ca="1">IF(ISNUMBER(_xll.BDH($F28,"PX_LAST",TEXT($E$2,"YYYYMMDD"),TEXT($E$2,"YYYYMMDD"),"days=a","fill=p")),_xll.BDH($F28,"PX_LAST",TEXT($E$2,"YYYYMMDD"),TEXT($E$2,"YYYYMMDD"),"days=a","fill=p"),"-")</f>
        <v>-</v>
      </c>
      <c r="Q28" s="182" t="str">
        <f ca="1">IF(ISNUMBER(_xll.BDH($F28,"PX_LAST",TEXT($E$2-7,"YYYYMMDD"),TEXT($E$2-7,"YYYYMMDD"),"days=a","fill=p")),_xll.BDH($F28,"PX_LAST",TEXT($E$2-7,"YYYYMMDD"),TEXT($E$2-7,"YYYYMMDD"),"days=a","fill=p"),"-")</f>
        <v>-</v>
      </c>
      <c r="R28" s="102" t="str">
        <f t="shared" ca="1" si="5"/>
        <v>-</v>
      </c>
      <c r="S28" s="103" t="str">
        <f ca="1">IF(ISNUMBER(_xll.BDP($F28,S$3)),_xll.BDP($F28,S$3),"-")</f>
        <v>-</v>
      </c>
      <c r="T28" s="104" t="e">
        <f t="shared" ca="1" si="6"/>
        <v>#NAME?</v>
      </c>
      <c r="U28" s="105" t="e">
        <f ca="1">IF(OR(_xll.BDP($E28,U$3)="#N/A N/A",_xll.BDP($E28,U$3)="#N/A Invalid Security"), "-", _xll.BDP($E28,U$3))</f>
        <v>#NAME?</v>
      </c>
      <c r="V28" s="105" t="e">
        <f ca="1">IF(OR(_xll.BDP($E28,V$2)="#N/A N/A",_xll.BDP($E28,V$2)="#N/A Invalid Security"), "-", _xll.BDP($E28,V$2))</f>
        <v>#NAME?</v>
      </c>
      <c r="W28" s="106" t="e">
        <f ca="1">IF(OR(_xll.BDP($E28,W$3)="#N/A N/A",_xll.BDP($E28,W$3)="#N/A Invalid Security"), "-", _xll.BDP($E28,W$3))</f>
        <v>#NAME?</v>
      </c>
      <c r="X28" s="105" t="e">
        <f ca="1">IF(OR(_xll.BDP($E28,X$3)="#N/A N/A",_xll.BDP($E28,X$3)="#N/A Invalid Security"), " ", _xll.BDP($E28,X$3))</f>
        <v>#NAME?</v>
      </c>
      <c r="Y28" s="105" t="e">
        <f ca="1">IF(OR(_xll.BDP($E28,Y$3)="#N/A N/A",_xll.BDP($E28,Y$3)="#N/A Invalid Security"), " ", _xll.BDP($E28,Y$3))</f>
        <v>#NAME?</v>
      </c>
      <c r="Z28" s="106" t="e">
        <f ca="1">IF(OR(_xll.BDP($E28,Z$3)="#N/A N/A",_xll.BDP($E28,Z$3)="#N/A Invalid Security"), " ", _xll.BDP($E28,Z$3))</f>
        <v>#NAME?</v>
      </c>
      <c r="AA28" s="107"/>
      <c r="AB28" s="93" t="s">
        <v>938</v>
      </c>
      <c r="AC28" s="93" t="s">
        <v>933</v>
      </c>
      <c r="AD28" s="93" t="s">
        <v>938</v>
      </c>
      <c r="AE28" s="93" t="s">
        <v>940</v>
      </c>
      <c r="AF28" s="93" t="s">
        <v>940</v>
      </c>
      <c r="AG28" s="93" t="s">
        <v>940</v>
      </c>
      <c r="AH28" s="95" t="e">
        <f t="shared" ca="1" si="7"/>
        <v>#NAME?</v>
      </c>
      <c r="AI28" s="95" t="e">
        <f t="shared" ca="1" si="8"/>
        <v>#NAME?</v>
      </c>
      <c r="AJ28" s="95" t="e">
        <f t="shared" ca="1" si="9"/>
        <v>#NAME?</v>
      </c>
      <c r="AK28" s="95" t="e">
        <f t="shared" ca="1" si="10"/>
        <v>#NAME?</v>
      </c>
      <c r="AL28" s="95" t="e">
        <f t="shared" ca="1" si="11"/>
        <v>#NAME?</v>
      </c>
      <c r="AM28" s="95" t="e">
        <f t="shared" ca="1" si="12"/>
        <v>#NAME?</v>
      </c>
      <c r="AN28" s="66" t="str">
        <f t="shared" ca="1" si="1"/>
        <v/>
      </c>
      <c r="AO28" s="108" t="e" cm="1">
        <f t="array" aca="1" ref="AO28" ca="1">_xll.BDP($E28,"cur_mkt_cap")</f>
        <v>#NAME?</v>
      </c>
      <c r="AP28" s="108" t="e" cm="1">
        <f t="array" aca="1" ref="AP28" ca="1">_xll.BDP($E28,"crncy")</f>
        <v>#NAME?</v>
      </c>
      <c r="AQ28" s="109" t="e" cm="1">
        <f t="array" aca="1" ref="AQ28" ca="1">_xll.BDP("USD"&amp;AP28&amp;" curncy","px_last")</f>
        <v>#NAME?</v>
      </c>
      <c r="AR28" s="109" t="e">
        <f t="shared" ca="1" si="13"/>
        <v>#NAME?</v>
      </c>
      <c r="AT28" s="66" t="str">
        <f t="shared" ca="1" si="15"/>
        <v/>
      </c>
      <c r="AU28" s="66" t="str">
        <f t="shared" ca="1" si="15"/>
        <v/>
      </c>
      <c r="AV28" s="66" t="str">
        <f t="shared" ca="1" si="15"/>
        <v/>
      </c>
      <c r="AW28" s="73" t="str" cm="1">
        <f t="array" aca="1" ref="AW28" ca="1">IF(ISERROR(DATEVALUE(_xll.BDP($E28,AW$6))),"",DATEVALUE(_xll.BDP($E28,AW$6)))</f>
        <v/>
      </c>
      <c r="AX28" s="73" t="str" cm="1">
        <f t="array" aca="1" ref="AX28" ca="1">IF(ISERROR(DATEVALUE(_xll.BDP($E28,AX$2))),"",DATEVALUE(_xll.BDP($E28,AX$2)))</f>
        <v/>
      </c>
      <c r="AY28" s="73" t="str" cm="1">
        <f t="array" aca="1" ref="AY28" ca="1">IF(ISERROR(DATEVALUE(_xll.BDP($E28,AY$6))),"",DATEVALUE(_xll.BDP($E28,AY$6)))</f>
        <v/>
      </c>
      <c r="AZ28" s="110" t="e" cm="1">
        <f t="array" aca="1" ref="AZ28" ca="1">IF(_xll.BQL($E28, "last(matches(px_last(dates=range(-1w,0d)), dayofweek(px_last(dates=range(-1w,0d)).date)==6))")="#N/A","-",_xll.BQL($E28, "last(matches(px_last(dates=range(-1w,0d)), dayofweek(px_last(dates=range(-1w,0d)).date)==6))"))</f>
        <v>#NAME?</v>
      </c>
      <c r="BA28" s="109" t="e" cm="1">
        <f t="array" aca="1" ref="BA28" ca="1">IF(_xll.BQL(E28,"first(last(matches(px_last(dates=range(-1M,0D)),dayofweek(px_last(dates=range(-1M,0D)).date)==6),2),1)")="#N/A","-",_xll.BQL(E28,"first(last(matches(px_last(dates=range(-1M,0D)),dayofweek(px_last(dates=range(-1M,0D)).date)==6),2),1)"))</f>
        <v>#NAME?</v>
      </c>
      <c r="BB28" s="109" t="str">
        <f t="shared" ca="1" si="14"/>
        <v>-</v>
      </c>
    </row>
    <row r="29" spans="5:54" ht="16.5" customHeight="1" thickBot="1">
      <c r="E29" s="96" t="s">
        <v>972</v>
      </c>
      <c r="F29" s="66" t="e">
        <f ca="1">_xll.BDP($E29,F$3)&amp;" BEST Curncy"</f>
        <v>#NAME?</v>
      </c>
      <c r="G29" s="97" t="e">
        <f t="shared" ca="1" si="3"/>
        <v>#NAME?</v>
      </c>
      <c r="I29" s="131"/>
      <c r="J29" s="98" t="e">
        <f ca="1">_xll.BDP($E29,J$3)</f>
        <v>#NAME?</v>
      </c>
      <c r="K29" s="99" t="e">
        <f ca="1">_xll.BDP($E29,K$3)</f>
        <v>#NAME?</v>
      </c>
      <c r="L29" s="100" t="str">
        <f ca="1">IF(ISNUMBER(_xll.BDH($E29,"PX_LAST",TEXT($E$2,"YYYYMMDD"),TEXT($E$2,"YYYYMMDD"),"days=a","fill=p")),_xll.BDH($E29,"PX_LAST",TEXT($E$2,"YYYYMMDD"),TEXT($E$2,"YYYYMMDD"),"days=a","fill=p"),"-")</f>
        <v>-</v>
      </c>
      <c r="M29" s="100" t="str">
        <f ca="1">IF(ISNUMBER(_xll.BDH($E29,"PX_LAST",TEXT($E$2-7,"YYYYMMDD"),TEXT($E$2-7,"YYYYMMDD"),"days=a","fill=p")),_xll.BDH($E29,"PX_LAST",TEXT($E$2-7,"YYYYMMDD"),TEXT($E$2-7,"YYYYMMDD"),"days=a","fill=p"),"-")</f>
        <v>-</v>
      </c>
      <c r="N29" s="180" t="str">
        <f ca="1">IF(ISNUMBER(($L29-$M29)/$M29),($L29-$M29)/$M29,"-")</f>
        <v>-</v>
      </c>
      <c r="O29" s="101" t="e">
        <f ca="1">IF(OR(_xll.BDP($E29,O$3)="#N/A N/A",_xll.BDP($E29,O$3)="#N/A Invalid Security"), "-", _xll.BDP($E29,O$3))</f>
        <v>#NAME?</v>
      </c>
      <c r="P29" s="182" t="str">
        <f ca="1">IF(ISNUMBER(_xll.BDH($F29,"PX_LAST",TEXT($E$2,"YYYYMMDD"),TEXT($E$2,"YYYYMMDD"),"days=a","fill=p")),_xll.BDH($F29,"PX_LAST",TEXT($E$2,"YYYYMMDD"),TEXT($E$2,"YYYYMMDD"),"days=a","fill=p"),"-")</f>
        <v>-</v>
      </c>
      <c r="Q29" s="182" t="str">
        <f ca="1">IF(ISNUMBER(_xll.BDH($F29,"PX_LAST",TEXT($E$2-7,"YYYYMMDD"),TEXT($E$2-7,"YYYYMMDD"),"days=a","fill=p")),_xll.BDH($F29,"PX_LAST",TEXT($E$2-7,"YYYYMMDD"),TEXT($E$2-7,"YYYYMMDD"),"days=a","fill=p"),"-")</f>
        <v>-</v>
      </c>
      <c r="R29" s="102" t="str">
        <f ca="1">IF(ISNUMBER($P29-$Q29),$P29-$Q29,"-")</f>
        <v>-</v>
      </c>
      <c r="S29" s="103" t="str">
        <f ca="1">IF(ISNUMBER(_xll.BDP($F29,S$3)),_xll.BDP($F29,S$3),"-")</f>
        <v>-</v>
      </c>
      <c r="T29" s="104" t="e">
        <f t="shared" ca="1" si="6"/>
        <v>#NAME?</v>
      </c>
      <c r="U29" s="105" t="e">
        <f ca="1">IF(OR(_xll.BDP($E29,U$3)="#N/A N/A",_xll.BDP($E29,U$3)="#N/A Invalid Security"), "-", _xll.BDP($E29,U$3))</f>
        <v>#NAME?</v>
      </c>
      <c r="V29" s="105" t="e">
        <f ca="1">IF(OR(_xll.BDP($E29,V$2)="#N/A N/A",_xll.BDP($E29,V$2)="#N/A Invalid Security"), "-", _xll.BDP($E29,V$2))</f>
        <v>#NAME?</v>
      </c>
      <c r="W29" s="106" t="e">
        <f ca="1">IF(OR(_xll.BDP($E29,W$3)="#N/A N/A",_xll.BDP($E29,W$3)="#N/A Invalid Security"), "-", _xll.BDP($E29,W$3))</f>
        <v>#NAME?</v>
      </c>
      <c r="X29" s="105" t="e">
        <f ca="1">IF(OR(_xll.BDP($E29,X$3)="#N/A N/A",_xll.BDP($E29,X$3)="#N/A Invalid Security"), " ", _xll.BDP($E29,X$3))</f>
        <v>#NAME?</v>
      </c>
      <c r="Y29" s="105" t="e">
        <f ca="1">IF(OR(_xll.BDP($E29,Y$3)="#N/A N/A",_xll.BDP($E29,Y$3)="#N/A Invalid Security"), " ", _xll.BDP($E29,Y$3))</f>
        <v>#NAME?</v>
      </c>
      <c r="Z29" s="106" t="e">
        <f ca="1">IF(OR(_xll.BDP($E29,Z$3)="#N/A N/A",_xll.BDP($E29,Z$3)="#N/A Invalid Security"), " ", _xll.BDP($E29,Z$3))</f>
        <v>#NAME?</v>
      </c>
      <c r="AA29" s="107"/>
      <c r="AB29" s="93" t="s">
        <v>932</v>
      </c>
      <c r="AC29" s="93" t="s">
        <v>875</v>
      </c>
      <c r="AD29" s="93" t="s">
        <v>950</v>
      </c>
      <c r="AE29" s="93" t="s">
        <v>948</v>
      </c>
      <c r="AF29" s="93" t="s">
        <v>940</v>
      </c>
      <c r="AG29" s="93" t="s">
        <v>940</v>
      </c>
      <c r="AH29" s="95" t="e">
        <f t="shared" ca="1" si="7"/>
        <v>#NAME?</v>
      </c>
      <c r="AI29" s="95" t="e">
        <f t="shared" ca="1" si="8"/>
        <v>#NAME?</v>
      </c>
      <c r="AJ29" s="95" t="e">
        <f t="shared" ca="1" si="9"/>
        <v>#NAME?</v>
      </c>
      <c r="AK29" s="95" t="e">
        <f t="shared" ca="1" si="10"/>
        <v>#NAME?</v>
      </c>
      <c r="AL29" s="95" t="e">
        <f t="shared" ca="1" si="11"/>
        <v>#NAME?</v>
      </c>
      <c r="AM29" s="95" t="e">
        <f t="shared" ca="1" si="12"/>
        <v>#NAME?</v>
      </c>
      <c r="AN29" s="66" t="str">
        <f t="shared" ca="1" si="1"/>
        <v/>
      </c>
      <c r="AO29" s="108" t="e" cm="1">
        <f t="array" aca="1" ref="AO29" ca="1">_xll.BDP($E29,"cur_mkt_cap")</f>
        <v>#NAME?</v>
      </c>
      <c r="AP29" s="108" t="e" cm="1">
        <f t="array" aca="1" ref="AP29" ca="1">_xll.BDP($E29,"crncy")</f>
        <v>#NAME?</v>
      </c>
      <c r="AQ29" s="109" t="e" cm="1">
        <f t="array" aca="1" ref="AQ29" ca="1">_xll.BDP("USD"&amp;AP29&amp;" curncy","px_last")</f>
        <v>#NAME?</v>
      </c>
      <c r="AR29" s="109" t="e">
        <f t="shared" ca="1" si="13"/>
        <v>#NAME?</v>
      </c>
      <c r="AT29" s="66" t="str">
        <f t="shared" ca="1" si="15"/>
        <v/>
      </c>
      <c r="AU29" s="66" t="str">
        <f t="shared" ca="1" si="15"/>
        <v/>
      </c>
      <c r="AV29" s="66" t="str">
        <f t="shared" ca="1" si="15"/>
        <v/>
      </c>
      <c r="AW29" s="73" t="str" cm="1">
        <f t="array" aca="1" ref="AW29" ca="1">IF(ISERROR(DATEVALUE(_xll.BDP($E29,AW$6))),"",DATEVALUE(_xll.BDP($E29,AW$6)))</f>
        <v/>
      </c>
      <c r="AX29" s="73" t="str" cm="1">
        <f t="array" aca="1" ref="AX29" ca="1">IF(ISERROR(DATEVALUE(_xll.BDP($E29,AX$2))),"",DATEVALUE(_xll.BDP($E29,AX$2)))</f>
        <v/>
      </c>
      <c r="AY29" s="73" t="str" cm="1">
        <f t="array" aca="1" ref="AY29" ca="1">IF(ISERROR(DATEVALUE(_xll.BDP($E29,AY$6))),"",DATEVALUE(_xll.BDP($E29,AY$6)))</f>
        <v/>
      </c>
      <c r="AZ29" s="110" t="e" cm="1">
        <f t="array" aca="1" ref="AZ29" ca="1">IF(_xll.BQL($E29, "last(matches(px_last(dates=range(-1w,0d)), dayofweek(px_last(dates=range(-1w,0d)).date)==6))")="#N/A","-",_xll.BQL($E29, "last(matches(px_last(dates=range(-1w,0d)), dayofweek(px_last(dates=range(-1w,0d)).date)==6))"))</f>
        <v>#NAME?</v>
      </c>
      <c r="BA29" s="109" t="e" cm="1">
        <f t="array" aca="1" ref="BA29" ca="1">IF(_xll.BQL(E29,"first(last(matches(px_last(dates=range(-1M,0D)),dayofweek(px_last(dates=range(-1M,0D)).date)==6),2),1)")="#N/A","-",_xll.BQL(E29,"first(last(matches(px_last(dates=range(-1M,0D)),dayofweek(px_last(dates=range(-1M,0D)).date)==6),2),1)"))</f>
        <v>#NAME?</v>
      </c>
      <c r="BB29" s="109" t="str">
        <f t="shared" ca="1" si="14"/>
        <v>-</v>
      </c>
    </row>
    <row r="30" spans="5:54" ht="16.5" customHeight="1" thickBot="1">
      <c r="E30" s="96" t="s">
        <v>973</v>
      </c>
      <c r="F30" s="66" t="e">
        <f ca="1">_xll.BDP($E30,F$3)&amp;" BEST Curncy"</f>
        <v>#NAME?</v>
      </c>
      <c r="G30" s="97" t="e">
        <f t="shared" ca="1" si="3"/>
        <v>#NAME?</v>
      </c>
      <c r="I30" s="131"/>
      <c r="J30" s="98" t="e">
        <f ca="1">_xll.BDP($E30,J$3)</f>
        <v>#NAME?</v>
      </c>
      <c r="K30" s="99" t="e">
        <f ca="1">_xll.BDP($E30,K$3)</f>
        <v>#NAME?</v>
      </c>
      <c r="L30" s="100" t="str">
        <f ca="1">IF(ISNUMBER(_xll.BDH($E30,"PX_LAST",TEXT($E$2,"YYYYMMDD"),TEXT($E$2,"YYYYMMDD"),"days=a","fill=p")),_xll.BDH($E30,"PX_LAST",TEXT($E$2,"YYYYMMDD"),TEXT($E$2,"YYYYMMDD"),"days=a","fill=p"),"-")</f>
        <v>-</v>
      </c>
      <c r="M30" s="100" t="str">
        <f ca="1">IF(ISNUMBER(_xll.BDH($E30,"PX_LAST",TEXT($E$2-7,"YYYYMMDD"),TEXT($E$2-7,"YYYYMMDD"),"days=a","fill=p")),_xll.BDH($E30,"PX_LAST",TEXT($E$2-7,"YYYYMMDD"),TEXT($E$2-7,"YYYYMMDD"),"days=a","fill=p"),"-")</f>
        <v>-</v>
      </c>
      <c r="N30" s="180" t="str">
        <f t="shared" ca="1" si="4"/>
        <v>-</v>
      </c>
      <c r="O30" s="101" t="e">
        <f ca="1">IF(OR(_xll.BDP($E30,O$3)="#N/A N/A",_xll.BDP($E30,O$3)="#N/A Invalid Security"), "-", _xll.BDP($E30,O$3))</f>
        <v>#NAME?</v>
      </c>
      <c r="P30" s="182" t="str">
        <f ca="1">IF(ISNUMBER(_xll.BDH($F30,"PX_LAST",TEXT($E$2,"YYYYMMDD"),TEXT($E$2,"YYYYMMDD"),"days=a","fill=p")),_xll.BDH($F30,"PX_LAST",TEXT($E$2,"YYYYMMDD"),TEXT($E$2,"YYYYMMDD"),"days=a","fill=p"),"-")</f>
        <v>-</v>
      </c>
      <c r="Q30" s="182" t="str">
        <f ca="1">IF(ISNUMBER(_xll.BDH($F30,"PX_LAST",TEXT($E$2-7,"YYYYMMDD"),TEXT($E$2-7,"YYYYMMDD"),"days=a","fill=p")),_xll.BDH($F30,"PX_LAST",TEXT($E$2-7,"YYYYMMDD"),TEXT($E$2-7,"YYYYMMDD"),"days=a","fill=p"),"-")</f>
        <v>-</v>
      </c>
      <c r="R30" s="102" t="str">
        <f t="shared" ca="1" si="5"/>
        <v>-</v>
      </c>
      <c r="S30" s="103" t="str">
        <f ca="1">IF(ISNUMBER(_xll.BDP($F30,S$3)),_xll.BDP($F30,S$3),"-")</f>
        <v>-</v>
      </c>
      <c r="T30" s="104" t="e">
        <f t="shared" ref="T30:T93" ca="1" si="16">IF(OR(AH30&gt;0, AI30&gt;0, AJ30&gt;0, AK30&gt;0, AL30&gt;0, AM30&gt;0), "Y"," ")</f>
        <v>#NAME?</v>
      </c>
      <c r="U30" s="105" t="e">
        <f ca="1">IF(OR(_xll.BDP($E30,U$3)="#N/A N/A",_xll.BDP($E30,U$3)="#N/A Invalid Security"), "-", _xll.BDP($E30,U$3))</f>
        <v>#NAME?</v>
      </c>
      <c r="V30" s="105" t="e">
        <f ca="1">IF(OR(_xll.BDP($E30,V$2)="#N/A N/A",_xll.BDP($E30,V$2)="#N/A Invalid Security"), "-", _xll.BDP($E30,V$2))</f>
        <v>#NAME?</v>
      </c>
      <c r="W30" s="106" t="e">
        <f ca="1">IF(OR(_xll.BDP($E30,W$3)="#N/A N/A",_xll.BDP($E30,W$3)="#N/A Invalid Security"), "-", _xll.BDP($E30,W$3))</f>
        <v>#NAME?</v>
      </c>
      <c r="X30" s="105" t="e">
        <f ca="1">IF(OR(_xll.BDP($E30,X$3)="#N/A N/A",_xll.BDP($E30,X$3)="#N/A Invalid Security"), " ", _xll.BDP($E30,X$3))</f>
        <v>#NAME?</v>
      </c>
      <c r="Y30" s="105" t="e">
        <f ca="1">IF(OR(_xll.BDP($E30,Y$3)="#N/A N/A",_xll.BDP($E30,Y$3)="#N/A Invalid Security"), " ", _xll.BDP($E30,Y$3))</f>
        <v>#NAME?</v>
      </c>
      <c r="Z30" s="106" t="e">
        <f ca="1">IF(OR(_xll.BDP($E30,Z$3)="#N/A N/A",_xll.BDP($E30,Z$3)="#N/A Invalid Security"), " ", _xll.BDP($E30,Z$3))</f>
        <v>#NAME?</v>
      </c>
      <c r="AA30" s="107"/>
      <c r="AB30" s="93" t="s">
        <v>932</v>
      </c>
      <c r="AC30" s="93" t="s">
        <v>875</v>
      </c>
      <c r="AD30" s="93" t="s">
        <v>950</v>
      </c>
      <c r="AE30" s="93" t="s">
        <v>948</v>
      </c>
      <c r="AF30" s="93" t="s">
        <v>940</v>
      </c>
      <c r="AG30" s="93" t="s">
        <v>940</v>
      </c>
      <c r="AH30" s="95" t="e">
        <f t="shared" ca="1" si="7"/>
        <v>#NAME?</v>
      </c>
      <c r="AI30" s="95" t="e">
        <f t="shared" ca="1" si="8"/>
        <v>#NAME?</v>
      </c>
      <c r="AJ30" s="95" t="e">
        <f t="shared" ca="1" si="9"/>
        <v>#NAME?</v>
      </c>
      <c r="AK30" s="95" t="e">
        <f t="shared" ca="1" si="10"/>
        <v>#NAME?</v>
      </c>
      <c r="AL30" s="95" t="e">
        <f t="shared" ca="1" si="11"/>
        <v>#NAME?</v>
      </c>
      <c r="AM30" s="95" t="e">
        <f t="shared" ca="1" si="12"/>
        <v>#NAME?</v>
      </c>
      <c r="AN30" s="66" t="str">
        <f t="shared" ca="1" si="1"/>
        <v/>
      </c>
      <c r="AO30" s="108" t="e" cm="1">
        <f t="array" aca="1" ref="AO30" ca="1">_xll.BDP($E30,"cur_mkt_cap")</f>
        <v>#NAME?</v>
      </c>
      <c r="AP30" s="108" t="e" cm="1">
        <f t="array" aca="1" ref="AP30" ca="1">_xll.BDP($E30,"crncy")</f>
        <v>#NAME?</v>
      </c>
      <c r="AQ30" s="109" t="e" cm="1">
        <f t="array" aca="1" ref="AQ30" ca="1">_xll.BDP("USD"&amp;AP30&amp;" curncy","px_last")</f>
        <v>#NAME?</v>
      </c>
      <c r="AR30" s="109" t="e">
        <f t="shared" ca="1" si="13"/>
        <v>#NAME?</v>
      </c>
      <c r="AT30" s="66" t="str">
        <f t="shared" ca="1" si="15"/>
        <v/>
      </c>
      <c r="AU30" s="66" t="str">
        <f t="shared" ca="1" si="15"/>
        <v/>
      </c>
      <c r="AV30" s="66" t="str">
        <f t="shared" ca="1" si="15"/>
        <v/>
      </c>
      <c r="AW30" s="73" t="str" cm="1">
        <f t="array" aca="1" ref="AW30" ca="1">IF(ISERROR(DATEVALUE(_xll.BDP($E30,AW$6))),"",DATEVALUE(_xll.BDP($E30,AW$6)))</f>
        <v/>
      </c>
      <c r="AX30" s="73" t="str" cm="1">
        <f t="array" aca="1" ref="AX30" ca="1">IF(ISERROR(DATEVALUE(_xll.BDP($E30,AX$2))),"",DATEVALUE(_xll.BDP($E30,AX$2)))</f>
        <v/>
      </c>
      <c r="AY30" s="73" t="str" cm="1">
        <f t="array" aca="1" ref="AY30" ca="1">IF(ISERROR(DATEVALUE(_xll.BDP($E30,AY$6))),"",DATEVALUE(_xll.BDP($E30,AY$6)))</f>
        <v/>
      </c>
      <c r="AZ30" s="110" t="e" cm="1">
        <f t="array" aca="1" ref="AZ30" ca="1">IF(_xll.BQL($E30, "last(matches(px_last(dates=range(-1w,0d)), dayofweek(px_last(dates=range(-1w,0d)).date)==6))")="#N/A","-",_xll.BQL($E30, "last(matches(px_last(dates=range(-1w,0d)), dayofweek(px_last(dates=range(-1w,0d)).date)==6))"))</f>
        <v>#NAME?</v>
      </c>
      <c r="BA30" s="109" t="e" cm="1">
        <f t="array" aca="1" ref="BA30" ca="1">IF(_xll.BQL(E30,"first(last(matches(px_last(dates=range(-1M,0D)),dayofweek(px_last(dates=range(-1M,0D)).date)==6),2),1)")="#N/A","-",_xll.BQL(E30,"first(last(matches(px_last(dates=range(-1M,0D)),dayofweek(px_last(dates=range(-1M,0D)).date)==6),2),1)"))</f>
        <v>#NAME?</v>
      </c>
      <c r="BB30" s="109" t="str">
        <f t="shared" ca="1" si="14"/>
        <v>-</v>
      </c>
    </row>
    <row r="31" spans="5:54" ht="16.5" customHeight="1" thickBot="1">
      <c r="E31" s="96" t="s">
        <v>974</v>
      </c>
      <c r="F31" s="188" t="str">
        <f>"WBD CDS USD SR 5Y D14"&amp;" BEST Curncy"</f>
        <v>WBD CDS USD SR 5Y D14 BEST Curncy</v>
      </c>
      <c r="G31" s="97" t="e">
        <f t="shared" ca="1" si="3"/>
        <v>#NAME?</v>
      </c>
      <c r="I31" s="131" t="s">
        <v>975</v>
      </c>
      <c r="J31" s="98" t="e">
        <f ca="1">_xll.BDP($E31,J$3)</f>
        <v>#NAME?</v>
      </c>
      <c r="K31" s="99" t="e">
        <f ca="1">_xll.BDP($E31,K$3)</f>
        <v>#NAME?</v>
      </c>
      <c r="L31" s="100" t="str">
        <f ca="1">IF(ISNUMBER(_xll.BDH($E31,"PX_LAST",TEXT($E$2,"YYYYMMDD"),TEXT($E$2,"YYYYMMDD"),"days=a","fill=p")),_xll.BDH($E31,"PX_LAST",TEXT($E$2,"YYYYMMDD"),TEXT($E$2,"YYYYMMDD"),"days=a","fill=p"),"-")</f>
        <v>-</v>
      </c>
      <c r="M31" s="100" t="str">
        <f ca="1">IF(ISNUMBER(_xll.BDH($E31,"PX_LAST",TEXT($E$2-7,"YYYYMMDD"),TEXT($E$2-7,"YYYYMMDD"),"days=a","fill=p")),_xll.BDH($E31,"PX_LAST",TEXT($E$2-7,"YYYYMMDD"),TEXT($E$2-7,"YYYYMMDD"),"days=a","fill=p"),"-")</f>
        <v>-</v>
      </c>
      <c r="N31" s="180" t="str">
        <f t="shared" ca="1" si="4"/>
        <v>-</v>
      </c>
      <c r="O31" s="101" t="e">
        <f ca="1">IF(OR(_xll.BDP($E31,O$3)="#N/A N/A",_xll.BDP($E31,O$3)="#N/A Invalid Security"), "-", _xll.BDP($E31,O$3))</f>
        <v>#NAME?</v>
      </c>
      <c r="P31" s="182" t="str">
        <f ca="1">IF(ISNUMBER(_xll.BDH($F31,"PX_LAST",TEXT($E$2,"YYYYMMDD"),TEXT($E$2,"YYYYMMDD"),"days=a","fill=p")),_xll.BDH($F31,"PX_LAST",TEXT($E$2,"YYYYMMDD"),TEXT($E$2,"YYYYMMDD"),"days=a","fill=p"),"-")</f>
        <v>-</v>
      </c>
      <c r="Q31" s="182" t="str">
        <f ca="1">IF(ISNUMBER(_xll.BDH($F31,"PX_LAST",TEXT($E$2-7,"YYYYMMDD"),TEXT($E$2-7,"YYYYMMDD"),"days=a","fill=p")),_xll.BDH($F31,"PX_LAST",TEXT($E$2-7,"YYYYMMDD"),TEXT($E$2-7,"YYYYMMDD"),"days=a","fill=p"),"-")</f>
        <v>-</v>
      </c>
      <c r="R31" s="102" t="str">
        <f t="shared" ca="1" si="5"/>
        <v>-</v>
      </c>
      <c r="S31" s="103" t="str">
        <f ca="1">IF(ISNUMBER(_xll.BDP($F31,S$3)),_xll.BDP($F31,S$3),"-")</f>
        <v>-</v>
      </c>
      <c r="T31" s="104" t="e">
        <f t="shared" ca="1" si="16"/>
        <v>#NAME?</v>
      </c>
      <c r="U31" s="105" t="e">
        <f ca="1">IF(OR(_xll.BDP($E31,U$3)="#N/A N/A",_xll.BDP($E31,U$3)="#N/A Invalid Security"), "-", _xll.BDP($E31,U$3))</f>
        <v>#NAME?</v>
      </c>
      <c r="V31" s="105" t="e">
        <f ca="1">IF(OR(_xll.BDP($E31,V$2)="#N/A N/A",_xll.BDP($E31,V$2)="#N/A Invalid Security"), "-", _xll.BDP($E31,V$2))</f>
        <v>#NAME?</v>
      </c>
      <c r="W31" s="106" t="e">
        <f ca="1">IF(OR(_xll.BDP($E31,W$3)="#N/A N/A",_xll.BDP($E31,W$3)="#N/A Invalid Security"), "-", _xll.BDP($E31,W$3))</f>
        <v>#NAME?</v>
      </c>
      <c r="X31" s="105" t="e">
        <f ca="1">IF(OR(_xll.BDP($E31,X$3)="#N/A N/A",_xll.BDP($E31,X$3)="#N/A Invalid Security"), " ", _xll.BDP($E31,X$3))</f>
        <v>#NAME?</v>
      </c>
      <c r="Y31" s="105" t="e">
        <f ca="1">IF(OR(_xll.BDP($E31,Y$3)="#N/A N/A",_xll.BDP($E31,Y$3)="#N/A Invalid Security"), " ", _xll.BDP($E31,Y$3))</f>
        <v>#NAME?</v>
      </c>
      <c r="Z31" s="106" t="e">
        <f ca="1">IF(OR(_xll.BDP($E31,Z$3)="#N/A N/A",_xll.BDP($E31,Z$3)="#N/A Invalid Security"), " ", _xll.BDP($E31,Z$3))</f>
        <v>#NAME?</v>
      </c>
      <c r="AA31" s="107"/>
      <c r="AB31" s="93" t="s">
        <v>932</v>
      </c>
      <c r="AC31" s="93" t="s">
        <v>875</v>
      </c>
      <c r="AD31" s="93" t="s">
        <v>950</v>
      </c>
      <c r="AE31" s="93" t="s">
        <v>948</v>
      </c>
      <c r="AF31" s="93" t="s">
        <v>940</v>
      </c>
      <c r="AG31" s="93" t="s">
        <v>940</v>
      </c>
      <c r="AH31" s="95" t="e">
        <f t="shared" ca="1" si="7"/>
        <v>#NAME?</v>
      </c>
      <c r="AI31" s="95" t="e">
        <f t="shared" ca="1" si="8"/>
        <v>#NAME?</v>
      </c>
      <c r="AJ31" s="95" t="e">
        <f t="shared" ca="1" si="9"/>
        <v>#NAME?</v>
      </c>
      <c r="AK31" s="95" t="e">
        <f t="shared" ca="1" si="10"/>
        <v>#NAME?</v>
      </c>
      <c r="AL31" s="95" t="e">
        <f t="shared" ca="1" si="11"/>
        <v>#NAME?</v>
      </c>
      <c r="AM31" s="95" t="e">
        <f t="shared" ca="1" si="12"/>
        <v>#NAME?</v>
      </c>
      <c r="AN31" s="66" t="str">
        <f t="shared" ca="1" si="1"/>
        <v/>
      </c>
      <c r="AO31" s="108" t="e" cm="1">
        <f t="array" aca="1" ref="AO31" ca="1">_xll.BDP($E31,"cur_mkt_cap")</f>
        <v>#NAME?</v>
      </c>
      <c r="AP31" s="108" t="e" cm="1">
        <f t="array" aca="1" ref="AP31" ca="1">_xll.BDP($E31,"crncy")</f>
        <v>#NAME?</v>
      </c>
      <c r="AQ31" s="109" t="e" cm="1">
        <f t="array" aca="1" ref="AQ31" ca="1">_xll.BDP("USD"&amp;AP31&amp;" curncy","px_last")</f>
        <v>#NAME?</v>
      </c>
      <c r="AR31" s="109" t="e">
        <f t="shared" ca="1" si="13"/>
        <v>#NAME?</v>
      </c>
      <c r="AT31" s="66" t="str">
        <f t="shared" ca="1" si="15"/>
        <v/>
      </c>
      <c r="AU31" s="66" t="str">
        <f t="shared" ca="1" si="15"/>
        <v/>
      </c>
      <c r="AV31" s="66" t="str">
        <f t="shared" ca="1" si="15"/>
        <v/>
      </c>
      <c r="AW31" s="73" t="str" cm="1">
        <f t="array" aca="1" ref="AW31" ca="1">IF(ISERROR(DATEVALUE(_xll.BDP($E31,AW$6))),"",DATEVALUE(_xll.BDP($E31,AW$6)))</f>
        <v/>
      </c>
      <c r="AX31" s="73" t="str" cm="1">
        <f t="array" aca="1" ref="AX31" ca="1">IF(ISERROR(DATEVALUE(_xll.BDP($E31,AX$2))),"",DATEVALUE(_xll.BDP($E31,AX$2)))</f>
        <v/>
      </c>
      <c r="AY31" s="73" t="str" cm="1">
        <f t="array" aca="1" ref="AY31" ca="1">IF(ISERROR(DATEVALUE(_xll.BDP($E31,AY$6))),"",DATEVALUE(_xll.BDP($E31,AY$6)))</f>
        <v/>
      </c>
      <c r="AZ31" s="110" t="e" cm="1">
        <f t="array" aca="1" ref="AZ31" ca="1">IF(_xll.BQL($E31, "last(matches(px_last(dates=range(-1w,0d)), dayofweek(px_last(dates=range(-1w,0d)).date)==6))")="#N/A","-",_xll.BQL($E31, "last(matches(px_last(dates=range(-1w,0d)), dayofweek(px_last(dates=range(-1w,0d)).date)==6))"))</f>
        <v>#NAME?</v>
      </c>
      <c r="BA31" s="109" t="e" cm="1">
        <f t="array" aca="1" ref="BA31" ca="1">IF(_xll.BQL(E31,"first(last(matches(px_last(dates=range(-1M,0D)),dayofweek(px_last(dates=range(-1M,0D)).date)==6),2),1)")="#N/A","-",_xll.BQL(E31,"first(last(matches(px_last(dates=range(-1M,0D)),dayofweek(px_last(dates=range(-1M,0D)).date)==6),2),1)"))</f>
        <v>#NAME?</v>
      </c>
      <c r="BB31" s="109" t="str">
        <f t="shared" ca="1" si="14"/>
        <v>-</v>
      </c>
    </row>
    <row r="32" spans="5:54" ht="16.5" customHeight="1" thickBot="1">
      <c r="E32" s="96" t="s">
        <v>976</v>
      </c>
      <c r="F32" s="66" t="e">
        <f ca="1">_xll.BDP($E32,F$3)&amp;" BEST Curncy"</f>
        <v>#NAME?</v>
      </c>
      <c r="G32" s="97" t="e">
        <f t="shared" ca="1" si="3"/>
        <v>#NAME?</v>
      </c>
      <c r="I32" s="131"/>
      <c r="J32" s="98" t="e">
        <f ca="1">_xll.BDP($E32,J$3)</f>
        <v>#NAME?</v>
      </c>
      <c r="K32" s="99" t="e">
        <f ca="1">_xll.BDP($E32,K$3)</f>
        <v>#NAME?</v>
      </c>
      <c r="L32" s="100" t="str">
        <f ca="1">IF(ISNUMBER(_xll.BDH($E32,"PX_LAST",TEXT($E$2,"YYYYMMDD"),TEXT($E$2,"YYYYMMDD"),"days=a","fill=p")),_xll.BDH($E32,"PX_LAST",TEXT($E$2,"YYYYMMDD"),TEXT($E$2,"YYYYMMDD"),"days=a","fill=p"),"-")</f>
        <v>-</v>
      </c>
      <c r="M32" s="100" t="str">
        <f ca="1">IF(ISNUMBER(_xll.BDH($E32,"PX_LAST",TEXT($E$2-7,"YYYYMMDD"),TEXT($E$2-7,"YYYYMMDD"),"days=a","fill=p")),_xll.BDH($E32,"PX_LAST",TEXT($E$2-7,"YYYYMMDD"),TEXT($E$2-7,"YYYYMMDD"),"days=a","fill=p"),"-")</f>
        <v>-</v>
      </c>
      <c r="N32" s="180" t="str">
        <f t="shared" ca="1" si="4"/>
        <v>-</v>
      </c>
      <c r="O32" s="101" t="e">
        <f ca="1">IF(OR(_xll.BDP($E32,O$3)="#N/A N/A",_xll.BDP($E32,O$3)="#N/A Invalid Security"), "-", _xll.BDP($E32,O$3))</f>
        <v>#NAME?</v>
      </c>
      <c r="P32" s="182" t="str">
        <f ca="1">IF(ISNUMBER(_xll.BDH($F32,"PX_LAST",TEXT($E$2,"YYYYMMDD"),TEXT($E$2,"YYYYMMDD"),"days=a","fill=p")),_xll.BDH($F32,"PX_LAST",TEXT($E$2,"YYYYMMDD"),TEXT($E$2,"YYYYMMDD"),"days=a","fill=p"),"-")</f>
        <v>-</v>
      </c>
      <c r="Q32" s="182" t="str">
        <f ca="1">IF(ISNUMBER(_xll.BDH($F32,"PX_LAST",TEXT($E$2-7,"YYYYMMDD"),TEXT($E$2-7,"YYYYMMDD"),"days=a","fill=p")),_xll.BDH($F32,"PX_LAST",TEXT($E$2-7,"YYYYMMDD"),TEXT($E$2-7,"YYYYMMDD"),"days=a","fill=p"),"-")</f>
        <v>-</v>
      </c>
      <c r="R32" s="102" t="str">
        <f t="shared" ca="1" si="5"/>
        <v>-</v>
      </c>
      <c r="S32" s="103" t="str">
        <f ca="1">IF(ISNUMBER(_xll.BDP($F32,S$3)),_xll.BDP($F32,S$3),"-")</f>
        <v>-</v>
      </c>
      <c r="T32" s="104" t="e">
        <f t="shared" ca="1" si="16"/>
        <v>#NAME?</v>
      </c>
      <c r="U32" s="105" t="e">
        <f ca="1">IF(OR(_xll.BDP($E32,U$3)="#N/A N/A",_xll.BDP($E32,U$3)="#N/A Invalid Security"), "-", _xll.BDP($E32,U$3))</f>
        <v>#NAME?</v>
      </c>
      <c r="V32" s="105" t="e">
        <f ca="1">IF(OR(_xll.BDP($E32,V$2)="#N/A N/A",_xll.BDP($E32,V$2)="#N/A Invalid Security"), "-", _xll.BDP($E32,V$2))</f>
        <v>#NAME?</v>
      </c>
      <c r="W32" s="106" t="e">
        <f ca="1">IF(OR(_xll.BDP($E32,W$3)="#N/A N/A",_xll.BDP($E32,W$3)="#N/A Invalid Security"), "-", _xll.BDP($E32,W$3))</f>
        <v>#NAME?</v>
      </c>
      <c r="X32" s="105" t="e">
        <f ca="1">IF(OR(_xll.BDP($E32,X$3)="#N/A N/A",_xll.BDP($E32,X$3)="#N/A Invalid Security"), " ", _xll.BDP($E32,X$3))</f>
        <v>#NAME?</v>
      </c>
      <c r="Y32" s="105" t="e">
        <f ca="1">IF(OR(_xll.BDP($E32,Y$3)="#N/A N/A",_xll.BDP($E32,Y$3)="#N/A Invalid Security"), " ", _xll.BDP($E32,Y$3))</f>
        <v>#NAME?</v>
      </c>
      <c r="Z32" s="106" t="e">
        <f ca="1">IF(OR(_xll.BDP($E32,Z$3)="#N/A N/A",_xll.BDP($E32,Z$3)="#N/A Invalid Security"), " ", _xll.BDP($E32,Z$3))</f>
        <v>#NAME?</v>
      </c>
      <c r="AA32" s="107"/>
      <c r="AB32" s="93" t="s">
        <v>932</v>
      </c>
      <c r="AC32" s="93" t="s">
        <v>875</v>
      </c>
      <c r="AD32" s="93" t="s">
        <v>950</v>
      </c>
      <c r="AE32" s="93" t="s">
        <v>948</v>
      </c>
      <c r="AF32" s="93" t="s">
        <v>940</v>
      </c>
      <c r="AG32" s="93" t="s">
        <v>940</v>
      </c>
      <c r="AH32" s="95" t="e">
        <f t="shared" ca="1" si="7"/>
        <v>#NAME?</v>
      </c>
      <c r="AI32" s="95" t="e">
        <f t="shared" ca="1" si="8"/>
        <v>#NAME?</v>
      </c>
      <c r="AJ32" s="95" t="e">
        <f t="shared" ca="1" si="9"/>
        <v>#NAME?</v>
      </c>
      <c r="AK32" s="95" t="e">
        <f t="shared" ca="1" si="10"/>
        <v>#NAME?</v>
      </c>
      <c r="AL32" s="95" t="e">
        <f t="shared" ca="1" si="11"/>
        <v>#NAME?</v>
      </c>
      <c r="AM32" s="95" t="e">
        <f t="shared" ca="1" si="12"/>
        <v>#NAME?</v>
      </c>
      <c r="AN32" s="66" t="str">
        <f t="shared" ca="1" si="1"/>
        <v/>
      </c>
      <c r="AO32" s="108" t="e" cm="1">
        <f t="array" aca="1" ref="AO32" ca="1">_xll.BDP($E32,"cur_mkt_cap")</f>
        <v>#NAME?</v>
      </c>
      <c r="AP32" s="108" t="e" cm="1">
        <f t="array" aca="1" ref="AP32" ca="1">_xll.BDP($E32,"crncy")</f>
        <v>#NAME?</v>
      </c>
      <c r="AQ32" s="109" t="e" cm="1">
        <f t="array" aca="1" ref="AQ32" ca="1">_xll.BDP("USD"&amp;AP32&amp;" curncy","px_last")</f>
        <v>#NAME?</v>
      </c>
      <c r="AR32" s="109" t="e">
        <f t="shared" ca="1" si="13"/>
        <v>#NAME?</v>
      </c>
      <c r="AT32" s="66" t="str">
        <f t="shared" ca="1" si="15"/>
        <v/>
      </c>
      <c r="AU32" s="66" t="str">
        <f t="shared" ca="1" si="15"/>
        <v/>
      </c>
      <c r="AV32" s="66" t="str">
        <f t="shared" ca="1" si="15"/>
        <v/>
      </c>
      <c r="AW32" s="73" t="str" cm="1">
        <f t="array" aca="1" ref="AW32" ca="1">IF(ISERROR(DATEVALUE(_xll.BDP($E32,AW$6))),"",DATEVALUE(_xll.BDP($E32,AW$6)))</f>
        <v/>
      </c>
      <c r="AX32" s="73" t="str" cm="1">
        <f t="array" aca="1" ref="AX32" ca="1">IF(ISERROR(DATEVALUE(_xll.BDP($E32,AX$2))),"",DATEVALUE(_xll.BDP($E32,AX$2)))</f>
        <v/>
      </c>
      <c r="AY32" s="73" t="str" cm="1">
        <f t="array" aca="1" ref="AY32" ca="1">IF(ISERROR(DATEVALUE(_xll.BDP($E32,AY$6))),"",DATEVALUE(_xll.BDP($E32,AY$6)))</f>
        <v/>
      </c>
      <c r="AZ32" s="110" t="e" cm="1">
        <f t="array" aca="1" ref="AZ32" ca="1">IF(_xll.BQL($E32, "last(matches(px_last(dates=range(-1w,0d)), dayofweek(px_last(dates=range(-1w,0d)).date)==6))")="#N/A","-",_xll.BQL($E32, "last(matches(px_last(dates=range(-1w,0d)), dayofweek(px_last(dates=range(-1w,0d)).date)==6))"))</f>
        <v>#NAME?</v>
      </c>
      <c r="BA32" s="109" t="e" cm="1">
        <f t="array" aca="1" ref="BA32" ca="1">IF(_xll.BQL(E32,"first(last(matches(px_last(dates=range(-1M,0D)),dayofweek(px_last(dates=range(-1M,0D)).date)==6),2),1)")="#N/A","-",_xll.BQL(E32,"first(last(matches(px_last(dates=range(-1M,0D)),dayofweek(px_last(dates=range(-1M,0D)).date)==6),2),1)"))</f>
        <v>#NAME?</v>
      </c>
      <c r="BB32" s="109" t="str">
        <f t="shared" ca="1" si="14"/>
        <v>-</v>
      </c>
    </row>
    <row r="33" spans="5:54" ht="16.5" customHeight="1" thickBot="1">
      <c r="E33" s="96" t="s">
        <v>977</v>
      </c>
      <c r="F33" s="66" t="e">
        <f ca="1">_xll.BDP($E33,F$3)&amp;" BEST Curncy"</f>
        <v>#NAME?</v>
      </c>
      <c r="G33" s="97" t="e">
        <f t="shared" ca="1" si="3"/>
        <v>#NAME?</v>
      </c>
      <c r="I33" s="131"/>
      <c r="J33" s="98" t="e">
        <f ca="1">_xll.BDP($E33,J$3)</f>
        <v>#NAME?</v>
      </c>
      <c r="K33" s="99" t="e">
        <f ca="1">_xll.BDP($E33,K$3)</f>
        <v>#NAME?</v>
      </c>
      <c r="L33" s="100" t="str">
        <f ca="1">IF(ISNUMBER(_xll.BDH($E33,"PX_LAST",TEXT($E$2,"YYYYMMDD"),TEXT($E$2,"YYYYMMDD"),"days=a","fill=p")),_xll.BDH($E33,"PX_LAST",TEXT($E$2,"YYYYMMDD"),TEXT($E$2,"YYYYMMDD"),"days=a","fill=p"),"-")</f>
        <v>-</v>
      </c>
      <c r="M33" s="100" t="str">
        <f ca="1">IF(ISNUMBER(_xll.BDH($E33,"PX_LAST",TEXT($E$2-7,"YYYYMMDD"),TEXT($E$2-7,"YYYYMMDD"),"days=a","fill=p")),_xll.BDH($E33,"PX_LAST",TEXT($E$2-7,"YYYYMMDD"),TEXT($E$2-7,"YYYYMMDD"),"days=a","fill=p"),"-")</f>
        <v>-</v>
      </c>
      <c r="N33" s="180" t="str">
        <f t="shared" ca="1" si="4"/>
        <v>-</v>
      </c>
      <c r="O33" s="101" t="e">
        <f ca="1">IF(OR(_xll.BDP($E33,O$3)="#N/A N/A",_xll.BDP($E33,O$3)="#N/A Invalid Security"), "-", _xll.BDP($E33,O$3))</f>
        <v>#NAME?</v>
      </c>
      <c r="P33" s="182" t="str">
        <f ca="1">IF(ISNUMBER(_xll.BDH($F33,"PX_LAST",TEXT($E$2,"YYYYMMDD"),TEXT($E$2,"YYYYMMDD"),"days=a","fill=p")),_xll.BDH($F33,"PX_LAST",TEXT($E$2,"YYYYMMDD"),TEXT($E$2,"YYYYMMDD"),"days=a","fill=p"),"-")</f>
        <v>-</v>
      </c>
      <c r="Q33" s="182" t="str">
        <f ca="1">IF(ISNUMBER(_xll.BDH($F33,"PX_LAST",TEXT($E$2-7,"YYYYMMDD"),TEXT($E$2-7,"YYYYMMDD"),"days=a","fill=p")),_xll.BDH($F33,"PX_LAST",TEXT($E$2-7,"YYYYMMDD"),TEXT($E$2-7,"YYYYMMDD"),"days=a","fill=p"),"-")</f>
        <v>-</v>
      </c>
      <c r="R33" s="102" t="str">
        <f t="shared" ca="1" si="5"/>
        <v>-</v>
      </c>
      <c r="S33" s="103" t="str">
        <f ca="1">IF(ISNUMBER(_xll.BDP($F33,S$3)),_xll.BDP($F33,S$3),"-")</f>
        <v>-</v>
      </c>
      <c r="T33" s="104" t="e">
        <f t="shared" ca="1" si="16"/>
        <v>#NAME?</v>
      </c>
      <c r="U33" s="105" t="e">
        <f ca="1">IF(OR(_xll.BDP($E33,U$3)="#N/A N/A",_xll.BDP($E33,U$3)="#N/A Invalid Security"), "-", _xll.BDP($E33,U$3))</f>
        <v>#NAME?</v>
      </c>
      <c r="V33" s="105" t="e">
        <f ca="1">IF(OR(_xll.BDP($E33,V$2)="#N/A N/A",_xll.BDP($E33,V$2)="#N/A Invalid Security"), "-", _xll.BDP($E33,V$2))</f>
        <v>#NAME?</v>
      </c>
      <c r="W33" s="106" t="e">
        <f ca="1">IF(OR(_xll.BDP($E33,W$3)="#N/A N/A",_xll.BDP($E33,W$3)="#N/A Invalid Security"), "-", _xll.BDP($E33,W$3))</f>
        <v>#NAME?</v>
      </c>
      <c r="X33" s="105" t="e">
        <f ca="1">IF(OR(_xll.BDP($E33,X$3)="#N/A N/A",_xll.BDP($E33,X$3)="#N/A Invalid Security"), " ", _xll.BDP($E33,X$3))</f>
        <v>#NAME?</v>
      </c>
      <c r="Y33" s="105" t="e">
        <f ca="1">IF(OR(_xll.BDP($E33,Y$3)="#N/A N/A",_xll.BDP($E33,Y$3)="#N/A Invalid Security"), " ", _xll.BDP($E33,Y$3))</f>
        <v>#NAME?</v>
      </c>
      <c r="Z33" s="106" t="e">
        <f ca="1">IF(OR(_xll.BDP($E33,Z$3)="#N/A N/A",_xll.BDP($E33,Z$3)="#N/A Invalid Security"), " ", _xll.BDP($E33,Z$3))</f>
        <v>#NAME?</v>
      </c>
      <c r="AA33" s="107"/>
      <c r="AB33" s="93" t="s">
        <v>932</v>
      </c>
      <c r="AC33" s="93" t="s">
        <v>875</v>
      </c>
      <c r="AD33" s="93" t="s">
        <v>950</v>
      </c>
      <c r="AE33" s="93" t="s">
        <v>948</v>
      </c>
      <c r="AF33" s="93" t="s">
        <v>940</v>
      </c>
      <c r="AG33" s="93" t="s">
        <v>940</v>
      </c>
      <c r="AH33" s="95" t="e">
        <f t="shared" ca="1" si="7"/>
        <v>#NAME?</v>
      </c>
      <c r="AI33" s="95" t="e">
        <f t="shared" ca="1" si="8"/>
        <v>#NAME?</v>
      </c>
      <c r="AJ33" s="95" t="e">
        <f t="shared" ca="1" si="9"/>
        <v>#NAME?</v>
      </c>
      <c r="AK33" s="95" t="e">
        <f t="shared" ca="1" si="10"/>
        <v>#NAME?</v>
      </c>
      <c r="AL33" s="95" t="e">
        <f t="shared" ca="1" si="11"/>
        <v>#NAME?</v>
      </c>
      <c r="AM33" s="95" t="e">
        <f t="shared" ca="1" si="12"/>
        <v>#NAME?</v>
      </c>
      <c r="AN33" s="66" t="str">
        <f t="shared" ca="1" si="1"/>
        <v/>
      </c>
      <c r="AO33" s="108" t="e" cm="1">
        <f t="array" aca="1" ref="AO33" ca="1">_xll.BDP($E33,"cur_mkt_cap")</f>
        <v>#NAME?</v>
      </c>
      <c r="AP33" s="108" t="e" cm="1">
        <f t="array" aca="1" ref="AP33" ca="1">_xll.BDP($E33,"crncy")</f>
        <v>#NAME?</v>
      </c>
      <c r="AQ33" s="109" t="e" cm="1">
        <f t="array" aca="1" ref="AQ33" ca="1">_xll.BDP("USD"&amp;AP33&amp;" curncy","px_last")</f>
        <v>#NAME?</v>
      </c>
      <c r="AR33" s="109" t="e">
        <f t="shared" ca="1" si="13"/>
        <v>#NAME?</v>
      </c>
      <c r="AT33" s="66" t="str">
        <f t="shared" ca="1" si="15"/>
        <v/>
      </c>
      <c r="AU33" s="66" t="str">
        <f t="shared" ca="1" si="15"/>
        <v/>
      </c>
      <c r="AV33" s="66" t="str">
        <f t="shared" ca="1" si="15"/>
        <v/>
      </c>
      <c r="AW33" s="73" t="str" cm="1">
        <f t="array" aca="1" ref="AW33" ca="1">IF(ISERROR(DATEVALUE(_xll.BDP($E33,AW$6))),"",DATEVALUE(_xll.BDP($E33,AW$6)))</f>
        <v/>
      </c>
      <c r="AX33" s="73" t="str" cm="1">
        <f t="array" aca="1" ref="AX33" ca="1">IF(ISERROR(DATEVALUE(_xll.BDP($E33,AX$2))),"",DATEVALUE(_xll.BDP($E33,AX$2)))</f>
        <v/>
      </c>
      <c r="AY33" s="73" t="str" cm="1">
        <f t="array" aca="1" ref="AY33" ca="1">IF(ISERROR(DATEVALUE(_xll.BDP($E33,AY$6))),"",DATEVALUE(_xll.BDP($E33,AY$6)))</f>
        <v/>
      </c>
      <c r="AZ33" s="110" t="e" cm="1">
        <f t="array" aca="1" ref="AZ33" ca="1">IF(_xll.BQL($E33, "last(matches(px_last(dates=range(-1w,0d)), dayofweek(px_last(dates=range(-1w,0d)).date)==6))")="#N/A","-",_xll.BQL($E33, "last(matches(px_last(dates=range(-1w,0d)), dayofweek(px_last(dates=range(-1w,0d)).date)==6))"))</f>
        <v>#NAME?</v>
      </c>
      <c r="BA33" s="109" t="e" cm="1">
        <f t="array" aca="1" ref="BA33" ca="1">IF(_xll.BQL(E33,"first(last(matches(px_last(dates=range(-1M,0D)),dayofweek(px_last(dates=range(-1M,0D)).date)==6),2),1)")="#N/A","-",_xll.BQL(E33,"first(last(matches(px_last(dates=range(-1M,0D)),dayofweek(px_last(dates=range(-1M,0D)).date)==6),2),1)"))</f>
        <v>#NAME?</v>
      </c>
      <c r="BB33" s="109" t="str">
        <f t="shared" ca="1" si="14"/>
        <v>-</v>
      </c>
    </row>
    <row r="34" spans="5:54" ht="16.5" customHeight="1" thickBot="1">
      <c r="E34" s="96" t="s">
        <v>1859</v>
      </c>
      <c r="F34" s="66" t="e">
        <f ca="1">_xll.BDP($E34,F$3)&amp;" BEST Curncy"</f>
        <v>#NAME?</v>
      </c>
      <c r="G34" s="97" t="e">
        <f ca="1">AR34</f>
        <v>#NAME?</v>
      </c>
      <c r="I34" s="131"/>
      <c r="J34" s="98" t="e">
        <f ca="1">_xll.BDP($E34,J$3)</f>
        <v>#NAME?</v>
      </c>
      <c r="K34" s="99" t="e">
        <f ca="1">_xll.BDP($E34,K$3)</f>
        <v>#NAME?</v>
      </c>
      <c r="L34" s="100" t="str">
        <f ca="1">IF(ISNUMBER(_xll.BDH($E34,"PX_LAST",TEXT($E$2,"YYYYMMDD"),TEXT($E$2,"YYYYMMDD"),"days=a","fill=p")),_xll.BDH($E34,"PX_LAST",TEXT($E$2,"YYYYMMDD"),TEXT($E$2,"YYYYMMDD"),"days=a","fill=p"),"-")</f>
        <v>-</v>
      </c>
      <c r="M34" s="100" t="str">
        <f ca="1">IF(ISNUMBER(_xll.BDH($E34,"PX_LAST",TEXT($E$2-7,"YYYYMMDD"),TEXT($E$2-7,"YYYYMMDD"),"days=a","fill=p")),_xll.BDH($E34,"PX_LAST",TEXT($E$2-7,"YYYYMMDD"),TEXT($E$2-7,"YYYYMMDD"),"days=a","fill=p"),"-")</f>
        <v>-</v>
      </c>
      <c r="N34" s="180" t="str">
        <f t="shared" ca="1" si="4"/>
        <v>-</v>
      </c>
      <c r="O34" s="101" t="e">
        <f ca="1">IF(OR(_xll.BDP($E34,O$3)="#N/A N/A",_xll.BDP($E34,O$3)="#N/A Invalid Security"), "-", _xll.BDP($E34,O$3))</f>
        <v>#NAME?</v>
      </c>
      <c r="P34" s="182" t="str">
        <f ca="1">IF(ISNUMBER(_xll.BDH($F34,"PX_LAST",TEXT($E$2,"YYYYMMDD"),TEXT($E$2,"YYYYMMDD"),"days=a","fill=p")),_xll.BDH($F34,"PX_LAST",TEXT($E$2,"YYYYMMDD"),TEXT($E$2,"YYYYMMDD"),"days=a","fill=p"),"-")</f>
        <v>-</v>
      </c>
      <c r="Q34" s="182" t="str">
        <f ca="1">IF(ISNUMBER(_xll.BDH($F34,"PX_LAST",TEXT($E$2-7,"YYYYMMDD"),TEXT($E$2-7,"YYYYMMDD"),"days=a","fill=p")),_xll.BDH($F34,"PX_LAST",TEXT($E$2-7,"YYYYMMDD"),TEXT($E$2-7,"YYYYMMDD"),"days=a","fill=p"),"-")</f>
        <v>-</v>
      </c>
      <c r="R34" s="102" t="str">
        <f t="shared" ca="1" si="5"/>
        <v>-</v>
      </c>
      <c r="S34" s="103" t="str">
        <f ca="1">IF(ISNUMBER(_xll.BDP($F34,S$3)),_xll.BDP($F34,S$3),"-")</f>
        <v>-</v>
      </c>
      <c r="T34" s="104" t="str">
        <f t="shared" si="16"/>
        <v xml:space="preserve"> </v>
      </c>
      <c r="U34" s="105" t="e">
        <f ca="1">IF(OR(_xll.BDP($E34,U$3)="#N/A N/A",_xll.BDP($E34,U$3)="#N/A Invalid Security"), "-", _xll.BDP($E34,U$3))</f>
        <v>#NAME?</v>
      </c>
      <c r="V34" s="105" t="e">
        <f ca="1">IF(OR(_xll.BDP($E34,V$2)="#N/A N/A",_xll.BDP($E34,V$2)="#N/A Invalid Security"), "-", _xll.BDP($E34,V$2))</f>
        <v>#NAME?</v>
      </c>
      <c r="W34" s="106" t="e">
        <f ca="1">IF(OR(_xll.BDP($E34,W$3)="#N/A N/A",_xll.BDP($E34,W$3)="#N/A Invalid Security"), "-", _xll.BDP($E34,W$3))</f>
        <v>#NAME?</v>
      </c>
      <c r="X34" s="105" t="e">
        <f ca="1">IF(OR(_xll.BDP($E34,X$3)="#N/A N/A",_xll.BDP($E34,X$3)="#N/A Invalid Security"), " ", _xll.BDP($E34,X$3))</f>
        <v>#NAME?</v>
      </c>
      <c r="Y34" s="105" t="e">
        <f ca="1">IF(OR(_xll.BDP($E34,Y$3)="#N/A N/A",_xll.BDP($E34,Y$3)="#N/A Invalid Security"), " ", _xll.BDP($E34,Y$3))</f>
        <v>#NAME?</v>
      </c>
      <c r="Z34" s="106" t="e">
        <f ca="1">IF(OR(_xll.BDP($E34,Z$3)="#N/A N/A",_xll.BDP($E34,Z$3)="#N/A Invalid Security"), " ", _xll.BDP($E34,Z$3))</f>
        <v>#NAME?</v>
      </c>
      <c r="AA34" s="107"/>
      <c r="AB34" s="93"/>
      <c r="AC34" s="93"/>
      <c r="AD34" s="93"/>
      <c r="AE34" s="93"/>
      <c r="AF34" s="93"/>
      <c r="AG34" s="93"/>
      <c r="AH34" s="95"/>
      <c r="AI34" s="95"/>
      <c r="AJ34" s="95"/>
      <c r="AK34" s="95"/>
      <c r="AL34" s="95"/>
      <c r="AM34" s="95"/>
      <c r="AO34" s="108" t="e" cm="1">
        <f t="array" aca="1" ref="AO34" ca="1">_xll.BDP($E34,"cur_mkt_cap")</f>
        <v>#NAME?</v>
      </c>
      <c r="AP34" s="108" t="e" cm="1">
        <f t="array" aca="1" ref="AP34" ca="1">_xll.BDP($E34,"crncy")</f>
        <v>#NAME?</v>
      </c>
      <c r="AQ34" s="109" t="e" cm="1">
        <f t="array" aca="1" ref="AQ34" ca="1">_xll.BDP("USD"&amp;AP34&amp;" curncy","px_last")</f>
        <v>#NAME?</v>
      </c>
      <c r="AR34" s="109" t="e">
        <f ca="1">AO34/AQ34/1000000000</f>
        <v>#NAME?</v>
      </c>
      <c r="AW34" s="73" t="str" cm="1">
        <f t="array" aca="1" ref="AW34" ca="1">IF(ISERROR(DATEVALUE(_xll.BDP($E34,AW$6))),"",DATEVALUE(_xll.BDP($E34,AW$6)))</f>
        <v/>
      </c>
      <c r="AX34" s="73" t="str" cm="1">
        <f t="array" aca="1" ref="AX34" ca="1">IF(ISERROR(DATEVALUE(_xll.BDP($E34,AX$2))),"",DATEVALUE(_xll.BDP($E34,AX$2)))</f>
        <v/>
      </c>
      <c r="AY34" s="73" t="str" cm="1">
        <f t="array" aca="1" ref="AY34" ca="1">IF(ISERROR(DATEVALUE(_xll.BDP($E34,AY$6))),"",DATEVALUE(_xll.BDP($E34,AY$6)))</f>
        <v/>
      </c>
      <c r="AZ34" s="110" t="e" cm="1">
        <f t="array" aca="1" ref="AZ34" ca="1">IF(_xll.BQL($E34, "last(matches(px_last(dates=range(-1w,0d)), dayofweek(px_last(dates=range(-1w,0d)).date)==6))")="#N/A","-",_xll.BQL($E34, "last(matches(px_last(dates=range(-1w,0d)), dayofweek(px_last(dates=range(-1w,0d)).date)==6))"))</f>
        <v>#NAME?</v>
      </c>
      <c r="BA34" s="109" t="e" cm="1">
        <f t="array" aca="1" ref="BA34" ca="1">IF(_xll.BQL(E34,"first(last(matches(px_last(dates=range(-1M,0D)),dayofweek(px_last(dates=range(-1M,0D)).date)==6),2),1)")="#N/A","-",_xll.BQL(E34,"first(last(matches(px_last(dates=range(-1M,0D)),dayofweek(px_last(dates=range(-1M,0D)).date)==6),2),1)"))</f>
        <v>#NAME?</v>
      </c>
      <c r="BB34" s="109" t="str">
        <f t="shared" ca="1" si="14"/>
        <v>-</v>
      </c>
    </row>
    <row r="35" spans="5:54" ht="16.5" customHeight="1" thickBot="1">
      <c r="E35" s="96" t="s">
        <v>978</v>
      </c>
      <c r="F35" s="66" t="e">
        <f ca="1">_xll.BDP($E35,F$3)&amp;" BEST Curncy"</f>
        <v>#NAME?</v>
      </c>
      <c r="G35" s="97" t="e">
        <f t="shared" ref="G35:G122" ca="1" si="17">AR35</f>
        <v>#NAME?</v>
      </c>
      <c r="I35" s="632" t="s">
        <v>979</v>
      </c>
      <c r="J35" s="98" t="e">
        <f ca="1">_xll.BDP($E35,J$3)</f>
        <v>#NAME?</v>
      </c>
      <c r="K35" s="99" t="e">
        <f ca="1">_xll.BDP($E35,K$3)</f>
        <v>#NAME?</v>
      </c>
      <c r="L35" s="100" t="str">
        <f ca="1">IF(ISNUMBER(_xll.BDH($E35,"PX_LAST",TEXT($E$2,"YYYYMMDD"),TEXT($E$2,"YYYYMMDD"),"days=a","fill=p")),_xll.BDH($E35,"PX_LAST",TEXT($E$2,"YYYYMMDD"),TEXT($E$2,"YYYYMMDD"),"days=a","fill=p"),"-")</f>
        <v>-</v>
      </c>
      <c r="M35" s="100" t="str">
        <f ca="1">IF(ISNUMBER(_xll.BDH($E35,"PX_LAST",TEXT($E$2-7,"YYYYMMDD"),TEXT($E$2-7,"YYYYMMDD"),"days=a","fill=p")),_xll.BDH($E35,"PX_LAST",TEXT($E$2-7,"YYYYMMDD"),TEXT($E$2-7,"YYYYMMDD"),"days=a","fill=p"),"-")</f>
        <v>-</v>
      </c>
      <c r="N35" s="180" t="str">
        <f t="shared" ca="1" si="4"/>
        <v>-</v>
      </c>
      <c r="O35" s="101" t="e">
        <f ca="1">IF(OR(_xll.BDP($E35,O$3)="#N/A N/A",_xll.BDP($E35,O$3)="#N/A Invalid Security"), "-", _xll.BDP($E35,O$3))</f>
        <v>#NAME?</v>
      </c>
      <c r="P35" s="182" t="str">
        <f ca="1">IF(ISNUMBER(_xll.BDH($F35,"PX_LAST",TEXT($E$2,"YYYYMMDD"),TEXT($E$2,"YYYYMMDD"),"days=a","fill=p")),_xll.BDH($F35,"PX_LAST",TEXT($E$2,"YYYYMMDD"),TEXT($E$2,"YYYYMMDD"),"days=a","fill=p"),"-")</f>
        <v>-</v>
      </c>
      <c r="Q35" s="182" t="str">
        <f ca="1">IF(ISNUMBER(_xll.BDH($F35,"PX_LAST",TEXT($E$2-7,"YYYYMMDD"),TEXT($E$2-7,"YYYYMMDD"),"days=a","fill=p")),_xll.BDH($F35,"PX_LAST",TEXT($E$2-7,"YYYYMMDD"),TEXT($E$2-7,"YYYYMMDD"),"days=a","fill=p"),"-")</f>
        <v>-</v>
      </c>
      <c r="R35" s="102" t="str">
        <f t="shared" ca="1" si="5"/>
        <v>-</v>
      </c>
      <c r="S35" s="103" t="str">
        <f ca="1">IF(ISNUMBER(_xll.BDP($F35,S$3)),_xll.BDP($F35,S$3),"-")</f>
        <v>-</v>
      </c>
      <c r="T35" s="104" t="e">
        <f t="shared" ca="1" si="16"/>
        <v>#NAME?</v>
      </c>
      <c r="U35" s="105" t="e">
        <f ca="1">IF(OR(_xll.BDP($E35,U$3)="#N/A N/A",_xll.BDP($E35,U$3)="#N/A Invalid Security"), "-", _xll.BDP($E35,U$3))</f>
        <v>#NAME?</v>
      </c>
      <c r="V35" s="105" t="e">
        <f ca="1">IF(OR(_xll.BDP($E35,V$2)="#N/A N/A",_xll.BDP($E35,V$2)="#N/A Invalid Security"), "-", _xll.BDP($E35,V$2))</f>
        <v>#NAME?</v>
      </c>
      <c r="W35" s="106" t="e">
        <f ca="1">IF(OR(_xll.BDP($E35,W$3)="#N/A N/A",_xll.BDP($E35,W$3)="#N/A Invalid Security"), "-", _xll.BDP($E35,W$3))</f>
        <v>#NAME?</v>
      </c>
      <c r="X35" s="105" t="e">
        <f ca="1">IF(OR(_xll.BDP($E35,X$3)="#N/A N/A",_xll.BDP($E35,X$3)="#N/A Invalid Security"), " ", _xll.BDP($E35,X$3))</f>
        <v>#NAME?</v>
      </c>
      <c r="Y35" s="105" t="e">
        <f ca="1">IF(OR(_xll.BDP($E35,Y$3)="#N/A N/A",_xll.BDP($E35,Y$3)="#N/A Invalid Security"), " ", _xll.BDP($E35,Y$3))</f>
        <v>#NAME?</v>
      </c>
      <c r="Z35" s="106" t="e">
        <f ca="1">IF(OR(_xll.BDP($E35,Z$3)="#N/A N/A",_xll.BDP($E35,Z$3)="#N/A Invalid Security"), " ", _xll.BDP($E35,Z$3))</f>
        <v>#NAME?</v>
      </c>
      <c r="AA35" s="107"/>
      <c r="AB35" s="93" t="s">
        <v>877</v>
      </c>
      <c r="AC35" s="93" t="s">
        <v>980</v>
      </c>
      <c r="AD35" s="93" t="s">
        <v>877</v>
      </c>
      <c r="AE35" s="93" t="s">
        <v>935</v>
      </c>
      <c r="AF35" s="93" t="s">
        <v>940</v>
      </c>
      <c r="AG35" s="93" t="s">
        <v>940</v>
      </c>
      <c r="AH35" s="95" t="e">
        <f t="shared" ref="AH35:AM35" ca="1" si="18">IF(U35=AB35, 0,1)</f>
        <v>#NAME?</v>
      </c>
      <c r="AI35" s="95" t="e">
        <f t="shared" ca="1" si="18"/>
        <v>#NAME?</v>
      </c>
      <c r="AJ35" s="95" t="e">
        <f t="shared" ca="1" si="18"/>
        <v>#NAME?</v>
      </c>
      <c r="AK35" s="95" t="e">
        <f t="shared" ca="1" si="18"/>
        <v>#NAME?</v>
      </c>
      <c r="AL35" s="95" t="e">
        <f t="shared" ca="1" si="18"/>
        <v>#NAME?</v>
      </c>
      <c r="AM35" s="95" t="e">
        <f t="shared" ca="1" si="18"/>
        <v>#NAME?</v>
      </c>
      <c r="AN35" s="66" t="str">
        <f t="shared" ref="AN35:AN45" ca="1" si="19">IF(SUM(AT35:AV35)&gt;0,"Y","")</f>
        <v/>
      </c>
      <c r="AO35" s="108" t="e" cm="1">
        <f t="array" aca="1" ref="AO35" ca="1">_xll.BDP($E35,"cur_mkt_cap")</f>
        <v>#NAME?</v>
      </c>
      <c r="AP35" s="108" t="e" cm="1">
        <f t="array" aca="1" ref="AP35" ca="1">_xll.BDP($E35,"crncy")</f>
        <v>#NAME?</v>
      </c>
      <c r="AQ35" s="109" t="e" cm="1">
        <f t="array" aca="1" ref="AQ35" ca="1">_xll.BDP("USD"&amp;AP35&amp;" curncy","px_last")</f>
        <v>#NAME?</v>
      </c>
      <c r="AR35" s="109" t="e">
        <f t="shared" ref="AR35:AR98" ca="1" si="20">AO35/AQ35/1000000000</f>
        <v>#NAME?</v>
      </c>
      <c r="AT35" s="66" t="str">
        <f t="shared" ref="AT35:AV84" ca="1" si="21">IF(AND(AW35&lt;=$E$1,AW35&gt;=$F$1),1,"")</f>
        <v/>
      </c>
      <c r="AU35" s="66" t="str">
        <f t="shared" ca="1" si="21"/>
        <v/>
      </c>
      <c r="AV35" s="66" t="str">
        <f t="shared" ca="1" si="21"/>
        <v/>
      </c>
      <c r="AW35" s="73" t="str" cm="1">
        <f t="array" aca="1" ref="AW35" ca="1">IF(ISERROR(DATEVALUE(_xll.BDP($E35,AW$6))),"",DATEVALUE(_xll.BDP($E35,AW$6)))</f>
        <v/>
      </c>
      <c r="AX35" s="73" t="str" cm="1">
        <f t="array" aca="1" ref="AX35" ca="1">IF(ISERROR(DATEVALUE(_xll.BDP($E35,AX$2))),"",DATEVALUE(_xll.BDP($E35,AX$2)))</f>
        <v/>
      </c>
      <c r="AY35" s="73" t="str" cm="1">
        <f t="array" aca="1" ref="AY35" ca="1">IF(ISERROR(DATEVALUE(_xll.BDP($E35,AY$6))),"",DATEVALUE(_xll.BDP($E35,AY$6)))</f>
        <v/>
      </c>
      <c r="AZ35" s="110" t="e" cm="1">
        <f t="array" aca="1" ref="AZ35" ca="1">IF(_xll.BQL($E35, "last(matches(px_last(dates=range(-1w,0d)), dayofweek(px_last(dates=range(-1w,0d)).date)==6))")="#N/A","-",_xll.BQL($E35, "last(matches(px_last(dates=range(-1w,0d)), dayofweek(px_last(dates=range(-1w,0d)).date)==6))"))</f>
        <v>#NAME?</v>
      </c>
      <c r="BA35" s="109" t="e" cm="1">
        <f t="array" aca="1" ref="BA35" ca="1">IF(_xll.BQL(E35,"first(last(matches(px_last(dates=range(-1M,0D)),dayofweek(px_last(dates=range(-1M,0D)).date)==6),2),1)")="#N/A","-",_xll.BQL(E35,"first(last(matches(px_last(dates=range(-1M,0D)),dayofweek(px_last(dates=range(-1M,0D)).date)==6),2),1)"))</f>
        <v>#NAME?</v>
      </c>
      <c r="BB35" s="109" t="str">
        <f t="shared" ca="1" si="14"/>
        <v>-</v>
      </c>
    </row>
    <row r="36" spans="5:54" ht="16.5" customHeight="1" thickBot="1">
      <c r="E36" s="111" t="s">
        <v>981</v>
      </c>
      <c r="F36" s="66" t="e">
        <f ca="1">_xll.BDP($E36,F$3)&amp;" BEST Curncy"</f>
        <v>#NAME?</v>
      </c>
      <c r="G36" s="97" t="e">
        <f t="shared" ca="1" si="17"/>
        <v>#NAME?</v>
      </c>
      <c r="I36" s="633"/>
      <c r="J36" s="98" t="e">
        <f ca="1">_xll.BDP($E36,J$3)</f>
        <v>#NAME?</v>
      </c>
      <c r="K36" s="99" t="e">
        <f ca="1">_xll.BDP($E36,K$3)</f>
        <v>#NAME?</v>
      </c>
      <c r="L36" s="100" t="str">
        <f ca="1">IF(ISNUMBER(_xll.BDH($E36,"PX_LAST",TEXT($E$2,"YYYYMMDD"),TEXT($E$2,"YYYYMMDD"),"days=a","fill=p")),_xll.BDH($E36,"PX_LAST",TEXT($E$2,"YYYYMMDD"),TEXT($E$2,"YYYYMMDD"),"days=a","fill=p"),"-")</f>
        <v>-</v>
      </c>
      <c r="M36" s="100" t="str">
        <f ca="1">IF(ISNUMBER(_xll.BDH($E36,"PX_LAST",TEXT($E$2-7,"YYYYMMDD"),TEXT($E$2-7,"YYYYMMDD"),"days=a","fill=p")),_xll.BDH($E36,"PX_LAST",TEXT($E$2-7,"YYYYMMDD"),TEXT($E$2-7,"YYYYMMDD"),"days=a","fill=p"),"-")</f>
        <v>-</v>
      </c>
      <c r="N36" s="180" t="str">
        <f t="shared" ca="1" si="4"/>
        <v>-</v>
      </c>
      <c r="O36" s="101" t="e">
        <f ca="1">IF(OR(_xll.BDP($E36,O$3)="#N/A N/A",_xll.BDP($E36,O$3)="#N/A Invalid Security"), "-", _xll.BDP($E36,O$3))</f>
        <v>#NAME?</v>
      </c>
      <c r="P36" s="182" t="str">
        <f ca="1">IF(ISNUMBER(_xll.BDH($F36,"PX_LAST",TEXT($E$2,"YYYYMMDD"),TEXT($E$2,"YYYYMMDD"),"days=a","fill=p")),_xll.BDH($F36,"PX_LAST",TEXT($E$2,"YYYYMMDD"),TEXT($E$2,"YYYYMMDD"),"days=a","fill=p"),"-")</f>
        <v>-</v>
      </c>
      <c r="Q36" s="182" t="str">
        <f ca="1">IF(ISNUMBER(_xll.BDH($F36,"PX_LAST",TEXT($E$2-7,"YYYYMMDD"),TEXT($E$2-7,"YYYYMMDD"),"days=a","fill=p")),_xll.BDH($F36,"PX_LAST",TEXT($E$2-7,"YYYYMMDD"),TEXT($E$2-7,"YYYYMMDD"),"days=a","fill=p"),"-")</f>
        <v>-</v>
      </c>
      <c r="R36" s="102" t="str">
        <f t="shared" ca="1" si="5"/>
        <v>-</v>
      </c>
      <c r="S36" s="103" t="str">
        <f ca="1">IF(ISNUMBER(_xll.BDP($F36,S$3)),_xll.BDP($F36,S$3),"-")</f>
        <v>-</v>
      </c>
      <c r="T36" s="104" t="e">
        <f t="shared" ca="1" si="16"/>
        <v>#NAME?</v>
      </c>
      <c r="U36" s="105" t="e">
        <f ca="1">IF(OR(_xll.BDP($E36,U$3)="#N/A N/A",_xll.BDP($E36,U$3)="#N/A Invalid Security"), "-", _xll.BDP($E36,U$3))</f>
        <v>#NAME?</v>
      </c>
      <c r="V36" s="105" t="e">
        <f ca="1">IF(OR(_xll.BDP($E36,V$2)="#N/A N/A",_xll.BDP($E36,V$2)="#N/A Invalid Security"), "-", _xll.BDP($E36,V$2))</f>
        <v>#NAME?</v>
      </c>
      <c r="W36" s="106" t="e">
        <f ca="1">IF(OR(_xll.BDP($E36,W$3)="#N/A N/A",_xll.BDP($E36,W$3)="#N/A Invalid Security"), "-", _xll.BDP($E36,W$3))</f>
        <v>#NAME?</v>
      </c>
      <c r="X36" s="105" t="e">
        <f ca="1">IF(OR(_xll.BDP($E36,X$3)="#N/A N/A",_xll.BDP($E36,X$3)="#N/A Invalid Security"), " ", _xll.BDP($E36,X$3))</f>
        <v>#NAME?</v>
      </c>
      <c r="Y36" s="105" t="e">
        <f ca="1">IF(OR(_xll.BDP($E36,Y$3)="#N/A N/A",_xll.BDP($E36,Y$3)="#N/A Invalid Security"), " ", _xll.BDP($E36,Y$3))</f>
        <v>#NAME?</v>
      </c>
      <c r="Z36" s="106" t="e">
        <f ca="1">IF(OR(_xll.BDP($E36,Z$3)="#N/A N/A",_xll.BDP($E36,Z$3)="#N/A Invalid Security"), " ", _xll.BDP($E36,Z$3))</f>
        <v>#NAME?</v>
      </c>
      <c r="AA36" s="107"/>
      <c r="AB36" s="93" t="s">
        <v>932</v>
      </c>
      <c r="AC36" s="93" t="s">
        <v>875</v>
      </c>
      <c r="AD36" s="93" t="s">
        <v>932</v>
      </c>
      <c r="AE36" s="93" t="s">
        <v>940</v>
      </c>
      <c r="AF36" s="93" t="s">
        <v>940</v>
      </c>
      <c r="AG36" s="93" t="s">
        <v>948</v>
      </c>
      <c r="AH36" s="95" t="e">
        <f t="shared" ref="AH36:AM78" ca="1" si="22">IF(U36=AB36, 0,1)</f>
        <v>#NAME?</v>
      </c>
      <c r="AI36" s="95" t="e">
        <f t="shared" ca="1" si="22"/>
        <v>#NAME?</v>
      </c>
      <c r="AJ36" s="95" t="e">
        <f t="shared" ca="1" si="22"/>
        <v>#NAME?</v>
      </c>
      <c r="AK36" s="95" t="e">
        <f t="shared" ca="1" si="22"/>
        <v>#NAME?</v>
      </c>
      <c r="AL36" s="95" t="e">
        <f t="shared" ca="1" si="22"/>
        <v>#NAME?</v>
      </c>
      <c r="AM36" s="95" t="e">
        <f t="shared" ca="1" si="22"/>
        <v>#NAME?</v>
      </c>
      <c r="AN36" s="66" t="str">
        <f t="shared" ca="1" si="19"/>
        <v/>
      </c>
      <c r="AO36" s="108" t="e" cm="1">
        <f t="array" aca="1" ref="AO36" ca="1">_xll.BDP($E36,"cur_mkt_cap")</f>
        <v>#NAME?</v>
      </c>
      <c r="AP36" s="108" t="e" cm="1">
        <f t="array" aca="1" ref="AP36" ca="1">_xll.BDP($E36,"crncy")</f>
        <v>#NAME?</v>
      </c>
      <c r="AQ36" s="109" t="e" cm="1">
        <f t="array" aca="1" ref="AQ36" ca="1">_xll.BDP("USD"&amp;AP36&amp;" curncy","px_last")</f>
        <v>#NAME?</v>
      </c>
      <c r="AR36" s="109" t="e">
        <f t="shared" ca="1" si="20"/>
        <v>#NAME?</v>
      </c>
      <c r="AT36" s="66" t="str">
        <f t="shared" ca="1" si="21"/>
        <v/>
      </c>
      <c r="AU36" s="66" t="str">
        <f t="shared" ca="1" si="21"/>
        <v/>
      </c>
      <c r="AV36" s="66" t="str">
        <f t="shared" ca="1" si="21"/>
        <v/>
      </c>
      <c r="AW36" s="73" t="str" cm="1">
        <f t="array" aca="1" ref="AW36" ca="1">IF(ISERROR(DATEVALUE(_xll.BDP($E36,AW$6))),"",DATEVALUE(_xll.BDP($E36,AW$6)))</f>
        <v/>
      </c>
      <c r="AX36" s="73" t="str" cm="1">
        <f t="array" aca="1" ref="AX36" ca="1">IF(ISERROR(DATEVALUE(_xll.BDP($E36,AX$2))),"",DATEVALUE(_xll.BDP($E36,AX$2)))</f>
        <v/>
      </c>
      <c r="AY36" s="73" t="str" cm="1">
        <f t="array" aca="1" ref="AY36" ca="1">IF(ISERROR(DATEVALUE(_xll.BDP($E36,AY$6))),"",DATEVALUE(_xll.BDP($E36,AY$6)))</f>
        <v/>
      </c>
      <c r="AZ36" s="110" t="e" cm="1">
        <f t="array" aca="1" ref="AZ36" ca="1">IF(_xll.BQL($E36, "last(matches(px_last(dates=range(-1w,0d)), dayofweek(px_last(dates=range(-1w,0d)).date)==6))")="#N/A","-",_xll.BQL($E36, "last(matches(px_last(dates=range(-1w,0d)), dayofweek(px_last(dates=range(-1w,0d)).date)==6))"))</f>
        <v>#NAME?</v>
      </c>
      <c r="BA36" s="109" t="e" cm="1">
        <f t="array" aca="1" ref="BA36" ca="1">IF(_xll.BQL(E36,"first(last(matches(px_last(dates=range(-1M,0D)),dayofweek(px_last(dates=range(-1M,0D)).date)==6),2),1)")="#N/A","-",_xll.BQL(E36,"first(last(matches(px_last(dates=range(-1M,0D)),dayofweek(px_last(dates=range(-1M,0D)).date)==6),2),1)"))</f>
        <v>#NAME?</v>
      </c>
      <c r="BB36" s="109" t="str">
        <f t="shared" ref="BB36:BB99" ca="1" si="23">IF(ISERROR((AZ36/BA36-1)*100),"-",(AZ36/BA36-1)*100)</f>
        <v>-</v>
      </c>
    </row>
    <row r="37" spans="5:54" ht="16.5" customHeight="1" thickBot="1">
      <c r="E37" s="111" t="s">
        <v>982</v>
      </c>
      <c r="F37" s="66" t="e">
        <f ca="1">_xll.BDP($E37,F$3)&amp;" BEST Curncy"</f>
        <v>#NAME?</v>
      </c>
      <c r="G37" s="97" t="e">
        <f t="shared" ca="1" si="17"/>
        <v>#NAME?</v>
      </c>
      <c r="I37" s="633"/>
      <c r="J37" s="98" t="e">
        <f ca="1">_xll.BDP($E37,J$3)</f>
        <v>#NAME?</v>
      </c>
      <c r="K37" s="99" t="e">
        <f ca="1">_xll.BDP($E37,K$3)</f>
        <v>#NAME?</v>
      </c>
      <c r="L37" s="100" t="str">
        <f ca="1">IF(ISNUMBER(_xll.BDH($E37,"PX_LAST",TEXT($E$2,"YYYYMMDD"),TEXT($E$2,"YYYYMMDD"),"days=a","fill=p")),_xll.BDH($E37,"PX_LAST",TEXT($E$2,"YYYYMMDD"),TEXT($E$2,"YYYYMMDD"),"days=a","fill=p"),"-")</f>
        <v>-</v>
      </c>
      <c r="M37" s="100" t="str">
        <f ca="1">IF(ISNUMBER(_xll.BDH($E37,"PX_LAST",TEXT($E$2-7,"YYYYMMDD"),TEXT($E$2-7,"YYYYMMDD"),"days=a","fill=p")),_xll.BDH($E37,"PX_LAST",TEXT($E$2-7,"YYYYMMDD"),TEXT($E$2-7,"YYYYMMDD"),"days=a","fill=p"),"-")</f>
        <v>-</v>
      </c>
      <c r="N37" s="180" t="str">
        <f t="shared" ca="1" si="4"/>
        <v>-</v>
      </c>
      <c r="O37" s="101" t="e">
        <f ca="1">IF(OR(_xll.BDP($E37,O$3)="#N/A N/A",_xll.BDP($E37,O$3)="#N/A Invalid Security"), "-", _xll.BDP($E37,O$3))</f>
        <v>#NAME?</v>
      </c>
      <c r="P37" s="182" t="str">
        <f ca="1">IF(ISNUMBER(_xll.BDH($F37,"PX_LAST",TEXT($E$2,"YYYYMMDD"),TEXT($E$2,"YYYYMMDD"),"days=a","fill=p")),_xll.BDH($F37,"PX_LAST",TEXT($E$2,"YYYYMMDD"),TEXT($E$2,"YYYYMMDD"),"days=a","fill=p"),"-")</f>
        <v>-</v>
      </c>
      <c r="Q37" s="182" t="str">
        <f ca="1">IF(ISNUMBER(_xll.BDH($F37,"PX_LAST",TEXT($E$2-7,"YYYYMMDD"),TEXT($E$2-7,"YYYYMMDD"),"days=a","fill=p")),_xll.BDH($F37,"PX_LAST",TEXT($E$2-7,"YYYYMMDD"),TEXT($E$2-7,"YYYYMMDD"),"days=a","fill=p"),"-")</f>
        <v>-</v>
      </c>
      <c r="R37" s="102" t="str">
        <f t="shared" ca="1" si="5"/>
        <v>-</v>
      </c>
      <c r="S37" s="103" t="str">
        <f ca="1">IF(ISNUMBER(_xll.BDP($F37,S$3)),_xll.BDP($F37,S$3),"-")</f>
        <v>-</v>
      </c>
      <c r="T37" s="104" t="e">
        <f t="shared" ca="1" si="16"/>
        <v>#NAME?</v>
      </c>
      <c r="U37" s="105" t="e">
        <f ca="1">IF(OR(_xll.BDP($E37,U$3)="#N/A N/A",_xll.BDP($E37,U$3)="#N/A Invalid Security"), "-", _xll.BDP($E37,U$3))</f>
        <v>#NAME?</v>
      </c>
      <c r="V37" s="105" t="e">
        <f ca="1">IF(OR(_xll.BDP($E37,V$2)="#N/A N/A",_xll.BDP($E37,V$2)="#N/A Invalid Security"), "-", _xll.BDP($E37,V$2))</f>
        <v>#NAME?</v>
      </c>
      <c r="W37" s="106" t="e">
        <f ca="1">IF(OR(_xll.BDP($E37,W$3)="#N/A N/A",_xll.BDP($E37,W$3)="#N/A Invalid Security"), "-", _xll.BDP($E37,W$3))</f>
        <v>#NAME?</v>
      </c>
      <c r="X37" s="105" t="e">
        <f ca="1">IF(OR(_xll.BDP($E37,X$3)="#N/A N/A",_xll.BDP($E37,X$3)="#N/A Invalid Security"), " ", _xll.BDP($E37,X$3))</f>
        <v>#NAME?</v>
      </c>
      <c r="Y37" s="105" t="e">
        <f ca="1">IF(OR(_xll.BDP($E37,Y$3)="#N/A N/A",_xll.BDP($E37,Y$3)="#N/A Invalid Security"), " ", _xll.BDP($E37,Y$3))</f>
        <v>#NAME?</v>
      </c>
      <c r="Z37" s="106" t="e">
        <f ca="1">IF(OR(_xll.BDP($E37,Z$3)="#N/A N/A",_xll.BDP($E37,Z$3)="#N/A Invalid Security"), " ", _xll.BDP($E37,Z$3))</f>
        <v>#NAME?</v>
      </c>
      <c r="AA37" s="107"/>
      <c r="AB37" s="93" t="s">
        <v>932</v>
      </c>
      <c r="AC37" s="93" t="s">
        <v>875</v>
      </c>
      <c r="AD37" s="93" t="s">
        <v>932</v>
      </c>
      <c r="AE37" s="93" t="s">
        <v>940</v>
      </c>
      <c r="AF37" s="93" t="s">
        <v>940</v>
      </c>
      <c r="AG37" s="93" t="s">
        <v>940</v>
      </c>
      <c r="AH37" s="95" t="e">
        <f t="shared" ca="1" si="22"/>
        <v>#NAME?</v>
      </c>
      <c r="AI37" s="95" t="e">
        <f t="shared" ca="1" si="22"/>
        <v>#NAME?</v>
      </c>
      <c r="AJ37" s="95" t="e">
        <f t="shared" ca="1" si="22"/>
        <v>#NAME?</v>
      </c>
      <c r="AK37" s="95" t="e">
        <f t="shared" ca="1" si="22"/>
        <v>#NAME?</v>
      </c>
      <c r="AL37" s="95" t="e">
        <f t="shared" ca="1" si="22"/>
        <v>#NAME?</v>
      </c>
      <c r="AM37" s="95" t="e">
        <f t="shared" ca="1" si="22"/>
        <v>#NAME?</v>
      </c>
      <c r="AN37" s="66" t="str">
        <f t="shared" ca="1" si="19"/>
        <v/>
      </c>
      <c r="AO37" s="108" t="e" cm="1">
        <f t="array" aca="1" ref="AO37" ca="1">_xll.BDP($E37,"cur_mkt_cap")</f>
        <v>#NAME?</v>
      </c>
      <c r="AP37" s="108" t="e" cm="1">
        <f t="array" aca="1" ref="AP37" ca="1">_xll.BDP($E37,"crncy")</f>
        <v>#NAME?</v>
      </c>
      <c r="AQ37" s="109" t="e" cm="1">
        <f t="array" aca="1" ref="AQ37" ca="1">_xll.BDP("USD"&amp;AP37&amp;" curncy","px_last")</f>
        <v>#NAME?</v>
      </c>
      <c r="AR37" s="109" t="e">
        <f t="shared" ca="1" si="20"/>
        <v>#NAME?</v>
      </c>
      <c r="AT37" s="66" t="str">
        <f t="shared" ca="1" si="21"/>
        <v/>
      </c>
      <c r="AU37" s="66" t="str">
        <f t="shared" ca="1" si="21"/>
        <v/>
      </c>
      <c r="AV37" s="66" t="str">
        <f t="shared" ca="1" si="21"/>
        <v/>
      </c>
      <c r="AW37" s="73" t="str" cm="1">
        <f t="array" aca="1" ref="AW37" ca="1">IF(ISERROR(DATEVALUE(_xll.BDP($E37,AW$6))),"",DATEVALUE(_xll.BDP($E37,AW$6)))</f>
        <v/>
      </c>
      <c r="AX37" s="73" t="str" cm="1">
        <f t="array" aca="1" ref="AX37" ca="1">IF(ISERROR(DATEVALUE(_xll.BDP($E37,AX$2))),"",DATEVALUE(_xll.BDP($E37,AX$2)))</f>
        <v/>
      </c>
      <c r="AY37" s="73" t="str" cm="1">
        <f t="array" aca="1" ref="AY37" ca="1">IF(ISERROR(DATEVALUE(_xll.BDP($E37,AY$6))),"",DATEVALUE(_xll.BDP($E37,AY$6)))</f>
        <v/>
      </c>
      <c r="AZ37" s="110" t="e" cm="1">
        <f t="array" aca="1" ref="AZ37" ca="1">IF(_xll.BQL($E37, "last(matches(px_last(dates=range(-1w,0d)), dayofweek(px_last(dates=range(-1w,0d)).date)==6))")="#N/A","-",_xll.BQL($E37, "last(matches(px_last(dates=range(-1w,0d)), dayofweek(px_last(dates=range(-1w,0d)).date)==6))"))</f>
        <v>#NAME?</v>
      </c>
      <c r="BA37" s="109" t="e" cm="1">
        <f t="array" aca="1" ref="BA37" ca="1">IF(_xll.BQL(E37,"first(last(matches(px_last(dates=range(-1M,0D)),dayofweek(px_last(dates=range(-1M,0D)).date)==6),2),1)")="#N/A","-",_xll.BQL(E37,"first(last(matches(px_last(dates=range(-1M,0D)),dayofweek(px_last(dates=range(-1M,0D)).date)==6),2),1)"))</f>
        <v>#NAME?</v>
      </c>
      <c r="BB37" s="109" t="str">
        <f t="shared" ca="1" si="23"/>
        <v>-</v>
      </c>
    </row>
    <row r="38" spans="5:54" ht="16.5" customHeight="1" thickBot="1">
      <c r="E38" s="111" t="s">
        <v>983</v>
      </c>
      <c r="F38" s="66" t="e">
        <f ca="1">_xll.BDP($E38,F$3)&amp;" BEST Curncy"</f>
        <v>#NAME?</v>
      </c>
      <c r="G38" s="97" t="e">
        <f t="shared" ca="1" si="17"/>
        <v>#NAME?</v>
      </c>
      <c r="I38" s="633"/>
      <c r="J38" s="98" t="e">
        <f ca="1">_xll.BDP($E38,J$3)</f>
        <v>#NAME?</v>
      </c>
      <c r="K38" s="99" t="e">
        <f ca="1">_xll.BDP($E38,K$3)</f>
        <v>#NAME?</v>
      </c>
      <c r="L38" s="100" t="str">
        <f ca="1">IF(ISNUMBER(_xll.BDH($E38,"PX_LAST",TEXT($E$2,"YYYYMMDD"),TEXT($E$2,"YYYYMMDD"),"days=a","fill=p")),_xll.BDH($E38,"PX_LAST",TEXT($E$2,"YYYYMMDD"),TEXT($E$2,"YYYYMMDD"),"days=a","fill=p"),"-")</f>
        <v>-</v>
      </c>
      <c r="M38" s="100" t="str">
        <f ca="1">IF(ISNUMBER(_xll.BDH($E38,"PX_LAST",TEXT($E$2-7,"YYYYMMDD"),TEXT($E$2-7,"YYYYMMDD"),"days=a","fill=p")),_xll.BDH($E38,"PX_LAST",TEXT($E$2-7,"YYYYMMDD"),TEXT($E$2-7,"YYYYMMDD"),"days=a","fill=p"),"-")</f>
        <v>-</v>
      </c>
      <c r="N38" s="180" t="str">
        <f t="shared" ca="1" si="4"/>
        <v>-</v>
      </c>
      <c r="O38" s="101" t="e">
        <f ca="1">IF(OR(_xll.BDP($E38,O$3)="#N/A N/A",_xll.BDP($E38,O$3)="#N/A Invalid Security"), "-", _xll.BDP($E38,O$3))</f>
        <v>#NAME?</v>
      </c>
      <c r="P38" s="182" t="str">
        <f ca="1">IF(ISNUMBER(_xll.BDH($F38,"PX_LAST",TEXT($E$2,"YYYYMMDD"),TEXT($E$2,"YYYYMMDD"),"days=a","fill=p")),_xll.BDH($F38,"PX_LAST",TEXT($E$2,"YYYYMMDD"),TEXT($E$2,"YYYYMMDD"),"days=a","fill=p"),"-")</f>
        <v>-</v>
      </c>
      <c r="Q38" s="182" t="str">
        <f ca="1">IF(ISNUMBER(_xll.BDH($F38,"PX_LAST",TEXT($E$2-7,"YYYYMMDD"),TEXT($E$2-7,"YYYYMMDD"),"days=a","fill=p")),_xll.BDH($F38,"PX_LAST",TEXT($E$2-7,"YYYYMMDD"),TEXT($E$2-7,"YYYYMMDD"),"days=a","fill=p"),"-")</f>
        <v>-</v>
      </c>
      <c r="R38" s="102" t="str">
        <f t="shared" ca="1" si="5"/>
        <v>-</v>
      </c>
      <c r="S38" s="103" t="str">
        <f ca="1">IF(ISNUMBER(_xll.BDP($F38,S$3)),_xll.BDP($F38,S$3),"-")</f>
        <v>-</v>
      </c>
      <c r="T38" s="104" t="e">
        <f t="shared" ca="1" si="16"/>
        <v>#NAME?</v>
      </c>
      <c r="U38" s="105" t="e">
        <f ca="1">IF(OR(_xll.BDP($E38,U$3)="#N/A N/A",_xll.BDP($E38,U$3)="#N/A Invalid Security"), "-", _xll.BDP($E38,U$3))</f>
        <v>#NAME?</v>
      </c>
      <c r="V38" s="105" t="e">
        <f ca="1">IF(OR(_xll.BDP($E38,V$2)="#N/A N/A",_xll.BDP($E38,V$2)="#N/A Invalid Security"), "-", _xll.BDP($E38,V$2))</f>
        <v>#NAME?</v>
      </c>
      <c r="W38" s="106" t="e">
        <f ca="1">IF(OR(_xll.BDP($E38,W$3)="#N/A N/A",_xll.BDP($E38,W$3)="#N/A Invalid Security"), "-", _xll.BDP($E38,W$3))</f>
        <v>#NAME?</v>
      </c>
      <c r="X38" s="105" t="e">
        <f ca="1">IF(OR(_xll.BDP($E38,X$3)="#N/A N/A",_xll.BDP($E38,X$3)="#N/A Invalid Security"), " ", _xll.BDP($E38,X$3))</f>
        <v>#NAME?</v>
      </c>
      <c r="Y38" s="105" t="e">
        <f ca="1">IF(OR(_xll.BDP($E38,Y$3)="#N/A N/A",_xll.BDP($E38,Y$3)="#N/A Invalid Security"), " ", _xll.BDP($E38,Y$3))</f>
        <v>#NAME?</v>
      </c>
      <c r="Z38" s="106" t="e">
        <f ca="1">IF(OR(_xll.BDP($E38,Z$3)="#N/A N/A",_xll.BDP($E38,Z$3)="#N/A Invalid Security"), " ", _xll.BDP($E38,Z$3))</f>
        <v>#NAME?</v>
      </c>
      <c r="AA38" s="107"/>
      <c r="AB38" s="93" t="s">
        <v>932</v>
      </c>
      <c r="AC38" s="93" t="s">
        <v>969</v>
      </c>
      <c r="AD38" s="93" t="s">
        <v>934</v>
      </c>
      <c r="AE38" s="93" t="s">
        <v>940</v>
      </c>
      <c r="AF38" s="93" t="s">
        <v>940</v>
      </c>
      <c r="AG38" s="93" t="s">
        <v>936</v>
      </c>
      <c r="AH38" s="95" t="e">
        <f t="shared" ca="1" si="22"/>
        <v>#NAME?</v>
      </c>
      <c r="AI38" s="95" t="e">
        <f t="shared" ca="1" si="22"/>
        <v>#NAME?</v>
      </c>
      <c r="AJ38" s="95" t="e">
        <f t="shared" ca="1" si="22"/>
        <v>#NAME?</v>
      </c>
      <c r="AK38" s="95" t="e">
        <f t="shared" ca="1" si="22"/>
        <v>#NAME?</v>
      </c>
      <c r="AL38" s="95" t="e">
        <f t="shared" ca="1" si="22"/>
        <v>#NAME?</v>
      </c>
      <c r="AM38" s="95" t="e">
        <f t="shared" ca="1" si="22"/>
        <v>#NAME?</v>
      </c>
      <c r="AN38" s="66" t="str">
        <f t="shared" ca="1" si="19"/>
        <v/>
      </c>
      <c r="AO38" s="108" t="e" cm="1">
        <f t="array" aca="1" ref="AO38" ca="1">_xll.BDP($E38,"cur_mkt_cap")</f>
        <v>#NAME?</v>
      </c>
      <c r="AP38" s="108" t="e" cm="1">
        <f t="array" aca="1" ref="AP38" ca="1">_xll.BDP($E38,"crncy")</f>
        <v>#NAME?</v>
      </c>
      <c r="AQ38" s="109" t="e" cm="1">
        <f t="array" aca="1" ref="AQ38" ca="1">_xll.BDP("USD"&amp;AP38&amp;" curncy","px_last")</f>
        <v>#NAME?</v>
      </c>
      <c r="AR38" s="109" t="e">
        <f t="shared" ca="1" si="20"/>
        <v>#NAME?</v>
      </c>
      <c r="AT38" s="66" t="str">
        <f t="shared" ca="1" si="21"/>
        <v/>
      </c>
      <c r="AU38" s="66" t="str">
        <f t="shared" ca="1" si="21"/>
        <v/>
      </c>
      <c r="AV38" s="66" t="str">
        <f t="shared" ca="1" si="21"/>
        <v/>
      </c>
      <c r="AW38" s="73" t="str" cm="1">
        <f t="array" aca="1" ref="AW38" ca="1">IF(ISERROR(DATEVALUE(_xll.BDP($E38,AW$6))),"",DATEVALUE(_xll.BDP($E38,AW$6)))</f>
        <v/>
      </c>
      <c r="AX38" s="73" t="str" cm="1">
        <f t="array" aca="1" ref="AX38" ca="1">IF(ISERROR(DATEVALUE(_xll.BDP($E38,AX$2))),"",DATEVALUE(_xll.BDP($E38,AX$2)))</f>
        <v/>
      </c>
      <c r="AY38" s="73" t="str" cm="1">
        <f t="array" aca="1" ref="AY38" ca="1">IF(ISERROR(DATEVALUE(_xll.BDP($E38,AY$6))),"",DATEVALUE(_xll.BDP($E38,AY$6)))</f>
        <v/>
      </c>
      <c r="AZ38" s="110" t="e" cm="1">
        <f t="array" aca="1" ref="AZ38" ca="1">IF(_xll.BQL($E38, "last(matches(px_last(dates=range(-1w,0d)), dayofweek(px_last(dates=range(-1w,0d)).date)==6))")="#N/A","-",_xll.BQL($E38, "last(matches(px_last(dates=range(-1w,0d)), dayofweek(px_last(dates=range(-1w,0d)).date)==6))"))</f>
        <v>#NAME?</v>
      </c>
      <c r="BA38" s="109" t="e" cm="1">
        <f t="array" aca="1" ref="BA38" ca="1">IF(_xll.BQL(E38,"first(last(matches(px_last(dates=range(-1M,0D)),dayofweek(px_last(dates=range(-1M,0D)).date)==6),2),1)")="#N/A","-",_xll.BQL(E38,"first(last(matches(px_last(dates=range(-1M,0D)),dayofweek(px_last(dates=range(-1M,0D)).date)==6),2),1)"))</f>
        <v>#NAME?</v>
      </c>
      <c r="BB38" s="109" t="str">
        <f t="shared" ca="1" si="23"/>
        <v>-</v>
      </c>
    </row>
    <row r="39" spans="5:54" ht="16.5" customHeight="1" thickBot="1">
      <c r="E39" s="111" t="s">
        <v>984</v>
      </c>
      <c r="F39" s="66" t="e">
        <f ca="1">_xll.BDP($E39,F$3)&amp;" BEST Curncy"</f>
        <v>#NAME?</v>
      </c>
      <c r="G39" s="97" t="e">
        <f t="shared" ca="1" si="17"/>
        <v>#NAME?</v>
      </c>
      <c r="I39" s="633"/>
      <c r="J39" s="98" t="e">
        <f ca="1">_xll.BDP($E39,J$3)</f>
        <v>#NAME?</v>
      </c>
      <c r="K39" s="99" t="e">
        <f ca="1">_xll.BDP($E39,K$3)</f>
        <v>#NAME?</v>
      </c>
      <c r="L39" s="100" t="str">
        <f ca="1">IF(ISNUMBER(_xll.BDH($E39,"PX_LAST",TEXT($E$2,"YYYYMMDD"),TEXT($E$2,"YYYYMMDD"),"days=a","fill=p")),_xll.BDH($E39,"PX_LAST",TEXT($E$2,"YYYYMMDD"),TEXT($E$2,"YYYYMMDD"),"days=a","fill=p"),"-")</f>
        <v>-</v>
      </c>
      <c r="M39" s="100" t="str">
        <f ca="1">IF(ISNUMBER(_xll.BDH($E39,"PX_LAST",TEXT($E$2-7,"YYYYMMDD"),TEXT($E$2-7,"YYYYMMDD"),"days=a","fill=p")),_xll.BDH($E39,"PX_LAST",TEXT($E$2-7,"YYYYMMDD"),TEXT($E$2-7,"YYYYMMDD"),"days=a","fill=p"),"-")</f>
        <v>-</v>
      </c>
      <c r="N39" s="180" t="str">
        <f t="shared" ca="1" si="4"/>
        <v>-</v>
      </c>
      <c r="O39" s="101" t="e">
        <f ca="1">IF(OR(_xll.BDP($E39,O$3)="#N/A N/A",_xll.BDP($E39,O$3)="#N/A Invalid Security"), "-", _xll.BDP($E39,O$3))</f>
        <v>#NAME?</v>
      </c>
      <c r="P39" s="182" t="str">
        <f ca="1">IF(ISNUMBER(_xll.BDH($F39,"PX_LAST",TEXT($E$2,"YYYYMMDD"),TEXT($E$2,"YYYYMMDD"),"days=a","fill=p")),_xll.BDH($F39,"PX_LAST",TEXT($E$2,"YYYYMMDD"),TEXT($E$2,"YYYYMMDD"),"days=a","fill=p"),"-")</f>
        <v>-</v>
      </c>
      <c r="Q39" s="182" t="str">
        <f ca="1">IF(ISNUMBER(_xll.BDH($F39,"PX_LAST",TEXT($E$2-7,"YYYYMMDD"),TEXT($E$2-7,"YYYYMMDD"),"days=a","fill=p")),_xll.BDH($F39,"PX_LAST",TEXT($E$2-7,"YYYYMMDD"),TEXT($E$2-7,"YYYYMMDD"),"days=a","fill=p"),"-")</f>
        <v>-</v>
      </c>
      <c r="R39" s="102" t="str">
        <f t="shared" ca="1" si="5"/>
        <v>-</v>
      </c>
      <c r="S39" s="103" t="str">
        <f ca="1">IF(ISNUMBER(_xll.BDP($F39,S$3)),_xll.BDP($F39,S$3),"-")</f>
        <v>-</v>
      </c>
      <c r="T39" s="104" t="e">
        <f t="shared" ca="1" si="16"/>
        <v>#NAME?</v>
      </c>
      <c r="U39" s="105" t="e">
        <f ca="1">IF(OR(_xll.BDP($E39,U$3)="#N/A N/A",_xll.BDP($E39,U$3)="#N/A Invalid Security"), "-", _xll.BDP($E39,U$3))</f>
        <v>#NAME?</v>
      </c>
      <c r="V39" s="105" t="e">
        <f ca="1">IF(OR(_xll.BDP($E39,V$2)="#N/A N/A",_xll.BDP($E39,V$2)="#N/A Invalid Security"), "-", _xll.BDP($E39,V$2))</f>
        <v>#NAME?</v>
      </c>
      <c r="W39" s="106" t="e">
        <f ca="1">IF(OR(_xll.BDP($E39,W$3)="#N/A N/A",_xll.BDP($E39,W$3)="#N/A Invalid Security"), "-", _xll.BDP($E39,W$3))</f>
        <v>#NAME?</v>
      </c>
      <c r="X39" s="105" t="e">
        <f ca="1">IF(OR(_xll.BDP($E39,X$3)="#N/A N/A",_xll.BDP($E39,X$3)="#N/A Invalid Security"), " ", _xll.BDP($E39,X$3))</f>
        <v>#NAME?</v>
      </c>
      <c r="Y39" s="105" t="e">
        <f ca="1">IF(OR(_xll.BDP($E39,Y$3)="#N/A N/A",_xll.BDP($E39,Y$3)="#N/A Invalid Security"), " ", _xll.BDP($E39,Y$3))</f>
        <v>#NAME?</v>
      </c>
      <c r="Z39" s="106" t="e">
        <f ca="1">IF(OR(_xll.BDP($E39,Z$3)="#N/A N/A",_xll.BDP($E39,Z$3)="#N/A Invalid Security"), " ", _xll.BDP($E39,Z$3))</f>
        <v>#NAME?</v>
      </c>
      <c r="AA39" s="107"/>
      <c r="AB39" s="93" t="s">
        <v>876</v>
      </c>
      <c r="AC39" s="93" t="s">
        <v>874</v>
      </c>
      <c r="AD39" s="93" t="s">
        <v>985</v>
      </c>
      <c r="AE39" s="93" t="s">
        <v>940</v>
      </c>
      <c r="AF39" s="93" t="s">
        <v>940</v>
      </c>
      <c r="AG39" s="93" t="s">
        <v>940</v>
      </c>
      <c r="AH39" s="95" t="e">
        <f t="shared" ca="1" si="22"/>
        <v>#NAME?</v>
      </c>
      <c r="AI39" s="95" t="e">
        <f t="shared" ca="1" si="22"/>
        <v>#NAME?</v>
      </c>
      <c r="AJ39" s="95" t="e">
        <f t="shared" ca="1" si="22"/>
        <v>#NAME?</v>
      </c>
      <c r="AK39" s="95" t="e">
        <f t="shared" ca="1" si="22"/>
        <v>#NAME?</v>
      </c>
      <c r="AL39" s="95" t="e">
        <f t="shared" ca="1" si="22"/>
        <v>#NAME?</v>
      </c>
      <c r="AM39" s="95" t="e">
        <f t="shared" ca="1" si="22"/>
        <v>#NAME?</v>
      </c>
      <c r="AN39" s="66" t="str">
        <f t="shared" ca="1" si="19"/>
        <v/>
      </c>
      <c r="AO39" s="108" t="e" cm="1">
        <f t="array" aca="1" ref="AO39" ca="1">_xll.BDP($E39,"cur_mkt_cap")</f>
        <v>#NAME?</v>
      </c>
      <c r="AP39" s="108" t="e" cm="1">
        <f t="array" aca="1" ref="AP39" ca="1">_xll.BDP($E39,"crncy")</f>
        <v>#NAME?</v>
      </c>
      <c r="AQ39" s="109" t="e" cm="1">
        <f t="array" aca="1" ref="AQ39" ca="1">_xll.BDP("USD"&amp;AP39&amp;" curncy","px_last")</f>
        <v>#NAME?</v>
      </c>
      <c r="AR39" s="109" t="e">
        <f t="shared" ca="1" si="20"/>
        <v>#NAME?</v>
      </c>
      <c r="AT39" s="66" t="str">
        <f t="shared" ca="1" si="21"/>
        <v/>
      </c>
      <c r="AU39" s="66" t="str">
        <f t="shared" ca="1" si="21"/>
        <v/>
      </c>
      <c r="AV39" s="66" t="str">
        <f t="shared" ca="1" si="21"/>
        <v/>
      </c>
      <c r="AW39" s="73" t="str" cm="1">
        <f t="array" aca="1" ref="AW39" ca="1">IF(ISERROR(DATEVALUE(_xll.BDP($E39,AW$6))),"",DATEVALUE(_xll.BDP($E39,AW$6)))</f>
        <v/>
      </c>
      <c r="AX39" s="73" t="str" cm="1">
        <f t="array" aca="1" ref="AX39" ca="1">IF(ISERROR(DATEVALUE(_xll.BDP($E39,AX$2))),"",DATEVALUE(_xll.BDP($E39,AX$2)))</f>
        <v/>
      </c>
      <c r="AY39" s="73" t="str" cm="1">
        <f t="array" aca="1" ref="AY39" ca="1">IF(ISERROR(DATEVALUE(_xll.BDP($E39,AY$6))),"",DATEVALUE(_xll.BDP($E39,AY$6)))</f>
        <v/>
      </c>
      <c r="AZ39" s="110" t="e" cm="1">
        <f t="array" aca="1" ref="AZ39" ca="1">IF(_xll.BQL($E39, "last(matches(px_last(dates=range(-1w,0d)), dayofweek(px_last(dates=range(-1w,0d)).date)==6))")="#N/A","-",_xll.BQL($E39, "last(matches(px_last(dates=range(-1w,0d)), dayofweek(px_last(dates=range(-1w,0d)).date)==6))"))</f>
        <v>#NAME?</v>
      </c>
      <c r="BA39" s="109" t="e" cm="1">
        <f t="array" aca="1" ref="BA39" ca="1">IF(_xll.BQL(E39,"first(last(matches(px_last(dates=range(-1M,0D)),dayofweek(px_last(dates=range(-1M,0D)).date)==6),2),1)")="#N/A","-",_xll.BQL(E39,"first(last(matches(px_last(dates=range(-1M,0D)),dayofweek(px_last(dates=range(-1M,0D)).date)==6),2),1)"))</f>
        <v>#NAME?</v>
      </c>
      <c r="BB39" s="109" t="str">
        <f t="shared" ca="1" si="23"/>
        <v>-</v>
      </c>
    </row>
    <row r="40" spans="5:54" ht="16.5" customHeight="1" thickBot="1">
      <c r="E40" s="111" t="s">
        <v>986</v>
      </c>
      <c r="F40" s="66" t="e">
        <f ca="1">_xll.BDP($E40,F$3)&amp;" BEST Curncy"</f>
        <v>#NAME?</v>
      </c>
      <c r="G40" s="97" t="e">
        <f t="shared" ca="1" si="17"/>
        <v>#NAME?</v>
      </c>
      <c r="I40" s="633"/>
      <c r="J40" s="98" t="e">
        <f ca="1">_xll.BDP($E40,J$3)</f>
        <v>#NAME?</v>
      </c>
      <c r="K40" s="99" t="e">
        <f ca="1">_xll.BDP($E40,K$3)</f>
        <v>#NAME?</v>
      </c>
      <c r="L40" s="100" t="str">
        <f ca="1">IF(ISNUMBER(_xll.BDH($E40,"PX_LAST",TEXT($E$2,"YYYYMMDD"),TEXT($E$2,"YYYYMMDD"),"days=a","fill=p")),_xll.BDH($E40,"PX_LAST",TEXT($E$2,"YYYYMMDD"),TEXT($E$2,"YYYYMMDD"),"days=a","fill=p"),"-")</f>
        <v>-</v>
      </c>
      <c r="M40" s="100" t="str">
        <f ca="1">IF(ISNUMBER(_xll.BDH($E40,"PX_LAST",TEXT($E$2-7,"YYYYMMDD"),TEXT($E$2-7,"YYYYMMDD"),"days=a","fill=p")),_xll.BDH($E40,"PX_LAST",TEXT($E$2-7,"YYYYMMDD"),TEXT($E$2-7,"YYYYMMDD"),"days=a","fill=p"),"-")</f>
        <v>-</v>
      </c>
      <c r="N40" s="180" t="str">
        <f t="shared" ca="1" si="4"/>
        <v>-</v>
      </c>
      <c r="O40" s="101" t="e">
        <f ca="1">IF(OR(_xll.BDP($E40,O$3)="#N/A N/A",_xll.BDP($E40,O$3)="#N/A Invalid Security"), "-", _xll.BDP($E40,O$3))</f>
        <v>#NAME?</v>
      </c>
      <c r="P40" s="182" t="str">
        <f ca="1">IF(ISNUMBER(_xll.BDH($F40,"PX_LAST",TEXT($E$2,"YYYYMMDD"),TEXT($E$2,"YYYYMMDD"),"days=a","fill=p")),_xll.BDH($F40,"PX_LAST",TEXT($E$2,"YYYYMMDD"),TEXT($E$2,"YYYYMMDD"),"days=a","fill=p"),"-")</f>
        <v>-</v>
      </c>
      <c r="Q40" s="182" t="str">
        <f ca="1">IF(ISNUMBER(_xll.BDH($F40,"PX_LAST",TEXT($E$2-7,"YYYYMMDD"),TEXT($E$2-7,"YYYYMMDD"),"days=a","fill=p")),_xll.BDH($F40,"PX_LAST",TEXT($E$2-7,"YYYYMMDD"),TEXT($E$2-7,"YYYYMMDD"),"days=a","fill=p"),"-")</f>
        <v>-</v>
      </c>
      <c r="R40" s="102" t="str">
        <f t="shared" ca="1" si="5"/>
        <v>-</v>
      </c>
      <c r="S40" s="103" t="str">
        <f ca="1">IF(ISNUMBER(_xll.BDP($F40,S$3)),_xll.BDP($F40,S$3),"-")</f>
        <v>-</v>
      </c>
      <c r="T40" s="104" t="e">
        <f t="shared" ca="1" si="16"/>
        <v>#NAME?</v>
      </c>
      <c r="U40" s="105" t="e">
        <f ca="1">IF(OR(_xll.BDP($E40,U$3)="#N/A N/A",_xll.BDP($E40,U$3)="#N/A Invalid Security"), "-", _xll.BDP($E40,U$3))</f>
        <v>#NAME?</v>
      </c>
      <c r="V40" s="105" t="e">
        <f ca="1">IF(OR(_xll.BDP($E40,V$2)="#N/A N/A",_xll.BDP($E40,V$2)="#N/A Invalid Security"), "-", _xll.BDP($E40,V$2))</f>
        <v>#NAME?</v>
      </c>
      <c r="W40" s="106" t="e">
        <f ca="1">IF(OR(_xll.BDP($E40,W$3)="#N/A N/A",_xll.BDP($E40,W$3)="#N/A Invalid Security"), "-", _xll.BDP($E40,W$3))</f>
        <v>#NAME?</v>
      </c>
      <c r="X40" s="105" t="e">
        <f ca="1">IF(OR(_xll.BDP($E40,X$3)="#N/A N/A",_xll.BDP($E40,X$3)="#N/A Invalid Security"), " ", _xll.BDP($E40,X$3))</f>
        <v>#NAME?</v>
      </c>
      <c r="Y40" s="105" t="e">
        <f ca="1">IF(OR(_xll.BDP($E40,Y$3)="#N/A N/A",_xll.BDP($E40,Y$3)="#N/A Invalid Security"), " ", _xll.BDP($E40,Y$3))</f>
        <v>#NAME?</v>
      </c>
      <c r="Z40" s="106" t="e">
        <f ca="1">IF(OR(_xll.BDP($E40,Z$3)="#N/A N/A",_xll.BDP($E40,Z$3)="#N/A Invalid Security"), " ", _xll.BDP($E40,Z$3))</f>
        <v>#NAME?</v>
      </c>
      <c r="AA40" s="107"/>
      <c r="AB40" s="93" t="s">
        <v>955</v>
      </c>
      <c r="AC40" s="93" t="s">
        <v>980</v>
      </c>
      <c r="AD40" s="93" t="s">
        <v>987</v>
      </c>
      <c r="AE40" s="93" t="s">
        <v>948</v>
      </c>
      <c r="AF40" s="93" t="s">
        <v>948</v>
      </c>
      <c r="AG40" s="93" t="s">
        <v>936</v>
      </c>
      <c r="AH40" s="95" t="e">
        <f t="shared" ca="1" si="22"/>
        <v>#NAME?</v>
      </c>
      <c r="AI40" s="95" t="e">
        <f t="shared" ca="1" si="22"/>
        <v>#NAME?</v>
      </c>
      <c r="AJ40" s="95" t="e">
        <f t="shared" ca="1" si="22"/>
        <v>#NAME?</v>
      </c>
      <c r="AK40" s="95" t="e">
        <f t="shared" ca="1" si="22"/>
        <v>#NAME?</v>
      </c>
      <c r="AL40" s="95" t="e">
        <f t="shared" ca="1" si="22"/>
        <v>#NAME?</v>
      </c>
      <c r="AM40" s="95" t="e">
        <f t="shared" ca="1" si="22"/>
        <v>#NAME?</v>
      </c>
      <c r="AN40" s="66" t="str">
        <f t="shared" ca="1" si="19"/>
        <v/>
      </c>
      <c r="AO40" s="108" t="e" cm="1">
        <f t="array" aca="1" ref="AO40" ca="1">_xll.BDP($E40,"cur_mkt_cap")</f>
        <v>#NAME?</v>
      </c>
      <c r="AP40" s="108" t="e" cm="1">
        <f t="array" aca="1" ref="AP40" ca="1">_xll.BDP($E40,"crncy")</f>
        <v>#NAME?</v>
      </c>
      <c r="AQ40" s="109" t="e" cm="1">
        <f t="array" aca="1" ref="AQ40" ca="1">_xll.BDP("USD"&amp;AP40&amp;" curncy","px_last")</f>
        <v>#NAME?</v>
      </c>
      <c r="AR40" s="109" t="e">
        <f t="shared" ca="1" si="20"/>
        <v>#NAME?</v>
      </c>
      <c r="AT40" s="66" t="str">
        <f t="shared" ca="1" si="21"/>
        <v/>
      </c>
      <c r="AU40" s="66" t="str">
        <f t="shared" ca="1" si="21"/>
        <v/>
      </c>
      <c r="AV40" s="66" t="str">
        <f t="shared" ca="1" si="21"/>
        <v/>
      </c>
      <c r="AW40" s="73" t="str" cm="1">
        <f t="array" aca="1" ref="AW40" ca="1">IF(ISERROR(DATEVALUE(_xll.BDP($E40,AW$6))),"",DATEVALUE(_xll.BDP($E40,AW$6)))</f>
        <v/>
      </c>
      <c r="AX40" s="73" t="str" cm="1">
        <f t="array" aca="1" ref="AX40" ca="1">IF(ISERROR(DATEVALUE(_xll.BDP($E40,AX$2))),"",DATEVALUE(_xll.BDP($E40,AX$2)))</f>
        <v/>
      </c>
      <c r="AY40" s="73" t="str" cm="1">
        <f t="array" aca="1" ref="AY40" ca="1">IF(ISERROR(DATEVALUE(_xll.BDP($E40,AY$6))),"",DATEVALUE(_xll.BDP($E40,AY$6)))</f>
        <v/>
      </c>
      <c r="AZ40" s="110" t="e" cm="1">
        <f t="array" aca="1" ref="AZ40" ca="1">IF(_xll.BQL($E40, "last(matches(px_last(dates=range(-1w,0d)), dayofweek(px_last(dates=range(-1w,0d)).date)==6))")="#N/A","-",_xll.BQL($E40, "last(matches(px_last(dates=range(-1w,0d)), dayofweek(px_last(dates=range(-1w,0d)).date)==6))"))</f>
        <v>#NAME?</v>
      </c>
      <c r="BA40" s="109" t="e" cm="1">
        <f t="array" aca="1" ref="BA40" ca="1">IF(_xll.BQL(E40,"first(last(matches(px_last(dates=range(-1M,0D)),dayofweek(px_last(dates=range(-1M,0D)).date)==6),2),1)")="#N/A","-",_xll.BQL(E40,"first(last(matches(px_last(dates=range(-1M,0D)),dayofweek(px_last(dates=range(-1M,0D)).date)==6),2),1)"))</f>
        <v>#NAME?</v>
      </c>
      <c r="BB40" s="109" t="str">
        <f t="shared" ca="1" si="23"/>
        <v>-</v>
      </c>
    </row>
    <row r="41" spans="5:54" ht="16.5" customHeight="1" thickBot="1">
      <c r="E41" s="111" t="s">
        <v>988</v>
      </c>
      <c r="F41" s="66" t="e">
        <f ca="1">_xll.BDP($E41,F$3)&amp;" BEST Curncy"</f>
        <v>#NAME?</v>
      </c>
      <c r="G41" s="97" t="e">
        <f t="shared" ca="1" si="17"/>
        <v>#NAME?</v>
      </c>
      <c r="I41" s="633"/>
      <c r="J41" s="98" t="e">
        <f ca="1">_xll.BDP($E41,J$3)</f>
        <v>#NAME?</v>
      </c>
      <c r="K41" s="99" t="e">
        <f ca="1">_xll.BDP($E41,K$3)</f>
        <v>#NAME?</v>
      </c>
      <c r="L41" s="100" t="str">
        <f ca="1">IF(ISNUMBER(_xll.BDH($E41,"PX_LAST",TEXT($E$2,"YYYYMMDD"),TEXT($E$2,"YYYYMMDD"),"days=a","fill=p")),_xll.BDH($E41,"PX_LAST",TEXT($E$2,"YYYYMMDD"),TEXT($E$2,"YYYYMMDD"),"days=a","fill=p"),"-")</f>
        <v>-</v>
      </c>
      <c r="M41" s="100" t="str">
        <f ca="1">IF(ISNUMBER(_xll.BDH($E41,"PX_LAST",TEXT($E$2-7,"YYYYMMDD"),TEXT($E$2-7,"YYYYMMDD"),"days=a","fill=p")),_xll.BDH($E41,"PX_LAST",TEXT($E$2-7,"YYYYMMDD"),TEXT($E$2-7,"YYYYMMDD"),"days=a","fill=p"),"-")</f>
        <v>-</v>
      </c>
      <c r="N41" s="180" t="str">
        <f t="shared" ca="1" si="4"/>
        <v>-</v>
      </c>
      <c r="O41" s="101" t="e">
        <f ca="1">IF(OR(_xll.BDP($E41,O$3)="#N/A N/A",_xll.BDP($E41,O$3)="#N/A Invalid Security"), "-", _xll.BDP($E41,O$3))</f>
        <v>#NAME?</v>
      </c>
      <c r="P41" s="182" t="str">
        <f ca="1">IF(ISNUMBER(_xll.BDH($F41,"PX_LAST",TEXT($E$2,"YYYYMMDD"),TEXT($E$2,"YYYYMMDD"),"days=a","fill=p")),_xll.BDH($F41,"PX_LAST",TEXT($E$2,"YYYYMMDD"),TEXT($E$2,"YYYYMMDD"),"days=a","fill=p"),"-")</f>
        <v>-</v>
      </c>
      <c r="Q41" s="182" t="str">
        <f ca="1">IF(ISNUMBER(_xll.BDH($F41,"PX_LAST",TEXT($E$2-7,"YYYYMMDD"),TEXT($E$2-7,"YYYYMMDD"),"days=a","fill=p")),_xll.BDH($F41,"PX_LAST",TEXT($E$2-7,"YYYYMMDD"),TEXT($E$2-7,"YYYYMMDD"),"days=a","fill=p"),"-")</f>
        <v>-</v>
      </c>
      <c r="R41" s="102" t="str">
        <f t="shared" ca="1" si="5"/>
        <v>-</v>
      </c>
      <c r="S41" s="103" t="str">
        <f ca="1">IF(ISNUMBER(_xll.BDP($F41,S$3)),_xll.BDP($F41,S$3),"-")</f>
        <v>-</v>
      </c>
      <c r="T41" s="104" t="e">
        <f t="shared" ca="1" si="16"/>
        <v>#NAME?</v>
      </c>
      <c r="U41" s="105" t="e">
        <f ca="1">IF(OR(_xll.BDP($E41,U$3)="#N/A N/A",_xll.BDP($E41,U$3)="#N/A Invalid Security"), "-", _xll.BDP($E41,U$3))</f>
        <v>#NAME?</v>
      </c>
      <c r="V41" s="105" t="e">
        <f ca="1">IF(OR(_xll.BDP($E41,V$2)="#N/A N/A",_xll.BDP($E41,V$2)="#N/A Invalid Security"), "-", _xll.BDP($E41,V$2))</f>
        <v>#NAME?</v>
      </c>
      <c r="W41" s="106" t="e">
        <f ca="1">IF(OR(_xll.BDP($E41,W$3)="#N/A N/A",_xll.BDP($E41,W$3)="#N/A Invalid Security"), "-", _xll.BDP($E41,W$3))</f>
        <v>#NAME?</v>
      </c>
      <c r="X41" s="105" t="e">
        <f ca="1">IF(OR(_xll.BDP($E41,X$3)="#N/A N/A",_xll.BDP($E41,X$3)="#N/A Invalid Security"), " ", _xll.BDP($E41,X$3))</f>
        <v>#NAME?</v>
      </c>
      <c r="Y41" s="105" t="e">
        <f ca="1">IF(OR(_xll.BDP($E41,Y$3)="#N/A N/A",_xll.BDP($E41,Y$3)="#N/A Invalid Security"), " ", _xll.BDP($E41,Y$3))</f>
        <v>#NAME?</v>
      </c>
      <c r="Z41" s="106" t="e">
        <f ca="1">IF(OR(_xll.BDP($E41,Z$3)="#N/A N/A",_xll.BDP($E41,Z$3)="#N/A Invalid Security"), " ", _xll.BDP($E41,Z$3))</f>
        <v>#NAME?</v>
      </c>
      <c r="AA41" s="107"/>
      <c r="AB41" s="93" t="s">
        <v>876</v>
      </c>
      <c r="AC41" s="93" t="s">
        <v>874</v>
      </c>
      <c r="AD41" s="93" t="s">
        <v>934</v>
      </c>
      <c r="AE41" s="93" t="s">
        <v>940</v>
      </c>
      <c r="AF41" s="93" t="s">
        <v>940</v>
      </c>
      <c r="AG41" s="93" t="s">
        <v>936</v>
      </c>
      <c r="AH41" s="95" t="e">
        <f t="shared" ca="1" si="22"/>
        <v>#NAME?</v>
      </c>
      <c r="AI41" s="95" t="e">
        <f t="shared" ca="1" si="22"/>
        <v>#NAME?</v>
      </c>
      <c r="AJ41" s="95" t="e">
        <f t="shared" ca="1" si="22"/>
        <v>#NAME?</v>
      </c>
      <c r="AK41" s="95" t="e">
        <f t="shared" ca="1" si="22"/>
        <v>#NAME?</v>
      </c>
      <c r="AL41" s="95" t="e">
        <f t="shared" ca="1" si="22"/>
        <v>#NAME?</v>
      </c>
      <c r="AM41" s="95" t="e">
        <f t="shared" ca="1" si="22"/>
        <v>#NAME?</v>
      </c>
      <c r="AN41" s="66" t="str">
        <f t="shared" ca="1" si="19"/>
        <v/>
      </c>
      <c r="AO41" s="108" t="e" cm="1">
        <f t="array" aca="1" ref="AO41" ca="1">_xll.BDP($E41,"cur_mkt_cap")</f>
        <v>#NAME?</v>
      </c>
      <c r="AP41" s="108" t="e" cm="1">
        <f t="array" aca="1" ref="AP41" ca="1">_xll.BDP($E41,"crncy")</f>
        <v>#NAME?</v>
      </c>
      <c r="AQ41" s="109" t="e" cm="1">
        <f t="array" aca="1" ref="AQ41" ca="1">_xll.BDP("USD"&amp;AP41&amp;" curncy","px_last")</f>
        <v>#NAME?</v>
      </c>
      <c r="AR41" s="109" t="e">
        <f t="shared" ca="1" si="20"/>
        <v>#NAME?</v>
      </c>
      <c r="AT41" s="66" t="str">
        <f t="shared" ca="1" si="21"/>
        <v/>
      </c>
      <c r="AU41" s="66" t="str">
        <f t="shared" ca="1" si="21"/>
        <v/>
      </c>
      <c r="AV41" s="66" t="str">
        <f t="shared" ca="1" si="21"/>
        <v/>
      </c>
      <c r="AW41" s="73" t="str" cm="1">
        <f t="array" aca="1" ref="AW41" ca="1">IF(ISERROR(DATEVALUE(_xll.BDP($E41,AW$6))),"",DATEVALUE(_xll.BDP($E41,AW$6)))</f>
        <v/>
      </c>
      <c r="AX41" s="73" t="str" cm="1">
        <f t="array" aca="1" ref="AX41" ca="1">IF(ISERROR(DATEVALUE(_xll.BDP($E41,AX$2))),"",DATEVALUE(_xll.BDP($E41,AX$2)))</f>
        <v/>
      </c>
      <c r="AY41" s="73" t="str" cm="1">
        <f t="array" aca="1" ref="AY41" ca="1">IF(ISERROR(DATEVALUE(_xll.BDP($E41,AY$6))),"",DATEVALUE(_xll.BDP($E41,AY$6)))</f>
        <v/>
      </c>
      <c r="AZ41" s="110" t="e" cm="1">
        <f t="array" aca="1" ref="AZ41" ca="1">IF(_xll.BQL($E41, "last(matches(px_last(dates=range(-1w,0d)), dayofweek(px_last(dates=range(-1w,0d)).date)==6))")="#N/A","-",_xll.BQL($E41, "last(matches(px_last(dates=range(-1w,0d)), dayofweek(px_last(dates=range(-1w,0d)).date)==6))"))</f>
        <v>#NAME?</v>
      </c>
      <c r="BA41" s="109" t="e" cm="1">
        <f t="array" aca="1" ref="BA41" ca="1">IF(_xll.BQL(E41,"first(last(matches(px_last(dates=range(-1M,0D)),dayofweek(px_last(dates=range(-1M,0D)).date)==6),2),1)")="#N/A","-",_xll.BQL(E41,"first(last(matches(px_last(dates=range(-1M,0D)),dayofweek(px_last(dates=range(-1M,0D)).date)==6),2),1)"))</f>
        <v>#NAME?</v>
      </c>
      <c r="BB41" s="109" t="str">
        <f t="shared" ca="1" si="23"/>
        <v>-</v>
      </c>
    </row>
    <row r="42" spans="5:54" ht="16.5" customHeight="1" thickBot="1">
      <c r="E42" s="111" t="s">
        <v>989</v>
      </c>
      <c r="F42" s="66" t="e">
        <f ca="1">_xll.BDP($E42,F$3)&amp;" BEST Curncy"</f>
        <v>#NAME?</v>
      </c>
      <c r="G42" s="97" t="e">
        <f t="shared" ca="1" si="17"/>
        <v>#NAME?</v>
      </c>
      <c r="I42" s="633"/>
      <c r="J42" s="98" t="e">
        <f ca="1">_xll.BDP($E42,J$3)</f>
        <v>#NAME?</v>
      </c>
      <c r="K42" s="99" t="e">
        <f ca="1">_xll.BDP($E42,K$3)</f>
        <v>#NAME?</v>
      </c>
      <c r="L42" s="100" t="str">
        <f ca="1">IF(ISNUMBER(_xll.BDH($E42,"PX_LAST",TEXT($E$2,"YYYYMMDD"),TEXT($E$2,"YYYYMMDD"),"days=a","fill=p")),_xll.BDH($E42,"PX_LAST",TEXT($E$2,"YYYYMMDD"),TEXT($E$2,"YYYYMMDD"),"days=a","fill=p"),"-")</f>
        <v>-</v>
      </c>
      <c r="M42" s="100" t="str">
        <f ca="1">IF(ISNUMBER(_xll.BDH($E42,"PX_LAST",TEXT($E$2-7,"YYYYMMDD"),TEXT($E$2-7,"YYYYMMDD"),"days=a","fill=p")),_xll.BDH($E42,"PX_LAST",TEXT($E$2-7,"YYYYMMDD"),TEXT($E$2-7,"YYYYMMDD"),"days=a","fill=p"),"-")</f>
        <v>-</v>
      </c>
      <c r="N42" s="180" t="str">
        <f t="shared" ca="1" si="4"/>
        <v>-</v>
      </c>
      <c r="O42" s="101" t="e">
        <f ca="1">IF(OR(_xll.BDP($E42,O$3)="#N/A N/A",_xll.BDP($E42,O$3)="#N/A Invalid Security"), "-", _xll.BDP($E42,O$3))</f>
        <v>#NAME?</v>
      </c>
      <c r="P42" s="182" t="str">
        <f ca="1">IF(ISNUMBER(_xll.BDH($F42,"PX_LAST",TEXT($E$2,"YYYYMMDD"),TEXT($E$2,"YYYYMMDD"),"days=a","fill=p")),_xll.BDH($F42,"PX_LAST",TEXT($E$2,"YYYYMMDD"),TEXT($E$2,"YYYYMMDD"),"days=a","fill=p"),"-")</f>
        <v>-</v>
      </c>
      <c r="Q42" s="182" t="str">
        <f ca="1">IF(ISNUMBER(_xll.BDH($F42,"PX_LAST",TEXT($E$2-7,"YYYYMMDD"),TEXT($E$2-7,"YYYYMMDD"),"days=a","fill=p")),_xll.BDH($F42,"PX_LAST",TEXT($E$2-7,"YYYYMMDD"),TEXT($E$2-7,"YYYYMMDD"),"days=a","fill=p"),"-")</f>
        <v>-</v>
      </c>
      <c r="R42" s="102" t="str">
        <f t="shared" ca="1" si="5"/>
        <v>-</v>
      </c>
      <c r="S42" s="103" t="str">
        <f ca="1">IF(ISNUMBER(_xll.BDP($F42,S$3)),_xll.BDP($F42,S$3),"-")</f>
        <v>-</v>
      </c>
      <c r="T42" s="104" t="e">
        <f t="shared" ca="1" si="16"/>
        <v>#NAME?</v>
      </c>
      <c r="U42" s="105" t="e">
        <f ca="1">IF(OR(_xll.BDP($E42,U$3)="#N/A N/A",_xll.BDP($E42,U$3)="#N/A Invalid Security"), "-", _xll.BDP($E42,U$3))</f>
        <v>#NAME?</v>
      </c>
      <c r="V42" s="105" t="e">
        <f ca="1">IF(OR(_xll.BDP($E42,V$2)="#N/A N/A",_xll.BDP($E42,V$2)="#N/A Invalid Security"), "-", _xll.BDP($E42,V$2))</f>
        <v>#NAME?</v>
      </c>
      <c r="W42" s="106" t="e">
        <f ca="1">IF(OR(_xll.BDP($E42,W$3)="#N/A N/A",_xll.BDP($E42,W$3)="#N/A Invalid Security"), "-", _xll.BDP($E42,W$3))</f>
        <v>#NAME?</v>
      </c>
      <c r="X42" s="105" t="e">
        <f ca="1">IF(OR(_xll.BDP($E42,X$3)="#N/A N/A",_xll.BDP($E42,X$3)="#N/A Invalid Security"), " ", _xll.BDP($E42,X$3))</f>
        <v>#NAME?</v>
      </c>
      <c r="Y42" s="105" t="e">
        <f ca="1">IF(OR(_xll.BDP($E42,Y$3)="#N/A N/A",_xll.BDP($E42,Y$3)="#N/A Invalid Security"), " ", _xll.BDP($E42,Y$3))</f>
        <v>#NAME?</v>
      </c>
      <c r="Z42" s="106" t="e">
        <f ca="1">IF(OR(_xll.BDP($E42,Z$3)="#N/A N/A",_xll.BDP($E42,Z$3)="#N/A Invalid Security"), " ", _xll.BDP($E42,Z$3))</f>
        <v>#NAME?</v>
      </c>
      <c r="AA42" s="107"/>
      <c r="AB42" s="93" t="s">
        <v>950</v>
      </c>
      <c r="AC42" s="93" t="s">
        <v>933</v>
      </c>
      <c r="AD42" s="93" t="s">
        <v>938</v>
      </c>
      <c r="AE42" s="93" t="s">
        <v>940</v>
      </c>
      <c r="AF42" s="93" t="s">
        <v>940</v>
      </c>
      <c r="AG42" s="93" t="s">
        <v>935</v>
      </c>
      <c r="AH42" s="95" t="e">
        <f t="shared" ca="1" si="22"/>
        <v>#NAME?</v>
      </c>
      <c r="AI42" s="95" t="e">
        <f t="shared" ca="1" si="22"/>
        <v>#NAME?</v>
      </c>
      <c r="AJ42" s="95" t="e">
        <f t="shared" ca="1" si="22"/>
        <v>#NAME?</v>
      </c>
      <c r="AK42" s="95" t="e">
        <f t="shared" ca="1" si="22"/>
        <v>#NAME?</v>
      </c>
      <c r="AL42" s="95" t="e">
        <f t="shared" ca="1" si="22"/>
        <v>#NAME?</v>
      </c>
      <c r="AM42" s="95" t="e">
        <f t="shared" ca="1" si="22"/>
        <v>#NAME?</v>
      </c>
      <c r="AN42" s="66" t="str">
        <f t="shared" ca="1" si="19"/>
        <v/>
      </c>
      <c r="AO42" s="108" t="e" cm="1">
        <f t="array" aca="1" ref="AO42" ca="1">_xll.BDP($E42,"cur_mkt_cap")</f>
        <v>#NAME?</v>
      </c>
      <c r="AP42" s="108" t="e" cm="1">
        <f t="array" aca="1" ref="AP42" ca="1">_xll.BDP($E42,"crncy")</f>
        <v>#NAME?</v>
      </c>
      <c r="AQ42" s="109" t="e" cm="1">
        <f t="array" aca="1" ref="AQ42" ca="1">_xll.BDP("USD"&amp;AP42&amp;" curncy","px_last")</f>
        <v>#NAME?</v>
      </c>
      <c r="AR42" s="109" t="e">
        <f t="shared" ca="1" si="20"/>
        <v>#NAME?</v>
      </c>
      <c r="AT42" s="66" t="str">
        <f t="shared" ca="1" si="21"/>
        <v/>
      </c>
      <c r="AU42" s="66" t="str">
        <f t="shared" ca="1" si="21"/>
        <v/>
      </c>
      <c r="AV42" s="66" t="str">
        <f t="shared" ca="1" si="21"/>
        <v/>
      </c>
      <c r="AW42" s="73" t="str" cm="1">
        <f t="array" aca="1" ref="AW42" ca="1">IF(ISERROR(DATEVALUE(_xll.BDP($E42,AW$6))),"",DATEVALUE(_xll.BDP($E42,AW$6)))</f>
        <v/>
      </c>
      <c r="AX42" s="73" t="str" cm="1">
        <f t="array" aca="1" ref="AX42" ca="1">IF(ISERROR(DATEVALUE(_xll.BDP($E42,AX$2))),"",DATEVALUE(_xll.BDP($E42,AX$2)))</f>
        <v/>
      </c>
      <c r="AY42" s="73" t="str" cm="1">
        <f t="array" aca="1" ref="AY42" ca="1">IF(ISERROR(DATEVALUE(_xll.BDP($E42,AY$6))),"",DATEVALUE(_xll.BDP($E42,AY$6)))</f>
        <v/>
      </c>
      <c r="AZ42" s="110" t="e" cm="1">
        <f t="array" aca="1" ref="AZ42" ca="1">IF(_xll.BQL($E42, "last(matches(px_last(dates=range(-1w,0d)), dayofweek(px_last(dates=range(-1w,0d)).date)==6))")="#N/A","-",_xll.BQL($E42, "last(matches(px_last(dates=range(-1w,0d)), dayofweek(px_last(dates=range(-1w,0d)).date)==6))"))</f>
        <v>#NAME?</v>
      </c>
      <c r="BA42" s="109" t="e" cm="1">
        <f t="array" aca="1" ref="BA42" ca="1">IF(_xll.BQL(E42,"first(last(matches(px_last(dates=range(-1M,0D)),dayofweek(px_last(dates=range(-1M,0D)).date)==6),2),1)")="#N/A","-",_xll.BQL(E42,"first(last(matches(px_last(dates=range(-1M,0D)),dayofweek(px_last(dates=range(-1M,0D)).date)==6),2),1)"))</f>
        <v>#NAME?</v>
      </c>
      <c r="BB42" s="109" t="str">
        <f t="shared" ca="1" si="23"/>
        <v>-</v>
      </c>
    </row>
    <row r="43" spans="5:54" ht="16.5" customHeight="1" thickBot="1">
      <c r="E43" s="111" t="s">
        <v>990</v>
      </c>
      <c r="F43" s="66" t="e">
        <f ca="1">_xll.BDP($E43,F$3)&amp;" BEST Curncy"</f>
        <v>#NAME?</v>
      </c>
      <c r="G43" s="97" t="e">
        <f t="shared" ca="1" si="17"/>
        <v>#NAME?</v>
      </c>
      <c r="I43" s="633"/>
      <c r="J43" s="98" t="e">
        <f ca="1">_xll.BDP($E43,J$3)</f>
        <v>#NAME?</v>
      </c>
      <c r="K43" s="99" t="e">
        <f ca="1">_xll.BDP($E43,K$3)</f>
        <v>#NAME?</v>
      </c>
      <c r="L43" s="100" t="str">
        <f ca="1">IF(ISNUMBER(_xll.BDH($E43,"PX_LAST",TEXT($E$2,"YYYYMMDD"),TEXT($E$2,"YYYYMMDD"),"days=a","fill=p")),_xll.BDH($E43,"PX_LAST",TEXT($E$2,"YYYYMMDD"),TEXT($E$2,"YYYYMMDD"),"days=a","fill=p"),"-")</f>
        <v>-</v>
      </c>
      <c r="M43" s="100" t="str">
        <f ca="1">IF(ISNUMBER(_xll.BDH($E43,"PX_LAST",TEXT($E$2-7,"YYYYMMDD"),TEXT($E$2-7,"YYYYMMDD"),"days=a","fill=p")),_xll.BDH($E43,"PX_LAST",TEXT($E$2-7,"YYYYMMDD"),TEXT($E$2-7,"YYYYMMDD"),"days=a","fill=p"),"-")</f>
        <v>-</v>
      </c>
      <c r="N43" s="180" t="str">
        <f t="shared" ca="1" si="4"/>
        <v>-</v>
      </c>
      <c r="O43" s="101" t="e">
        <f ca="1">IF(OR(_xll.BDP($E43,O$3)="#N/A N/A",_xll.BDP($E43,O$3)="#N/A Invalid Security"), "-", _xll.BDP($E43,O$3))</f>
        <v>#NAME?</v>
      </c>
      <c r="P43" s="182" t="str">
        <f ca="1">IF(ISNUMBER(_xll.BDH($F43,"PX_LAST",TEXT($E$2,"YYYYMMDD"),TEXT($E$2,"YYYYMMDD"),"days=a","fill=p")),_xll.BDH($F43,"PX_LAST",TEXT($E$2,"YYYYMMDD"),TEXT($E$2,"YYYYMMDD"),"days=a","fill=p"),"-")</f>
        <v>-</v>
      </c>
      <c r="Q43" s="182" t="str">
        <f ca="1">IF(ISNUMBER(_xll.BDH($F43,"PX_LAST",TEXT($E$2-7,"YYYYMMDD"),TEXT($E$2-7,"YYYYMMDD"),"days=a","fill=p")),_xll.BDH($F43,"PX_LAST",TEXT($E$2-7,"YYYYMMDD"),TEXT($E$2-7,"YYYYMMDD"),"days=a","fill=p"),"-")</f>
        <v>-</v>
      </c>
      <c r="R43" s="102" t="str">
        <f t="shared" ca="1" si="5"/>
        <v>-</v>
      </c>
      <c r="S43" s="103" t="str">
        <f ca="1">IF(ISNUMBER(_xll.BDP($F43,S$3)),_xll.BDP($F43,S$3),"-")</f>
        <v>-</v>
      </c>
      <c r="T43" s="104" t="e">
        <f t="shared" ca="1" si="16"/>
        <v>#NAME?</v>
      </c>
      <c r="U43" s="105" t="e">
        <f ca="1">IF(OR(_xll.BDP($E43,U$3)="#N/A N/A",_xll.BDP($E43,U$3)="#N/A Invalid Security"), "-", _xll.BDP($E43,U$3))</f>
        <v>#NAME?</v>
      </c>
      <c r="V43" s="105" t="e">
        <f ca="1">IF(OR(_xll.BDP($E43,V$2)="#N/A N/A",_xll.BDP($E43,V$2)="#N/A Invalid Security"), "-", _xll.BDP($E43,V$2))</f>
        <v>#NAME?</v>
      </c>
      <c r="W43" s="106" t="e">
        <f ca="1">IF(OR(_xll.BDP($E43,W$3)="#N/A N/A",_xll.BDP($E43,W$3)="#N/A Invalid Security"), "-", _xll.BDP($E43,W$3))</f>
        <v>#NAME?</v>
      </c>
      <c r="X43" s="105" t="e">
        <f ca="1">IF(OR(_xll.BDP($E43,X$3)="#N/A N/A",_xll.BDP($E43,X$3)="#N/A Invalid Security"), " ", _xll.BDP($E43,X$3))</f>
        <v>#NAME?</v>
      </c>
      <c r="Y43" s="105" t="e">
        <f ca="1">IF(OR(_xll.BDP($E43,Y$3)="#N/A N/A",_xll.BDP($E43,Y$3)="#N/A Invalid Security"), " ", _xll.BDP($E43,Y$3))</f>
        <v>#NAME?</v>
      </c>
      <c r="Z43" s="106" t="e">
        <f ca="1">IF(OR(_xll.BDP($E43,Z$3)="#N/A N/A",_xll.BDP($E43,Z$3)="#N/A Invalid Security"), " ", _xll.BDP($E43,Z$3))</f>
        <v>#NAME?</v>
      </c>
      <c r="AA43" s="107"/>
      <c r="AB43" s="93" t="s">
        <v>938</v>
      </c>
      <c r="AC43" s="93" t="s">
        <v>942</v>
      </c>
      <c r="AD43" s="93" t="s">
        <v>938</v>
      </c>
      <c r="AE43" s="93" t="s">
        <v>940</v>
      </c>
      <c r="AF43" s="93" t="s">
        <v>940</v>
      </c>
      <c r="AG43" s="93" t="s">
        <v>940</v>
      </c>
      <c r="AH43" s="95" t="e">
        <f t="shared" ca="1" si="22"/>
        <v>#NAME?</v>
      </c>
      <c r="AI43" s="95" t="e">
        <f t="shared" ca="1" si="22"/>
        <v>#NAME?</v>
      </c>
      <c r="AJ43" s="95" t="e">
        <f t="shared" ca="1" si="22"/>
        <v>#NAME?</v>
      </c>
      <c r="AK43" s="95" t="e">
        <f t="shared" ca="1" si="22"/>
        <v>#NAME?</v>
      </c>
      <c r="AL43" s="95" t="e">
        <f t="shared" ca="1" si="22"/>
        <v>#NAME?</v>
      </c>
      <c r="AM43" s="95" t="e">
        <f t="shared" ca="1" si="22"/>
        <v>#NAME?</v>
      </c>
      <c r="AN43" s="66" t="str">
        <f t="shared" ca="1" si="19"/>
        <v/>
      </c>
      <c r="AO43" s="108" t="e" cm="1">
        <f t="array" aca="1" ref="AO43" ca="1">_xll.BDP($E43,"cur_mkt_cap")</f>
        <v>#NAME?</v>
      </c>
      <c r="AP43" s="108" t="e" cm="1">
        <f t="array" aca="1" ref="AP43" ca="1">_xll.BDP($E43,"crncy")</f>
        <v>#NAME?</v>
      </c>
      <c r="AQ43" s="109" t="e" cm="1">
        <f t="array" aca="1" ref="AQ43" ca="1">_xll.BDP("USD"&amp;AP43&amp;" curncy","px_last")</f>
        <v>#NAME?</v>
      </c>
      <c r="AR43" s="109" t="e">
        <f t="shared" ca="1" si="20"/>
        <v>#NAME?</v>
      </c>
      <c r="AT43" s="66" t="str">
        <f t="shared" ca="1" si="21"/>
        <v/>
      </c>
      <c r="AU43" s="66" t="str">
        <f t="shared" ca="1" si="21"/>
        <v/>
      </c>
      <c r="AV43" s="66" t="str">
        <f t="shared" ca="1" si="21"/>
        <v/>
      </c>
      <c r="AW43" s="73" t="str" cm="1">
        <f t="array" aca="1" ref="AW43" ca="1">IF(ISERROR(DATEVALUE(_xll.BDP($E43,AW$6))),"",DATEVALUE(_xll.BDP($E43,AW$6)))</f>
        <v/>
      </c>
      <c r="AX43" s="73" t="str" cm="1">
        <f t="array" aca="1" ref="AX43" ca="1">IF(ISERROR(DATEVALUE(_xll.BDP($E43,AX$2))),"",DATEVALUE(_xll.BDP($E43,AX$2)))</f>
        <v/>
      </c>
      <c r="AY43" s="73" t="str" cm="1">
        <f t="array" aca="1" ref="AY43" ca="1">IF(ISERROR(DATEVALUE(_xll.BDP($E43,AY$6))),"",DATEVALUE(_xll.BDP($E43,AY$6)))</f>
        <v/>
      </c>
      <c r="AZ43" s="110" t="e" cm="1">
        <f t="array" aca="1" ref="AZ43" ca="1">IF(_xll.BQL($E43, "last(matches(px_last(dates=range(-1w,0d)), dayofweek(px_last(dates=range(-1w,0d)).date)==6))")="#N/A","-",_xll.BQL($E43, "last(matches(px_last(dates=range(-1w,0d)), dayofweek(px_last(dates=range(-1w,0d)).date)==6))"))</f>
        <v>#NAME?</v>
      </c>
      <c r="BA43" s="109" t="e" cm="1">
        <f t="array" aca="1" ref="BA43" ca="1">IF(_xll.BQL(E43,"first(last(matches(px_last(dates=range(-1M,0D)),dayofweek(px_last(dates=range(-1M,0D)).date)==6),2),1)")="#N/A","-",_xll.BQL(E43,"first(last(matches(px_last(dates=range(-1M,0D)),dayofweek(px_last(dates=range(-1M,0D)).date)==6),2),1)"))</f>
        <v>#NAME?</v>
      </c>
      <c r="BB43" s="109" t="str">
        <f t="shared" ca="1" si="23"/>
        <v>-</v>
      </c>
    </row>
    <row r="44" spans="5:54" ht="16.5" customHeight="1" thickBot="1">
      <c r="E44" s="111" t="s">
        <v>991</v>
      </c>
      <c r="F44" s="66" t="e">
        <f ca="1">_xll.BDP($E44,F$3)&amp;" BEST Curncy"</f>
        <v>#NAME?</v>
      </c>
      <c r="G44" s="97" t="e">
        <f t="shared" ca="1" si="17"/>
        <v>#NAME?</v>
      </c>
      <c r="I44" s="647"/>
      <c r="J44" s="98" t="e">
        <f ca="1">_xll.BDP($E44,J$3)</f>
        <v>#NAME?</v>
      </c>
      <c r="K44" s="99" t="e">
        <f ca="1">_xll.BDP($E44,K$3)</f>
        <v>#NAME?</v>
      </c>
      <c r="L44" s="100" t="str">
        <f ca="1">IF(ISNUMBER(_xll.BDH($E44,"PX_LAST",TEXT($E$2,"YYYYMMDD"),TEXT($E$2,"YYYYMMDD"),"days=a","fill=p")),_xll.BDH($E44,"PX_LAST",TEXT($E$2,"YYYYMMDD"),TEXT($E$2,"YYYYMMDD"),"days=a","fill=p"),"-")</f>
        <v>-</v>
      </c>
      <c r="M44" s="100" t="str">
        <f ca="1">IF(ISNUMBER(_xll.BDH($E44,"PX_LAST",TEXT($E$2-7,"YYYYMMDD"),TEXT($E$2-7,"YYYYMMDD"),"days=a","fill=p")),_xll.BDH($E44,"PX_LAST",TEXT($E$2-7,"YYYYMMDD"),TEXT($E$2-7,"YYYYMMDD"),"days=a","fill=p"),"-")</f>
        <v>-</v>
      </c>
      <c r="N44" s="180" t="str">
        <f t="shared" ca="1" si="4"/>
        <v>-</v>
      </c>
      <c r="O44" s="101" t="e">
        <f ca="1">IF(OR(_xll.BDP($E44,O$3)="#N/A N/A",_xll.BDP($E44,O$3)="#N/A Invalid Security"), "-", _xll.BDP($E44,O$3))</f>
        <v>#NAME?</v>
      </c>
      <c r="P44" s="182" t="str">
        <f ca="1">IF(ISNUMBER(_xll.BDH($F44,"PX_LAST",TEXT($E$2,"YYYYMMDD"),TEXT($E$2,"YYYYMMDD"),"days=a","fill=p")),_xll.BDH($F44,"PX_LAST",TEXT($E$2,"YYYYMMDD"),TEXT($E$2,"YYYYMMDD"),"days=a","fill=p"),"-")</f>
        <v>-</v>
      </c>
      <c r="Q44" s="182" t="str">
        <f ca="1">IF(ISNUMBER(_xll.BDH($F44,"PX_LAST",TEXT($E$2-7,"YYYYMMDD"),TEXT($E$2-7,"YYYYMMDD"),"days=a","fill=p")),_xll.BDH($F44,"PX_LAST",TEXT($E$2-7,"YYYYMMDD"),TEXT($E$2-7,"YYYYMMDD"),"days=a","fill=p"),"-")</f>
        <v>-</v>
      </c>
      <c r="R44" s="102" t="str">
        <f t="shared" ca="1" si="5"/>
        <v>-</v>
      </c>
      <c r="S44" s="103" t="str">
        <f ca="1">IF(ISNUMBER(_xll.BDP($F44,S$3)),_xll.BDP($F44,S$3),"-")</f>
        <v>-</v>
      </c>
      <c r="T44" s="104" t="e">
        <f t="shared" ca="1" si="16"/>
        <v>#NAME?</v>
      </c>
      <c r="U44" s="105" t="e">
        <f ca="1">IF(OR(_xll.BDP($E44,U$3)="#N/A N/A",_xll.BDP($E44,U$3)="#N/A Invalid Security"), "-", _xll.BDP($E44,U$3))</f>
        <v>#NAME?</v>
      </c>
      <c r="V44" s="105" t="e">
        <f ca="1">IF(OR(_xll.BDP($E44,V$2)="#N/A N/A",_xll.BDP($E44,V$2)="#N/A Invalid Security"), "-", _xll.BDP($E44,V$2))</f>
        <v>#NAME?</v>
      </c>
      <c r="W44" s="106" t="e">
        <f ca="1">IF(OR(_xll.BDP($E44,W$3)="#N/A N/A",_xll.BDP($E44,W$3)="#N/A Invalid Security"), "-", _xll.BDP($E44,W$3))</f>
        <v>#NAME?</v>
      </c>
      <c r="X44" s="105" t="e">
        <f ca="1">IF(OR(_xll.BDP($E44,X$3)="#N/A N/A",_xll.BDP($E44,X$3)="#N/A Invalid Security"), " ", _xll.BDP($E44,X$3))</f>
        <v>#NAME?</v>
      </c>
      <c r="Y44" s="105" t="e">
        <f ca="1">IF(OR(_xll.BDP($E44,Y$3)="#N/A N/A",_xll.BDP($E44,Y$3)="#N/A Invalid Security"), " ", _xll.BDP($E44,Y$3))</f>
        <v>#NAME?</v>
      </c>
      <c r="Z44" s="106" t="e">
        <f ca="1">IF(OR(_xll.BDP($E44,Z$3)="#N/A N/A",_xll.BDP($E44,Z$3)="#N/A Invalid Security"), " ", _xll.BDP($E44,Z$3))</f>
        <v>#NAME?</v>
      </c>
      <c r="AA44" s="107"/>
      <c r="AB44" s="93" t="s">
        <v>953</v>
      </c>
      <c r="AC44" s="93" t="s">
        <v>939</v>
      </c>
      <c r="AD44" s="93" t="s">
        <v>953</v>
      </c>
      <c r="AE44" s="93" t="s">
        <v>940</v>
      </c>
      <c r="AF44" s="93" t="s">
        <v>940</v>
      </c>
      <c r="AG44" s="93" t="s">
        <v>940</v>
      </c>
      <c r="AH44" s="95" t="e">
        <f t="shared" ca="1" si="22"/>
        <v>#NAME?</v>
      </c>
      <c r="AI44" s="95" t="e">
        <f t="shared" ca="1" si="22"/>
        <v>#NAME?</v>
      </c>
      <c r="AJ44" s="95" t="e">
        <f t="shared" ca="1" si="22"/>
        <v>#NAME?</v>
      </c>
      <c r="AK44" s="95" t="e">
        <f t="shared" ca="1" si="22"/>
        <v>#NAME?</v>
      </c>
      <c r="AL44" s="95" t="e">
        <f t="shared" ca="1" si="22"/>
        <v>#NAME?</v>
      </c>
      <c r="AM44" s="95" t="e">
        <f t="shared" ca="1" si="22"/>
        <v>#NAME?</v>
      </c>
      <c r="AN44" s="66" t="str">
        <f t="shared" ca="1" si="19"/>
        <v/>
      </c>
      <c r="AO44" s="108" t="e" cm="1">
        <f t="array" aca="1" ref="AO44" ca="1">_xll.BDP($E44,"cur_mkt_cap")</f>
        <v>#NAME?</v>
      </c>
      <c r="AP44" s="108" t="e" cm="1">
        <f t="array" aca="1" ref="AP44" ca="1">_xll.BDP($E44,"crncy")</f>
        <v>#NAME?</v>
      </c>
      <c r="AQ44" s="109" t="e" cm="1">
        <f t="array" aca="1" ref="AQ44" ca="1">_xll.BDP("USD"&amp;AP44&amp;" curncy","px_last")</f>
        <v>#NAME?</v>
      </c>
      <c r="AR44" s="109" t="e">
        <f t="shared" ca="1" si="20"/>
        <v>#NAME?</v>
      </c>
      <c r="AT44" s="66" t="str">
        <f t="shared" ca="1" si="21"/>
        <v/>
      </c>
      <c r="AU44" s="66" t="str">
        <f t="shared" ca="1" si="21"/>
        <v/>
      </c>
      <c r="AV44" s="66" t="str">
        <f t="shared" ca="1" si="21"/>
        <v/>
      </c>
      <c r="AW44" s="73" t="str" cm="1">
        <f t="array" aca="1" ref="AW44" ca="1">IF(ISERROR(DATEVALUE(_xll.BDP($E44,AW$6))),"",DATEVALUE(_xll.BDP($E44,AW$6)))</f>
        <v/>
      </c>
      <c r="AX44" s="73" t="str" cm="1">
        <f t="array" aca="1" ref="AX44" ca="1">IF(ISERROR(DATEVALUE(_xll.BDP($E44,AX$2))),"",DATEVALUE(_xll.BDP($E44,AX$2)))</f>
        <v/>
      </c>
      <c r="AY44" s="73" t="str" cm="1">
        <f t="array" aca="1" ref="AY44" ca="1">IF(ISERROR(DATEVALUE(_xll.BDP($E44,AY$6))),"",DATEVALUE(_xll.BDP($E44,AY$6)))</f>
        <v/>
      </c>
      <c r="AZ44" s="110" t="e" cm="1">
        <f t="array" aca="1" ref="AZ44" ca="1">IF(_xll.BQL($E44, "last(matches(px_last(dates=range(-1w,0d)), dayofweek(px_last(dates=range(-1w,0d)).date)==6))")="#N/A","-",_xll.BQL($E44, "last(matches(px_last(dates=range(-1w,0d)), dayofweek(px_last(dates=range(-1w,0d)).date)==6))"))</f>
        <v>#NAME?</v>
      </c>
      <c r="BA44" s="109" t="e" cm="1">
        <f t="array" aca="1" ref="BA44" ca="1">IF(_xll.BQL(E44,"first(last(matches(px_last(dates=range(-1M,0D)),dayofweek(px_last(dates=range(-1M,0D)).date)==6),2),1)")="#N/A","-",_xll.BQL(E44,"first(last(matches(px_last(dates=range(-1M,0D)),dayofweek(px_last(dates=range(-1M,0D)).date)==6),2),1)"))</f>
        <v>#NAME?</v>
      </c>
      <c r="BB44" s="109" t="str">
        <f t="shared" ca="1" si="23"/>
        <v>-</v>
      </c>
    </row>
    <row r="45" spans="5:54" ht="16.5" customHeight="1" thickBot="1">
      <c r="E45" s="111" t="s">
        <v>992</v>
      </c>
      <c r="F45" s="66" t="e">
        <f ca="1">_xll.BDP($E45,F$3)&amp;" BEST Curncy"</f>
        <v>#NAME?</v>
      </c>
      <c r="G45" s="97" t="e">
        <f t="shared" ca="1" si="17"/>
        <v>#NAME?</v>
      </c>
      <c r="I45" s="632" t="s">
        <v>993</v>
      </c>
      <c r="J45" s="98" t="e">
        <f ca="1">_xll.BDP($E45,J$3)</f>
        <v>#NAME?</v>
      </c>
      <c r="K45" s="99" t="e">
        <f ca="1">_xll.BDP($E45,K$3)</f>
        <v>#NAME?</v>
      </c>
      <c r="L45" s="100" t="str">
        <f ca="1">IF(ISNUMBER(_xll.BDH($E45,"PX_LAST",TEXT($E$2,"YYYYMMDD"),TEXT($E$2,"YYYYMMDD"),"days=a","fill=p")),_xll.BDH($E45,"PX_LAST",TEXT($E$2,"YYYYMMDD"),TEXT($E$2,"YYYYMMDD"),"days=a","fill=p"),"-")</f>
        <v>-</v>
      </c>
      <c r="M45" s="100" t="str">
        <f ca="1">IF(ISNUMBER(_xll.BDH($E45,"PX_LAST",TEXT($E$2-7,"YYYYMMDD"),TEXT($E$2-7,"YYYYMMDD"),"days=a","fill=p")),_xll.BDH($E45,"PX_LAST",TEXT($E$2-7,"YYYYMMDD"),TEXT($E$2-7,"YYYYMMDD"),"days=a","fill=p"),"-")</f>
        <v>-</v>
      </c>
      <c r="N45" s="180" t="str">
        <f t="shared" ca="1" si="4"/>
        <v>-</v>
      </c>
      <c r="O45" s="101" t="e">
        <f ca="1">IF(OR(_xll.BDP($E45,O$3)="#N/A N/A",_xll.BDP($E45,O$3)="#N/A Invalid Security"), "-", _xll.BDP($E45,O$3))</f>
        <v>#NAME?</v>
      </c>
      <c r="P45" s="182" t="str">
        <f ca="1">IF(ISNUMBER(_xll.BDH($F45,"PX_LAST",TEXT($E$2,"YYYYMMDD"),TEXT($E$2,"YYYYMMDD"),"days=a","fill=p")),_xll.BDH($F45,"PX_LAST",TEXT($E$2,"YYYYMMDD"),TEXT($E$2,"YYYYMMDD"),"days=a","fill=p"),"-")</f>
        <v>-</v>
      </c>
      <c r="Q45" s="182" t="str">
        <f ca="1">IF(ISNUMBER(_xll.BDH($F45,"PX_LAST",TEXT($E$2-7,"YYYYMMDD"),TEXT($E$2-7,"YYYYMMDD"),"days=a","fill=p")),_xll.BDH($F45,"PX_LAST",TEXT($E$2-7,"YYYYMMDD"),TEXT($E$2-7,"YYYYMMDD"),"days=a","fill=p"),"-")</f>
        <v>-</v>
      </c>
      <c r="R45" s="102" t="str">
        <f t="shared" ca="1" si="5"/>
        <v>-</v>
      </c>
      <c r="S45" s="103" t="str">
        <f ca="1">IF(ISNUMBER(_xll.BDP($F45,S$3)),_xll.BDP($F45,S$3),"-")</f>
        <v>-</v>
      </c>
      <c r="T45" s="104" t="e">
        <f t="shared" ca="1" si="16"/>
        <v>#NAME?</v>
      </c>
      <c r="U45" s="105" t="e">
        <f ca="1">IF(OR(_xll.BDP($E45,U$3)="#N/A N/A",_xll.BDP($E45,U$3)="#N/A Invalid Security"), "-", _xll.BDP($E45,U$3))</f>
        <v>#NAME?</v>
      </c>
      <c r="V45" s="105" t="e">
        <f ca="1">IF(OR(_xll.BDP($E45,V$2)="#N/A N/A",_xll.BDP($E45,V$2)="#N/A Invalid Security"), "-", _xll.BDP($E45,V$2))</f>
        <v>#NAME?</v>
      </c>
      <c r="W45" s="106" t="e">
        <f ca="1">IF(OR(_xll.BDP($E45,W$3)="#N/A N/A",_xll.BDP($E45,W$3)="#N/A Invalid Security"), "-", _xll.BDP($E45,W$3))</f>
        <v>#NAME?</v>
      </c>
      <c r="X45" s="105" t="e">
        <f ca="1">IF(OR(_xll.BDP($E45,X$3)="#N/A N/A",_xll.BDP($E45,X$3)="#N/A Invalid Security"), " ", _xll.BDP($E45,X$3))</f>
        <v>#NAME?</v>
      </c>
      <c r="Y45" s="105" t="e">
        <f ca="1">IF(OR(_xll.BDP($E45,Y$3)="#N/A N/A",_xll.BDP($E45,Y$3)="#N/A Invalid Security"), " ", _xll.BDP($E45,Y$3))</f>
        <v>#NAME?</v>
      </c>
      <c r="Z45" s="106" t="e">
        <f ca="1">IF(OR(_xll.BDP($E45,Z$3)="#N/A N/A",_xll.BDP($E45,Z$3)="#N/A Invalid Security"), " ", _xll.BDP($E45,Z$3))</f>
        <v>#NAME?</v>
      </c>
      <c r="AA45" s="107"/>
      <c r="AB45" s="93" t="s">
        <v>950</v>
      </c>
      <c r="AC45" s="93" t="s">
        <v>933</v>
      </c>
      <c r="AD45" s="93" t="s">
        <v>987</v>
      </c>
      <c r="AE45" s="93" t="s">
        <v>935</v>
      </c>
      <c r="AF45" s="93" t="s">
        <v>935</v>
      </c>
      <c r="AG45" s="93" t="s">
        <v>936</v>
      </c>
      <c r="AH45" s="95" t="e">
        <f t="shared" ca="1" si="22"/>
        <v>#NAME?</v>
      </c>
      <c r="AI45" s="95" t="e">
        <f t="shared" ca="1" si="22"/>
        <v>#NAME?</v>
      </c>
      <c r="AJ45" s="95" t="e">
        <f t="shared" ca="1" si="22"/>
        <v>#NAME?</v>
      </c>
      <c r="AK45" s="95" t="e">
        <f t="shared" ca="1" si="22"/>
        <v>#NAME?</v>
      </c>
      <c r="AL45" s="95" t="e">
        <f t="shared" ca="1" si="22"/>
        <v>#NAME?</v>
      </c>
      <c r="AM45" s="95" t="e">
        <f t="shared" ca="1" si="22"/>
        <v>#NAME?</v>
      </c>
      <c r="AN45" s="66" t="str">
        <f t="shared" ca="1" si="19"/>
        <v/>
      </c>
      <c r="AO45" s="108" t="e" cm="1">
        <f t="array" aca="1" ref="AO45" ca="1">_xll.BDP($E45,"cur_mkt_cap")</f>
        <v>#NAME?</v>
      </c>
      <c r="AP45" s="108" t="e" cm="1">
        <f t="array" aca="1" ref="AP45" ca="1">_xll.BDP($E45,"crncy")</f>
        <v>#NAME?</v>
      </c>
      <c r="AQ45" s="109" t="e" cm="1">
        <f t="array" aca="1" ref="AQ45" ca="1">_xll.BDP("USD"&amp;AP45&amp;" curncy","px_last")</f>
        <v>#NAME?</v>
      </c>
      <c r="AR45" s="109" t="e">
        <f t="shared" ca="1" si="20"/>
        <v>#NAME?</v>
      </c>
      <c r="AT45" s="66" t="str">
        <f t="shared" ca="1" si="21"/>
        <v/>
      </c>
      <c r="AU45" s="66" t="str">
        <f t="shared" ca="1" si="21"/>
        <v/>
      </c>
      <c r="AV45" s="66" t="str">
        <f t="shared" ca="1" si="21"/>
        <v/>
      </c>
      <c r="AW45" s="73" t="str" cm="1">
        <f t="array" aca="1" ref="AW45" ca="1">IF(ISERROR(DATEVALUE(_xll.BDP($E45,AW$6))),"",DATEVALUE(_xll.BDP($E45,AW$6)))</f>
        <v/>
      </c>
      <c r="AX45" s="73" t="str" cm="1">
        <f t="array" aca="1" ref="AX45" ca="1">IF(ISERROR(DATEVALUE(_xll.BDP($E45,AX$2))),"",DATEVALUE(_xll.BDP($E45,AX$2)))</f>
        <v/>
      </c>
      <c r="AY45" s="73" t="str" cm="1">
        <f t="array" aca="1" ref="AY45" ca="1">IF(ISERROR(DATEVALUE(_xll.BDP($E45,AY$6))),"",DATEVALUE(_xll.BDP($E45,AY$6)))</f>
        <v/>
      </c>
      <c r="AZ45" s="110" t="e" cm="1">
        <f t="array" aca="1" ref="AZ45" ca="1">IF(_xll.BQL($E45, "last(matches(px_last(dates=range(-1w,0d)), dayofweek(px_last(dates=range(-1w,0d)).date)==6))")="#N/A","-",_xll.BQL($E45, "last(matches(px_last(dates=range(-1w,0d)), dayofweek(px_last(dates=range(-1w,0d)).date)==6))"))</f>
        <v>#NAME?</v>
      </c>
      <c r="BA45" s="109" t="e" cm="1">
        <f t="array" aca="1" ref="BA45" ca="1">IF(_xll.BQL(E45,"first(last(matches(px_last(dates=range(-1M,0D)),dayofweek(px_last(dates=range(-1M,0D)).date)==6),2),1)")="#N/A","-",_xll.BQL(E45,"first(last(matches(px_last(dates=range(-1M,0D)),dayofweek(px_last(dates=range(-1M,0D)).date)==6),2),1)"))</f>
        <v>#NAME?</v>
      </c>
      <c r="BB45" s="109" t="str">
        <f t="shared" ca="1" si="23"/>
        <v>-</v>
      </c>
    </row>
    <row r="46" spans="5:54" ht="16.5" customHeight="1" thickBot="1">
      <c r="E46" s="111" t="s">
        <v>994</v>
      </c>
      <c r="F46" s="66" t="e">
        <f ca="1">_xll.BDP($E46,F$3)&amp;" BEST Curncy"</f>
        <v>#NAME?</v>
      </c>
      <c r="G46" s="97" t="e">
        <f t="shared" ca="1" si="17"/>
        <v>#NAME?</v>
      </c>
      <c r="I46" s="633"/>
      <c r="J46" s="98" t="e">
        <f ca="1">_xll.BDP($E46,J$3)</f>
        <v>#NAME?</v>
      </c>
      <c r="K46" s="99" t="e">
        <f ca="1">_xll.BDP($E46,K$3)</f>
        <v>#NAME?</v>
      </c>
      <c r="L46" s="100" t="str">
        <f ca="1">IF(ISNUMBER(_xll.BDH($E46,"PX_LAST",TEXT($E$2,"YYYYMMDD"),TEXT($E$2,"YYYYMMDD"),"days=a","fill=p")),_xll.BDH($E46,"PX_LAST",TEXT($E$2,"YYYYMMDD"),TEXT($E$2,"YYYYMMDD"),"days=a","fill=p"),"-")</f>
        <v>-</v>
      </c>
      <c r="M46" s="100" t="str">
        <f ca="1">IF(ISNUMBER(_xll.BDH($E46,"PX_LAST",TEXT($E$2-7,"YYYYMMDD"),TEXT($E$2-7,"YYYYMMDD"),"days=a","fill=p")),_xll.BDH($E46,"PX_LAST",TEXT($E$2-7,"YYYYMMDD"),TEXT($E$2-7,"YYYYMMDD"),"days=a","fill=p"),"-")</f>
        <v>-</v>
      </c>
      <c r="N46" s="180" t="str">
        <f ca="1">IF(ISNUMBER(($L46-$M46)/$M46),($L46-$M46)/$M46,"-")</f>
        <v>-</v>
      </c>
      <c r="O46" s="101" t="e">
        <f ca="1">IF(OR(_xll.BDP($E46,O$3)="#N/A N/A",_xll.BDP($E46,O$3)="#N/A Invalid Security"), "-", _xll.BDP($E46,O$3))</f>
        <v>#NAME?</v>
      </c>
      <c r="P46" s="182" t="str">
        <f ca="1">IF(ISNUMBER(_xll.BDH($F46,"PX_LAST",TEXT($E$2,"YYYYMMDD"),TEXT($E$2,"YYYYMMDD"),"days=a","fill=p")),_xll.BDH($F46,"PX_LAST",TEXT($E$2,"YYYYMMDD"),TEXT($E$2,"YYYYMMDD"),"days=a","fill=p"),"-")</f>
        <v>-</v>
      </c>
      <c r="Q46" s="182" t="str">
        <f ca="1">IF(ISNUMBER(_xll.BDH($F46,"PX_LAST",TEXT($E$2-7,"YYYYMMDD"),TEXT($E$2-7,"YYYYMMDD"),"days=a","fill=p")),_xll.BDH($F46,"PX_LAST",TEXT($E$2-7,"YYYYMMDD"),TEXT($E$2-7,"YYYYMMDD"),"days=a","fill=p"),"-")</f>
        <v>-</v>
      </c>
      <c r="R46" s="102" t="str">
        <f ca="1">IF(ISNUMBER($P46-$Q46),$P46-$Q46,"-")</f>
        <v>-</v>
      </c>
      <c r="S46" s="103" t="str">
        <f ca="1">IF(ISNUMBER(_xll.BDP($F46,S$3)),_xll.BDP($F46,S$3),"-")</f>
        <v>-</v>
      </c>
      <c r="T46" s="104" t="e">
        <f t="shared" ca="1" si="16"/>
        <v>#NAME?</v>
      </c>
      <c r="U46" s="105" t="e">
        <f ca="1">IF(OR(_xll.BDP($E46,U$3)="#N/A N/A",_xll.BDP($E46,U$3)="#N/A Invalid Security"), "-", _xll.BDP($E46,U$3))</f>
        <v>#NAME?</v>
      </c>
      <c r="V46" s="105" t="e">
        <f ca="1">IF(OR(_xll.BDP($E46,V$2)="#N/A N/A",_xll.BDP($E46,V$2)="#N/A Invalid Security"), "-", _xll.BDP($E46,V$2))</f>
        <v>#NAME?</v>
      </c>
      <c r="W46" s="106" t="e">
        <f ca="1">IF(OR(_xll.BDP($E46,W$3)="#N/A N/A",_xll.BDP($E46,W$3)="#N/A Invalid Security"), "-", _xll.BDP($E46,W$3))</f>
        <v>#NAME?</v>
      </c>
      <c r="X46" s="105" t="e">
        <f ca="1">IF(OR(_xll.BDP($E46,X$3)="#N/A N/A",_xll.BDP($E46,X$3)="#N/A Invalid Security"), " ", _xll.BDP($E46,X$3))</f>
        <v>#NAME?</v>
      </c>
      <c r="Y46" s="105" t="e">
        <f ca="1">IF(OR(_xll.BDP($E46,Y$3)="#N/A N/A",_xll.BDP($E46,Y$3)="#N/A Invalid Security"), " ", _xll.BDP($E46,Y$3))</f>
        <v>#NAME?</v>
      </c>
      <c r="Z46" s="106" t="e">
        <f ca="1">IF(OR(_xll.BDP($E46,Z$3)="#N/A N/A",_xll.BDP($E46,Z$3)="#N/A Invalid Security"), " ", _xll.BDP($E46,Z$3))</f>
        <v>#NAME?</v>
      </c>
      <c r="AA46" s="107"/>
      <c r="AB46" s="93" t="s">
        <v>938</v>
      </c>
      <c r="AC46" s="93" t="s">
        <v>942</v>
      </c>
      <c r="AD46" s="93" t="s">
        <v>987</v>
      </c>
      <c r="AE46" s="93" t="s">
        <v>948</v>
      </c>
      <c r="AF46" s="93" t="s">
        <v>948</v>
      </c>
      <c r="AG46" s="93" t="s">
        <v>936</v>
      </c>
      <c r="AH46" s="95" t="e">
        <f t="shared" ca="1" si="22"/>
        <v>#NAME?</v>
      </c>
      <c r="AI46" s="95" t="e">
        <f t="shared" ca="1" si="22"/>
        <v>#NAME?</v>
      </c>
      <c r="AJ46" s="95" t="e">
        <f t="shared" ca="1" si="22"/>
        <v>#NAME?</v>
      </c>
      <c r="AK46" s="95" t="e">
        <f t="shared" ca="1" si="22"/>
        <v>#NAME?</v>
      </c>
      <c r="AL46" s="95" t="e">
        <f t="shared" ca="1" si="22"/>
        <v>#NAME?</v>
      </c>
      <c r="AM46" s="95" t="e">
        <f t="shared" ca="1" si="22"/>
        <v>#NAME?</v>
      </c>
      <c r="AN46" s="66" t="str">
        <f t="shared" ref="AN46:AN53" ca="1" si="24">IF(SUM(AT46:AV46)&gt;0,"Y","")</f>
        <v/>
      </c>
      <c r="AO46" s="108" t="e" cm="1">
        <f t="array" aca="1" ref="AO46" ca="1">_xll.BDP($E46,"cur_mkt_cap")</f>
        <v>#NAME?</v>
      </c>
      <c r="AP46" s="108" t="e" cm="1">
        <f t="array" aca="1" ref="AP46" ca="1">_xll.BDP($E46,"crncy")</f>
        <v>#NAME?</v>
      </c>
      <c r="AQ46" s="109" t="e" cm="1">
        <f t="array" aca="1" ref="AQ46" ca="1">_xll.BDP("USD"&amp;AP46&amp;" curncy","px_last")</f>
        <v>#NAME?</v>
      </c>
      <c r="AR46" s="109" t="e">
        <f t="shared" ca="1" si="20"/>
        <v>#NAME?</v>
      </c>
      <c r="AT46" s="66" t="str">
        <f t="shared" ca="1" si="21"/>
        <v/>
      </c>
      <c r="AU46" s="66" t="str">
        <f t="shared" ca="1" si="21"/>
        <v/>
      </c>
      <c r="AV46" s="66" t="str">
        <f t="shared" ca="1" si="21"/>
        <v/>
      </c>
      <c r="AW46" s="73" t="str" cm="1">
        <f t="array" aca="1" ref="AW46" ca="1">IF(ISERROR(DATEVALUE(_xll.BDP($E46,AW$6))),"",DATEVALUE(_xll.BDP($E46,AW$6)))</f>
        <v/>
      </c>
      <c r="AX46" s="73" t="str" cm="1">
        <f t="array" aca="1" ref="AX46" ca="1">IF(ISERROR(DATEVALUE(_xll.BDP($E46,AX$2))),"",DATEVALUE(_xll.BDP($E46,AX$2)))</f>
        <v/>
      </c>
      <c r="AY46" s="73" t="str" cm="1">
        <f t="array" aca="1" ref="AY46" ca="1">IF(ISERROR(DATEVALUE(_xll.BDP($E46,AY$6))),"",DATEVALUE(_xll.BDP($E46,AY$6)))</f>
        <v/>
      </c>
      <c r="AZ46" s="110" t="e" cm="1">
        <f t="array" aca="1" ref="AZ46" ca="1">IF(_xll.BQL($E46, "last(matches(px_last(dates=range(-1w,0d)), dayofweek(px_last(dates=range(-1w,0d)).date)==6))")="#N/A","-",_xll.BQL($E46, "last(matches(px_last(dates=range(-1w,0d)), dayofweek(px_last(dates=range(-1w,0d)).date)==6))"))</f>
        <v>#NAME?</v>
      </c>
      <c r="BA46" s="109" t="e" cm="1">
        <f t="array" aca="1" ref="BA46" ca="1">IF(_xll.BQL(E46,"first(last(matches(px_last(dates=range(-1M,0D)),dayofweek(px_last(dates=range(-1M,0D)).date)==6),2),1)")="#N/A","-",_xll.BQL(E46,"first(last(matches(px_last(dates=range(-1M,0D)),dayofweek(px_last(dates=range(-1M,0D)).date)==6),2),1)"))</f>
        <v>#NAME?</v>
      </c>
      <c r="BB46" s="109" t="str">
        <f t="shared" ca="1" si="23"/>
        <v>-</v>
      </c>
    </row>
    <row r="47" spans="5:54" ht="16.5" customHeight="1" thickBot="1">
      <c r="E47" s="111" t="s">
        <v>995</v>
      </c>
      <c r="F47" s="66" t="e">
        <f ca="1">_xll.BDP($E47,F$3)&amp;" BEST Curncy"</f>
        <v>#NAME?</v>
      </c>
      <c r="G47" s="97" t="e">
        <f t="shared" ca="1" si="17"/>
        <v>#NAME?</v>
      </c>
      <c r="I47" s="633"/>
      <c r="J47" s="98" t="e">
        <f ca="1">_xll.BDP($E47,J$3)</f>
        <v>#NAME?</v>
      </c>
      <c r="K47" s="99" t="e">
        <f ca="1">_xll.BDP($E47,K$3)</f>
        <v>#NAME?</v>
      </c>
      <c r="L47" s="100" t="str">
        <f ca="1">IF(ISNUMBER(_xll.BDH($E47,"PX_LAST",TEXT($E$2,"YYYYMMDD"),TEXT($E$2,"YYYYMMDD"),"days=a","fill=p")),_xll.BDH($E47,"PX_LAST",TEXT($E$2,"YYYYMMDD"),TEXT($E$2,"YYYYMMDD"),"days=a","fill=p"),"-")</f>
        <v>-</v>
      </c>
      <c r="M47" s="100" t="str">
        <f ca="1">IF(ISNUMBER(_xll.BDH($E47,"PX_LAST",TEXT($E$2-7,"YYYYMMDD"),TEXT($E$2-7,"YYYYMMDD"),"days=a","fill=p")),_xll.BDH($E47,"PX_LAST",TEXT($E$2-7,"YYYYMMDD"),TEXT($E$2-7,"YYYYMMDD"),"days=a","fill=p"),"-")</f>
        <v>-</v>
      </c>
      <c r="N47" s="180" t="str">
        <f t="shared" ca="1" si="4"/>
        <v>-</v>
      </c>
      <c r="O47" s="101" t="e">
        <f ca="1">IF(OR(_xll.BDP($E47,O$3)="#N/A N/A",_xll.BDP($E47,O$3)="#N/A Invalid Security"), "-", _xll.BDP($E47,O$3))</f>
        <v>#NAME?</v>
      </c>
      <c r="P47" s="182" t="str">
        <f ca="1">IF(ISNUMBER(_xll.BDH($F47,"PX_LAST",TEXT($E$2,"YYYYMMDD"),TEXT($E$2,"YYYYMMDD"),"days=a","fill=p")),_xll.BDH($F47,"PX_LAST",TEXT($E$2,"YYYYMMDD"),TEXT($E$2,"YYYYMMDD"),"days=a","fill=p"),"-")</f>
        <v>-</v>
      </c>
      <c r="Q47" s="182" t="str">
        <f ca="1">IF(ISNUMBER(_xll.BDH($F47,"PX_LAST",TEXT($E$2-7,"YYYYMMDD"),TEXT($E$2-7,"YYYYMMDD"),"days=a","fill=p")),_xll.BDH($F47,"PX_LAST",TEXT($E$2-7,"YYYYMMDD"),TEXT($E$2-7,"YYYYMMDD"),"days=a","fill=p"),"-")</f>
        <v>-</v>
      </c>
      <c r="R47" s="102" t="str">
        <f t="shared" ca="1" si="5"/>
        <v>-</v>
      </c>
      <c r="S47" s="103" t="str">
        <f ca="1">IF(ISNUMBER(_xll.BDP($F47,S$3)),_xll.BDP($F47,S$3),"-")</f>
        <v>-</v>
      </c>
      <c r="T47" s="104" t="e">
        <f t="shared" ca="1" si="16"/>
        <v>#NAME?</v>
      </c>
      <c r="U47" s="105" t="e">
        <f ca="1">IF(OR(_xll.BDP($E47,U$3)="#N/A N/A",_xll.BDP($E47,U$3)="#N/A Invalid Security"), "-", _xll.BDP($E47,U$3))</f>
        <v>#NAME?</v>
      </c>
      <c r="V47" s="105" t="e">
        <f ca="1">IF(OR(_xll.BDP($E47,V$2)="#N/A N/A",_xll.BDP($E47,V$2)="#N/A Invalid Security"), "-", _xll.BDP($E47,V$2))</f>
        <v>#NAME?</v>
      </c>
      <c r="W47" s="106" t="e">
        <f ca="1">IF(OR(_xll.BDP($E47,W$3)="#N/A N/A",_xll.BDP($E47,W$3)="#N/A Invalid Security"), "-", _xll.BDP($E47,W$3))</f>
        <v>#NAME?</v>
      </c>
      <c r="X47" s="105" t="e">
        <f ca="1">IF(OR(_xll.BDP($E47,X$3)="#N/A N/A",_xll.BDP($E47,X$3)="#N/A Invalid Security"), " ", _xll.BDP($E47,X$3))</f>
        <v>#NAME?</v>
      </c>
      <c r="Y47" s="105" t="e">
        <f ca="1">IF(OR(_xll.BDP($E47,Y$3)="#N/A N/A",_xll.BDP($E47,Y$3)="#N/A Invalid Security"), " ", _xll.BDP($E47,Y$3))</f>
        <v>#NAME?</v>
      </c>
      <c r="Z47" s="106" t="e">
        <f ca="1">IF(OR(_xll.BDP($E47,Z$3)="#N/A N/A",_xll.BDP($E47,Z$3)="#N/A Invalid Security"), " ", _xll.BDP($E47,Z$3))</f>
        <v>#NAME?</v>
      </c>
      <c r="AA47" s="107"/>
      <c r="AB47" s="93" t="s">
        <v>953</v>
      </c>
      <c r="AC47" s="93" t="s">
        <v>939</v>
      </c>
      <c r="AD47" s="93" t="s">
        <v>987</v>
      </c>
      <c r="AE47" s="93" t="s">
        <v>940</v>
      </c>
      <c r="AF47" s="93" t="s">
        <v>940</v>
      </c>
      <c r="AG47" s="93" t="s">
        <v>936</v>
      </c>
      <c r="AH47" s="95" t="e">
        <f t="shared" ca="1" si="22"/>
        <v>#NAME?</v>
      </c>
      <c r="AI47" s="95" t="e">
        <f t="shared" ca="1" si="22"/>
        <v>#NAME?</v>
      </c>
      <c r="AJ47" s="95" t="e">
        <f t="shared" ca="1" si="22"/>
        <v>#NAME?</v>
      </c>
      <c r="AK47" s="95" t="e">
        <f t="shared" ca="1" si="22"/>
        <v>#NAME?</v>
      </c>
      <c r="AL47" s="95" t="e">
        <f t="shared" ca="1" si="22"/>
        <v>#NAME?</v>
      </c>
      <c r="AM47" s="95" t="e">
        <f t="shared" ca="1" si="22"/>
        <v>#NAME?</v>
      </c>
      <c r="AN47" s="66" t="str">
        <f t="shared" ca="1" si="24"/>
        <v/>
      </c>
      <c r="AO47" s="108" t="e" cm="1">
        <f t="array" aca="1" ref="AO47" ca="1">_xll.BDP($E47,"cur_mkt_cap")</f>
        <v>#NAME?</v>
      </c>
      <c r="AP47" s="108" t="e" cm="1">
        <f t="array" aca="1" ref="AP47" ca="1">_xll.BDP($E47,"crncy")</f>
        <v>#NAME?</v>
      </c>
      <c r="AQ47" s="109" t="e" cm="1">
        <f t="array" aca="1" ref="AQ47" ca="1">_xll.BDP("USD"&amp;AP47&amp;" curncy","px_last")</f>
        <v>#NAME?</v>
      </c>
      <c r="AR47" s="109" t="e">
        <f t="shared" ca="1" si="20"/>
        <v>#NAME?</v>
      </c>
      <c r="AT47" s="66" t="str">
        <f t="shared" ca="1" si="21"/>
        <v/>
      </c>
      <c r="AU47" s="66" t="str">
        <f t="shared" ca="1" si="21"/>
        <v/>
      </c>
      <c r="AV47" s="66" t="str">
        <f t="shared" ca="1" si="21"/>
        <v/>
      </c>
      <c r="AW47" s="73" t="str" cm="1">
        <f t="array" aca="1" ref="AW47" ca="1">IF(ISERROR(DATEVALUE(_xll.BDP($E47,AW$6))),"",DATEVALUE(_xll.BDP($E47,AW$6)))</f>
        <v/>
      </c>
      <c r="AX47" s="73" t="str" cm="1">
        <f t="array" aca="1" ref="AX47" ca="1">IF(ISERROR(DATEVALUE(_xll.BDP($E47,AX$2))),"",DATEVALUE(_xll.BDP($E47,AX$2)))</f>
        <v/>
      </c>
      <c r="AY47" s="73" t="str" cm="1">
        <f t="array" aca="1" ref="AY47" ca="1">IF(ISERROR(DATEVALUE(_xll.BDP($E47,AY$6))),"",DATEVALUE(_xll.BDP($E47,AY$6)))</f>
        <v/>
      </c>
      <c r="AZ47" s="110" t="e" cm="1">
        <f t="array" aca="1" ref="AZ47" ca="1">IF(_xll.BQL($E47, "last(matches(px_last(dates=range(-1w,0d)), dayofweek(px_last(dates=range(-1w,0d)).date)==6))")="#N/A","-",_xll.BQL($E47, "last(matches(px_last(dates=range(-1w,0d)), dayofweek(px_last(dates=range(-1w,0d)).date)==6))"))</f>
        <v>#NAME?</v>
      </c>
      <c r="BA47" s="109" t="e" cm="1">
        <f t="array" aca="1" ref="BA47" ca="1">IF(_xll.BQL(E47,"first(last(matches(px_last(dates=range(-1M,0D)),dayofweek(px_last(dates=range(-1M,0D)).date)==6),2),1)")="#N/A","-",_xll.BQL(E47,"first(last(matches(px_last(dates=range(-1M,0D)),dayofweek(px_last(dates=range(-1M,0D)).date)==6),2),1)"))</f>
        <v>#NAME?</v>
      </c>
      <c r="BB47" s="109" t="str">
        <f t="shared" ca="1" si="23"/>
        <v>-</v>
      </c>
    </row>
    <row r="48" spans="5:54" ht="16.149999999999999" customHeight="1" thickBot="1">
      <c r="E48" s="111" t="s">
        <v>996</v>
      </c>
      <c r="F48" s="66" t="e">
        <f ca="1">_xll.BDP($E48,F$3)&amp;" BEST Curncy"</f>
        <v>#NAME?</v>
      </c>
      <c r="G48" s="97" t="e">
        <f t="shared" ca="1" si="17"/>
        <v>#NAME?</v>
      </c>
      <c r="I48" s="633"/>
      <c r="J48" s="98" t="e">
        <f ca="1">_xll.BDP($E48,J$3)</f>
        <v>#NAME?</v>
      </c>
      <c r="K48" s="99" t="e">
        <f ca="1">_xll.BDP($E48,K$3)</f>
        <v>#NAME?</v>
      </c>
      <c r="L48" s="100" t="str">
        <f ca="1">IF(ISNUMBER(_xll.BDH($E48,"PX_LAST",TEXT($E$2,"YYYYMMDD"),TEXT($E$2,"YYYYMMDD"),"days=a","fill=p")),_xll.BDH($E48,"PX_LAST",TEXT($E$2,"YYYYMMDD"),TEXT($E$2,"YYYYMMDD"),"days=a","fill=p"),"-")</f>
        <v>-</v>
      </c>
      <c r="M48" s="100" t="str">
        <f ca="1">IF(ISNUMBER(_xll.BDH($E48,"PX_LAST",TEXT($E$2-7,"YYYYMMDD"),TEXT($E$2-7,"YYYYMMDD"),"days=a","fill=p")),_xll.BDH($E48,"PX_LAST",TEXT($E$2-7,"YYYYMMDD"),TEXT($E$2-7,"YYYYMMDD"),"days=a","fill=p"),"-")</f>
        <v>-</v>
      </c>
      <c r="N48" s="180" t="str">
        <f t="shared" ca="1" si="4"/>
        <v>-</v>
      </c>
      <c r="O48" s="101" t="e">
        <f ca="1">IF(OR(_xll.BDP($E48,O$3)="#N/A N/A",_xll.BDP($E48,O$3)="#N/A Invalid Security"), "-", _xll.BDP($E48,O$3))</f>
        <v>#NAME?</v>
      </c>
      <c r="P48" s="182" t="str">
        <f ca="1">IF(ISNUMBER(_xll.BDH($F48,"PX_LAST",TEXT($E$2,"YYYYMMDD"),TEXT($E$2,"YYYYMMDD"),"days=a","fill=p")),_xll.BDH($F48,"PX_LAST",TEXT($E$2,"YYYYMMDD"),TEXT($E$2,"YYYYMMDD"),"days=a","fill=p"),"-")</f>
        <v>-</v>
      </c>
      <c r="Q48" s="182" t="str">
        <f ca="1">IF(ISNUMBER(_xll.BDH($F48,"PX_LAST",TEXT($E$2-7,"YYYYMMDD"),TEXT($E$2-7,"YYYYMMDD"),"days=a","fill=p")),_xll.BDH($F48,"PX_LAST",TEXT($E$2-7,"YYYYMMDD"),TEXT($E$2-7,"YYYYMMDD"),"days=a","fill=p"),"-")</f>
        <v>-</v>
      </c>
      <c r="R48" s="102" t="str">
        <f t="shared" ca="1" si="5"/>
        <v>-</v>
      </c>
      <c r="S48" s="103" t="str">
        <f ca="1">IF(ISNUMBER(_xll.BDP($F48,S$3)),_xll.BDP($F48,S$3),"-")</f>
        <v>-</v>
      </c>
      <c r="T48" s="104" t="e">
        <f t="shared" ca="1" si="16"/>
        <v>#NAME?</v>
      </c>
      <c r="U48" s="105" t="e">
        <f ca="1">IF(OR(_xll.BDP($E48,U$3)="#N/A N/A",_xll.BDP($E48,U$3)="#N/A Invalid Security"), "-", _xll.BDP($E48,U$3))</f>
        <v>#NAME?</v>
      </c>
      <c r="V48" s="105" t="e">
        <f ca="1">IF(OR(_xll.BDP($E48,V$2)="#N/A N/A",_xll.BDP($E48,V$2)="#N/A Invalid Security"), "-", _xll.BDP($E48,V$2))</f>
        <v>#NAME?</v>
      </c>
      <c r="W48" s="106" t="e">
        <f ca="1">IF(OR(_xll.BDP($E48,W$3)="#N/A N/A",_xll.BDP($E48,W$3)="#N/A Invalid Security"), "-", _xll.BDP($E48,W$3))</f>
        <v>#NAME?</v>
      </c>
      <c r="X48" s="105" t="e">
        <f ca="1">IF(OR(_xll.BDP($E48,X$3)="#N/A N/A",_xll.BDP($E48,X$3)="#N/A Invalid Security"), " ", _xll.BDP($E48,X$3))</f>
        <v>#NAME?</v>
      </c>
      <c r="Y48" s="105" t="e">
        <f ca="1">IF(OR(_xll.BDP($E48,Y$3)="#N/A N/A",_xll.BDP($E48,Y$3)="#N/A Invalid Security"), " ", _xll.BDP($E48,Y$3))</f>
        <v>#NAME?</v>
      </c>
      <c r="Z48" s="106" t="e">
        <f ca="1">IF(OR(_xll.BDP($E48,Z$3)="#N/A N/A",_xll.BDP($E48,Z$3)="#N/A Invalid Security"), " ", _xll.BDP($E48,Z$3))</f>
        <v>#NAME?</v>
      </c>
      <c r="AA48" s="107"/>
      <c r="AB48" s="93" t="s">
        <v>997</v>
      </c>
      <c r="AC48" s="93" t="s">
        <v>998</v>
      </c>
      <c r="AD48" s="93" t="s">
        <v>999</v>
      </c>
      <c r="AE48" s="93" t="s">
        <v>940</v>
      </c>
      <c r="AF48" s="93" t="s">
        <v>940</v>
      </c>
      <c r="AG48" s="93" t="s">
        <v>940</v>
      </c>
      <c r="AH48" s="95" t="e">
        <f t="shared" ca="1" si="22"/>
        <v>#NAME?</v>
      </c>
      <c r="AI48" s="95" t="e">
        <f t="shared" ca="1" si="22"/>
        <v>#NAME?</v>
      </c>
      <c r="AJ48" s="95" t="e">
        <f t="shared" ca="1" si="22"/>
        <v>#NAME?</v>
      </c>
      <c r="AK48" s="95" t="e">
        <f t="shared" ca="1" si="22"/>
        <v>#NAME?</v>
      </c>
      <c r="AL48" s="95" t="e">
        <f t="shared" ca="1" si="22"/>
        <v>#NAME?</v>
      </c>
      <c r="AM48" s="95" t="e">
        <f t="shared" ca="1" si="22"/>
        <v>#NAME?</v>
      </c>
      <c r="AN48" s="66" t="str">
        <f t="shared" ca="1" si="24"/>
        <v/>
      </c>
      <c r="AO48" s="108" t="e" cm="1">
        <f t="array" aca="1" ref="AO48" ca="1">_xll.BDP($E48,"cur_mkt_cap")</f>
        <v>#NAME?</v>
      </c>
      <c r="AP48" s="108" t="e" cm="1">
        <f t="array" aca="1" ref="AP48" ca="1">_xll.BDP($E48,"crncy")</f>
        <v>#NAME?</v>
      </c>
      <c r="AQ48" s="109" t="e" cm="1">
        <f t="array" aca="1" ref="AQ48" ca="1">_xll.BDP("USD"&amp;AP48&amp;" curncy","px_last")</f>
        <v>#NAME?</v>
      </c>
      <c r="AR48" s="109" t="e">
        <f t="shared" ca="1" si="20"/>
        <v>#NAME?</v>
      </c>
      <c r="AT48" s="66" t="str">
        <f t="shared" ca="1" si="21"/>
        <v/>
      </c>
      <c r="AU48" s="66" t="str">
        <f t="shared" ca="1" si="21"/>
        <v/>
      </c>
      <c r="AV48" s="66" t="str">
        <f t="shared" ca="1" si="21"/>
        <v/>
      </c>
      <c r="AW48" s="73" t="str" cm="1">
        <f t="array" aca="1" ref="AW48" ca="1">IF(ISERROR(DATEVALUE(_xll.BDP($E48,AW$6))),"",DATEVALUE(_xll.BDP($E48,AW$6)))</f>
        <v/>
      </c>
      <c r="AX48" s="73" t="str" cm="1">
        <f t="array" aca="1" ref="AX48" ca="1">IF(ISERROR(DATEVALUE(_xll.BDP($E48,AX$2))),"",DATEVALUE(_xll.BDP($E48,AX$2)))</f>
        <v/>
      </c>
      <c r="AY48" s="73" t="str" cm="1">
        <f t="array" aca="1" ref="AY48" ca="1">IF(ISERROR(DATEVALUE(_xll.BDP($E48,AY$6))),"",DATEVALUE(_xll.BDP($E48,AY$6)))</f>
        <v/>
      </c>
      <c r="AZ48" s="110" t="e" cm="1">
        <f t="array" aca="1" ref="AZ48" ca="1">IF(_xll.BQL($E48, "last(matches(px_last(dates=range(-1w,0d)), dayofweek(px_last(dates=range(-1w,0d)).date)==6))")="#N/A","-",_xll.BQL($E48, "last(matches(px_last(dates=range(-1w,0d)), dayofweek(px_last(dates=range(-1w,0d)).date)==6))"))</f>
        <v>#NAME?</v>
      </c>
      <c r="BA48" s="109" t="e" cm="1">
        <f t="array" aca="1" ref="BA48" ca="1">IF(_xll.BQL(E48,"first(last(matches(px_last(dates=range(-1M,0D)),dayofweek(px_last(dates=range(-1M,0D)).date)==6),2),1)")="#N/A","-",_xll.BQL(E48,"first(last(matches(px_last(dates=range(-1M,0D)),dayofweek(px_last(dates=range(-1M,0D)).date)==6),2),1)"))</f>
        <v>#NAME?</v>
      </c>
      <c r="BB48" s="109" t="str">
        <f t="shared" ca="1" si="23"/>
        <v>-</v>
      </c>
    </row>
    <row r="49" spans="5:54" ht="16.5" customHeight="1" thickBot="1">
      <c r="E49" s="111" t="s">
        <v>1000</v>
      </c>
      <c r="F49" s="66" t="e">
        <f ca="1">_xll.BDP($E49,F$3)&amp;" BEST Curncy"</f>
        <v>#NAME?</v>
      </c>
      <c r="G49" s="97" t="e">
        <f t="shared" ca="1" si="17"/>
        <v>#NAME?</v>
      </c>
      <c r="I49" s="633"/>
      <c r="J49" s="98" t="e">
        <f ca="1">_xll.BDP($E49,J$3)</f>
        <v>#NAME?</v>
      </c>
      <c r="K49" s="99" t="e">
        <f ca="1">_xll.BDP($E49,K$3)</f>
        <v>#NAME?</v>
      </c>
      <c r="L49" s="100" t="str">
        <f ca="1">IF(ISNUMBER(_xll.BDH($E49,"PX_LAST",TEXT($E$2,"YYYYMMDD"),TEXT($E$2,"YYYYMMDD"),"days=a","fill=p")),_xll.BDH($E49,"PX_LAST",TEXT($E$2,"YYYYMMDD"),TEXT($E$2,"YYYYMMDD"),"days=a","fill=p"),"-")</f>
        <v>-</v>
      </c>
      <c r="M49" s="100" t="str">
        <f ca="1">IF(ISNUMBER(_xll.BDH($E49,"PX_LAST",TEXT($E$2-7,"YYYYMMDD"),TEXT($E$2-7,"YYYYMMDD"),"days=a","fill=p")),_xll.BDH($E49,"PX_LAST",TEXT($E$2-7,"YYYYMMDD"),TEXT($E$2-7,"YYYYMMDD"),"days=a","fill=p"),"-")</f>
        <v>-</v>
      </c>
      <c r="N49" s="180" t="str">
        <f t="shared" ca="1" si="4"/>
        <v>-</v>
      </c>
      <c r="O49" s="101" t="e">
        <f ca="1">IF(OR(_xll.BDP($E49,O$3)="#N/A N/A",_xll.BDP($E49,O$3)="#N/A Invalid Security"), "-", _xll.BDP($E49,O$3))</f>
        <v>#NAME?</v>
      </c>
      <c r="P49" s="182" t="str">
        <f ca="1">IF(ISNUMBER(_xll.BDH($F49,"PX_LAST",TEXT($E$2,"YYYYMMDD"),TEXT($E$2,"YYYYMMDD"),"days=a","fill=p")),_xll.BDH($F49,"PX_LAST",TEXT($E$2,"YYYYMMDD"),TEXT($E$2,"YYYYMMDD"),"days=a","fill=p"),"-")</f>
        <v>-</v>
      </c>
      <c r="Q49" s="182" t="str">
        <f ca="1">IF(ISNUMBER(_xll.BDH($F49,"PX_LAST",TEXT($E$2-7,"YYYYMMDD"),TEXT($E$2-7,"YYYYMMDD"),"days=a","fill=p")),_xll.BDH($F49,"PX_LAST",TEXT($E$2-7,"YYYYMMDD"),TEXT($E$2-7,"YYYYMMDD"),"days=a","fill=p"),"-")</f>
        <v>-</v>
      </c>
      <c r="R49" s="102" t="str">
        <f t="shared" ca="1" si="5"/>
        <v>-</v>
      </c>
      <c r="S49" s="103" t="str">
        <f ca="1">IF(ISNUMBER(_xll.BDP($F49,S$3)),_xll.BDP($F49,S$3),"-")</f>
        <v>-</v>
      </c>
      <c r="T49" s="104" t="e">
        <f t="shared" ca="1" si="16"/>
        <v>#NAME?</v>
      </c>
      <c r="U49" s="105" t="e">
        <f ca="1">IF(OR(_xll.BDP($E49,U$3)="#N/A N/A",_xll.BDP($E49,U$3)="#N/A Invalid Security"), "-", _xll.BDP($E49,U$3))</f>
        <v>#NAME?</v>
      </c>
      <c r="V49" s="105" t="e">
        <f ca="1">IF(OR(_xll.BDP($E49,V$2)="#N/A N/A",_xll.BDP($E49,V$2)="#N/A Invalid Security"), "-", _xll.BDP($E49,V$2))</f>
        <v>#NAME?</v>
      </c>
      <c r="W49" s="106" t="e">
        <f ca="1">IF(OR(_xll.BDP($E49,W$3)="#N/A N/A",_xll.BDP($E49,W$3)="#N/A Invalid Security"), "-", _xll.BDP($E49,W$3))</f>
        <v>#NAME?</v>
      </c>
      <c r="X49" s="105" t="e">
        <f ca="1">IF(OR(_xll.BDP($E49,X$3)="#N/A N/A",_xll.BDP($E49,X$3)="#N/A Invalid Security"), " ", _xll.BDP($E49,X$3))</f>
        <v>#NAME?</v>
      </c>
      <c r="Y49" s="105" t="e">
        <f ca="1">IF(OR(_xll.BDP($E49,Y$3)="#N/A N/A",_xll.BDP($E49,Y$3)="#N/A Invalid Security"), " ", _xll.BDP($E49,Y$3))</f>
        <v>#NAME?</v>
      </c>
      <c r="Z49" s="106" t="e">
        <f ca="1">IF(OR(_xll.BDP($E49,Z$3)="#N/A N/A",_xll.BDP($E49,Z$3)="#N/A Invalid Security"), " ", _xll.BDP($E49,Z$3))</f>
        <v>#NAME?</v>
      </c>
      <c r="AA49" s="107"/>
      <c r="AB49" s="93" t="s">
        <v>997</v>
      </c>
      <c r="AC49" s="93" t="s">
        <v>998</v>
      </c>
      <c r="AD49" s="93" t="s">
        <v>934</v>
      </c>
      <c r="AE49" s="93" t="s">
        <v>940</v>
      </c>
      <c r="AF49" s="93" t="s">
        <v>940</v>
      </c>
      <c r="AG49" s="93" t="s">
        <v>936</v>
      </c>
      <c r="AH49" s="95" t="e">
        <f t="shared" ca="1" si="22"/>
        <v>#NAME?</v>
      </c>
      <c r="AI49" s="95" t="e">
        <f t="shared" ca="1" si="22"/>
        <v>#NAME?</v>
      </c>
      <c r="AJ49" s="95" t="e">
        <f t="shared" ca="1" si="22"/>
        <v>#NAME?</v>
      </c>
      <c r="AK49" s="95" t="e">
        <f t="shared" ca="1" si="22"/>
        <v>#NAME?</v>
      </c>
      <c r="AL49" s="95" t="e">
        <f t="shared" ca="1" si="22"/>
        <v>#NAME?</v>
      </c>
      <c r="AM49" s="95" t="e">
        <f t="shared" ca="1" si="22"/>
        <v>#NAME?</v>
      </c>
      <c r="AN49" s="66" t="str">
        <f t="shared" ca="1" si="24"/>
        <v/>
      </c>
      <c r="AO49" s="108" t="e" cm="1">
        <f t="array" aca="1" ref="AO49" ca="1">_xll.BDP($E49,"cur_mkt_cap")</f>
        <v>#NAME?</v>
      </c>
      <c r="AP49" s="108" t="e" cm="1">
        <f t="array" aca="1" ref="AP49" ca="1">_xll.BDP($E49,"crncy")</f>
        <v>#NAME?</v>
      </c>
      <c r="AQ49" s="109" t="e" cm="1">
        <f t="array" aca="1" ref="AQ49" ca="1">_xll.BDP("USD"&amp;AP49&amp;" curncy","px_last")</f>
        <v>#NAME?</v>
      </c>
      <c r="AR49" s="109" t="e">
        <f t="shared" ca="1" si="20"/>
        <v>#NAME?</v>
      </c>
      <c r="AT49" s="66" t="str">
        <f t="shared" ca="1" si="21"/>
        <v/>
      </c>
      <c r="AU49" s="66" t="str">
        <f t="shared" ca="1" si="21"/>
        <v/>
      </c>
      <c r="AV49" s="66" t="str">
        <f t="shared" ca="1" si="21"/>
        <v/>
      </c>
      <c r="AW49" s="73" t="str" cm="1">
        <f t="array" aca="1" ref="AW49" ca="1">IF(ISERROR(DATEVALUE(_xll.BDP($E49,AW$6))),"",DATEVALUE(_xll.BDP($E49,AW$6)))</f>
        <v/>
      </c>
      <c r="AX49" s="73" t="str" cm="1">
        <f t="array" aca="1" ref="AX49" ca="1">IF(ISERROR(DATEVALUE(_xll.BDP($E49,AX$2))),"",DATEVALUE(_xll.BDP($E49,AX$2)))</f>
        <v/>
      </c>
      <c r="AY49" s="73" t="str" cm="1">
        <f t="array" aca="1" ref="AY49" ca="1">IF(ISERROR(DATEVALUE(_xll.BDP($E49,AY$6))),"",DATEVALUE(_xll.BDP($E49,AY$6)))</f>
        <v/>
      </c>
      <c r="AZ49" s="110" t="e" cm="1">
        <f t="array" aca="1" ref="AZ49" ca="1">IF(_xll.BQL($E49, "last(matches(px_last(dates=range(-1w,0d)), dayofweek(px_last(dates=range(-1w,0d)).date)==6))")="#N/A","-",_xll.BQL($E49, "last(matches(px_last(dates=range(-1w,0d)), dayofweek(px_last(dates=range(-1w,0d)).date)==6))"))</f>
        <v>#NAME?</v>
      </c>
      <c r="BA49" s="109" t="e" cm="1">
        <f t="array" aca="1" ref="BA49" ca="1">IF(_xll.BQL(E49,"first(last(matches(px_last(dates=range(-1M,0D)),dayofweek(px_last(dates=range(-1M,0D)).date)==6),2),1)")="#N/A","-",_xll.BQL(E49,"first(last(matches(px_last(dates=range(-1M,0D)),dayofweek(px_last(dates=range(-1M,0D)).date)==6),2),1)"))</f>
        <v>#NAME?</v>
      </c>
      <c r="BB49" s="109" t="str">
        <f t="shared" ca="1" si="23"/>
        <v>-</v>
      </c>
    </row>
    <row r="50" spans="5:54" ht="16.5" customHeight="1" thickBot="1">
      <c r="E50" s="111" t="s">
        <v>1001</v>
      </c>
      <c r="F50" s="66" t="e">
        <f ca="1">_xll.BDP($E50,F$3)&amp;" BEST Curncy"</f>
        <v>#NAME?</v>
      </c>
      <c r="G50" s="97" t="e">
        <f t="shared" ca="1" si="17"/>
        <v>#NAME?</v>
      </c>
      <c r="I50" s="633"/>
      <c r="J50" s="98" t="e">
        <f ca="1">_xll.BDP($E50,J$3)</f>
        <v>#NAME?</v>
      </c>
      <c r="K50" s="99" t="e">
        <f ca="1">_xll.BDP($E50,K$3)</f>
        <v>#NAME?</v>
      </c>
      <c r="L50" s="100" t="str">
        <f ca="1">IF(ISNUMBER(_xll.BDH($E50,"PX_LAST",TEXT($E$2,"YYYYMMDD"),TEXT($E$2,"YYYYMMDD"),"days=a","fill=p")),_xll.BDH($E50,"PX_LAST",TEXT($E$2,"YYYYMMDD"),TEXT($E$2,"YYYYMMDD"),"days=a","fill=p"),"-")</f>
        <v>-</v>
      </c>
      <c r="M50" s="100" t="str">
        <f ca="1">IF(ISNUMBER(_xll.BDH($E50,"PX_LAST",TEXT($E$2-7,"YYYYMMDD"),TEXT($E$2-7,"YYYYMMDD"),"days=a","fill=p")),_xll.BDH($E50,"PX_LAST",TEXT($E$2-7,"YYYYMMDD"),TEXT($E$2-7,"YYYYMMDD"),"days=a","fill=p"),"-")</f>
        <v>-</v>
      </c>
      <c r="N50" s="180" t="str">
        <f t="shared" ca="1" si="4"/>
        <v>-</v>
      </c>
      <c r="O50" s="101" t="e">
        <f ca="1">IF(OR(_xll.BDP($E50,O$3)="#N/A N/A",_xll.BDP($E50,O$3)="#N/A Invalid Security"), "-", _xll.BDP($E50,O$3))</f>
        <v>#NAME?</v>
      </c>
      <c r="P50" s="182" t="str">
        <f ca="1">IF(ISNUMBER(_xll.BDH($F50,"PX_LAST",TEXT($E$2,"YYYYMMDD"),TEXT($E$2,"YYYYMMDD"),"days=a","fill=p")),_xll.BDH($F50,"PX_LAST",TEXT($E$2,"YYYYMMDD"),TEXT($E$2,"YYYYMMDD"),"days=a","fill=p"),"-")</f>
        <v>-</v>
      </c>
      <c r="Q50" s="182" t="str">
        <f ca="1">IF(ISNUMBER(_xll.BDH($F50,"PX_LAST",TEXT($E$2-7,"YYYYMMDD"),TEXT($E$2-7,"YYYYMMDD"),"days=a","fill=p")),_xll.BDH($F50,"PX_LAST",TEXT($E$2-7,"YYYYMMDD"),TEXT($E$2-7,"YYYYMMDD"),"days=a","fill=p"),"-")</f>
        <v>-</v>
      </c>
      <c r="R50" s="102" t="str">
        <f t="shared" ca="1" si="5"/>
        <v>-</v>
      </c>
      <c r="S50" s="103" t="str">
        <f ca="1">IF(ISNUMBER(_xll.BDP($F50,S$3)),_xll.BDP($F50,S$3),"-")</f>
        <v>-</v>
      </c>
      <c r="T50" s="104" t="e">
        <f t="shared" ca="1" si="16"/>
        <v>#NAME?</v>
      </c>
      <c r="U50" s="105" t="e">
        <f ca="1">IF(OR(_xll.BDP($E50,U$3)="#N/A N/A",_xll.BDP($E50,U$3)="#N/A Invalid Security"), "-", _xll.BDP($E50,U$3))</f>
        <v>#NAME?</v>
      </c>
      <c r="V50" s="105" t="e">
        <f ca="1">IF(OR(_xll.BDP($E50,V$2)="#N/A N/A",_xll.BDP($E50,V$2)="#N/A Invalid Security"), "-", _xll.BDP($E50,V$2))</f>
        <v>#NAME?</v>
      </c>
      <c r="W50" s="106" t="e">
        <f ca="1">IF(OR(_xll.BDP($E50,W$3)="#N/A N/A",_xll.BDP($E50,W$3)="#N/A Invalid Security"), "-", _xll.BDP($E50,W$3))</f>
        <v>#NAME?</v>
      </c>
      <c r="X50" s="105" t="e">
        <f ca="1">IF(OR(_xll.BDP($E50,X$3)="#N/A N/A",_xll.BDP($E50,X$3)="#N/A Invalid Security"), " ", _xll.BDP($E50,X$3))</f>
        <v>#NAME?</v>
      </c>
      <c r="Y50" s="105" t="e">
        <f ca="1">IF(OR(_xll.BDP($E50,Y$3)="#N/A N/A",_xll.BDP($E50,Y$3)="#N/A Invalid Security"), " ", _xll.BDP($E50,Y$3))</f>
        <v>#NAME?</v>
      </c>
      <c r="Z50" s="106" t="e">
        <f ca="1">IF(OR(_xll.BDP($E50,Z$3)="#N/A N/A",_xll.BDP($E50,Z$3)="#N/A Invalid Security"), " ", _xll.BDP($E50,Z$3))</f>
        <v>#NAME?</v>
      </c>
      <c r="AA50" s="107"/>
      <c r="AB50" s="93" t="s">
        <v>953</v>
      </c>
      <c r="AC50" s="93" t="s">
        <v>939</v>
      </c>
      <c r="AD50" s="93" t="s">
        <v>1002</v>
      </c>
      <c r="AE50" s="93" t="s">
        <v>940</v>
      </c>
      <c r="AF50" s="93" t="s">
        <v>940</v>
      </c>
      <c r="AG50" s="93" t="s">
        <v>936</v>
      </c>
      <c r="AH50" s="95" t="e">
        <f t="shared" ca="1" si="22"/>
        <v>#NAME?</v>
      </c>
      <c r="AI50" s="95" t="e">
        <f t="shared" ca="1" si="22"/>
        <v>#NAME?</v>
      </c>
      <c r="AJ50" s="95" t="e">
        <f t="shared" ca="1" si="22"/>
        <v>#NAME?</v>
      </c>
      <c r="AK50" s="95" t="e">
        <f t="shared" ca="1" si="22"/>
        <v>#NAME?</v>
      </c>
      <c r="AL50" s="95" t="e">
        <f t="shared" ca="1" si="22"/>
        <v>#NAME?</v>
      </c>
      <c r="AM50" s="95" t="e">
        <f t="shared" ca="1" si="22"/>
        <v>#NAME?</v>
      </c>
      <c r="AN50" s="66" t="str">
        <f t="shared" ca="1" si="24"/>
        <v/>
      </c>
      <c r="AO50" s="108" t="e" cm="1">
        <f t="array" aca="1" ref="AO50" ca="1">_xll.BDP($E50,"cur_mkt_cap")</f>
        <v>#NAME?</v>
      </c>
      <c r="AP50" s="108" t="e" cm="1">
        <f t="array" aca="1" ref="AP50" ca="1">_xll.BDP($E50,"crncy")</f>
        <v>#NAME?</v>
      </c>
      <c r="AQ50" s="109" t="e" cm="1">
        <f t="array" aca="1" ref="AQ50" ca="1">_xll.BDP("USD"&amp;AP50&amp;" curncy","px_last")</f>
        <v>#NAME?</v>
      </c>
      <c r="AR50" s="109" t="e">
        <f t="shared" ca="1" si="20"/>
        <v>#NAME?</v>
      </c>
      <c r="AT50" s="66" t="str">
        <f t="shared" ca="1" si="21"/>
        <v/>
      </c>
      <c r="AU50" s="66" t="str">
        <f t="shared" ca="1" si="21"/>
        <v/>
      </c>
      <c r="AV50" s="66" t="str">
        <f t="shared" ca="1" si="21"/>
        <v/>
      </c>
      <c r="AW50" s="73" t="str" cm="1">
        <f t="array" aca="1" ref="AW50" ca="1">IF(ISERROR(DATEVALUE(_xll.BDP($E50,AW$6))),"",DATEVALUE(_xll.BDP($E50,AW$6)))</f>
        <v/>
      </c>
      <c r="AX50" s="73" t="str" cm="1">
        <f t="array" aca="1" ref="AX50" ca="1">IF(ISERROR(DATEVALUE(_xll.BDP($E50,AX$2))),"",DATEVALUE(_xll.BDP($E50,AX$2)))</f>
        <v/>
      </c>
      <c r="AY50" s="73" t="str" cm="1">
        <f t="array" aca="1" ref="AY50" ca="1">IF(ISERROR(DATEVALUE(_xll.BDP($E50,AY$6))),"",DATEVALUE(_xll.BDP($E50,AY$6)))</f>
        <v/>
      </c>
      <c r="AZ50" s="110" t="e" cm="1">
        <f t="array" aca="1" ref="AZ50" ca="1">IF(_xll.BQL($E50, "last(matches(px_last(dates=range(-1w,0d)), dayofweek(px_last(dates=range(-1w,0d)).date)==6))")="#N/A","-",_xll.BQL($E50, "last(matches(px_last(dates=range(-1w,0d)), dayofweek(px_last(dates=range(-1w,0d)).date)==6))"))</f>
        <v>#NAME?</v>
      </c>
      <c r="BA50" s="109" t="e" cm="1">
        <f t="array" aca="1" ref="BA50" ca="1">IF(_xll.BQL(E50,"first(last(matches(px_last(dates=range(-1M,0D)),dayofweek(px_last(dates=range(-1M,0D)).date)==6),2),1)")="#N/A","-",_xll.BQL(E50,"first(last(matches(px_last(dates=range(-1M,0D)),dayofweek(px_last(dates=range(-1M,0D)).date)==6),2),1)"))</f>
        <v>#NAME?</v>
      </c>
      <c r="BB50" s="109" t="str">
        <f t="shared" ca="1" si="23"/>
        <v>-</v>
      </c>
    </row>
    <row r="51" spans="5:54" ht="16.5" customHeight="1" thickBot="1">
      <c r="E51" s="111" t="s">
        <v>1003</v>
      </c>
      <c r="F51" s="66" t="e">
        <f ca="1">_xll.BDP($E51,F$3)&amp;" BEST Curncy"</f>
        <v>#NAME?</v>
      </c>
      <c r="G51" s="97" t="e">
        <f t="shared" ca="1" si="17"/>
        <v>#NAME?</v>
      </c>
      <c r="I51" s="633"/>
      <c r="J51" s="98" t="e">
        <f ca="1">_xll.BDP($E51,J$3)</f>
        <v>#NAME?</v>
      </c>
      <c r="K51" s="99" t="e">
        <f ca="1">_xll.BDP($E51,K$3)</f>
        <v>#NAME?</v>
      </c>
      <c r="L51" s="100" t="str">
        <f ca="1">IF(ISNUMBER(_xll.BDH($E51,"PX_LAST",TEXT($E$2,"YYYYMMDD"),TEXT($E$2,"YYYYMMDD"),"days=a","fill=p")),_xll.BDH($E51,"PX_LAST",TEXT($E$2,"YYYYMMDD"),TEXT($E$2,"YYYYMMDD"),"days=a","fill=p"),"-")</f>
        <v>-</v>
      </c>
      <c r="M51" s="100" t="str">
        <f ca="1">IF(ISNUMBER(_xll.BDH($E51,"PX_LAST",TEXT($E$2-7,"YYYYMMDD"),TEXT($E$2-7,"YYYYMMDD"),"days=a","fill=p")),_xll.BDH($E51,"PX_LAST",TEXT($E$2-7,"YYYYMMDD"),TEXT($E$2-7,"YYYYMMDD"),"days=a","fill=p"),"-")</f>
        <v>-</v>
      </c>
      <c r="N51" s="180" t="str">
        <f t="shared" ca="1" si="4"/>
        <v>-</v>
      </c>
      <c r="O51" s="101" t="e">
        <f ca="1">IF(OR(_xll.BDP($E51,O$3)="#N/A N/A",_xll.BDP($E51,O$3)="#N/A Invalid Security"), "-", _xll.BDP($E51,O$3))</f>
        <v>#NAME?</v>
      </c>
      <c r="P51" s="182" t="str">
        <f ca="1">IF(ISNUMBER(_xll.BDH($F51,"PX_LAST",TEXT($E$2,"YYYYMMDD"),TEXT($E$2,"YYYYMMDD"),"days=a","fill=p")),_xll.BDH($F51,"PX_LAST",TEXT($E$2,"YYYYMMDD"),TEXT($E$2,"YYYYMMDD"),"days=a","fill=p"),"-")</f>
        <v>-</v>
      </c>
      <c r="Q51" s="182" t="str">
        <f ca="1">IF(ISNUMBER(_xll.BDH($F51,"PX_LAST",TEXT($E$2-7,"YYYYMMDD"),TEXT($E$2-7,"YYYYMMDD"),"days=a","fill=p")),_xll.BDH($F51,"PX_LAST",TEXT($E$2-7,"YYYYMMDD"),TEXT($E$2-7,"YYYYMMDD"),"days=a","fill=p"),"-")</f>
        <v>-</v>
      </c>
      <c r="R51" s="102" t="str">
        <f t="shared" ca="1" si="5"/>
        <v>-</v>
      </c>
      <c r="S51" s="103" t="str">
        <f ca="1">IF(ISNUMBER(_xll.BDP($F51,S$3)),_xll.BDP($F51,S$3),"-")</f>
        <v>-</v>
      </c>
      <c r="T51" s="104" t="e">
        <f t="shared" ca="1" si="16"/>
        <v>#NAME?</v>
      </c>
      <c r="U51" s="105" t="e">
        <f ca="1">IF(OR(_xll.BDP($E51,U$3)="#N/A N/A",_xll.BDP($E51,U$3)="#N/A Invalid Security"), "-", _xll.BDP($E51,U$3))</f>
        <v>#NAME?</v>
      </c>
      <c r="V51" s="105" t="e">
        <f ca="1">IF(OR(_xll.BDP($E51,V$2)="#N/A N/A",_xll.BDP($E51,V$2)="#N/A Invalid Security"), "-", _xll.BDP($E51,V$2))</f>
        <v>#NAME?</v>
      </c>
      <c r="W51" s="106" t="e">
        <f ca="1">IF(OR(_xll.BDP($E51,W$3)="#N/A N/A",_xll.BDP($E51,W$3)="#N/A Invalid Security"), "-", _xll.BDP($E51,W$3))</f>
        <v>#NAME?</v>
      </c>
      <c r="X51" s="105" t="e">
        <f ca="1">IF(OR(_xll.BDP($E51,X$3)="#N/A N/A",_xll.BDP($E51,X$3)="#N/A Invalid Security"), " ", _xll.BDP($E51,X$3))</f>
        <v>#NAME?</v>
      </c>
      <c r="Y51" s="105" t="e">
        <f ca="1">IF(OR(_xll.BDP($E51,Y$3)="#N/A N/A",_xll.BDP($E51,Y$3)="#N/A Invalid Security"), " ", _xll.BDP($E51,Y$3))</f>
        <v>#NAME?</v>
      </c>
      <c r="Z51" s="106" t="e">
        <f ca="1">IF(OR(_xll.BDP($E51,Z$3)="#N/A N/A",_xll.BDP($E51,Z$3)="#N/A Invalid Security"), " ", _xll.BDP($E51,Z$3))</f>
        <v>#NAME?</v>
      </c>
      <c r="AA51" s="107"/>
      <c r="AB51" s="93" t="s">
        <v>1004</v>
      </c>
      <c r="AC51" s="93" t="s">
        <v>874</v>
      </c>
      <c r="AD51" s="93" t="s">
        <v>876</v>
      </c>
      <c r="AE51" s="93" t="s">
        <v>935</v>
      </c>
      <c r="AF51" s="93" t="s">
        <v>935</v>
      </c>
      <c r="AG51" s="93" t="s">
        <v>940</v>
      </c>
      <c r="AH51" s="95" t="e">
        <f t="shared" ca="1" si="22"/>
        <v>#NAME?</v>
      </c>
      <c r="AI51" s="95" t="e">
        <f t="shared" ca="1" si="22"/>
        <v>#NAME?</v>
      </c>
      <c r="AJ51" s="95" t="e">
        <f t="shared" ca="1" si="22"/>
        <v>#NAME?</v>
      </c>
      <c r="AK51" s="95" t="e">
        <f t="shared" ca="1" si="22"/>
        <v>#NAME?</v>
      </c>
      <c r="AL51" s="95" t="e">
        <f t="shared" ca="1" si="22"/>
        <v>#NAME?</v>
      </c>
      <c r="AM51" s="95" t="e">
        <f t="shared" ca="1" si="22"/>
        <v>#NAME?</v>
      </c>
      <c r="AN51" s="66" t="str">
        <f t="shared" ca="1" si="24"/>
        <v/>
      </c>
      <c r="AO51" s="108" t="e" cm="1">
        <f t="array" aca="1" ref="AO51" ca="1">_xll.BDP($E51,"cur_mkt_cap")</f>
        <v>#NAME?</v>
      </c>
      <c r="AP51" s="108" t="e" cm="1">
        <f t="array" aca="1" ref="AP51" ca="1">_xll.BDP($E51,"crncy")</f>
        <v>#NAME?</v>
      </c>
      <c r="AQ51" s="109" t="e" cm="1">
        <f t="array" aca="1" ref="AQ51" ca="1">_xll.BDP("USD"&amp;AP51&amp;" curncy","px_last")</f>
        <v>#NAME?</v>
      </c>
      <c r="AR51" s="109" t="e">
        <f t="shared" ca="1" si="20"/>
        <v>#NAME?</v>
      </c>
      <c r="AT51" s="66" t="str">
        <f t="shared" ca="1" si="21"/>
        <v/>
      </c>
      <c r="AU51" s="66" t="str">
        <f t="shared" ca="1" si="21"/>
        <v/>
      </c>
      <c r="AV51" s="66" t="str">
        <f t="shared" ca="1" si="21"/>
        <v/>
      </c>
      <c r="AW51" s="73" t="str" cm="1">
        <f t="array" aca="1" ref="AW51" ca="1">IF(ISERROR(DATEVALUE(_xll.BDP($E51,AW$6))),"",DATEVALUE(_xll.BDP($E51,AW$6)))</f>
        <v/>
      </c>
      <c r="AX51" s="73" t="str" cm="1">
        <f t="array" aca="1" ref="AX51" ca="1">IF(ISERROR(DATEVALUE(_xll.BDP($E51,AX$2))),"",DATEVALUE(_xll.BDP($E51,AX$2)))</f>
        <v/>
      </c>
      <c r="AY51" s="73" t="str" cm="1">
        <f t="array" aca="1" ref="AY51" ca="1">IF(ISERROR(DATEVALUE(_xll.BDP($E51,AY$6))),"",DATEVALUE(_xll.BDP($E51,AY$6)))</f>
        <v/>
      </c>
      <c r="AZ51" s="110" t="e" cm="1">
        <f t="array" aca="1" ref="AZ51" ca="1">IF(_xll.BQL($E51, "last(matches(px_last(dates=range(-1w,0d)), dayofweek(px_last(dates=range(-1w,0d)).date)==6))")="#N/A","-",_xll.BQL($E51, "last(matches(px_last(dates=range(-1w,0d)), dayofweek(px_last(dates=range(-1w,0d)).date)==6))"))</f>
        <v>#NAME?</v>
      </c>
      <c r="BA51" s="109" t="e" cm="1">
        <f t="array" aca="1" ref="BA51" ca="1">IF(_xll.BQL(E51,"first(last(matches(px_last(dates=range(-1M,0D)),dayofweek(px_last(dates=range(-1M,0D)).date)==6),2),1)")="#N/A","-",_xll.BQL(E51,"first(last(matches(px_last(dates=range(-1M,0D)),dayofweek(px_last(dates=range(-1M,0D)).date)==6),2),1)"))</f>
        <v>#NAME?</v>
      </c>
      <c r="BB51" s="109" t="str">
        <f t="shared" ca="1" si="23"/>
        <v>-</v>
      </c>
    </row>
    <row r="52" spans="5:54" ht="16.5" customHeight="1" thickBot="1">
      <c r="E52" s="111" t="s">
        <v>1005</v>
      </c>
      <c r="F52" s="66" t="e">
        <f ca="1">_xll.BDP($E52,F$3)&amp;" BEST Curncy"</f>
        <v>#NAME?</v>
      </c>
      <c r="G52" s="97" t="e">
        <f t="shared" ca="1" si="17"/>
        <v>#NAME?</v>
      </c>
      <c r="I52" s="633"/>
      <c r="J52" s="98" t="e">
        <f ca="1">_xll.BDP($E52,J$3)</f>
        <v>#NAME?</v>
      </c>
      <c r="K52" s="99" t="e">
        <f ca="1">_xll.BDP($E52,K$3)</f>
        <v>#NAME?</v>
      </c>
      <c r="L52" s="100" t="str">
        <f ca="1">IF(ISNUMBER(_xll.BDH($E52,"PX_LAST",TEXT($E$2,"YYYYMMDD"),TEXT($E$2,"YYYYMMDD"),"days=a","fill=p")),_xll.BDH($E52,"PX_LAST",TEXT($E$2,"YYYYMMDD"),TEXT($E$2,"YYYYMMDD"),"days=a","fill=p"),"-")</f>
        <v>-</v>
      </c>
      <c r="M52" s="100" t="str">
        <f ca="1">IF(ISNUMBER(_xll.BDH($E52,"PX_LAST",TEXT($E$2-7,"YYYYMMDD"),TEXT($E$2-7,"YYYYMMDD"),"days=a","fill=p")),_xll.BDH($E52,"PX_LAST",TEXT($E$2-7,"YYYYMMDD"),TEXT($E$2-7,"YYYYMMDD"),"days=a","fill=p"),"-")</f>
        <v>-</v>
      </c>
      <c r="N52" s="180" t="str">
        <f t="shared" ca="1" si="4"/>
        <v>-</v>
      </c>
      <c r="O52" s="101" t="e">
        <f ca="1">IF(OR(_xll.BDP($E52,O$3)="#N/A N/A",_xll.BDP($E52,O$3)="#N/A Invalid Security"), "-", _xll.BDP($E52,O$3))</f>
        <v>#NAME?</v>
      </c>
      <c r="P52" s="182" t="str">
        <f ca="1">IF(ISNUMBER(_xll.BDH($F52,"PX_LAST",TEXT($E$2,"YYYYMMDD"),TEXT($E$2,"YYYYMMDD"),"days=a","fill=p")),_xll.BDH($F52,"PX_LAST",TEXT($E$2,"YYYYMMDD"),TEXT($E$2,"YYYYMMDD"),"days=a","fill=p"),"-")</f>
        <v>-</v>
      </c>
      <c r="Q52" s="182" t="str">
        <f ca="1">IF(ISNUMBER(_xll.BDH($F52,"PX_LAST",TEXT($E$2-7,"YYYYMMDD"),TEXT($E$2-7,"YYYYMMDD"),"days=a","fill=p")),_xll.BDH($F52,"PX_LAST",TEXT($E$2-7,"YYYYMMDD"),TEXT($E$2-7,"YYYYMMDD"),"days=a","fill=p"),"-")</f>
        <v>-</v>
      </c>
      <c r="R52" s="102" t="str">
        <f t="shared" ca="1" si="5"/>
        <v>-</v>
      </c>
      <c r="S52" s="103" t="str">
        <f ca="1">IF(ISNUMBER(_xll.BDP($F52,S$3)),_xll.BDP($F52,S$3),"-")</f>
        <v>-</v>
      </c>
      <c r="T52" s="104" t="e">
        <f t="shared" ca="1" si="16"/>
        <v>#NAME?</v>
      </c>
      <c r="U52" s="105" t="e">
        <f ca="1">IF(OR(_xll.BDP($E52,U$3)="#N/A N/A",_xll.BDP($E52,U$3)="#N/A Invalid Security"), "-", _xll.BDP($E52,U$3))</f>
        <v>#NAME?</v>
      </c>
      <c r="V52" s="105" t="e">
        <f ca="1">IF(OR(_xll.BDP($E52,V$2)="#N/A N/A",_xll.BDP($E52,V$2)="#N/A Invalid Security"), "-", _xll.BDP($E52,V$2))</f>
        <v>#NAME?</v>
      </c>
      <c r="W52" s="106" t="e">
        <f ca="1">IF(OR(_xll.BDP($E52,W$3)="#N/A N/A",_xll.BDP($E52,W$3)="#N/A Invalid Security"), "-", _xll.BDP($E52,W$3))</f>
        <v>#NAME?</v>
      </c>
      <c r="X52" s="105" t="e">
        <f ca="1">IF(OR(_xll.BDP($E52,X$3)="#N/A N/A",_xll.BDP($E52,X$3)="#N/A Invalid Security"), " ", _xll.BDP($E52,X$3))</f>
        <v>#NAME?</v>
      </c>
      <c r="Y52" s="105" t="e">
        <f ca="1">IF(OR(_xll.BDP($E52,Y$3)="#N/A N/A",_xll.BDP($E52,Y$3)="#N/A Invalid Security"), " ", _xll.BDP($E52,Y$3))</f>
        <v>#NAME?</v>
      </c>
      <c r="Z52" s="106" t="e">
        <f ca="1">IF(OR(_xll.BDP($E52,Z$3)="#N/A N/A",_xll.BDP($E52,Z$3)="#N/A Invalid Security"), " ", _xll.BDP($E52,Z$3))</f>
        <v>#NAME?</v>
      </c>
      <c r="AA52" s="107"/>
      <c r="AB52" s="93" t="s">
        <v>997</v>
      </c>
      <c r="AC52" s="93" t="s">
        <v>998</v>
      </c>
      <c r="AD52" s="93" t="s">
        <v>987</v>
      </c>
      <c r="AE52" s="93" t="s">
        <v>940</v>
      </c>
      <c r="AF52" s="93" t="s">
        <v>940</v>
      </c>
      <c r="AG52" s="93" t="s">
        <v>936</v>
      </c>
      <c r="AH52" s="95" t="e">
        <f t="shared" ca="1" si="22"/>
        <v>#NAME?</v>
      </c>
      <c r="AI52" s="95" t="e">
        <f t="shared" ca="1" si="22"/>
        <v>#NAME?</v>
      </c>
      <c r="AJ52" s="95" t="e">
        <f t="shared" ca="1" si="22"/>
        <v>#NAME?</v>
      </c>
      <c r="AK52" s="95" t="e">
        <f t="shared" ca="1" si="22"/>
        <v>#NAME?</v>
      </c>
      <c r="AL52" s="95" t="e">
        <f t="shared" ca="1" si="22"/>
        <v>#NAME?</v>
      </c>
      <c r="AM52" s="95" t="e">
        <f t="shared" ca="1" si="22"/>
        <v>#NAME?</v>
      </c>
      <c r="AN52" s="66" t="str">
        <f t="shared" ca="1" si="24"/>
        <v/>
      </c>
      <c r="AO52" s="108" t="e" cm="1">
        <f t="array" aca="1" ref="AO52" ca="1">_xll.BDP($E52,"cur_mkt_cap")</f>
        <v>#NAME?</v>
      </c>
      <c r="AP52" s="108" t="e" cm="1">
        <f t="array" aca="1" ref="AP52" ca="1">_xll.BDP($E52,"crncy")</f>
        <v>#NAME?</v>
      </c>
      <c r="AQ52" s="109" t="e" cm="1">
        <f t="array" aca="1" ref="AQ52" ca="1">_xll.BDP("USD"&amp;AP52&amp;" curncy","px_last")</f>
        <v>#NAME?</v>
      </c>
      <c r="AR52" s="109" t="e">
        <f t="shared" ca="1" si="20"/>
        <v>#NAME?</v>
      </c>
      <c r="AT52" s="66" t="str">
        <f t="shared" ca="1" si="21"/>
        <v/>
      </c>
      <c r="AU52" s="66" t="str">
        <f t="shared" ca="1" si="21"/>
        <v/>
      </c>
      <c r="AV52" s="66" t="str">
        <f t="shared" ca="1" si="21"/>
        <v/>
      </c>
      <c r="AW52" s="73" t="str" cm="1">
        <f t="array" aca="1" ref="AW52" ca="1">IF(ISERROR(DATEVALUE(_xll.BDP($E52,AW$6))),"",DATEVALUE(_xll.BDP($E52,AW$6)))</f>
        <v/>
      </c>
      <c r="AX52" s="73" t="str" cm="1">
        <f t="array" aca="1" ref="AX52" ca="1">IF(ISERROR(DATEVALUE(_xll.BDP($E52,AX$2))),"",DATEVALUE(_xll.BDP($E52,AX$2)))</f>
        <v/>
      </c>
      <c r="AY52" s="73" t="str" cm="1">
        <f t="array" aca="1" ref="AY52" ca="1">IF(ISERROR(DATEVALUE(_xll.BDP($E52,AY$6))),"",DATEVALUE(_xll.BDP($E52,AY$6)))</f>
        <v/>
      </c>
      <c r="AZ52" s="110" t="e" cm="1">
        <f t="array" aca="1" ref="AZ52" ca="1">IF(_xll.BQL($E52, "last(matches(px_last(dates=range(-1w,0d)), dayofweek(px_last(dates=range(-1w,0d)).date)==6))")="#N/A","-",_xll.BQL($E52, "last(matches(px_last(dates=range(-1w,0d)), dayofweek(px_last(dates=range(-1w,0d)).date)==6))"))</f>
        <v>#NAME?</v>
      </c>
      <c r="BA52" s="109" t="e" cm="1">
        <f t="array" aca="1" ref="BA52" ca="1">IF(_xll.BQL(E52,"first(last(matches(px_last(dates=range(-1M,0D)),dayofweek(px_last(dates=range(-1M,0D)).date)==6),2),1)")="#N/A","-",_xll.BQL(E52,"first(last(matches(px_last(dates=range(-1M,0D)),dayofweek(px_last(dates=range(-1M,0D)).date)==6),2),1)"))</f>
        <v>#NAME?</v>
      </c>
      <c r="BB52" s="109" t="str">
        <f t="shared" ca="1" si="23"/>
        <v>-</v>
      </c>
    </row>
    <row r="53" spans="5:54" ht="16.5" customHeight="1" thickBot="1">
      <c r="E53" s="111" t="s">
        <v>1006</v>
      </c>
      <c r="F53" s="66" t="e">
        <f ca="1">_xll.BDP($E53,F$3)&amp;" BEST Curncy"</f>
        <v>#NAME?</v>
      </c>
      <c r="G53" s="97" t="e">
        <f t="shared" ca="1" si="17"/>
        <v>#NAME?</v>
      </c>
      <c r="I53" s="633"/>
      <c r="J53" s="98" t="e">
        <f ca="1">_xll.BDP($E53,J$3)</f>
        <v>#NAME?</v>
      </c>
      <c r="K53" s="99" t="e">
        <f ca="1">_xll.BDP($E53,K$3)</f>
        <v>#NAME?</v>
      </c>
      <c r="L53" s="100" t="str">
        <f ca="1">IF(ISNUMBER(_xll.BDH($E53,"PX_LAST",TEXT($E$2,"YYYYMMDD"),TEXT($E$2,"YYYYMMDD"),"days=a","fill=p")),_xll.BDH($E53,"PX_LAST",TEXT($E$2,"YYYYMMDD"),TEXT($E$2,"YYYYMMDD"),"days=a","fill=p"),"-")</f>
        <v>-</v>
      </c>
      <c r="M53" s="100" t="str">
        <f ca="1">IF(ISNUMBER(_xll.BDH($E53,"PX_LAST",TEXT($E$2-7,"YYYYMMDD"),TEXT($E$2-7,"YYYYMMDD"),"days=a","fill=p")),_xll.BDH($E53,"PX_LAST",TEXT($E$2-7,"YYYYMMDD"),TEXT($E$2-7,"YYYYMMDD"),"days=a","fill=p"),"-")</f>
        <v>-</v>
      </c>
      <c r="N53" s="180" t="str">
        <f t="shared" ca="1" si="4"/>
        <v>-</v>
      </c>
      <c r="O53" s="101" t="e">
        <f ca="1">IF(OR(_xll.BDP($E53,O$3)="#N/A N/A",_xll.BDP($E53,O$3)="#N/A Invalid Security"), "-", _xll.BDP($E53,O$3))</f>
        <v>#NAME?</v>
      </c>
      <c r="P53" s="182" t="str">
        <f ca="1">IF(ISNUMBER(_xll.BDH($F53,"PX_LAST",TEXT($E$2,"YYYYMMDD"),TEXT($E$2,"YYYYMMDD"),"days=a","fill=p")),_xll.BDH($F53,"PX_LAST",TEXT($E$2,"YYYYMMDD"),TEXT($E$2,"YYYYMMDD"),"days=a","fill=p"),"-")</f>
        <v>-</v>
      </c>
      <c r="Q53" s="182" t="str">
        <f ca="1">IF(ISNUMBER(_xll.BDH($F53,"PX_LAST",TEXT($E$2-7,"YYYYMMDD"),TEXT($E$2-7,"YYYYMMDD"),"days=a","fill=p")),_xll.BDH($F53,"PX_LAST",TEXT($E$2-7,"YYYYMMDD"),TEXT($E$2-7,"YYYYMMDD"),"days=a","fill=p"),"-")</f>
        <v>-</v>
      </c>
      <c r="R53" s="102" t="str">
        <f t="shared" ca="1" si="5"/>
        <v>-</v>
      </c>
      <c r="S53" s="103" t="str">
        <f ca="1">IF(ISNUMBER(_xll.BDP($F53,S$3)),_xll.BDP($F53,S$3),"-")</f>
        <v>-</v>
      </c>
      <c r="T53" s="104" t="e">
        <f t="shared" ca="1" si="16"/>
        <v>#NAME?</v>
      </c>
      <c r="U53" s="105" t="e">
        <f ca="1">IF(OR(_xll.BDP($E53,U$3)="#N/A N/A",_xll.BDP($E53,U$3)="#N/A Invalid Security"), "-", _xll.BDP($E53,U$3))</f>
        <v>#NAME?</v>
      </c>
      <c r="V53" s="105" t="e">
        <f ca="1">IF(OR(_xll.BDP($E53,V$2)="#N/A N/A",_xll.BDP($E53,V$2)="#N/A Invalid Security"), "-", _xll.BDP($E53,V$2))</f>
        <v>#NAME?</v>
      </c>
      <c r="W53" s="106" t="e">
        <f ca="1">IF(OR(_xll.BDP($E53,W$3)="#N/A N/A",_xll.BDP($E53,W$3)="#N/A Invalid Security"), "-", _xll.BDP($E53,W$3))</f>
        <v>#NAME?</v>
      </c>
      <c r="X53" s="105" t="e">
        <f ca="1">IF(OR(_xll.BDP($E53,X$3)="#N/A N/A",_xll.BDP($E53,X$3)="#N/A Invalid Security"), " ", _xll.BDP($E53,X$3))</f>
        <v>#NAME?</v>
      </c>
      <c r="Y53" s="105" t="e">
        <f ca="1">IF(OR(_xll.BDP($E53,Y$3)="#N/A N/A",_xll.BDP($E53,Y$3)="#N/A Invalid Security"), " ", _xll.BDP($E53,Y$3))</f>
        <v>#NAME?</v>
      </c>
      <c r="Z53" s="106" t="e">
        <f ca="1">IF(OR(_xll.BDP($E53,Z$3)="#N/A N/A",_xll.BDP($E53,Z$3)="#N/A Invalid Security"), " ", _xll.BDP($E53,Z$3))</f>
        <v>#NAME?</v>
      </c>
      <c r="AA53" s="107"/>
      <c r="AB53" s="93" t="s">
        <v>950</v>
      </c>
      <c r="AC53" s="93" t="s">
        <v>933</v>
      </c>
      <c r="AD53" s="93" t="s">
        <v>987</v>
      </c>
      <c r="AE53" s="93" t="s">
        <v>940</v>
      </c>
      <c r="AF53" s="93" t="s">
        <v>940</v>
      </c>
      <c r="AG53" s="93" t="s">
        <v>936</v>
      </c>
      <c r="AH53" s="95" t="e">
        <f t="shared" ca="1" si="22"/>
        <v>#NAME?</v>
      </c>
      <c r="AI53" s="95" t="e">
        <f t="shared" ca="1" si="22"/>
        <v>#NAME?</v>
      </c>
      <c r="AJ53" s="95" t="e">
        <f t="shared" ca="1" si="22"/>
        <v>#NAME?</v>
      </c>
      <c r="AK53" s="95" t="e">
        <f t="shared" ca="1" si="22"/>
        <v>#NAME?</v>
      </c>
      <c r="AL53" s="95" t="e">
        <f t="shared" ca="1" si="22"/>
        <v>#NAME?</v>
      </c>
      <c r="AM53" s="95" t="e">
        <f t="shared" ca="1" si="22"/>
        <v>#NAME?</v>
      </c>
      <c r="AN53" s="66" t="str">
        <f t="shared" ca="1" si="24"/>
        <v/>
      </c>
      <c r="AO53" s="108" t="e" cm="1">
        <f t="array" aca="1" ref="AO53" ca="1">_xll.BDP($E53,"cur_mkt_cap")</f>
        <v>#NAME?</v>
      </c>
      <c r="AP53" s="108" t="e" cm="1">
        <f t="array" aca="1" ref="AP53" ca="1">_xll.BDP($E53,"crncy")</f>
        <v>#NAME?</v>
      </c>
      <c r="AQ53" s="109" t="e" cm="1">
        <f t="array" aca="1" ref="AQ53" ca="1">_xll.BDP("USD"&amp;AP53&amp;" curncy","px_last")</f>
        <v>#NAME?</v>
      </c>
      <c r="AR53" s="109" t="e">
        <f t="shared" ca="1" si="20"/>
        <v>#NAME?</v>
      </c>
      <c r="AT53" s="66" t="str">
        <f t="shared" ca="1" si="21"/>
        <v/>
      </c>
      <c r="AU53" s="66" t="str">
        <f t="shared" ca="1" si="21"/>
        <v/>
      </c>
      <c r="AV53" s="66" t="str">
        <f t="shared" ca="1" si="21"/>
        <v/>
      </c>
      <c r="AW53" s="73" t="str" cm="1">
        <f t="array" aca="1" ref="AW53" ca="1">IF(ISERROR(DATEVALUE(_xll.BDP($E53,AW$6))),"",DATEVALUE(_xll.BDP($E53,AW$6)))</f>
        <v/>
      </c>
      <c r="AX53" s="73" t="str" cm="1">
        <f t="array" aca="1" ref="AX53" ca="1">IF(ISERROR(DATEVALUE(_xll.BDP($E53,AX$2))),"",DATEVALUE(_xll.BDP($E53,AX$2)))</f>
        <v/>
      </c>
      <c r="AY53" s="73" t="str" cm="1">
        <f t="array" aca="1" ref="AY53" ca="1">IF(ISERROR(DATEVALUE(_xll.BDP($E53,AY$6))),"",DATEVALUE(_xll.BDP($E53,AY$6)))</f>
        <v/>
      </c>
      <c r="AZ53" s="110" t="e" cm="1">
        <f t="array" aca="1" ref="AZ53" ca="1">IF(_xll.BQL($E53, "last(matches(px_last(dates=range(-1w,0d)), dayofweek(px_last(dates=range(-1w,0d)).date)==6))")="#N/A","-",_xll.BQL($E53, "last(matches(px_last(dates=range(-1w,0d)), dayofweek(px_last(dates=range(-1w,0d)).date)==6))"))</f>
        <v>#NAME?</v>
      </c>
      <c r="BA53" s="109" t="e" cm="1">
        <f t="array" aca="1" ref="BA53" ca="1">IF(_xll.BQL(E53,"first(last(matches(px_last(dates=range(-1M,0D)),dayofweek(px_last(dates=range(-1M,0D)).date)==6),2),1)")="#N/A","-",_xll.BQL(E53,"first(last(matches(px_last(dates=range(-1M,0D)),dayofweek(px_last(dates=range(-1M,0D)).date)==6),2),1)"))</f>
        <v>#NAME?</v>
      </c>
      <c r="BB53" s="109" t="str">
        <f t="shared" ca="1" si="23"/>
        <v>-</v>
      </c>
    </row>
    <row r="54" spans="5:54" ht="16.5" customHeight="1" thickBot="1">
      <c r="E54" s="111" t="s">
        <v>1007</v>
      </c>
      <c r="F54" s="66" t="e">
        <f ca="1">_xll.BDP($E54,F$3)&amp;" BEST Curncy"</f>
        <v>#NAME?</v>
      </c>
      <c r="G54" s="97" t="e">
        <f t="shared" ca="1" si="17"/>
        <v>#NAME?</v>
      </c>
      <c r="I54" s="633"/>
      <c r="J54" s="98" t="e">
        <f ca="1">_xll.BDP($E54,J$3)</f>
        <v>#NAME?</v>
      </c>
      <c r="K54" s="99" t="e">
        <f ca="1">_xll.BDP($E54,K$3)</f>
        <v>#NAME?</v>
      </c>
      <c r="L54" s="100" t="str">
        <f ca="1">IF(ISNUMBER(_xll.BDH($E54,"PX_LAST",TEXT($E$2,"YYYYMMDD"),TEXT($E$2,"YYYYMMDD"),"days=a","fill=p")),_xll.BDH($E54,"PX_LAST",TEXT($E$2,"YYYYMMDD"),TEXT($E$2,"YYYYMMDD"),"days=a","fill=p"),"-")</f>
        <v>-</v>
      </c>
      <c r="M54" s="100" t="str">
        <f ca="1">IF(ISNUMBER(_xll.BDH($E54,"PX_LAST",TEXT($E$2-7,"YYYYMMDD"),TEXT($E$2-7,"YYYYMMDD"),"days=a","fill=p")),_xll.BDH($E54,"PX_LAST",TEXT($E$2-7,"YYYYMMDD"),TEXT($E$2-7,"YYYYMMDD"),"days=a","fill=p"),"-")</f>
        <v>-</v>
      </c>
      <c r="N54" s="180" t="str">
        <f t="shared" ca="1" si="4"/>
        <v>-</v>
      </c>
      <c r="O54" s="101" t="e">
        <f ca="1">IF(OR(_xll.BDP($E54,O$3)="#N/A N/A",_xll.BDP($E54,O$3)="#N/A Invalid Security"), "-", _xll.BDP($E54,O$3))</f>
        <v>#NAME?</v>
      </c>
      <c r="P54" s="182" t="str">
        <f ca="1">IF(ISNUMBER(_xll.BDH($F54,"PX_LAST",TEXT($E$2,"YYYYMMDD"),TEXT($E$2,"YYYYMMDD"),"days=a","fill=p")),_xll.BDH($F54,"PX_LAST",TEXT($E$2,"YYYYMMDD"),TEXT($E$2,"YYYYMMDD"),"days=a","fill=p"),"-")</f>
        <v>-</v>
      </c>
      <c r="Q54" s="182" t="str">
        <f ca="1">IF(ISNUMBER(_xll.BDH($F54,"PX_LAST",TEXT($E$2-7,"YYYYMMDD"),TEXT($E$2-7,"YYYYMMDD"),"days=a","fill=p")),_xll.BDH($F54,"PX_LAST",TEXT($E$2-7,"YYYYMMDD"),TEXT($E$2-7,"YYYYMMDD"),"days=a","fill=p"),"-")</f>
        <v>-</v>
      </c>
      <c r="R54" s="102" t="str">
        <f t="shared" ca="1" si="5"/>
        <v>-</v>
      </c>
      <c r="S54" s="103" t="str">
        <f ca="1">IF(ISNUMBER(_xll.BDP($F54,S$3)),_xll.BDP($F54,S$3),"-")</f>
        <v>-</v>
      </c>
      <c r="T54" s="104" t="e">
        <f t="shared" ca="1" si="16"/>
        <v>#NAME?</v>
      </c>
      <c r="U54" s="105" t="e">
        <f ca="1">IF(OR(_xll.BDP($E54,U$3)="#N/A N/A",_xll.BDP($E54,U$3)="#N/A Invalid Security"), "-", _xll.BDP($E54,U$3))</f>
        <v>#NAME?</v>
      </c>
      <c r="V54" s="105" t="e">
        <f ca="1">IF(OR(_xll.BDP($E54,V$2)="#N/A N/A",_xll.BDP($E54,V$2)="#N/A Invalid Security"), "-", _xll.BDP($E54,V$2))</f>
        <v>#NAME?</v>
      </c>
      <c r="W54" s="106" t="e">
        <f ca="1">IF(OR(_xll.BDP($E54,W$3)="#N/A N/A",_xll.BDP($E54,W$3)="#N/A Invalid Security"), "-", _xll.BDP($E54,W$3))</f>
        <v>#NAME?</v>
      </c>
      <c r="X54" s="105" t="e">
        <f ca="1">IF(OR(_xll.BDP($E54,X$3)="#N/A N/A",_xll.BDP($E54,X$3)="#N/A Invalid Security"), " ", _xll.BDP($E54,X$3))</f>
        <v>#NAME?</v>
      </c>
      <c r="Y54" s="105" t="e">
        <f ca="1">IF(OR(_xll.BDP($E54,Y$3)="#N/A N/A",_xll.BDP($E54,Y$3)="#N/A Invalid Security"), " ", _xll.BDP($E54,Y$3))</f>
        <v>#NAME?</v>
      </c>
      <c r="Z54" s="106" t="e">
        <f ca="1">IF(OR(_xll.BDP($E54,Z$3)="#N/A N/A",_xll.BDP($E54,Z$3)="#N/A Invalid Security"), " ", _xll.BDP($E54,Z$3))</f>
        <v>#NAME?</v>
      </c>
      <c r="AA54" s="107"/>
      <c r="AB54" s="93" t="s">
        <v>950</v>
      </c>
      <c r="AC54" s="93" t="s">
        <v>933</v>
      </c>
      <c r="AD54" s="93" t="s">
        <v>987</v>
      </c>
      <c r="AE54" s="93" t="s">
        <v>940</v>
      </c>
      <c r="AF54" s="93" t="s">
        <v>940</v>
      </c>
      <c r="AG54" s="93" t="s">
        <v>936</v>
      </c>
      <c r="AH54" s="95" t="e">
        <f t="shared" ca="1" si="22"/>
        <v>#NAME?</v>
      </c>
      <c r="AI54" s="95" t="e">
        <f t="shared" ca="1" si="22"/>
        <v>#NAME?</v>
      </c>
      <c r="AJ54" s="95" t="e">
        <f t="shared" ca="1" si="22"/>
        <v>#NAME?</v>
      </c>
      <c r="AK54" s="95" t="e">
        <f t="shared" ca="1" si="22"/>
        <v>#NAME?</v>
      </c>
      <c r="AL54" s="95" t="e">
        <f t="shared" ca="1" si="22"/>
        <v>#NAME?</v>
      </c>
      <c r="AM54" s="95" t="e">
        <f t="shared" ca="1" si="22"/>
        <v>#NAME?</v>
      </c>
      <c r="AN54" s="66" t="str">
        <f ca="1">IF(SUM(AT54:AV54)&gt;0,"Y","")</f>
        <v/>
      </c>
      <c r="AO54" s="108" t="e" cm="1">
        <f t="array" aca="1" ref="AO54" ca="1">_xll.BDP($E54,"cur_mkt_cap")</f>
        <v>#NAME?</v>
      </c>
      <c r="AP54" s="108" t="e" cm="1">
        <f t="array" aca="1" ref="AP54" ca="1">_xll.BDP($E54,"crncy")</f>
        <v>#NAME?</v>
      </c>
      <c r="AQ54" s="109" t="e" cm="1">
        <f t="array" aca="1" ref="AQ54" ca="1">_xll.BDP("USD"&amp;AP54&amp;" curncy","px_last")</f>
        <v>#NAME?</v>
      </c>
      <c r="AR54" s="109" t="e">
        <f t="shared" ca="1" si="20"/>
        <v>#NAME?</v>
      </c>
      <c r="AT54" s="66" t="str">
        <f t="shared" ca="1" si="21"/>
        <v/>
      </c>
      <c r="AU54" s="66" t="str">
        <f t="shared" ca="1" si="21"/>
        <v/>
      </c>
      <c r="AV54" s="66" t="str">
        <f t="shared" ca="1" si="21"/>
        <v/>
      </c>
      <c r="AW54" s="73" t="str" cm="1">
        <f t="array" aca="1" ref="AW54" ca="1">IF(ISERROR(DATEVALUE(_xll.BDP($E54,AW$6))),"",DATEVALUE(_xll.BDP($E54,AW$6)))</f>
        <v/>
      </c>
      <c r="AX54" s="73" t="str" cm="1">
        <f t="array" aca="1" ref="AX54" ca="1">IF(ISERROR(DATEVALUE(_xll.BDP($E54,AX$2))),"",DATEVALUE(_xll.BDP($E54,AX$2)))</f>
        <v/>
      </c>
      <c r="AY54" s="73" t="str" cm="1">
        <f t="array" aca="1" ref="AY54" ca="1">IF(ISERROR(DATEVALUE(_xll.BDP($E54,AY$6))),"",DATEVALUE(_xll.BDP($E54,AY$6)))</f>
        <v/>
      </c>
      <c r="AZ54" s="110" t="e" cm="1">
        <f t="array" aca="1" ref="AZ54" ca="1">IF(_xll.BQL($E54, "last(matches(px_last(dates=range(-1w,0d)), dayofweek(px_last(dates=range(-1w,0d)).date)==6))")="#N/A","-",_xll.BQL($E54, "last(matches(px_last(dates=range(-1w,0d)), dayofweek(px_last(dates=range(-1w,0d)).date)==6))"))</f>
        <v>#NAME?</v>
      </c>
      <c r="BA54" s="109" t="e" cm="1">
        <f t="array" aca="1" ref="BA54" ca="1">IF(_xll.BQL(E54,"first(last(matches(px_last(dates=range(-1M,0D)),dayofweek(px_last(dates=range(-1M,0D)).date)==6),2),1)")="#N/A","-",_xll.BQL(E54,"first(last(matches(px_last(dates=range(-1M,0D)),dayofweek(px_last(dates=range(-1M,0D)).date)==6),2),1)"))</f>
        <v>#NAME?</v>
      </c>
      <c r="BB54" s="109" t="str">
        <f t="shared" ca="1" si="23"/>
        <v>-</v>
      </c>
    </row>
    <row r="55" spans="5:54" ht="16.5" customHeight="1" thickBot="1">
      <c r="E55" s="111" t="s">
        <v>1008</v>
      </c>
      <c r="F55" s="66" t="e">
        <f ca="1">_xll.BDP($E55,F$3)&amp;" BEST Curncy"</f>
        <v>#NAME?</v>
      </c>
      <c r="G55" s="97" t="e">
        <f t="shared" ca="1" si="17"/>
        <v>#NAME?</v>
      </c>
      <c r="I55" s="633"/>
      <c r="J55" s="98" t="e">
        <f ca="1">_xll.BDP($E55,J$3)</f>
        <v>#NAME?</v>
      </c>
      <c r="K55" s="99" t="e">
        <f ca="1">_xll.BDP($E55,K$3)</f>
        <v>#NAME?</v>
      </c>
      <c r="L55" s="100" t="str">
        <f ca="1">IF(ISNUMBER(_xll.BDH($E55,"PX_LAST",TEXT($E$2,"YYYYMMDD"),TEXT($E$2,"YYYYMMDD"),"days=a","fill=p")),_xll.BDH($E55,"PX_LAST",TEXT($E$2,"YYYYMMDD"),TEXT($E$2,"YYYYMMDD"),"days=a","fill=p"),"-")</f>
        <v>-</v>
      </c>
      <c r="M55" s="100" t="str">
        <f ca="1">IF(ISNUMBER(_xll.BDH($E55,"PX_LAST",TEXT($E$2-7,"YYYYMMDD"),TEXT($E$2-7,"YYYYMMDD"),"days=a","fill=p")),_xll.BDH($E55,"PX_LAST",TEXT($E$2-7,"YYYYMMDD"),TEXT($E$2-7,"YYYYMMDD"),"days=a","fill=p"),"-")</f>
        <v>-</v>
      </c>
      <c r="N55" s="180" t="str">
        <f t="shared" ca="1" si="4"/>
        <v>-</v>
      </c>
      <c r="O55" s="101" t="e">
        <f ca="1">IF(OR(_xll.BDP($E55,O$3)="#N/A N/A",_xll.BDP($E55,O$3)="#N/A Invalid Security"), "-", _xll.BDP($E55,O$3))</f>
        <v>#NAME?</v>
      </c>
      <c r="P55" s="182" t="str">
        <f ca="1">IF(ISNUMBER(_xll.BDH($F55,"PX_LAST",TEXT($E$2,"YYYYMMDD"),TEXT($E$2,"YYYYMMDD"),"days=a","fill=p")),_xll.BDH($F55,"PX_LAST",TEXT($E$2,"YYYYMMDD"),TEXT($E$2,"YYYYMMDD"),"days=a","fill=p"),"-")</f>
        <v>-</v>
      </c>
      <c r="Q55" s="182" t="str">
        <f ca="1">IF(ISNUMBER(_xll.BDH($F55,"PX_LAST",TEXT($E$2-7,"YYYYMMDD"),TEXT($E$2-7,"YYYYMMDD"),"days=a","fill=p")),_xll.BDH($F55,"PX_LAST",TEXT($E$2-7,"YYYYMMDD"),TEXT($E$2-7,"YYYYMMDD"),"days=a","fill=p"),"-")</f>
        <v>-</v>
      </c>
      <c r="R55" s="102" t="str">
        <f t="shared" ca="1" si="5"/>
        <v>-</v>
      </c>
      <c r="S55" s="103" t="str">
        <f ca="1">IF(ISNUMBER(_xll.BDP($F55,S$3)),_xll.BDP($F55,S$3),"-")</f>
        <v>-</v>
      </c>
      <c r="T55" s="104" t="e">
        <f t="shared" ca="1" si="16"/>
        <v>#NAME?</v>
      </c>
      <c r="U55" s="105" t="e">
        <f ca="1">IF(OR(_xll.BDP($E55,U$3)="#N/A N/A",_xll.BDP($E55,U$3)="#N/A Invalid Security"), "-", _xll.BDP($E55,U$3))</f>
        <v>#NAME?</v>
      </c>
      <c r="V55" s="105" t="e">
        <f ca="1">IF(OR(_xll.BDP($E55,V$2)="#N/A N/A",_xll.BDP($E55,V$2)="#N/A Invalid Security"), "-", _xll.BDP($E55,V$2))</f>
        <v>#NAME?</v>
      </c>
      <c r="W55" s="106" t="e">
        <f ca="1">IF(OR(_xll.BDP($E55,W$3)="#N/A N/A",_xll.BDP($E55,W$3)="#N/A Invalid Security"), "-", _xll.BDP($E55,W$3))</f>
        <v>#NAME?</v>
      </c>
      <c r="X55" s="105" t="e">
        <f ca="1">IF(OR(_xll.BDP($E55,X$3)="#N/A N/A",_xll.BDP($E55,X$3)="#N/A Invalid Security"), " ", _xll.BDP($E55,X$3))</f>
        <v>#NAME?</v>
      </c>
      <c r="Y55" s="105" t="e">
        <f ca="1">IF(OR(_xll.BDP($E55,Y$3)="#N/A N/A",_xll.BDP($E55,Y$3)="#N/A Invalid Security"), " ", _xll.BDP($E55,Y$3))</f>
        <v>#NAME?</v>
      </c>
      <c r="Z55" s="106" t="e">
        <f ca="1">IF(OR(_xll.BDP($E55,Z$3)="#N/A N/A",_xll.BDP($E55,Z$3)="#N/A Invalid Security"), " ", _xll.BDP($E55,Z$3))</f>
        <v>#NAME?</v>
      </c>
      <c r="AA55" s="107"/>
      <c r="AB55" s="93" t="s">
        <v>950</v>
      </c>
      <c r="AC55" s="93" t="s">
        <v>933</v>
      </c>
      <c r="AD55" s="93" t="s">
        <v>987</v>
      </c>
      <c r="AE55" s="93" t="s">
        <v>940</v>
      </c>
      <c r="AF55" s="93" t="s">
        <v>940</v>
      </c>
      <c r="AG55" s="93" t="s">
        <v>936</v>
      </c>
      <c r="AH55" s="95" t="e">
        <f t="shared" ca="1" si="22"/>
        <v>#NAME?</v>
      </c>
      <c r="AI55" s="95" t="e">
        <f t="shared" ca="1" si="22"/>
        <v>#NAME?</v>
      </c>
      <c r="AJ55" s="95" t="e">
        <f t="shared" ca="1" si="22"/>
        <v>#NAME?</v>
      </c>
      <c r="AK55" s="95" t="e">
        <f t="shared" ca="1" si="22"/>
        <v>#NAME?</v>
      </c>
      <c r="AL55" s="95" t="e">
        <f t="shared" ca="1" si="22"/>
        <v>#NAME?</v>
      </c>
      <c r="AM55" s="95" t="e">
        <f t="shared" ca="1" si="22"/>
        <v>#NAME?</v>
      </c>
      <c r="AN55" s="66" t="str">
        <f ca="1">IF(SUM(AT55:AV55)&gt;0,"Y","")</f>
        <v/>
      </c>
      <c r="AO55" s="108" t="e" cm="1">
        <f t="array" aca="1" ref="AO55" ca="1">_xll.BDP($E55,"cur_mkt_cap")</f>
        <v>#NAME?</v>
      </c>
      <c r="AP55" s="108" t="e" cm="1">
        <f t="array" aca="1" ref="AP55" ca="1">_xll.BDP($E55,"crncy")</f>
        <v>#NAME?</v>
      </c>
      <c r="AQ55" s="109" t="e" cm="1">
        <f t="array" aca="1" ref="AQ55" ca="1">_xll.BDP("USD"&amp;AP55&amp;" curncy","px_last")</f>
        <v>#NAME?</v>
      </c>
      <c r="AR55" s="109" t="e">
        <f t="shared" ca="1" si="20"/>
        <v>#NAME?</v>
      </c>
      <c r="AT55" s="66" t="str">
        <f t="shared" ca="1" si="21"/>
        <v/>
      </c>
      <c r="AU55" s="66" t="str">
        <f t="shared" ca="1" si="21"/>
        <v/>
      </c>
      <c r="AV55" s="66" t="str">
        <f t="shared" ca="1" si="21"/>
        <v/>
      </c>
      <c r="AW55" s="73" t="str" cm="1">
        <f t="array" aca="1" ref="AW55" ca="1">IF(ISERROR(DATEVALUE(_xll.BDP($E55,AW$6))),"",DATEVALUE(_xll.BDP($E55,AW$6)))</f>
        <v/>
      </c>
      <c r="AX55" s="73" t="str" cm="1">
        <f t="array" aca="1" ref="AX55" ca="1">IF(ISERROR(DATEVALUE(_xll.BDP($E55,AX$2))),"",DATEVALUE(_xll.BDP($E55,AX$2)))</f>
        <v/>
      </c>
      <c r="AY55" s="73" t="str" cm="1">
        <f t="array" aca="1" ref="AY55" ca="1">IF(ISERROR(DATEVALUE(_xll.BDP($E55,AY$6))),"",DATEVALUE(_xll.BDP($E55,AY$6)))</f>
        <v/>
      </c>
      <c r="AZ55" s="110" t="e" cm="1">
        <f t="array" aca="1" ref="AZ55" ca="1">IF(_xll.BQL($E55, "last(matches(px_last(dates=range(-1w,0d)), dayofweek(px_last(dates=range(-1w,0d)).date)==6))")="#N/A","-",_xll.BQL($E55, "last(matches(px_last(dates=range(-1w,0d)), dayofweek(px_last(dates=range(-1w,0d)).date)==6))"))</f>
        <v>#NAME?</v>
      </c>
      <c r="BA55" s="109" t="e" cm="1">
        <f t="array" aca="1" ref="BA55" ca="1">IF(_xll.BQL(E55,"first(last(matches(px_last(dates=range(-1M,0D)),dayofweek(px_last(dates=range(-1M,0D)).date)==6),2),1)")="#N/A","-",_xll.BQL(E55,"first(last(matches(px_last(dates=range(-1M,0D)),dayofweek(px_last(dates=range(-1M,0D)).date)==6),2),1)"))</f>
        <v>#NAME?</v>
      </c>
      <c r="BB55" s="109" t="str">
        <f t="shared" ca="1" si="23"/>
        <v>-</v>
      </c>
    </row>
    <row r="56" spans="5:54" ht="16.5" customHeight="1" thickBot="1">
      <c r="E56" s="111" t="s">
        <v>1009</v>
      </c>
      <c r="F56" s="66" t="e">
        <f ca="1">_xll.BDP($E56,F$3)&amp;" BEST Curncy"</f>
        <v>#NAME?</v>
      </c>
      <c r="G56" s="97" t="e">
        <f t="shared" ca="1" si="17"/>
        <v>#NAME?</v>
      </c>
      <c r="I56" s="633"/>
      <c r="J56" s="98" t="e">
        <f ca="1">_xll.BDP($E56,J$3)</f>
        <v>#NAME?</v>
      </c>
      <c r="K56" s="99" t="e">
        <f ca="1">_xll.BDP($E56,K$3)</f>
        <v>#NAME?</v>
      </c>
      <c r="L56" s="100" t="str">
        <f ca="1">IF(ISNUMBER(_xll.BDH($E56,"PX_LAST",TEXT($E$2,"YYYYMMDD"),TEXT($E$2,"YYYYMMDD"),"days=a","fill=p")),_xll.BDH($E56,"PX_LAST",TEXT($E$2,"YYYYMMDD"),TEXT($E$2,"YYYYMMDD"),"days=a","fill=p"),"-")</f>
        <v>-</v>
      </c>
      <c r="M56" s="100" t="str">
        <f ca="1">IF(ISNUMBER(_xll.BDH($E56,"PX_LAST",TEXT($E$2-7,"YYYYMMDD"),TEXT($E$2-7,"YYYYMMDD"),"days=a","fill=p")),_xll.BDH($E56,"PX_LAST",TEXT($E$2-7,"YYYYMMDD"),TEXT($E$2-7,"YYYYMMDD"),"days=a","fill=p"),"-")</f>
        <v>-</v>
      </c>
      <c r="N56" s="180" t="str">
        <f t="shared" ca="1" si="4"/>
        <v>-</v>
      </c>
      <c r="O56" s="101" t="e">
        <f ca="1">IF(OR(_xll.BDP($E56,O$3)="#N/A N/A",_xll.BDP($E56,O$3)="#N/A Invalid Security"), "-", _xll.BDP($E56,O$3))</f>
        <v>#NAME?</v>
      </c>
      <c r="P56" s="182" t="str">
        <f ca="1">IF(ISNUMBER(_xll.BDH($F56,"PX_LAST",TEXT($E$2,"YYYYMMDD"),TEXT($E$2,"YYYYMMDD"),"days=a","fill=p")),_xll.BDH($F56,"PX_LAST",TEXT($E$2,"YYYYMMDD"),TEXT($E$2,"YYYYMMDD"),"days=a","fill=p"),"-")</f>
        <v>-</v>
      </c>
      <c r="Q56" s="182" t="str">
        <f ca="1">IF(ISNUMBER(_xll.BDH($F56,"PX_LAST",TEXT($E$2-7,"YYYYMMDD"),TEXT($E$2-7,"YYYYMMDD"),"days=a","fill=p")),_xll.BDH($F56,"PX_LAST",TEXT($E$2-7,"YYYYMMDD"),TEXT($E$2-7,"YYYYMMDD"),"days=a","fill=p"),"-")</f>
        <v>-</v>
      </c>
      <c r="R56" s="102" t="str">
        <f t="shared" ca="1" si="5"/>
        <v>-</v>
      </c>
      <c r="S56" s="103" t="str">
        <f ca="1">IF(ISNUMBER(_xll.BDP($F56,S$3)),_xll.BDP($F56,S$3),"-")</f>
        <v>-</v>
      </c>
      <c r="T56" s="104" t="e">
        <f t="shared" ca="1" si="16"/>
        <v>#NAME?</v>
      </c>
      <c r="U56" s="105" t="e">
        <f ca="1">IF(OR(_xll.BDP($E56,U$3)="#N/A N/A",_xll.BDP($E56,U$3)="#N/A Invalid Security"), "-", _xll.BDP($E56,U$3))</f>
        <v>#NAME?</v>
      </c>
      <c r="V56" s="105" t="e">
        <f ca="1">IF(OR(_xll.BDP($E56,V$2)="#N/A N/A",_xll.BDP($E56,V$2)="#N/A Invalid Security"), "-", _xll.BDP($E56,V$2))</f>
        <v>#NAME?</v>
      </c>
      <c r="W56" s="106" t="e">
        <f ca="1">IF(OR(_xll.BDP($E56,W$3)="#N/A N/A",_xll.BDP($E56,W$3)="#N/A Invalid Security"), "-", _xll.BDP($E56,W$3))</f>
        <v>#NAME?</v>
      </c>
      <c r="X56" s="105" t="e">
        <f ca="1">IF(OR(_xll.BDP($E56,X$3)="#N/A N/A",_xll.BDP($E56,X$3)="#N/A Invalid Security"), " ", _xll.BDP($E56,X$3))</f>
        <v>#NAME?</v>
      </c>
      <c r="Y56" s="105" t="e">
        <f ca="1">IF(OR(_xll.BDP($E56,Y$3)="#N/A N/A",_xll.BDP($E56,Y$3)="#N/A Invalid Security"), " ", _xll.BDP($E56,Y$3))</f>
        <v>#NAME?</v>
      </c>
      <c r="Z56" s="106" t="e">
        <f ca="1">IF(OR(_xll.BDP($E56,Z$3)="#N/A N/A",_xll.BDP($E56,Z$3)="#N/A Invalid Security"), " ", _xll.BDP($E56,Z$3))</f>
        <v>#NAME?</v>
      </c>
      <c r="AA56" s="107"/>
      <c r="AB56" s="93" t="s">
        <v>950</v>
      </c>
      <c r="AC56" s="93" t="s">
        <v>933</v>
      </c>
      <c r="AD56" s="93" t="s">
        <v>987</v>
      </c>
      <c r="AE56" s="93" t="s">
        <v>940</v>
      </c>
      <c r="AF56" s="93" t="s">
        <v>940</v>
      </c>
      <c r="AG56" s="93" t="s">
        <v>936</v>
      </c>
      <c r="AH56" s="95" t="e">
        <f t="shared" ca="1" si="22"/>
        <v>#NAME?</v>
      </c>
      <c r="AI56" s="95" t="e">
        <f t="shared" ca="1" si="22"/>
        <v>#NAME?</v>
      </c>
      <c r="AJ56" s="95" t="e">
        <f t="shared" ca="1" si="22"/>
        <v>#NAME?</v>
      </c>
      <c r="AK56" s="95" t="e">
        <f t="shared" ca="1" si="22"/>
        <v>#NAME?</v>
      </c>
      <c r="AL56" s="95" t="e">
        <f t="shared" ca="1" si="22"/>
        <v>#NAME?</v>
      </c>
      <c r="AM56" s="95" t="e">
        <f t="shared" ca="1" si="22"/>
        <v>#NAME?</v>
      </c>
      <c r="AN56" s="66" t="str">
        <f ca="1">IF(SUM(AT56:AV56)&gt;0,"Y","")</f>
        <v/>
      </c>
      <c r="AO56" s="108" t="e" cm="1">
        <f t="array" aca="1" ref="AO56" ca="1">_xll.BDP($E56,"cur_mkt_cap")</f>
        <v>#NAME?</v>
      </c>
      <c r="AP56" s="108" t="e" cm="1">
        <f t="array" aca="1" ref="AP56" ca="1">_xll.BDP($E56,"crncy")</f>
        <v>#NAME?</v>
      </c>
      <c r="AQ56" s="109" t="e" cm="1">
        <f t="array" aca="1" ref="AQ56" ca="1">_xll.BDP("USD"&amp;AP56&amp;" curncy","px_last")</f>
        <v>#NAME?</v>
      </c>
      <c r="AR56" s="109" t="e">
        <f t="shared" ca="1" si="20"/>
        <v>#NAME?</v>
      </c>
      <c r="AT56" s="66" t="str">
        <f t="shared" ca="1" si="21"/>
        <v/>
      </c>
      <c r="AU56" s="66" t="str">
        <f t="shared" ca="1" si="21"/>
        <v/>
      </c>
      <c r="AV56" s="66" t="str">
        <f t="shared" ca="1" si="21"/>
        <v/>
      </c>
      <c r="AW56" s="73" t="str" cm="1">
        <f t="array" aca="1" ref="AW56" ca="1">IF(ISERROR(DATEVALUE(_xll.BDP($E56,AW$6))),"",DATEVALUE(_xll.BDP($E56,AW$6)))</f>
        <v/>
      </c>
      <c r="AX56" s="73" t="str" cm="1">
        <f t="array" aca="1" ref="AX56" ca="1">IF(ISERROR(DATEVALUE(_xll.BDP($E56,AX$2))),"",DATEVALUE(_xll.BDP($E56,AX$2)))</f>
        <v/>
      </c>
      <c r="AY56" s="73" t="str" cm="1">
        <f t="array" aca="1" ref="AY56" ca="1">IF(ISERROR(DATEVALUE(_xll.BDP($E56,AY$6))),"",DATEVALUE(_xll.BDP($E56,AY$6)))</f>
        <v/>
      </c>
      <c r="AZ56" s="110" t="e" cm="1">
        <f t="array" aca="1" ref="AZ56" ca="1">IF(_xll.BQL($E56, "last(matches(px_last(dates=range(-1w,0d)), dayofweek(px_last(dates=range(-1w,0d)).date)==6))")="#N/A","-",_xll.BQL($E56, "last(matches(px_last(dates=range(-1w,0d)), dayofweek(px_last(dates=range(-1w,0d)).date)==6))"))</f>
        <v>#NAME?</v>
      </c>
      <c r="BA56" s="109" t="e" cm="1">
        <f t="array" aca="1" ref="BA56" ca="1">IF(_xll.BQL(E56,"first(last(matches(px_last(dates=range(-1M,0D)),dayofweek(px_last(dates=range(-1M,0D)).date)==6),2),1)")="#N/A","-",_xll.BQL(E56,"first(last(matches(px_last(dates=range(-1M,0D)),dayofweek(px_last(dates=range(-1M,0D)).date)==6),2),1)"))</f>
        <v>#NAME?</v>
      </c>
      <c r="BB56" s="109" t="str">
        <f t="shared" ca="1" si="23"/>
        <v>-</v>
      </c>
    </row>
    <row r="57" spans="5:54" ht="16.5" customHeight="1" thickBot="1">
      <c r="E57" s="111" t="s">
        <v>1010</v>
      </c>
      <c r="F57" s="66" t="e">
        <f ca="1">_xll.BDP($E57,F$3)&amp;" BEST Curncy"</f>
        <v>#NAME?</v>
      </c>
      <c r="G57" s="97" t="e">
        <f t="shared" ca="1" si="17"/>
        <v>#NAME?</v>
      </c>
      <c r="I57" s="633"/>
      <c r="J57" s="98" t="e">
        <f ca="1">_xll.BDP($E57,J$3)</f>
        <v>#NAME?</v>
      </c>
      <c r="K57" s="99" t="e">
        <f ca="1">_xll.BDP($E57,K$3)</f>
        <v>#NAME?</v>
      </c>
      <c r="L57" s="100" t="str">
        <f ca="1">IF(ISNUMBER(_xll.BDH($E57,"PX_LAST",TEXT($E$2,"YYYYMMDD"),TEXT($E$2,"YYYYMMDD"),"days=a","fill=p")),_xll.BDH($E57,"PX_LAST",TEXT($E$2,"YYYYMMDD"),TEXT($E$2,"YYYYMMDD"),"days=a","fill=p"),"-")</f>
        <v>-</v>
      </c>
      <c r="M57" s="100" t="str">
        <f ca="1">IF(ISNUMBER(_xll.BDH($E57,"PX_LAST",TEXT($E$2-7,"YYYYMMDD"),TEXT($E$2-7,"YYYYMMDD"),"days=a","fill=p")),_xll.BDH($E57,"PX_LAST",TEXT($E$2-7,"YYYYMMDD"),TEXT($E$2-7,"YYYYMMDD"),"days=a","fill=p"),"-")</f>
        <v>-</v>
      </c>
      <c r="N57" s="180" t="str">
        <f t="shared" ca="1" si="4"/>
        <v>-</v>
      </c>
      <c r="O57" s="101" t="e">
        <f ca="1">IF(OR(_xll.BDP($E57,O$3)="#N/A N/A",_xll.BDP($E57,O$3)="#N/A Invalid Security"), "-", _xll.BDP($E57,O$3))</f>
        <v>#NAME?</v>
      </c>
      <c r="P57" s="182" t="str">
        <f ca="1">IF(ISNUMBER(_xll.BDH($F57,"PX_LAST",TEXT($E$2,"YYYYMMDD"),TEXT($E$2,"YYYYMMDD"),"days=a","fill=p")),_xll.BDH($F57,"PX_LAST",TEXT($E$2,"YYYYMMDD"),TEXT($E$2,"YYYYMMDD"),"days=a","fill=p"),"-")</f>
        <v>-</v>
      </c>
      <c r="Q57" s="182" t="str">
        <f ca="1">IF(ISNUMBER(_xll.BDH($F57,"PX_LAST",TEXT($E$2-7,"YYYYMMDD"),TEXT($E$2-7,"YYYYMMDD"),"days=a","fill=p")),_xll.BDH($F57,"PX_LAST",TEXT($E$2-7,"YYYYMMDD"),TEXT($E$2-7,"YYYYMMDD"),"days=a","fill=p"),"-")</f>
        <v>-</v>
      </c>
      <c r="R57" s="102" t="str">
        <f t="shared" ca="1" si="5"/>
        <v>-</v>
      </c>
      <c r="S57" s="103" t="str">
        <f ca="1">IF(ISNUMBER(_xll.BDP($F57,S$3)),_xll.BDP($F57,S$3),"-")</f>
        <v>-</v>
      </c>
      <c r="T57" s="104" t="e">
        <f t="shared" ca="1" si="16"/>
        <v>#NAME?</v>
      </c>
      <c r="U57" s="105" t="e">
        <f ca="1">IF(OR(_xll.BDP($E57,U$3)="#N/A N/A",_xll.BDP($E57,U$3)="#N/A Invalid Security"), "-", _xll.BDP($E57,U$3))</f>
        <v>#NAME?</v>
      </c>
      <c r="V57" s="105" t="e">
        <f ca="1">IF(OR(_xll.BDP($E57,V$2)="#N/A N/A",_xll.BDP($E57,V$2)="#N/A Invalid Security"), "-", _xll.BDP($E57,V$2))</f>
        <v>#NAME?</v>
      </c>
      <c r="W57" s="106" t="e">
        <f ca="1">IF(OR(_xll.BDP($E57,W$3)="#N/A N/A",_xll.BDP($E57,W$3)="#N/A Invalid Security"), "-", _xll.BDP($E57,W$3))</f>
        <v>#NAME?</v>
      </c>
      <c r="X57" s="105" t="e">
        <f ca="1">IF(OR(_xll.BDP($E57,X$3)="#N/A N/A",_xll.BDP($E57,X$3)="#N/A Invalid Security"), " ", _xll.BDP($E57,X$3))</f>
        <v>#NAME?</v>
      </c>
      <c r="Y57" s="105" t="e">
        <f ca="1">IF(OR(_xll.BDP($E57,Y$3)="#N/A N/A",_xll.BDP($E57,Y$3)="#N/A Invalid Security"), " ", _xll.BDP($E57,Y$3))</f>
        <v>#NAME?</v>
      </c>
      <c r="Z57" s="106" t="e">
        <f ca="1">IF(OR(_xll.BDP($E57,Z$3)="#N/A N/A",_xll.BDP($E57,Z$3)="#N/A Invalid Security"), " ", _xll.BDP($E57,Z$3))</f>
        <v>#NAME?</v>
      </c>
      <c r="AA57" s="107"/>
      <c r="AB57" s="93" t="s">
        <v>1011</v>
      </c>
      <c r="AC57" s="93" t="s">
        <v>1012</v>
      </c>
      <c r="AD57" s="93" t="s">
        <v>1011</v>
      </c>
      <c r="AE57" s="93" t="s">
        <v>940</v>
      </c>
      <c r="AF57" s="93" t="s">
        <v>940</v>
      </c>
      <c r="AG57" s="93" t="s">
        <v>940</v>
      </c>
      <c r="AH57" s="95" t="e">
        <f t="shared" ca="1" si="22"/>
        <v>#NAME?</v>
      </c>
      <c r="AI57" s="95" t="e">
        <f t="shared" ca="1" si="22"/>
        <v>#NAME?</v>
      </c>
      <c r="AJ57" s="95" t="e">
        <f t="shared" ca="1" si="22"/>
        <v>#NAME?</v>
      </c>
      <c r="AK57" s="95" t="e">
        <f t="shared" ca="1" si="22"/>
        <v>#NAME?</v>
      </c>
      <c r="AL57" s="95" t="e">
        <f t="shared" ca="1" si="22"/>
        <v>#NAME?</v>
      </c>
      <c r="AM57" s="95" t="e">
        <f t="shared" ca="1" si="22"/>
        <v>#NAME?</v>
      </c>
      <c r="AN57" s="66" t="str">
        <f t="shared" ref="AN57:AN64" ca="1" si="25">IF(SUM(AT57:AV57)&gt;0,"Y","")</f>
        <v/>
      </c>
      <c r="AO57" s="108" t="e" cm="1">
        <f t="array" aca="1" ref="AO57" ca="1">_xll.BDP($E57,"cur_mkt_cap")</f>
        <v>#NAME?</v>
      </c>
      <c r="AP57" s="108" t="e" cm="1">
        <f t="array" aca="1" ref="AP57" ca="1">_xll.BDP($E57,"crncy")</f>
        <v>#NAME?</v>
      </c>
      <c r="AQ57" s="109" t="e" cm="1">
        <f t="array" aca="1" ref="AQ57" ca="1">_xll.BDP("USD"&amp;AP57&amp;" curncy","px_last")</f>
        <v>#NAME?</v>
      </c>
      <c r="AR57" s="109" t="e">
        <f t="shared" ca="1" si="20"/>
        <v>#NAME?</v>
      </c>
      <c r="AT57" s="66" t="str">
        <f t="shared" ca="1" si="21"/>
        <v/>
      </c>
      <c r="AU57" s="66" t="str">
        <f t="shared" ca="1" si="21"/>
        <v/>
      </c>
      <c r="AV57" s="66" t="str">
        <f t="shared" ca="1" si="21"/>
        <v/>
      </c>
      <c r="AW57" s="73" t="str" cm="1">
        <f t="array" aca="1" ref="AW57" ca="1">IF(ISERROR(DATEVALUE(_xll.BDP($E57,AW$6))),"",DATEVALUE(_xll.BDP($E57,AW$6)))</f>
        <v/>
      </c>
      <c r="AX57" s="73" t="str" cm="1">
        <f t="array" aca="1" ref="AX57" ca="1">IF(ISERROR(DATEVALUE(_xll.BDP($E57,AX$2))),"",DATEVALUE(_xll.BDP($E57,AX$2)))</f>
        <v/>
      </c>
      <c r="AY57" s="73" t="str" cm="1">
        <f t="array" aca="1" ref="AY57" ca="1">IF(ISERROR(DATEVALUE(_xll.BDP($E57,AY$6))),"",DATEVALUE(_xll.BDP($E57,AY$6)))</f>
        <v/>
      </c>
      <c r="AZ57" s="110" t="e" cm="1">
        <f t="array" aca="1" ref="AZ57" ca="1">IF(_xll.BQL($E57, "last(matches(px_last(dates=range(-1w,0d)), dayofweek(px_last(dates=range(-1w,0d)).date)==6))")="#N/A","-",_xll.BQL($E57, "last(matches(px_last(dates=range(-1w,0d)), dayofweek(px_last(dates=range(-1w,0d)).date)==6))"))</f>
        <v>#NAME?</v>
      </c>
      <c r="BA57" s="109" t="e" cm="1">
        <f t="array" aca="1" ref="BA57" ca="1">IF(_xll.BQL(E57,"first(last(matches(px_last(dates=range(-1M,0D)),dayofweek(px_last(dates=range(-1M,0D)).date)==6),2),1)")="#N/A","-",_xll.BQL(E57,"first(last(matches(px_last(dates=range(-1M,0D)),dayofweek(px_last(dates=range(-1M,0D)).date)==6),2),1)"))</f>
        <v>#NAME?</v>
      </c>
      <c r="BB57" s="109" t="str">
        <f t="shared" ca="1" si="23"/>
        <v>-</v>
      </c>
    </row>
    <row r="58" spans="5:54" ht="16.5" customHeight="1" thickBot="1">
      <c r="E58" s="111" t="s">
        <v>1013</v>
      </c>
      <c r="F58" s="66" t="e">
        <f ca="1">_xll.BDP($E58,F$3)&amp;" BEST Curncy"</f>
        <v>#NAME?</v>
      </c>
      <c r="G58" s="97" t="e">
        <f t="shared" ca="1" si="17"/>
        <v>#NAME?</v>
      </c>
      <c r="I58" s="633"/>
      <c r="J58" s="98" t="e">
        <f ca="1">_xll.BDP($E58,J$3)</f>
        <v>#NAME?</v>
      </c>
      <c r="K58" s="99" t="e">
        <f ca="1">_xll.BDP($E58,K$3)</f>
        <v>#NAME?</v>
      </c>
      <c r="L58" s="100" t="str">
        <f ca="1">IF(ISNUMBER(_xll.BDH($E58,"PX_LAST",TEXT($E$2,"YYYYMMDD"),TEXT($E$2,"YYYYMMDD"),"days=a","fill=p")),_xll.BDH($E58,"PX_LAST",TEXT($E$2,"YYYYMMDD"),TEXT($E$2,"YYYYMMDD"),"days=a","fill=p"),"-")</f>
        <v>-</v>
      </c>
      <c r="M58" s="100" t="str">
        <f ca="1">IF(ISNUMBER(_xll.BDH($E58,"PX_LAST",TEXT($E$2-7,"YYYYMMDD"),TEXT($E$2-7,"YYYYMMDD"),"days=a","fill=p")),_xll.BDH($E58,"PX_LAST",TEXT($E$2-7,"YYYYMMDD"),TEXT($E$2-7,"YYYYMMDD"),"days=a","fill=p"),"-")</f>
        <v>-</v>
      </c>
      <c r="N58" s="180" t="str">
        <f t="shared" ca="1" si="4"/>
        <v>-</v>
      </c>
      <c r="O58" s="101" t="e">
        <f ca="1">IF(OR(_xll.BDP($E58,O$3)="#N/A N/A",_xll.BDP($E58,O$3)="#N/A Invalid Security"), "-", _xll.BDP($E58,O$3))</f>
        <v>#NAME?</v>
      </c>
      <c r="P58" s="182" t="str">
        <f ca="1">IF(ISNUMBER(_xll.BDH($F58,"PX_LAST",TEXT($E$2,"YYYYMMDD"),TEXT($E$2,"YYYYMMDD"),"days=a","fill=p")),_xll.BDH($F58,"PX_LAST",TEXT($E$2,"YYYYMMDD"),TEXT($E$2,"YYYYMMDD"),"days=a","fill=p"),"-")</f>
        <v>-</v>
      </c>
      <c r="Q58" s="182" t="str">
        <f ca="1">IF(ISNUMBER(_xll.BDH($F58,"PX_LAST",TEXT($E$2-7,"YYYYMMDD"),TEXT($E$2-7,"YYYYMMDD"),"days=a","fill=p")),_xll.BDH($F58,"PX_LAST",TEXT($E$2-7,"YYYYMMDD"),TEXT($E$2-7,"YYYYMMDD"),"days=a","fill=p"),"-")</f>
        <v>-</v>
      </c>
      <c r="R58" s="102" t="str">
        <f t="shared" ca="1" si="5"/>
        <v>-</v>
      </c>
      <c r="S58" s="103" t="str">
        <f ca="1">IF(ISNUMBER(_xll.BDP($F58,S$3)),_xll.BDP($F58,S$3),"-")</f>
        <v>-</v>
      </c>
      <c r="T58" s="104" t="e">
        <f t="shared" ca="1" si="16"/>
        <v>#NAME?</v>
      </c>
      <c r="U58" s="105" t="e">
        <f ca="1">IF(OR(_xll.BDP($E58,U$3)="#N/A N/A",_xll.BDP($E58,U$3)="#N/A Invalid Security"), "-", _xll.BDP($E58,U$3))</f>
        <v>#NAME?</v>
      </c>
      <c r="V58" s="105" t="e">
        <f ca="1">IF(OR(_xll.BDP($E58,V$2)="#N/A N/A",_xll.BDP($E58,V$2)="#N/A Invalid Security"), "-", _xll.BDP($E58,V$2))</f>
        <v>#NAME?</v>
      </c>
      <c r="W58" s="106" t="e">
        <f ca="1">IF(OR(_xll.BDP($E58,W$3)="#N/A N/A",_xll.BDP($E58,W$3)="#N/A Invalid Security"), "-", _xll.BDP($E58,W$3))</f>
        <v>#NAME?</v>
      </c>
      <c r="X58" s="105" t="e">
        <f ca="1">IF(OR(_xll.BDP($E58,X$3)="#N/A N/A",_xll.BDP($E58,X$3)="#N/A Invalid Security"), " ", _xll.BDP($E58,X$3))</f>
        <v>#NAME?</v>
      </c>
      <c r="Y58" s="105" t="e">
        <f ca="1">IF(OR(_xll.BDP($E58,Y$3)="#N/A N/A",_xll.BDP($E58,Y$3)="#N/A Invalid Security"), " ", _xll.BDP($E58,Y$3))</f>
        <v>#NAME?</v>
      </c>
      <c r="Z58" s="106" t="e">
        <f ca="1">IF(OR(_xll.BDP($E58,Z$3)="#N/A N/A",_xll.BDP($E58,Z$3)="#N/A Invalid Security"), " ", _xll.BDP($E58,Z$3))</f>
        <v>#NAME?</v>
      </c>
      <c r="AA58" s="107"/>
      <c r="AB58" s="93" t="s">
        <v>1011</v>
      </c>
      <c r="AC58" s="93" t="s">
        <v>998</v>
      </c>
      <c r="AD58" s="93" t="s">
        <v>987</v>
      </c>
      <c r="AE58" s="93" t="s">
        <v>940</v>
      </c>
      <c r="AF58" s="93" t="s">
        <v>940</v>
      </c>
      <c r="AG58" s="93" t="s">
        <v>936</v>
      </c>
      <c r="AH58" s="95" t="e">
        <f t="shared" ca="1" si="22"/>
        <v>#NAME?</v>
      </c>
      <c r="AI58" s="95" t="e">
        <f t="shared" ca="1" si="22"/>
        <v>#NAME?</v>
      </c>
      <c r="AJ58" s="95" t="e">
        <f t="shared" ca="1" si="22"/>
        <v>#NAME?</v>
      </c>
      <c r="AK58" s="95" t="e">
        <f t="shared" ca="1" si="22"/>
        <v>#NAME?</v>
      </c>
      <c r="AL58" s="95" t="e">
        <f t="shared" ca="1" si="22"/>
        <v>#NAME?</v>
      </c>
      <c r="AM58" s="95" t="e">
        <f t="shared" ca="1" si="22"/>
        <v>#NAME?</v>
      </c>
      <c r="AN58" s="66" t="str">
        <f t="shared" ca="1" si="25"/>
        <v/>
      </c>
      <c r="AO58" s="108" t="e" cm="1">
        <f t="array" aca="1" ref="AO58" ca="1">_xll.BDP($E58,"cur_mkt_cap")</f>
        <v>#NAME?</v>
      </c>
      <c r="AP58" s="108" t="e" cm="1">
        <f t="array" aca="1" ref="AP58" ca="1">_xll.BDP($E58,"crncy")</f>
        <v>#NAME?</v>
      </c>
      <c r="AQ58" s="109" t="e" cm="1">
        <f t="array" aca="1" ref="AQ58" ca="1">_xll.BDP("USD"&amp;AP58&amp;" curncy","px_last")</f>
        <v>#NAME?</v>
      </c>
      <c r="AR58" s="109" t="e">
        <f t="shared" ca="1" si="20"/>
        <v>#NAME?</v>
      </c>
      <c r="AT58" s="66" t="str">
        <f t="shared" ca="1" si="21"/>
        <v/>
      </c>
      <c r="AU58" s="66" t="str">
        <f t="shared" ca="1" si="21"/>
        <v/>
      </c>
      <c r="AV58" s="66" t="str">
        <f t="shared" ca="1" si="21"/>
        <v/>
      </c>
      <c r="AW58" s="73" t="str" cm="1">
        <f t="array" aca="1" ref="AW58" ca="1">IF(ISERROR(DATEVALUE(_xll.BDP($E58,AW$6))),"",DATEVALUE(_xll.BDP($E58,AW$6)))</f>
        <v/>
      </c>
      <c r="AX58" s="73" t="str" cm="1">
        <f t="array" aca="1" ref="AX58" ca="1">IF(ISERROR(DATEVALUE(_xll.BDP($E58,AX$2))),"",DATEVALUE(_xll.BDP($E58,AX$2)))</f>
        <v/>
      </c>
      <c r="AY58" s="73" t="str" cm="1">
        <f t="array" aca="1" ref="AY58" ca="1">IF(ISERROR(DATEVALUE(_xll.BDP($E58,AY$6))),"",DATEVALUE(_xll.BDP($E58,AY$6)))</f>
        <v/>
      </c>
      <c r="AZ58" s="110" t="e" cm="1">
        <f t="array" aca="1" ref="AZ58" ca="1">IF(_xll.BQL($E58, "last(matches(px_last(dates=range(-1w,0d)), dayofweek(px_last(dates=range(-1w,0d)).date)==6))")="#N/A","-",_xll.BQL($E58, "last(matches(px_last(dates=range(-1w,0d)), dayofweek(px_last(dates=range(-1w,0d)).date)==6))"))</f>
        <v>#NAME?</v>
      </c>
      <c r="BA58" s="109" t="e" cm="1">
        <f t="array" aca="1" ref="BA58" ca="1">IF(_xll.BQL(E58,"first(last(matches(px_last(dates=range(-1M,0D)),dayofweek(px_last(dates=range(-1M,0D)).date)==6),2),1)")="#N/A","-",_xll.BQL(E58,"first(last(matches(px_last(dates=range(-1M,0D)),dayofweek(px_last(dates=range(-1M,0D)).date)==6),2),1)"))</f>
        <v>#NAME?</v>
      </c>
      <c r="BB58" s="109" t="str">
        <f t="shared" ca="1" si="23"/>
        <v>-</v>
      </c>
    </row>
    <row r="59" spans="5:54" ht="16.5" customHeight="1" thickBot="1">
      <c r="E59" s="111" t="s">
        <v>1014</v>
      </c>
      <c r="F59" s="66" t="e">
        <f ca="1">_xll.BDP($E59,F$3)&amp;" BEST Curncy"</f>
        <v>#NAME?</v>
      </c>
      <c r="G59" s="97" t="e">
        <f t="shared" ca="1" si="17"/>
        <v>#NAME?</v>
      </c>
      <c r="I59" s="633"/>
      <c r="J59" s="98" t="e">
        <f ca="1">_xll.BDP($E59,J$3)</f>
        <v>#NAME?</v>
      </c>
      <c r="K59" s="99" t="e">
        <f ca="1">_xll.BDP($E59,K$3)</f>
        <v>#NAME?</v>
      </c>
      <c r="L59" s="100" t="str">
        <f ca="1">IF(ISNUMBER(_xll.BDH($E59,"PX_LAST",TEXT($E$2,"YYYYMMDD"),TEXT($E$2,"YYYYMMDD"),"days=a","fill=p")),_xll.BDH($E59,"PX_LAST",TEXT($E$2,"YYYYMMDD"),TEXT($E$2,"YYYYMMDD"),"days=a","fill=p"),"-")</f>
        <v>-</v>
      </c>
      <c r="M59" s="100" t="str">
        <f ca="1">IF(ISNUMBER(_xll.BDH($E59,"PX_LAST",TEXT($E$2-7,"YYYYMMDD"),TEXT($E$2-7,"YYYYMMDD"),"days=a","fill=p")),_xll.BDH($E59,"PX_LAST",TEXT($E$2-7,"YYYYMMDD"),TEXT($E$2-7,"YYYYMMDD"),"days=a","fill=p"),"-")</f>
        <v>-</v>
      </c>
      <c r="N59" s="180" t="str">
        <f t="shared" ca="1" si="4"/>
        <v>-</v>
      </c>
      <c r="O59" s="101" t="e">
        <f ca="1">IF(OR(_xll.BDP($E59,O$3)="#N/A N/A",_xll.BDP($E59,O$3)="#N/A Invalid Security"), "-", _xll.BDP($E59,O$3))</f>
        <v>#NAME?</v>
      </c>
      <c r="P59" s="182" t="str">
        <f ca="1">IF(ISNUMBER(_xll.BDH($F59,"PX_LAST",TEXT($E$2,"YYYYMMDD"),TEXT($E$2,"YYYYMMDD"),"days=a","fill=p")),_xll.BDH($F59,"PX_LAST",TEXT($E$2,"YYYYMMDD"),TEXT($E$2,"YYYYMMDD"),"days=a","fill=p"),"-")</f>
        <v>-</v>
      </c>
      <c r="Q59" s="182" t="str">
        <f ca="1">IF(ISNUMBER(_xll.BDH($F59,"PX_LAST",TEXT($E$2-7,"YYYYMMDD"),TEXT($E$2-7,"YYYYMMDD"),"days=a","fill=p")),_xll.BDH($F59,"PX_LAST",TEXT($E$2-7,"YYYYMMDD"),TEXT($E$2-7,"YYYYMMDD"),"days=a","fill=p"),"-")</f>
        <v>-</v>
      </c>
      <c r="R59" s="102" t="str">
        <f t="shared" ca="1" si="5"/>
        <v>-</v>
      </c>
      <c r="S59" s="103" t="str">
        <f ca="1">IF(ISNUMBER(_xll.BDP($F59,S$3)),_xll.BDP($F59,S$3),"-")</f>
        <v>-</v>
      </c>
      <c r="T59" s="104" t="e">
        <f t="shared" ca="1" si="16"/>
        <v>#NAME?</v>
      </c>
      <c r="U59" s="105" t="e">
        <f ca="1">IF(OR(_xll.BDP($E59,U$3)="#N/A N/A",_xll.BDP($E59,U$3)="#N/A Invalid Security"), "-", _xll.BDP($E59,U$3))</f>
        <v>#NAME?</v>
      </c>
      <c r="V59" s="105" t="e">
        <f ca="1">IF(OR(_xll.BDP($E59,V$2)="#N/A N/A",_xll.BDP($E59,V$2)="#N/A Invalid Security"), "-", _xll.BDP($E59,V$2))</f>
        <v>#NAME?</v>
      </c>
      <c r="W59" s="106" t="e">
        <f ca="1">IF(OR(_xll.BDP($E59,W$3)="#N/A N/A",_xll.BDP($E59,W$3)="#N/A Invalid Security"), "-", _xll.BDP($E59,W$3))</f>
        <v>#NAME?</v>
      </c>
      <c r="X59" s="105" t="e">
        <f ca="1">IF(OR(_xll.BDP($E59,X$3)="#N/A N/A",_xll.BDP($E59,X$3)="#N/A Invalid Security"), " ", _xll.BDP($E59,X$3))</f>
        <v>#NAME?</v>
      </c>
      <c r="Y59" s="105" t="e">
        <f ca="1">IF(OR(_xll.BDP($E59,Y$3)="#N/A N/A",_xll.BDP($E59,Y$3)="#N/A Invalid Security"), " ", _xll.BDP($E59,Y$3))</f>
        <v>#NAME?</v>
      </c>
      <c r="Z59" s="106" t="e">
        <f ca="1">IF(OR(_xll.BDP($E59,Z$3)="#N/A N/A",_xll.BDP($E59,Z$3)="#N/A Invalid Security"), " ", _xll.BDP($E59,Z$3))</f>
        <v>#NAME?</v>
      </c>
      <c r="AA59" s="107"/>
      <c r="AB59" s="93" t="s">
        <v>932</v>
      </c>
      <c r="AC59" s="93" t="s">
        <v>934</v>
      </c>
      <c r="AD59" s="93" t="s">
        <v>932</v>
      </c>
      <c r="AE59" s="93" t="s">
        <v>940</v>
      </c>
      <c r="AF59" s="93" t="s">
        <v>936</v>
      </c>
      <c r="AG59" s="93" t="s">
        <v>940</v>
      </c>
      <c r="AH59" s="95" t="e">
        <f t="shared" ca="1" si="22"/>
        <v>#NAME?</v>
      </c>
      <c r="AI59" s="95" t="e">
        <f t="shared" ca="1" si="22"/>
        <v>#NAME?</v>
      </c>
      <c r="AJ59" s="95" t="e">
        <f t="shared" ca="1" si="22"/>
        <v>#NAME?</v>
      </c>
      <c r="AK59" s="95" t="e">
        <f t="shared" ca="1" si="22"/>
        <v>#NAME?</v>
      </c>
      <c r="AL59" s="95" t="e">
        <f t="shared" ca="1" si="22"/>
        <v>#NAME?</v>
      </c>
      <c r="AM59" s="95" t="e">
        <f t="shared" ca="1" si="22"/>
        <v>#NAME?</v>
      </c>
      <c r="AN59" s="66" t="str">
        <f t="shared" ca="1" si="25"/>
        <v/>
      </c>
      <c r="AO59" s="108" t="e" cm="1">
        <f t="array" aca="1" ref="AO59" ca="1">_xll.BDP($E59,"cur_mkt_cap")</f>
        <v>#NAME?</v>
      </c>
      <c r="AP59" s="108" t="e" cm="1">
        <f t="array" aca="1" ref="AP59" ca="1">_xll.BDP($E59,"crncy")</f>
        <v>#NAME?</v>
      </c>
      <c r="AQ59" s="109" t="e" cm="1">
        <f t="array" aca="1" ref="AQ59" ca="1">_xll.BDP("USD"&amp;AP59&amp;" curncy","px_last")</f>
        <v>#NAME?</v>
      </c>
      <c r="AR59" s="109" t="e">
        <f t="shared" ca="1" si="20"/>
        <v>#NAME?</v>
      </c>
      <c r="AT59" s="66" t="str">
        <f t="shared" ca="1" si="21"/>
        <v/>
      </c>
      <c r="AU59" s="66" t="str">
        <f t="shared" ca="1" si="21"/>
        <v/>
      </c>
      <c r="AV59" s="66" t="str">
        <f t="shared" ca="1" si="21"/>
        <v/>
      </c>
      <c r="AW59" s="73" t="str" cm="1">
        <f t="array" aca="1" ref="AW59" ca="1">IF(ISERROR(DATEVALUE(_xll.BDP($E59,AW$6))),"",DATEVALUE(_xll.BDP($E59,AW$6)))</f>
        <v/>
      </c>
      <c r="AX59" s="73" t="str" cm="1">
        <f t="array" aca="1" ref="AX59" ca="1">IF(ISERROR(DATEVALUE(_xll.BDP($E59,AX$2))),"",DATEVALUE(_xll.BDP($E59,AX$2)))</f>
        <v/>
      </c>
      <c r="AY59" s="73" t="str" cm="1">
        <f t="array" aca="1" ref="AY59" ca="1">IF(ISERROR(DATEVALUE(_xll.BDP($E59,AY$6))),"",DATEVALUE(_xll.BDP($E59,AY$6)))</f>
        <v/>
      </c>
      <c r="AZ59" s="110" t="e" cm="1">
        <f t="array" aca="1" ref="AZ59" ca="1">IF(_xll.BQL($E59, "last(matches(px_last(dates=range(-1w,0d)), dayofweek(px_last(dates=range(-1w,0d)).date)==6))")="#N/A","-",_xll.BQL($E59, "last(matches(px_last(dates=range(-1w,0d)), dayofweek(px_last(dates=range(-1w,0d)).date)==6))"))</f>
        <v>#NAME?</v>
      </c>
      <c r="BA59" s="109" t="e" cm="1">
        <f t="array" aca="1" ref="BA59" ca="1">IF(_xll.BQL(E59,"first(last(matches(px_last(dates=range(-1M,0D)),dayofweek(px_last(dates=range(-1M,0D)).date)==6),2),1)")="#N/A","-",_xll.BQL(E59,"first(last(matches(px_last(dates=range(-1M,0D)),dayofweek(px_last(dates=range(-1M,0D)).date)==6),2),1)"))</f>
        <v>#NAME?</v>
      </c>
      <c r="BB59" s="109" t="str">
        <f t="shared" ca="1" si="23"/>
        <v>-</v>
      </c>
    </row>
    <row r="60" spans="5:54" ht="16.5" customHeight="1" thickBot="1">
      <c r="E60" s="111" t="s">
        <v>1015</v>
      </c>
      <c r="F60" s="66" t="e">
        <f ca="1">_xll.BDP($E60,F$3)&amp;" BEST Curncy"</f>
        <v>#NAME?</v>
      </c>
      <c r="G60" s="97" t="e">
        <f t="shared" ca="1" si="17"/>
        <v>#NAME?</v>
      </c>
      <c r="I60" s="633"/>
      <c r="J60" s="98" t="e">
        <f ca="1">_xll.BDP($E60,J$3)</f>
        <v>#NAME?</v>
      </c>
      <c r="K60" s="99" t="e">
        <f ca="1">_xll.BDP($E60,K$3)</f>
        <v>#NAME?</v>
      </c>
      <c r="L60" s="100" t="str">
        <f ca="1">IF(ISNUMBER(_xll.BDH($E60,"PX_LAST",TEXT($E$2,"YYYYMMDD"),TEXT($E$2,"YYYYMMDD"),"days=a","fill=p")),_xll.BDH($E60,"PX_LAST",TEXT($E$2,"YYYYMMDD"),TEXT($E$2,"YYYYMMDD"),"days=a","fill=p"),"-")</f>
        <v>-</v>
      </c>
      <c r="M60" s="100" t="str">
        <f ca="1">IF(ISNUMBER(_xll.BDH($E60,"PX_LAST",TEXT($E$2-7,"YYYYMMDD"),TEXT($E$2-7,"YYYYMMDD"),"days=a","fill=p")),_xll.BDH($E60,"PX_LAST",TEXT($E$2-7,"YYYYMMDD"),TEXT($E$2-7,"YYYYMMDD"),"days=a","fill=p"),"-")</f>
        <v>-</v>
      </c>
      <c r="N60" s="180" t="str">
        <f t="shared" ca="1" si="4"/>
        <v>-</v>
      </c>
      <c r="O60" s="101" t="e">
        <f ca="1">IF(OR(_xll.BDP($E60,O$3)="#N/A N/A",_xll.BDP($E60,O$3)="#N/A Invalid Security"), "-", _xll.BDP($E60,O$3))</f>
        <v>#NAME?</v>
      </c>
      <c r="P60" s="182" t="str">
        <f ca="1">IF(ISNUMBER(_xll.BDH($F60,"PX_LAST",TEXT($E$2,"YYYYMMDD"),TEXT($E$2,"YYYYMMDD"),"days=a","fill=p")),_xll.BDH($F60,"PX_LAST",TEXT($E$2,"YYYYMMDD"),TEXT($E$2,"YYYYMMDD"),"days=a","fill=p"),"-")</f>
        <v>-</v>
      </c>
      <c r="Q60" s="182" t="str">
        <f ca="1">IF(ISNUMBER(_xll.BDH($F60,"PX_LAST",TEXT($E$2-7,"YYYYMMDD"),TEXT($E$2-7,"YYYYMMDD"),"days=a","fill=p")),_xll.BDH($F60,"PX_LAST",TEXT($E$2-7,"YYYYMMDD"),TEXT($E$2-7,"YYYYMMDD"),"days=a","fill=p"),"-")</f>
        <v>-</v>
      </c>
      <c r="R60" s="102" t="str">
        <f t="shared" ca="1" si="5"/>
        <v>-</v>
      </c>
      <c r="S60" s="103" t="str">
        <f ca="1">IF(ISNUMBER(_xll.BDP($F60,S$3)),_xll.BDP($F60,S$3),"-")</f>
        <v>-</v>
      </c>
      <c r="T60" s="104" t="e">
        <f t="shared" ca="1" si="16"/>
        <v>#NAME?</v>
      </c>
      <c r="U60" s="105" t="e">
        <f ca="1">IF(OR(_xll.BDP($E60,U$3)="#N/A N/A",_xll.BDP($E60,U$3)="#N/A Invalid Security"), "-", _xll.BDP($E60,U$3))</f>
        <v>#NAME?</v>
      </c>
      <c r="V60" s="105" t="e">
        <f ca="1">IF(OR(_xll.BDP($E60,V$2)="#N/A N/A",_xll.BDP($E60,V$2)="#N/A Invalid Security"), "-", _xll.BDP($E60,V$2))</f>
        <v>#NAME?</v>
      </c>
      <c r="W60" s="106" t="e">
        <f ca="1">IF(OR(_xll.BDP($E60,W$3)="#N/A N/A",_xll.BDP($E60,W$3)="#N/A Invalid Security"), "-", _xll.BDP($E60,W$3))</f>
        <v>#NAME?</v>
      </c>
      <c r="X60" s="105" t="e">
        <f ca="1">IF(OR(_xll.BDP($E60,X$3)="#N/A N/A",_xll.BDP($E60,X$3)="#N/A Invalid Security"), " ", _xll.BDP($E60,X$3))</f>
        <v>#NAME?</v>
      </c>
      <c r="Y60" s="105" t="e">
        <f ca="1">IF(OR(_xll.BDP($E60,Y$3)="#N/A N/A",_xll.BDP($E60,Y$3)="#N/A Invalid Security"), " ", _xll.BDP($E60,Y$3))</f>
        <v>#NAME?</v>
      </c>
      <c r="Z60" s="106" t="e">
        <f ca="1">IF(OR(_xll.BDP($E60,Z$3)="#N/A N/A",_xll.BDP($E60,Z$3)="#N/A Invalid Security"), " ", _xll.BDP($E60,Z$3))</f>
        <v>#NAME?</v>
      </c>
      <c r="AA60" s="107"/>
      <c r="AB60" s="93" t="s">
        <v>1016</v>
      </c>
      <c r="AC60" s="93" t="s">
        <v>1017</v>
      </c>
      <c r="AD60" s="93" t="s">
        <v>987</v>
      </c>
      <c r="AE60" s="93" t="s">
        <v>940</v>
      </c>
      <c r="AF60" s="93" t="s">
        <v>940</v>
      </c>
      <c r="AG60" s="93" t="s">
        <v>936</v>
      </c>
      <c r="AH60" s="95" t="e">
        <f t="shared" ca="1" si="22"/>
        <v>#NAME?</v>
      </c>
      <c r="AI60" s="95" t="e">
        <f t="shared" ca="1" si="22"/>
        <v>#NAME?</v>
      </c>
      <c r="AJ60" s="95" t="e">
        <f t="shared" ca="1" si="22"/>
        <v>#NAME?</v>
      </c>
      <c r="AK60" s="95" t="e">
        <f t="shared" ca="1" si="22"/>
        <v>#NAME?</v>
      </c>
      <c r="AL60" s="95" t="e">
        <f t="shared" ca="1" si="22"/>
        <v>#NAME?</v>
      </c>
      <c r="AM60" s="95" t="e">
        <f t="shared" ca="1" si="22"/>
        <v>#NAME?</v>
      </c>
      <c r="AN60" s="66" t="str">
        <f t="shared" ca="1" si="25"/>
        <v/>
      </c>
      <c r="AO60" s="108" t="e" cm="1">
        <f t="array" aca="1" ref="AO60" ca="1">_xll.BDP($E60,"cur_mkt_cap")</f>
        <v>#NAME?</v>
      </c>
      <c r="AP60" s="108" t="e" cm="1">
        <f t="array" aca="1" ref="AP60" ca="1">_xll.BDP($E60,"crncy")</f>
        <v>#NAME?</v>
      </c>
      <c r="AQ60" s="109" t="e" cm="1">
        <f t="array" aca="1" ref="AQ60" ca="1">_xll.BDP("USD"&amp;AP60&amp;" curncy","px_last")</f>
        <v>#NAME?</v>
      </c>
      <c r="AR60" s="109" t="e">
        <f t="shared" ca="1" si="20"/>
        <v>#NAME?</v>
      </c>
      <c r="AT60" s="66" t="str">
        <f t="shared" ca="1" si="21"/>
        <v/>
      </c>
      <c r="AU60" s="66" t="str">
        <f t="shared" ca="1" si="21"/>
        <v/>
      </c>
      <c r="AV60" s="66" t="str">
        <f t="shared" ca="1" si="21"/>
        <v/>
      </c>
      <c r="AW60" s="73" t="str" cm="1">
        <f t="array" aca="1" ref="AW60" ca="1">IF(ISERROR(DATEVALUE(_xll.BDP($E60,AW$6))),"",DATEVALUE(_xll.BDP($E60,AW$6)))</f>
        <v/>
      </c>
      <c r="AX60" s="73" t="str" cm="1">
        <f t="array" aca="1" ref="AX60" ca="1">IF(ISERROR(DATEVALUE(_xll.BDP($E60,AX$2))),"",DATEVALUE(_xll.BDP($E60,AX$2)))</f>
        <v/>
      </c>
      <c r="AY60" s="73" t="str" cm="1">
        <f t="array" aca="1" ref="AY60" ca="1">IF(ISERROR(DATEVALUE(_xll.BDP($E60,AY$6))),"",DATEVALUE(_xll.BDP($E60,AY$6)))</f>
        <v/>
      </c>
      <c r="AZ60" s="110" t="e" cm="1">
        <f t="array" aca="1" ref="AZ60" ca="1">IF(_xll.BQL($E60, "last(matches(px_last(dates=range(-1w,0d)), dayofweek(px_last(dates=range(-1w,0d)).date)==6))")="#N/A","-",_xll.BQL($E60, "last(matches(px_last(dates=range(-1w,0d)), dayofweek(px_last(dates=range(-1w,0d)).date)==6))"))</f>
        <v>#NAME?</v>
      </c>
      <c r="BA60" s="109" t="e" cm="1">
        <f t="array" aca="1" ref="BA60" ca="1">IF(_xll.BQL(E60,"first(last(matches(px_last(dates=range(-1M,0D)),dayofweek(px_last(dates=range(-1M,0D)).date)==6),2),1)")="#N/A","-",_xll.BQL(E60,"first(last(matches(px_last(dates=range(-1M,0D)),dayofweek(px_last(dates=range(-1M,0D)).date)==6),2),1)"))</f>
        <v>#NAME?</v>
      </c>
      <c r="BB60" s="109" t="str">
        <f t="shared" ca="1" si="23"/>
        <v>-</v>
      </c>
    </row>
    <row r="61" spans="5:54" ht="16.5" customHeight="1" thickBot="1">
      <c r="E61" s="111" t="s">
        <v>1018</v>
      </c>
      <c r="F61" s="66" t="e">
        <f ca="1">_xll.BDP($E61,F$3)&amp;" BEST Curncy"</f>
        <v>#NAME?</v>
      </c>
      <c r="G61" s="97" t="e">
        <f t="shared" ca="1" si="17"/>
        <v>#NAME?</v>
      </c>
      <c r="I61" s="633"/>
      <c r="J61" s="98" t="e">
        <f ca="1">_xll.BDP($E61,J$3)</f>
        <v>#NAME?</v>
      </c>
      <c r="K61" s="99" t="e">
        <f ca="1">_xll.BDP($E61,K$3)</f>
        <v>#NAME?</v>
      </c>
      <c r="L61" s="100" t="str">
        <f ca="1">IF(ISNUMBER(_xll.BDH($E61,"PX_LAST",TEXT($E$2,"YYYYMMDD"),TEXT($E$2,"YYYYMMDD"),"days=a","fill=p")),_xll.BDH($E61,"PX_LAST",TEXT($E$2,"YYYYMMDD"),TEXT($E$2,"YYYYMMDD"),"days=a","fill=p"),"-")</f>
        <v>-</v>
      </c>
      <c r="M61" s="100" t="str">
        <f ca="1">IF(ISNUMBER(_xll.BDH($E61,"PX_LAST",TEXT($E$2-7,"YYYYMMDD"),TEXT($E$2-7,"YYYYMMDD"),"days=a","fill=p")),_xll.BDH($E61,"PX_LAST",TEXT($E$2-7,"YYYYMMDD"),TEXT($E$2-7,"YYYYMMDD"),"days=a","fill=p"),"-")</f>
        <v>-</v>
      </c>
      <c r="N61" s="180" t="str">
        <f t="shared" ca="1" si="4"/>
        <v>-</v>
      </c>
      <c r="O61" s="101" t="e">
        <f ca="1">IF(OR(_xll.BDP($E61,O$3)="#N/A N/A",_xll.BDP($E61,O$3)="#N/A Invalid Security"), "-", _xll.BDP($E61,O$3))</f>
        <v>#NAME?</v>
      </c>
      <c r="P61" s="182" t="str">
        <f ca="1">IF(ISNUMBER(_xll.BDH($F61,"PX_LAST",TEXT($E$2,"YYYYMMDD"),TEXT($E$2,"YYYYMMDD"),"days=a","fill=p")),_xll.BDH($F61,"PX_LAST",TEXT($E$2,"YYYYMMDD"),TEXT($E$2,"YYYYMMDD"),"days=a","fill=p"),"-")</f>
        <v>-</v>
      </c>
      <c r="Q61" s="182" t="str">
        <f ca="1">IF(ISNUMBER(_xll.BDH($F61,"PX_LAST",TEXT($E$2-7,"YYYYMMDD"),TEXT($E$2-7,"YYYYMMDD"),"days=a","fill=p")),_xll.BDH($F61,"PX_LAST",TEXT($E$2-7,"YYYYMMDD"),TEXT($E$2-7,"YYYYMMDD"),"days=a","fill=p"),"-")</f>
        <v>-</v>
      </c>
      <c r="R61" s="102" t="str">
        <f t="shared" ca="1" si="5"/>
        <v>-</v>
      </c>
      <c r="S61" s="103" t="str">
        <f ca="1">IF(ISNUMBER(_xll.BDP($F61,S$3)),_xll.BDP($F61,S$3),"-")</f>
        <v>-</v>
      </c>
      <c r="T61" s="104" t="e">
        <f t="shared" ca="1" si="16"/>
        <v>#NAME?</v>
      </c>
      <c r="U61" s="105" t="e">
        <f ca="1">IF(OR(_xll.BDP($E61,U$3)="#N/A N/A",_xll.BDP($E61,U$3)="#N/A Invalid Security"), "-", _xll.BDP($E61,U$3))</f>
        <v>#NAME?</v>
      </c>
      <c r="V61" s="105" t="e">
        <f ca="1">IF(OR(_xll.BDP($E61,V$2)="#N/A N/A",_xll.BDP($E61,V$2)="#N/A Invalid Security"), "-", _xll.BDP($E61,V$2))</f>
        <v>#NAME?</v>
      </c>
      <c r="W61" s="106" t="e">
        <f ca="1">IF(OR(_xll.BDP($E61,W$3)="#N/A N/A",_xll.BDP($E61,W$3)="#N/A Invalid Security"), "-", _xll.BDP($E61,W$3))</f>
        <v>#NAME?</v>
      </c>
      <c r="X61" s="105" t="e">
        <f ca="1">IF(OR(_xll.BDP($E61,X$3)="#N/A N/A",_xll.BDP($E61,X$3)="#N/A Invalid Security"), " ", _xll.BDP($E61,X$3))</f>
        <v>#NAME?</v>
      </c>
      <c r="Y61" s="105" t="e">
        <f ca="1">IF(OR(_xll.BDP($E61,Y$3)="#N/A N/A",_xll.BDP($E61,Y$3)="#N/A Invalid Security"), " ", _xll.BDP($E61,Y$3))</f>
        <v>#NAME?</v>
      </c>
      <c r="Z61" s="106" t="e">
        <f ca="1">IF(OR(_xll.BDP($E61,Z$3)="#N/A N/A",_xll.BDP($E61,Z$3)="#N/A Invalid Security"), " ", _xll.BDP($E61,Z$3))</f>
        <v>#NAME?</v>
      </c>
      <c r="AA61" s="107"/>
      <c r="AB61" s="93" t="s">
        <v>876</v>
      </c>
      <c r="AC61" s="93" t="s">
        <v>874</v>
      </c>
      <c r="AD61" s="93" t="s">
        <v>987</v>
      </c>
      <c r="AE61" s="93" t="s">
        <v>940</v>
      </c>
      <c r="AF61" s="93" t="s">
        <v>940</v>
      </c>
      <c r="AG61" s="93" t="s">
        <v>936</v>
      </c>
      <c r="AH61" s="95" t="e">
        <f t="shared" ca="1" si="22"/>
        <v>#NAME?</v>
      </c>
      <c r="AI61" s="95" t="e">
        <f t="shared" ca="1" si="22"/>
        <v>#NAME?</v>
      </c>
      <c r="AJ61" s="95" t="e">
        <f t="shared" ca="1" si="22"/>
        <v>#NAME?</v>
      </c>
      <c r="AK61" s="95" t="e">
        <f t="shared" ca="1" si="22"/>
        <v>#NAME?</v>
      </c>
      <c r="AL61" s="95" t="e">
        <f t="shared" ca="1" si="22"/>
        <v>#NAME?</v>
      </c>
      <c r="AM61" s="95" t="e">
        <f t="shared" ca="1" si="22"/>
        <v>#NAME?</v>
      </c>
      <c r="AN61" s="66" t="str">
        <f t="shared" ca="1" si="25"/>
        <v/>
      </c>
      <c r="AO61" s="108" t="e" cm="1">
        <f t="array" aca="1" ref="AO61" ca="1">_xll.BDP($E61,"cur_mkt_cap")</f>
        <v>#NAME?</v>
      </c>
      <c r="AP61" s="108" t="e" cm="1">
        <f t="array" aca="1" ref="AP61" ca="1">_xll.BDP($E61,"crncy")</f>
        <v>#NAME?</v>
      </c>
      <c r="AQ61" s="109" t="e" cm="1">
        <f t="array" aca="1" ref="AQ61" ca="1">_xll.BDP("USD"&amp;AP61&amp;" curncy","px_last")</f>
        <v>#NAME?</v>
      </c>
      <c r="AR61" s="109" t="e">
        <f t="shared" ca="1" si="20"/>
        <v>#NAME?</v>
      </c>
      <c r="AT61" s="66" t="str">
        <f t="shared" ca="1" si="21"/>
        <v/>
      </c>
      <c r="AU61" s="66" t="str">
        <f t="shared" ca="1" si="21"/>
        <v/>
      </c>
      <c r="AV61" s="66" t="str">
        <f t="shared" ca="1" si="21"/>
        <v/>
      </c>
      <c r="AW61" s="73" t="str" cm="1">
        <f t="array" aca="1" ref="AW61" ca="1">IF(ISERROR(DATEVALUE(_xll.BDP($E61,AW$6))),"",DATEVALUE(_xll.BDP($E61,AW$6)))</f>
        <v/>
      </c>
      <c r="AX61" s="73" t="str" cm="1">
        <f t="array" aca="1" ref="AX61" ca="1">IF(ISERROR(DATEVALUE(_xll.BDP($E61,AX$2))),"",DATEVALUE(_xll.BDP($E61,AX$2)))</f>
        <v/>
      </c>
      <c r="AY61" s="73" t="str" cm="1">
        <f t="array" aca="1" ref="AY61" ca="1">IF(ISERROR(DATEVALUE(_xll.BDP($E61,AY$6))),"",DATEVALUE(_xll.BDP($E61,AY$6)))</f>
        <v/>
      </c>
      <c r="AZ61" s="110" t="e" cm="1">
        <f t="array" aca="1" ref="AZ61" ca="1">IF(_xll.BQL($E61, "last(matches(px_last(dates=range(-1w,0d)), dayofweek(px_last(dates=range(-1w,0d)).date)==6))")="#N/A","-",_xll.BQL($E61, "last(matches(px_last(dates=range(-1w,0d)), dayofweek(px_last(dates=range(-1w,0d)).date)==6))"))</f>
        <v>#NAME?</v>
      </c>
      <c r="BA61" s="109" t="e" cm="1">
        <f t="array" aca="1" ref="BA61" ca="1">IF(_xll.BQL(E61,"first(last(matches(px_last(dates=range(-1M,0D)),dayofweek(px_last(dates=range(-1M,0D)).date)==6),2),1)")="#N/A","-",_xll.BQL(E61,"first(last(matches(px_last(dates=range(-1M,0D)),dayofweek(px_last(dates=range(-1M,0D)).date)==6),2),1)"))</f>
        <v>#NAME?</v>
      </c>
      <c r="BB61" s="109" t="str">
        <f t="shared" ca="1" si="23"/>
        <v>-</v>
      </c>
    </row>
    <row r="62" spans="5:54" ht="16.5" customHeight="1" thickBot="1">
      <c r="E62" s="111" t="s">
        <v>1019</v>
      </c>
      <c r="F62" s="66" t="e">
        <f ca="1">_xll.BDP($E62,F$3)&amp;" BEST Curncy"</f>
        <v>#NAME?</v>
      </c>
      <c r="G62" s="97" t="e">
        <f t="shared" ca="1" si="17"/>
        <v>#NAME?</v>
      </c>
      <c r="I62" s="633"/>
      <c r="J62" s="98" t="e">
        <f ca="1">_xll.BDP($E62,J$3)</f>
        <v>#NAME?</v>
      </c>
      <c r="K62" s="99" t="e">
        <f ca="1">_xll.BDP($E62,K$3)</f>
        <v>#NAME?</v>
      </c>
      <c r="L62" s="100" t="str">
        <f ca="1">IF(ISNUMBER(_xll.BDH($E62,"PX_LAST",TEXT($E$2,"YYYYMMDD"),TEXT($E$2,"YYYYMMDD"),"days=a","fill=p")),_xll.BDH($E62,"PX_LAST",TEXT($E$2,"YYYYMMDD"),TEXT($E$2,"YYYYMMDD"),"days=a","fill=p"),"-")</f>
        <v>-</v>
      </c>
      <c r="M62" s="100" t="str">
        <f ca="1">IF(ISNUMBER(_xll.BDH($E62,"PX_LAST",TEXT($E$2-7,"YYYYMMDD"),TEXT($E$2-7,"YYYYMMDD"),"days=a","fill=p")),_xll.BDH($E62,"PX_LAST",TEXT($E$2-7,"YYYYMMDD"),TEXT($E$2-7,"YYYYMMDD"),"days=a","fill=p"),"-")</f>
        <v>-</v>
      </c>
      <c r="N62" s="180" t="str">
        <f t="shared" ca="1" si="4"/>
        <v>-</v>
      </c>
      <c r="O62" s="101" t="e">
        <f ca="1">IF(OR(_xll.BDP($E62,O$3)="#N/A N/A",_xll.BDP($E62,O$3)="#N/A Invalid Security"), "-", _xll.BDP($E62,O$3))</f>
        <v>#NAME?</v>
      </c>
      <c r="P62" s="182" t="str">
        <f ca="1">IF(ISNUMBER(_xll.BDH($F62,"PX_LAST",TEXT($E$2,"YYYYMMDD"),TEXT($E$2,"YYYYMMDD"),"days=a","fill=p")),_xll.BDH($F62,"PX_LAST",TEXT($E$2,"YYYYMMDD"),TEXT($E$2,"YYYYMMDD"),"days=a","fill=p"),"-")</f>
        <v>-</v>
      </c>
      <c r="Q62" s="182" t="str">
        <f ca="1">IF(ISNUMBER(_xll.BDH($F62,"PX_LAST",TEXT($E$2-7,"YYYYMMDD"),TEXT($E$2-7,"YYYYMMDD"),"days=a","fill=p")),_xll.BDH($F62,"PX_LAST",TEXT($E$2-7,"YYYYMMDD"),TEXT($E$2-7,"YYYYMMDD"),"days=a","fill=p"),"-")</f>
        <v>-</v>
      </c>
      <c r="R62" s="102" t="str">
        <f t="shared" ca="1" si="5"/>
        <v>-</v>
      </c>
      <c r="S62" s="103" t="str">
        <f ca="1">IF(ISNUMBER(_xll.BDP($F62,S$3)),_xll.BDP($F62,S$3),"-")</f>
        <v>-</v>
      </c>
      <c r="T62" s="104" t="e">
        <f t="shared" ca="1" si="16"/>
        <v>#NAME?</v>
      </c>
      <c r="U62" s="105" t="e">
        <f ca="1">IF(OR(_xll.BDP($E62,U$3)="#N/A N/A",_xll.BDP($E62,U$3)="#N/A Invalid Security"), "-", _xll.BDP($E62,U$3))</f>
        <v>#NAME?</v>
      </c>
      <c r="V62" s="105" t="e">
        <f ca="1">IF(OR(_xll.BDP($E62,V$2)="#N/A N/A",_xll.BDP($E62,V$2)="#N/A Invalid Security"), "-", _xll.BDP($E62,V$2))</f>
        <v>#NAME?</v>
      </c>
      <c r="W62" s="106" t="e">
        <f ca="1">IF(OR(_xll.BDP($E62,W$3)="#N/A N/A",_xll.BDP($E62,W$3)="#N/A Invalid Security"), "-", _xll.BDP($E62,W$3))</f>
        <v>#NAME?</v>
      </c>
      <c r="X62" s="105" t="e">
        <f ca="1">IF(OR(_xll.BDP($E62,X$3)="#N/A N/A",_xll.BDP($E62,X$3)="#N/A Invalid Security"), " ", _xll.BDP($E62,X$3))</f>
        <v>#NAME?</v>
      </c>
      <c r="Y62" s="105" t="e">
        <f ca="1">IF(OR(_xll.BDP($E62,Y$3)="#N/A N/A",_xll.BDP($E62,Y$3)="#N/A Invalid Security"), " ", _xll.BDP($E62,Y$3))</f>
        <v>#NAME?</v>
      </c>
      <c r="Z62" s="106" t="e">
        <f ca="1">IF(OR(_xll.BDP($E62,Z$3)="#N/A N/A",_xll.BDP($E62,Z$3)="#N/A Invalid Security"), " ", _xll.BDP($E62,Z$3))</f>
        <v>#NAME?</v>
      </c>
      <c r="AA62" s="107"/>
      <c r="AB62" s="93" t="s">
        <v>932</v>
      </c>
      <c r="AC62" s="93" t="s">
        <v>969</v>
      </c>
      <c r="AD62" s="93" t="s">
        <v>932</v>
      </c>
      <c r="AE62" s="93" t="s">
        <v>935</v>
      </c>
      <c r="AF62" s="93" t="s">
        <v>940</v>
      </c>
      <c r="AG62" s="93" t="s">
        <v>935</v>
      </c>
      <c r="AH62" s="95" t="e">
        <f t="shared" ca="1" si="22"/>
        <v>#NAME?</v>
      </c>
      <c r="AI62" s="95" t="e">
        <f t="shared" ca="1" si="22"/>
        <v>#NAME?</v>
      </c>
      <c r="AJ62" s="95" t="e">
        <f t="shared" ca="1" si="22"/>
        <v>#NAME?</v>
      </c>
      <c r="AK62" s="95" t="e">
        <f t="shared" ca="1" si="22"/>
        <v>#NAME?</v>
      </c>
      <c r="AL62" s="95" t="e">
        <f t="shared" ca="1" si="22"/>
        <v>#NAME?</v>
      </c>
      <c r="AM62" s="95" t="e">
        <f t="shared" ca="1" si="22"/>
        <v>#NAME?</v>
      </c>
      <c r="AN62" s="66" t="str">
        <f t="shared" ca="1" si="25"/>
        <v/>
      </c>
      <c r="AO62" s="108" t="e" cm="1">
        <f t="array" aca="1" ref="AO62" ca="1">_xll.BDP($E62,"cur_mkt_cap")</f>
        <v>#NAME?</v>
      </c>
      <c r="AP62" s="108" t="e" cm="1">
        <f t="array" aca="1" ref="AP62" ca="1">_xll.BDP($E62,"crncy")</f>
        <v>#NAME?</v>
      </c>
      <c r="AQ62" s="109" t="e" cm="1">
        <f t="array" aca="1" ref="AQ62" ca="1">_xll.BDP("USD"&amp;AP62&amp;" curncy","px_last")</f>
        <v>#NAME?</v>
      </c>
      <c r="AR62" s="109" t="e">
        <f t="shared" ca="1" si="20"/>
        <v>#NAME?</v>
      </c>
      <c r="AT62" s="66" t="str">
        <f t="shared" ca="1" si="21"/>
        <v/>
      </c>
      <c r="AU62" s="66" t="str">
        <f t="shared" ca="1" si="21"/>
        <v/>
      </c>
      <c r="AV62" s="66" t="str">
        <f t="shared" ca="1" si="21"/>
        <v/>
      </c>
      <c r="AW62" s="73" t="str" cm="1">
        <f t="array" aca="1" ref="AW62" ca="1">IF(ISERROR(DATEVALUE(_xll.BDP($E62,AW$6))),"",DATEVALUE(_xll.BDP($E62,AW$6)))</f>
        <v/>
      </c>
      <c r="AX62" s="73" t="str" cm="1">
        <f t="array" aca="1" ref="AX62" ca="1">IF(ISERROR(DATEVALUE(_xll.BDP($E62,AX$2))),"",DATEVALUE(_xll.BDP($E62,AX$2)))</f>
        <v/>
      </c>
      <c r="AY62" s="73" t="str" cm="1">
        <f t="array" aca="1" ref="AY62" ca="1">IF(ISERROR(DATEVALUE(_xll.BDP($E62,AY$6))),"",DATEVALUE(_xll.BDP($E62,AY$6)))</f>
        <v/>
      </c>
      <c r="AZ62" s="110" t="e" cm="1">
        <f t="array" aca="1" ref="AZ62" ca="1">IF(_xll.BQL($E62, "last(matches(px_last(dates=range(-1w,0d)), dayofweek(px_last(dates=range(-1w,0d)).date)==6))")="#N/A","-",_xll.BQL($E62, "last(matches(px_last(dates=range(-1w,0d)), dayofweek(px_last(dates=range(-1w,0d)).date)==6))"))</f>
        <v>#NAME?</v>
      </c>
      <c r="BA62" s="109" t="e" cm="1">
        <f t="array" aca="1" ref="BA62" ca="1">IF(_xll.BQL(E62,"first(last(matches(px_last(dates=range(-1M,0D)),dayofweek(px_last(dates=range(-1M,0D)).date)==6),2),1)")="#N/A","-",_xll.BQL(E62,"first(last(matches(px_last(dates=range(-1M,0D)),dayofweek(px_last(dates=range(-1M,0D)).date)==6),2),1)"))</f>
        <v>#NAME?</v>
      </c>
      <c r="BB62" s="109" t="str">
        <f t="shared" ca="1" si="23"/>
        <v>-</v>
      </c>
    </row>
    <row r="63" spans="5:54" ht="16.5" customHeight="1" thickBot="1">
      <c r="E63" s="111" t="s">
        <v>1020</v>
      </c>
      <c r="F63" s="66" t="e">
        <f ca="1">_xll.BDP($E63,F$3)&amp;" BEST Curncy"</f>
        <v>#NAME?</v>
      </c>
      <c r="G63" s="97" t="e">
        <f t="shared" ca="1" si="17"/>
        <v>#NAME?</v>
      </c>
      <c r="I63" s="633"/>
      <c r="J63" s="98" t="e">
        <f ca="1">_xll.BDP($E63,J$3)</f>
        <v>#NAME?</v>
      </c>
      <c r="K63" s="99" t="e">
        <f ca="1">_xll.BDP($E63,K$3)</f>
        <v>#NAME?</v>
      </c>
      <c r="L63" s="100" t="str">
        <f ca="1">IF(ISNUMBER(_xll.BDH($E63,"PX_LAST",TEXT($E$2,"YYYYMMDD"),TEXT($E$2,"YYYYMMDD"),"days=a","fill=p")),_xll.BDH($E63,"PX_LAST",TEXT($E$2,"YYYYMMDD"),TEXT($E$2,"YYYYMMDD"),"days=a","fill=p"),"-")</f>
        <v>-</v>
      </c>
      <c r="M63" s="100" t="str">
        <f ca="1">IF(ISNUMBER(_xll.BDH($E63,"PX_LAST",TEXT($E$2-7,"YYYYMMDD"),TEXT($E$2-7,"YYYYMMDD"),"days=a","fill=p")),_xll.BDH($E63,"PX_LAST",TEXT($E$2-7,"YYYYMMDD"),TEXT($E$2-7,"YYYYMMDD"),"days=a","fill=p"),"-")</f>
        <v>-</v>
      </c>
      <c r="N63" s="180" t="str">
        <f t="shared" ca="1" si="4"/>
        <v>-</v>
      </c>
      <c r="O63" s="101" t="e">
        <f ca="1">IF(OR(_xll.BDP($E63,O$3)="#N/A N/A",_xll.BDP($E63,O$3)="#N/A Invalid Security"), "-", _xll.BDP($E63,O$3))</f>
        <v>#NAME?</v>
      </c>
      <c r="P63" s="182" t="str">
        <f ca="1">IF(ISNUMBER(_xll.BDH($F63,"PX_LAST",TEXT($E$2,"YYYYMMDD"),TEXT($E$2,"YYYYMMDD"),"days=a","fill=p")),_xll.BDH($F63,"PX_LAST",TEXT($E$2,"YYYYMMDD"),TEXT($E$2,"YYYYMMDD"),"days=a","fill=p"),"-")</f>
        <v>-</v>
      </c>
      <c r="Q63" s="182" t="str">
        <f ca="1">IF(ISNUMBER(_xll.BDH($F63,"PX_LAST",TEXT($E$2-7,"YYYYMMDD"),TEXT($E$2-7,"YYYYMMDD"),"days=a","fill=p")),_xll.BDH($F63,"PX_LAST",TEXT($E$2-7,"YYYYMMDD"),TEXT($E$2-7,"YYYYMMDD"),"days=a","fill=p"),"-")</f>
        <v>-</v>
      </c>
      <c r="R63" s="102" t="str">
        <f t="shared" ca="1" si="5"/>
        <v>-</v>
      </c>
      <c r="S63" s="103" t="str">
        <f ca="1">IF(ISNUMBER(_xll.BDP($F63,S$3)),_xll.BDP($F63,S$3),"-")</f>
        <v>-</v>
      </c>
      <c r="T63" s="104" t="e">
        <f t="shared" ca="1" si="16"/>
        <v>#NAME?</v>
      </c>
      <c r="U63" s="105" t="e">
        <f ca="1">IF(OR(_xll.BDP($E63,U$3)="#N/A N/A",_xll.BDP($E63,U$3)="#N/A Invalid Security"), "-", _xll.BDP($E63,U$3))</f>
        <v>#NAME?</v>
      </c>
      <c r="V63" s="105" t="e">
        <f ca="1">IF(OR(_xll.BDP($E63,V$2)="#N/A N/A",_xll.BDP($E63,V$2)="#N/A Invalid Security"), "-", _xll.BDP($E63,V$2))</f>
        <v>#NAME?</v>
      </c>
      <c r="W63" s="106" t="e">
        <f ca="1">IF(OR(_xll.BDP($E63,W$3)="#N/A N/A",_xll.BDP($E63,W$3)="#N/A Invalid Security"), "-", _xll.BDP($E63,W$3))</f>
        <v>#NAME?</v>
      </c>
      <c r="X63" s="105" t="e">
        <f ca="1">IF(OR(_xll.BDP($E63,X$3)="#N/A N/A",_xll.BDP($E63,X$3)="#N/A Invalid Security"), " ", _xll.BDP($E63,X$3))</f>
        <v>#NAME?</v>
      </c>
      <c r="Y63" s="105" t="e">
        <f ca="1">IF(OR(_xll.BDP($E63,Y$3)="#N/A N/A",_xll.BDP($E63,Y$3)="#N/A Invalid Security"), " ", _xll.BDP($E63,Y$3))</f>
        <v>#NAME?</v>
      </c>
      <c r="Z63" s="106" t="e">
        <f ca="1">IF(OR(_xll.BDP($E63,Z$3)="#N/A N/A",_xll.BDP($E63,Z$3)="#N/A Invalid Security"), " ", _xll.BDP($E63,Z$3))</f>
        <v>#NAME?</v>
      </c>
      <c r="AA63" s="107"/>
      <c r="AB63" s="93" t="s">
        <v>876</v>
      </c>
      <c r="AC63" s="93" t="s">
        <v>874</v>
      </c>
      <c r="AD63" s="93" t="s">
        <v>987</v>
      </c>
      <c r="AE63" s="93" t="s">
        <v>940</v>
      </c>
      <c r="AF63" s="93" t="s">
        <v>940</v>
      </c>
      <c r="AG63" s="93" t="s">
        <v>936</v>
      </c>
      <c r="AH63" s="95" t="e">
        <f t="shared" ca="1" si="22"/>
        <v>#NAME?</v>
      </c>
      <c r="AI63" s="95" t="e">
        <f t="shared" ca="1" si="22"/>
        <v>#NAME?</v>
      </c>
      <c r="AJ63" s="95" t="e">
        <f t="shared" ca="1" si="22"/>
        <v>#NAME?</v>
      </c>
      <c r="AK63" s="95" t="e">
        <f t="shared" ca="1" si="22"/>
        <v>#NAME?</v>
      </c>
      <c r="AL63" s="95" t="e">
        <f t="shared" ca="1" si="22"/>
        <v>#NAME?</v>
      </c>
      <c r="AM63" s="95" t="e">
        <f t="shared" ca="1" si="22"/>
        <v>#NAME?</v>
      </c>
      <c r="AN63" s="66" t="str">
        <f t="shared" ca="1" si="25"/>
        <v/>
      </c>
      <c r="AO63" s="108" t="e" cm="1">
        <f t="array" aca="1" ref="AO63" ca="1">_xll.BDP($E63,"cur_mkt_cap")</f>
        <v>#NAME?</v>
      </c>
      <c r="AP63" s="108" t="e" cm="1">
        <f t="array" aca="1" ref="AP63" ca="1">_xll.BDP($E63,"crncy")</f>
        <v>#NAME?</v>
      </c>
      <c r="AQ63" s="109" t="e" cm="1">
        <f t="array" aca="1" ref="AQ63" ca="1">_xll.BDP("USD"&amp;AP63&amp;" curncy","px_last")</f>
        <v>#NAME?</v>
      </c>
      <c r="AR63" s="109" t="e">
        <f t="shared" ca="1" si="20"/>
        <v>#NAME?</v>
      </c>
      <c r="AT63" s="66" t="str">
        <f t="shared" ca="1" si="21"/>
        <v/>
      </c>
      <c r="AU63" s="66" t="str">
        <f t="shared" ca="1" si="21"/>
        <v/>
      </c>
      <c r="AV63" s="66" t="str">
        <f t="shared" ca="1" si="21"/>
        <v/>
      </c>
      <c r="AW63" s="73" t="str" cm="1">
        <f t="array" aca="1" ref="AW63" ca="1">IF(ISERROR(DATEVALUE(_xll.BDP($E63,AW$6))),"",DATEVALUE(_xll.BDP($E63,AW$6)))</f>
        <v/>
      </c>
      <c r="AX63" s="73" t="str" cm="1">
        <f t="array" aca="1" ref="AX63" ca="1">IF(ISERROR(DATEVALUE(_xll.BDP($E63,AX$2))),"",DATEVALUE(_xll.BDP($E63,AX$2)))</f>
        <v/>
      </c>
      <c r="AY63" s="73" t="str" cm="1">
        <f t="array" aca="1" ref="AY63" ca="1">IF(ISERROR(DATEVALUE(_xll.BDP($E63,AY$6))),"",DATEVALUE(_xll.BDP($E63,AY$6)))</f>
        <v/>
      </c>
      <c r="AZ63" s="110" t="e" cm="1">
        <f t="array" aca="1" ref="AZ63" ca="1">IF(_xll.BQL($E63, "last(matches(px_last(dates=range(-1w,0d)), dayofweek(px_last(dates=range(-1w,0d)).date)==6))")="#N/A","-",_xll.BQL($E63, "last(matches(px_last(dates=range(-1w,0d)), dayofweek(px_last(dates=range(-1w,0d)).date)==6))"))</f>
        <v>#NAME?</v>
      </c>
      <c r="BA63" s="109" t="e" cm="1">
        <f t="array" aca="1" ref="BA63" ca="1">IF(_xll.BQL(E63,"first(last(matches(px_last(dates=range(-1M,0D)),dayofweek(px_last(dates=range(-1M,0D)).date)==6),2),1)")="#N/A","-",_xll.BQL(E63,"first(last(matches(px_last(dates=range(-1M,0D)),dayofweek(px_last(dates=range(-1M,0D)).date)==6),2),1)"))</f>
        <v>#NAME?</v>
      </c>
      <c r="BB63" s="109" t="str">
        <f t="shared" ca="1" si="23"/>
        <v>-</v>
      </c>
    </row>
    <row r="64" spans="5:54" ht="16.5" customHeight="1" thickBot="1">
      <c r="E64" s="111" t="s">
        <v>1021</v>
      </c>
      <c r="F64" s="66" t="e">
        <f ca="1">_xll.BDP($E64,F$3)&amp;" BEST Curncy"</f>
        <v>#NAME?</v>
      </c>
      <c r="G64" s="97" t="e">
        <f t="shared" ca="1" si="17"/>
        <v>#NAME?</v>
      </c>
      <c r="I64" s="633"/>
      <c r="J64" s="98" t="e">
        <f ca="1">_xll.BDP($E64,J$3)</f>
        <v>#NAME?</v>
      </c>
      <c r="K64" s="99" t="e">
        <f ca="1">_xll.BDP($E64,K$3)</f>
        <v>#NAME?</v>
      </c>
      <c r="L64" s="100" t="str">
        <f ca="1">IF(ISNUMBER(_xll.BDH($E64,"PX_LAST",TEXT($E$2,"YYYYMMDD"),TEXT($E$2,"YYYYMMDD"),"days=a","fill=p")),_xll.BDH($E64,"PX_LAST",TEXT($E$2,"YYYYMMDD"),TEXT($E$2,"YYYYMMDD"),"days=a","fill=p"),"-")</f>
        <v>-</v>
      </c>
      <c r="M64" s="100" t="str">
        <f ca="1">IF(ISNUMBER(_xll.BDH($E64,"PX_LAST",TEXT($E$2-7,"YYYYMMDD"),TEXT($E$2-7,"YYYYMMDD"),"days=a","fill=p")),_xll.BDH($E64,"PX_LAST",TEXT($E$2-7,"YYYYMMDD"),TEXT($E$2-7,"YYYYMMDD"),"days=a","fill=p"),"-")</f>
        <v>-</v>
      </c>
      <c r="N64" s="180" t="str">
        <f t="shared" ca="1" si="4"/>
        <v>-</v>
      </c>
      <c r="O64" s="101" t="e">
        <f ca="1">IF(OR(_xll.BDP($E64,O$3)="#N/A N/A",_xll.BDP($E64,O$3)="#N/A Invalid Security"), "-", _xll.BDP($E64,O$3))</f>
        <v>#NAME?</v>
      </c>
      <c r="P64" s="182" t="str">
        <f ca="1">IF(ISNUMBER(_xll.BDH($F64,"PX_LAST",TEXT($E$2,"YYYYMMDD"),TEXT($E$2,"YYYYMMDD"),"days=a","fill=p")),_xll.BDH($F64,"PX_LAST",TEXT($E$2,"YYYYMMDD"),TEXT($E$2,"YYYYMMDD"),"days=a","fill=p"),"-")</f>
        <v>-</v>
      </c>
      <c r="Q64" s="182" t="str">
        <f ca="1">IF(ISNUMBER(_xll.BDH($F64,"PX_LAST",TEXT($E$2-7,"YYYYMMDD"),TEXT($E$2-7,"YYYYMMDD"),"days=a","fill=p")),_xll.BDH($F64,"PX_LAST",TEXT($E$2-7,"YYYYMMDD"),TEXT($E$2-7,"YYYYMMDD"),"days=a","fill=p"),"-")</f>
        <v>-</v>
      </c>
      <c r="R64" s="102" t="str">
        <f t="shared" ca="1" si="5"/>
        <v>-</v>
      </c>
      <c r="S64" s="103" t="str">
        <f ca="1">IF(ISNUMBER(_xll.BDP($F64,S$3)),_xll.BDP($F64,S$3),"-")</f>
        <v>-</v>
      </c>
      <c r="T64" s="104" t="e">
        <f t="shared" ca="1" si="16"/>
        <v>#NAME?</v>
      </c>
      <c r="U64" s="105" t="e">
        <f ca="1">IF(OR(_xll.BDP($E64,U$3)="#N/A N/A",_xll.BDP($E64,U$3)="#N/A Invalid Security"), "-", _xll.BDP($E64,U$3))</f>
        <v>#NAME?</v>
      </c>
      <c r="V64" s="105" t="e">
        <f ca="1">IF(OR(_xll.BDP($E64,V$2)="#N/A N/A",_xll.BDP($E64,V$2)="#N/A Invalid Security"), "-", _xll.BDP($E64,V$2))</f>
        <v>#NAME?</v>
      </c>
      <c r="W64" s="106" t="e">
        <f ca="1">IF(OR(_xll.BDP($E64,W$3)="#N/A N/A",_xll.BDP($E64,W$3)="#N/A Invalid Security"), "-", _xll.BDP($E64,W$3))</f>
        <v>#NAME?</v>
      </c>
      <c r="X64" s="105" t="e">
        <f ca="1">IF(OR(_xll.BDP($E64,X$3)="#N/A N/A",_xll.BDP($E64,X$3)="#N/A Invalid Security"), " ", _xll.BDP($E64,X$3))</f>
        <v>#NAME?</v>
      </c>
      <c r="Y64" s="105" t="e">
        <f ca="1">IF(OR(_xll.BDP($E64,Y$3)="#N/A N/A",_xll.BDP($E64,Y$3)="#N/A Invalid Security"), " ", _xll.BDP($E64,Y$3))</f>
        <v>#NAME?</v>
      </c>
      <c r="Z64" s="106" t="e">
        <f ca="1">IF(OR(_xll.BDP($E64,Z$3)="#N/A N/A",_xll.BDP($E64,Z$3)="#N/A Invalid Security"), " ", _xll.BDP($E64,Z$3))</f>
        <v>#NAME?</v>
      </c>
      <c r="AA64" s="107"/>
      <c r="AB64" s="93" t="s">
        <v>938</v>
      </c>
      <c r="AC64" s="93" t="s">
        <v>942</v>
      </c>
      <c r="AD64" s="93" t="s">
        <v>934</v>
      </c>
      <c r="AE64" s="93" t="s">
        <v>940</v>
      </c>
      <c r="AF64" s="93" t="s">
        <v>948</v>
      </c>
      <c r="AG64" s="93" t="s">
        <v>936</v>
      </c>
      <c r="AH64" s="95" t="e">
        <f t="shared" ca="1" si="22"/>
        <v>#NAME?</v>
      </c>
      <c r="AI64" s="95" t="e">
        <f t="shared" ca="1" si="22"/>
        <v>#NAME?</v>
      </c>
      <c r="AJ64" s="95" t="e">
        <f t="shared" ca="1" si="22"/>
        <v>#NAME?</v>
      </c>
      <c r="AK64" s="95" t="e">
        <f t="shared" ca="1" si="22"/>
        <v>#NAME?</v>
      </c>
      <c r="AL64" s="95" t="e">
        <f t="shared" ca="1" si="22"/>
        <v>#NAME?</v>
      </c>
      <c r="AM64" s="95" t="e">
        <f t="shared" ca="1" si="22"/>
        <v>#NAME?</v>
      </c>
      <c r="AN64" s="66" t="str">
        <f t="shared" ca="1" si="25"/>
        <v/>
      </c>
      <c r="AO64" s="108" t="e" cm="1">
        <f t="array" aca="1" ref="AO64" ca="1">_xll.BDP($E64,"cur_mkt_cap")</f>
        <v>#NAME?</v>
      </c>
      <c r="AP64" s="108" t="e" cm="1">
        <f t="array" aca="1" ref="AP64" ca="1">_xll.BDP($E64,"crncy")</f>
        <v>#NAME?</v>
      </c>
      <c r="AQ64" s="109" t="e" cm="1">
        <f t="array" aca="1" ref="AQ64" ca="1">_xll.BDP("USD"&amp;AP64&amp;" curncy","px_last")</f>
        <v>#NAME?</v>
      </c>
      <c r="AR64" s="109" t="e">
        <f t="shared" ca="1" si="20"/>
        <v>#NAME?</v>
      </c>
      <c r="AT64" s="66" t="str">
        <f t="shared" ca="1" si="21"/>
        <v/>
      </c>
      <c r="AU64" s="66" t="str">
        <f t="shared" ca="1" si="21"/>
        <v/>
      </c>
      <c r="AV64" s="66" t="str">
        <f t="shared" ca="1" si="21"/>
        <v/>
      </c>
      <c r="AW64" s="73" t="str" cm="1">
        <f t="array" aca="1" ref="AW64" ca="1">IF(ISERROR(DATEVALUE(_xll.BDP($E64,AW$6))),"",DATEVALUE(_xll.BDP($E64,AW$6)))</f>
        <v/>
      </c>
      <c r="AX64" s="73" t="str" cm="1">
        <f t="array" aca="1" ref="AX64" ca="1">IF(ISERROR(DATEVALUE(_xll.BDP($E64,AX$2))),"",DATEVALUE(_xll.BDP($E64,AX$2)))</f>
        <v/>
      </c>
      <c r="AY64" s="73" t="str" cm="1">
        <f t="array" aca="1" ref="AY64" ca="1">IF(ISERROR(DATEVALUE(_xll.BDP($E64,AY$6))),"",DATEVALUE(_xll.BDP($E64,AY$6)))</f>
        <v/>
      </c>
      <c r="AZ64" s="110" t="e" cm="1">
        <f t="array" aca="1" ref="AZ64" ca="1">IF(_xll.BQL($E64, "last(matches(px_last(dates=range(-1w,0d)), dayofweek(px_last(dates=range(-1w,0d)).date)==6))")="#N/A","-",_xll.BQL($E64, "last(matches(px_last(dates=range(-1w,0d)), dayofweek(px_last(dates=range(-1w,0d)).date)==6))"))</f>
        <v>#NAME?</v>
      </c>
      <c r="BA64" s="109" t="e" cm="1">
        <f t="array" aca="1" ref="BA64" ca="1">IF(_xll.BQL(E64,"first(last(matches(px_last(dates=range(-1M,0D)),dayofweek(px_last(dates=range(-1M,0D)).date)==6),2),1)")="#N/A","-",_xll.BQL(E64,"first(last(matches(px_last(dates=range(-1M,0D)),dayofweek(px_last(dates=range(-1M,0D)).date)==6),2),1)"))</f>
        <v>#NAME?</v>
      </c>
      <c r="BB64" s="109" t="str">
        <f t="shared" ca="1" si="23"/>
        <v>-</v>
      </c>
    </row>
    <row r="65" spans="5:54" ht="16.5" customHeight="1" thickBot="1">
      <c r="E65" s="96" t="s">
        <v>1022</v>
      </c>
      <c r="F65" s="66" t="e">
        <f ca="1">_xll.BDP($E65,F$3)&amp;" BEST Curncy"</f>
        <v>#NAME?</v>
      </c>
      <c r="G65" s="97" t="e">
        <f t="shared" ca="1" si="17"/>
        <v>#NAME?</v>
      </c>
      <c r="I65" s="633"/>
      <c r="J65" s="98" t="e">
        <f ca="1">_xll.BDP($E65,J$3)</f>
        <v>#NAME?</v>
      </c>
      <c r="K65" s="99" t="e">
        <f ca="1">_xll.BDP($E65,K$3)</f>
        <v>#NAME?</v>
      </c>
      <c r="L65" s="100" t="str">
        <f ca="1">IF(ISNUMBER(_xll.BDH($E65,"PX_LAST",TEXT($E$2,"YYYYMMDD"),TEXT($E$2,"YYYYMMDD"),"days=a","fill=p")),_xll.BDH($E65,"PX_LAST",TEXT($E$2,"YYYYMMDD"),TEXT($E$2,"YYYYMMDD"),"days=a","fill=p"),"-")</f>
        <v>-</v>
      </c>
      <c r="M65" s="100" t="str">
        <f ca="1">IF(ISNUMBER(_xll.BDH($E65,"PX_LAST",TEXT($E$2-7,"YYYYMMDD"),TEXT($E$2-7,"YYYYMMDD"),"days=a","fill=p")),_xll.BDH($E65,"PX_LAST",TEXT($E$2-7,"YYYYMMDD"),TEXT($E$2-7,"YYYYMMDD"),"days=a","fill=p"),"-")</f>
        <v>-</v>
      </c>
      <c r="N65" s="180" t="str">
        <f t="shared" ca="1" si="4"/>
        <v>-</v>
      </c>
      <c r="O65" s="101" t="e">
        <f ca="1">IF(OR(_xll.BDP($E65,O$3)="#N/A N/A",_xll.BDP($E65,O$3)="#N/A Invalid Security"), "-", _xll.BDP($E65,O$3))</f>
        <v>#NAME?</v>
      </c>
      <c r="P65" s="182" t="str">
        <f ca="1">IF(ISNUMBER(_xll.BDH($F65,"PX_LAST",TEXT($E$2,"YYYYMMDD"),TEXT($E$2,"YYYYMMDD"),"days=a","fill=p")),_xll.BDH($F65,"PX_LAST",TEXT($E$2,"YYYYMMDD"),TEXT($E$2,"YYYYMMDD"),"days=a","fill=p"),"-")</f>
        <v>-</v>
      </c>
      <c r="Q65" s="182" t="str">
        <f ca="1">IF(ISNUMBER(_xll.BDH($F65,"PX_LAST",TEXT($E$2-7,"YYYYMMDD"),TEXT($E$2-7,"YYYYMMDD"),"days=a","fill=p")),_xll.BDH($F65,"PX_LAST",TEXT($E$2-7,"YYYYMMDD"),TEXT($E$2-7,"YYYYMMDD"),"days=a","fill=p"),"-")</f>
        <v>-</v>
      </c>
      <c r="R65" s="102" t="str">
        <f t="shared" ca="1" si="5"/>
        <v>-</v>
      </c>
      <c r="S65" s="103" t="str">
        <f ca="1">IF(ISNUMBER(_xll.BDP($F65,S$3)),_xll.BDP($F65,S$3),"-")</f>
        <v>-</v>
      </c>
      <c r="T65" s="104" t="e">
        <f t="shared" ca="1" si="16"/>
        <v>#NAME?</v>
      </c>
      <c r="U65" s="105" t="e">
        <f ca="1">IF(OR(_xll.BDP($E65,U$3)="#N/A N/A",_xll.BDP($E65,U$3)="#N/A Invalid Security"), "-", _xll.BDP($E65,U$3))</f>
        <v>#NAME?</v>
      </c>
      <c r="V65" s="105" t="e">
        <f ca="1">IF(OR(_xll.BDP($E65,V$2)="#N/A N/A",_xll.BDP($E65,V$2)="#N/A Invalid Security"), "-", _xll.BDP($E65,V$2))</f>
        <v>#NAME?</v>
      </c>
      <c r="W65" s="106" t="e">
        <f ca="1">IF(OR(_xll.BDP($E65,W$3)="#N/A N/A",_xll.BDP($E65,W$3)="#N/A Invalid Security"), "-", _xll.BDP($E65,W$3))</f>
        <v>#NAME?</v>
      </c>
      <c r="X65" s="105" t="e">
        <f ca="1">IF(OR(_xll.BDP($E65,X$3)="#N/A N/A",_xll.BDP($E65,X$3)="#N/A Invalid Security"), " ", _xll.BDP($E65,X$3))</f>
        <v>#NAME?</v>
      </c>
      <c r="Y65" s="105" t="e">
        <f ca="1">IF(OR(_xll.BDP($E65,Y$3)="#N/A N/A",_xll.BDP($E65,Y$3)="#N/A Invalid Security"), " ", _xll.BDP($E65,Y$3))</f>
        <v>#NAME?</v>
      </c>
      <c r="Z65" s="106" t="e">
        <f ca="1">IF(OR(_xll.BDP($E65,Z$3)="#N/A N/A",_xll.BDP($E65,Z$3)="#N/A Invalid Security"), " ", _xll.BDP($E65,Z$3))</f>
        <v>#NAME?</v>
      </c>
      <c r="AA65" s="107"/>
      <c r="AB65" s="93" t="s">
        <v>950</v>
      </c>
      <c r="AC65" s="93" t="s">
        <v>942</v>
      </c>
      <c r="AD65" s="93" t="s">
        <v>932</v>
      </c>
      <c r="AE65" s="93" t="s">
        <v>940</v>
      </c>
      <c r="AF65" s="93" t="s">
        <v>940</v>
      </c>
      <c r="AG65" s="93" t="s">
        <v>940</v>
      </c>
      <c r="AH65" s="95" t="e">
        <f t="shared" ca="1" si="22"/>
        <v>#NAME?</v>
      </c>
      <c r="AI65" s="95" t="e">
        <f t="shared" ca="1" si="22"/>
        <v>#NAME?</v>
      </c>
      <c r="AJ65" s="95" t="e">
        <f t="shared" ca="1" si="22"/>
        <v>#NAME?</v>
      </c>
      <c r="AK65" s="95" t="e">
        <f t="shared" ca="1" si="22"/>
        <v>#NAME?</v>
      </c>
      <c r="AL65" s="95" t="e">
        <f t="shared" ca="1" si="22"/>
        <v>#NAME?</v>
      </c>
      <c r="AM65" s="95" t="e">
        <f t="shared" ca="1" si="22"/>
        <v>#NAME?</v>
      </c>
      <c r="AN65" s="66" t="str">
        <f t="shared" ref="AN65:AN74" ca="1" si="26">IF(SUM(AT65:AV65)&gt;0,"Y","")</f>
        <v/>
      </c>
      <c r="AO65" s="108" t="e" cm="1">
        <f t="array" aca="1" ref="AO65" ca="1">_xll.BDP($E65,"cur_mkt_cap")</f>
        <v>#NAME?</v>
      </c>
      <c r="AP65" s="108" t="e" cm="1">
        <f t="array" aca="1" ref="AP65" ca="1">_xll.BDP($E65,"crncy")</f>
        <v>#NAME?</v>
      </c>
      <c r="AQ65" s="109" t="e" cm="1">
        <f t="array" aca="1" ref="AQ65" ca="1">_xll.BDP("USD"&amp;AP65&amp;" curncy","px_last")</f>
        <v>#NAME?</v>
      </c>
      <c r="AR65" s="109" t="e">
        <f t="shared" ca="1" si="20"/>
        <v>#NAME?</v>
      </c>
      <c r="AT65" s="66" t="str">
        <f t="shared" ca="1" si="21"/>
        <v/>
      </c>
      <c r="AU65" s="66" t="str">
        <f t="shared" ca="1" si="21"/>
        <v/>
      </c>
      <c r="AV65" s="66" t="str">
        <f t="shared" ca="1" si="21"/>
        <v/>
      </c>
      <c r="AW65" s="73" t="str" cm="1">
        <f t="array" aca="1" ref="AW65" ca="1">IF(ISERROR(DATEVALUE(_xll.BDP($E65,AW$6))),"",DATEVALUE(_xll.BDP($E65,AW$6)))</f>
        <v/>
      </c>
      <c r="AX65" s="73" t="str" cm="1">
        <f t="array" aca="1" ref="AX65" ca="1">IF(ISERROR(DATEVALUE(_xll.BDP($E65,AX$2))),"",DATEVALUE(_xll.BDP($E65,AX$2)))</f>
        <v/>
      </c>
      <c r="AY65" s="73" t="str" cm="1">
        <f t="array" aca="1" ref="AY65" ca="1">IF(ISERROR(DATEVALUE(_xll.BDP($E65,AY$6))),"",DATEVALUE(_xll.BDP($E65,AY$6)))</f>
        <v/>
      </c>
      <c r="AZ65" s="110" t="e" cm="1">
        <f t="array" aca="1" ref="AZ65" ca="1">IF(_xll.BQL($E65, "last(matches(px_last(dates=range(-1w,0d)), dayofweek(px_last(dates=range(-1w,0d)).date)==6))")="#N/A","-",_xll.BQL($E65, "last(matches(px_last(dates=range(-1w,0d)), dayofweek(px_last(dates=range(-1w,0d)).date)==6))"))</f>
        <v>#NAME?</v>
      </c>
      <c r="BA65" s="109" t="e" cm="1">
        <f t="array" aca="1" ref="BA65" ca="1">IF(_xll.BQL(E65,"first(last(matches(px_last(dates=range(-1M,0D)),dayofweek(px_last(dates=range(-1M,0D)).date)==6),2),1)")="#N/A","-",_xll.BQL(E65,"first(last(matches(px_last(dates=range(-1M,0D)),dayofweek(px_last(dates=range(-1M,0D)).date)==6),2),1)"))</f>
        <v>#NAME?</v>
      </c>
      <c r="BB65" s="109" t="str">
        <f t="shared" ca="1" si="23"/>
        <v>-</v>
      </c>
    </row>
    <row r="66" spans="5:54" ht="16.5" customHeight="1" thickBot="1">
      <c r="E66" s="96" t="s">
        <v>1023</v>
      </c>
      <c r="F66" s="66" t="e">
        <f ca="1">_xll.BDP($E66,F$3)&amp;" BEST Curncy"</f>
        <v>#NAME?</v>
      </c>
      <c r="G66" s="97" t="e">
        <f t="shared" ca="1" si="17"/>
        <v>#NAME?</v>
      </c>
      <c r="I66" s="633"/>
      <c r="J66" s="98" t="e">
        <f ca="1">_xll.BDP($E66,J$3)</f>
        <v>#NAME?</v>
      </c>
      <c r="K66" s="99" t="e">
        <f ca="1">_xll.BDP($E66,K$3)</f>
        <v>#NAME?</v>
      </c>
      <c r="L66" s="100" t="str">
        <f ca="1">IF(ISNUMBER(_xll.BDH($E66,"PX_LAST",TEXT($E$2,"YYYYMMDD"),TEXT($E$2,"YYYYMMDD"),"days=a","fill=p")),_xll.BDH($E66,"PX_LAST",TEXT($E$2,"YYYYMMDD"),TEXT($E$2,"YYYYMMDD"),"days=a","fill=p"),"-")</f>
        <v>-</v>
      </c>
      <c r="M66" s="100" t="str">
        <f ca="1">IF(ISNUMBER(_xll.BDH($E66,"PX_LAST",TEXT($E$2-7,"YYYYMMDD"),TEXT($E$2-7,"YYYYMMDD"),"days=a","fill=p")),_xll.BDH($E66,"PX_LAST",TEXT($E$2-7,"YYYYMMDD"),TEXT($E$2-7,"YYYYMMDD"),"days=a","fill=p"),"-")</f>
        <v>-</v>
      </c>
      <c r="N66" s="180" t="str">
        <f ca="1">IF(ISNUMBER(($L66-$M66)/$M66),($L66-$M66)/$M66,"-")</f>
        <v>-</v>
      </c>
      <c r="O66" s="101" t="e">
        <f ca="1">IF(OR(_xll.BDP($E66,O$3)="#N/A N/A",_xll.BDP($E66,O$3)="#N/A Invalid Security"), "-", _xll.BDP($E66,O$3))</f>
        <v>#NAME?</v>
      </c>
      <c r="P66" s="182" t="str">
        <f ca="1">IF(ISNUMBER(_xll.BDH($F66,"PX_LAST",TEXT($E$2,"YYYYMMDD"),TEXT($E$2,"YYYYMMDD"),"days=a","fill=p")),_xll.BDH($F66,"PX_LAST",TEXT($E$2,"YYYYMMDD"),TEXT($E$2,"YYYYMMDD"),"days=a","fill=p"),"-")</f>
        <v>-</v>
      </c>
      <c r="Q66" s="182" t="str">
        <f ca="1">IF(ISNUMBER(_xll.BDH($F66,"PX_LAST",TEXT($E$2-7,"YYYYMMDD"),TEXT($E$2-7,"YYYYMMDD"),"days=a","fill=p")),_xll.BDH($F66,"PX_LAST",TEXT($E$2-7,"YYYYMMDD"),TEXT($E$2-7,"YYYYMMDD"),"days=a","fill=p"),"-")</f>
        <v>-</v>
      </c>
      <c r="R66" s="102" t="str">
        <f ca="1">IF(ISNUMBER($P66-$Q66),$P66-$Q66,"-")</f>
        <v>-</v>
      </c>
      <c r="S66" s="103" t="str">
        <f ca="1">IF(ISNUMBER(_xll.BDP($F66,S$3)),_xll.BDP($F66,S$3),"-")</f>
        <v>-</v>
      </c>
      <c r="T66" s="104" t="e">
        <f t="shared" ca="1" si="16"/>
        <v>#NAME?</v>
      </c>
      <c r="U66" s="105" t="e">
        <f ca="1">IF(OR(_xll.BDP($E66,U$3)="#N/A N/A",_xll.BDP($E66,U$3)="#N/A Invalid Security"), "-", _xll.BDP($E66,U$3))</f>
        <v>#NAME?</v>
      </c>
      <c r="V66" s="105" t="e">
        <f ca="1">IF(OR(_xll.BDP($E66,V$2)="#N/A N/A",_xll.BDP($E66,V$2)="#N/A Invalid Security"), "-", _xll.BDP($E66,V$2))</f>
        <v>#NAME?</v>
      </c>
      <c r="W66" s="106" t="e">
        <f ca="1">IF(OR(_xll.BDP($E66,W$3)="#N/A N/A",_xll.BDP($E66,W$3)="#N/A Invalid Security"), "-", _xll.BDP($E66,W$3))</f>
        <v>#NAME?</v>
      </c>
      <c r="X66" s="105" t="e">
        <f ca="1">IF(OR(_xll.BDP($E66,X$3)="#N/A N/A",_xll.BDP($E66,X$3)="#N/A Invalid Security"), " ", _xll.BDP($E66,X$3))</f>
        <v>#NAME?</v>
      </c>
      <c r="Y66" s="105" t="e">
        <f ca="1">IF(OR(_xll.BDP($E66,Y$3)="#N/A N/A",_xll.BDP($E66,Y$3)="#N/A Invalid Security"), " ", _xll.BDP($E66,Y$3))</f>
        <v>#NAME?</v>
      </c>
      <c r="Z66" s="106" t="e">
        <f ca="1">IF(OR(_xll.BDP($E66,Z$3)="#N/A N/A",_xll.BDP($E66,Z$3)="#N/A Invalid Security"), " ", _xll.BDP($E66,Z$3))</f>
        <v>#NAME?</v>
      </c>
      <c r="AA66" s="107"/>
      <c r="AB66" s="93" t="s">
        <v>950</v>
      </c>
      <c r="AC66" s="93" t="s">
        <v>942</v>
      </c>
      <c r="AD66" s="93" t="s">
        <v>932</v>
      </c>
      <c r="AE66" s="93" t="s">
        <v>940</v>
      </c>
      <c r="AF66" s="93" t="s">
        <v>940</v>
      </c>
      <c r="AG66" s="93" t="s">
        <v>940</v>
      </c>
      <c r="AH66" s="95" t="e">
        <f t="shared" ca="1" si="22"/>
        <v>#NAME?</v>
      </c>
      <c r="AI66" s="95" t="e">
        <f t="shared" ca="1" si="22"/>
        <v>#NAME?</v>
      </c>
      <c r="AJ66" s="95" t="e">
        <f t="shared" ca="1" si="22"/>
        <v>#NAME?</v>
      </c>
      <c r="AK66" s="95" t="e">
        <f t="shared" ca="1" si="22"/>
        <v>#NAME?</v>
      </c>
      <c r="AL66" s="95" t="e">
        <f t="shared" ca="1" si="22"/>
        <v>#NAME?</v>
      </c>
      <c r="AM66" s="95" t="e">
        <f t="shared" ca="1" si="22"/>
        <v>#NAME?</v>
      </c>
      <c r="AN66" s="66" t="str">
        <f t="shared" ca="1" si="26"/>
        <v/>
      </c>
      <c r="AO66" s="108" t="e" cm="1">
        <f t="array" aca="1" ref="AO66" ca="1">_xll.BDP($E66,"cur_mkt_cap")</f>
        <v>#NAME?</v>
      </c>
      <c r="AP66" s="108" t="e" cm="1">
        <f t="array" aca="1" ref="AP66" ca="1">_xll.BDP($E66,"crncy")</f>
        <v>#NAME?</v>
      </c>
      <c r="AQ66" s="109" t="e" cm="1">
        <f t="array" aca="1" ref="AQ66" ca="1">_xll.BDP("USD"&amp;AP66&amp;" curncy","px_last")</f>
        <v>#NAME?</v>
      </c>
      <c r="AR66" s="109" t="e">
        <f t="shared" ca="1" si="20"/>
        <v>#NAME?</v>
      </c>
      <c r="AT66" s="66" t="str">
        <f t="shared" ca="1" si="21"/>
        <v/>
      </c>
      <c r="AU66" s="66" t="str">
        <f t="shared" ca="1" si="21"/>
        <v/>
      </c>
      <c r="AV66" s="66" t="str">
        <f t="shared" ca="1" si="21"/>
        <v/>
      </c>
      <c r="AW66" s="73" t="str" cm="1">
        <f t="array" aca="1" ref="AW66" ca="1">IF(ISERROR(DATEVALUE(_xll.BDP($E66,AW$6))),"",DATEVALUE(_xll.BDP($E66,AW$6)))</f>
        <v/>
      </c>
      <c r="AX66" s="73" t="str" cm="1">
        <f t="array" aca="1" ref="AX66" ca="1">IF(ISERROR(DATEVALUE(_xll.BDP($E66,AX$2))),"",DATEVALUE(_xll.BDP($E66,AX$2)))</f>
        <v/>
      </c>
      <c r="AY66" s="73" t="str" cm="1">
        <f t="array" aca="1" ref="AY66" ca="1">IF(ISERROR(DATEVALUE(_xll.BDP($E66,AY$6))),"",DATEVALUE(_xll.BDP($E66,AY$6)))</f>
        <v/>
      </c>
      <c r="AZ66" s="110" t="e" cm="1">
        <f t="array" aca="1" ref="AZ66" ca="1">IF(_xll.BQL($E66, "last(matches(px_last(dates=range(-1w,0d)), dayofweek(px_last(dates=range(-1w,0d)).date)==6))")="#N/A","-",_xll.BQL($E66, "last(matches(px_last(dates=range(-1w,0d)), dayofweek(px_last(dates=range(-1w,0d)).date)==6))"))</f>
        <v>#NAME?</v>
      </c>
      <c r="BA66" s="109" t="e" cm="1">
        <f t="array" aca="1" ref="BA66" ca="1">IF(_xll.BQL(E66,"first(last(matches(px_last(dates=range(-1M,0D)),dayofweek(px_last(dates=range(-1M,0D)).date)==6),2),1)")="#N/A","-",_xll.BQL(E66,"first(last(matches(px_last(dates=range(-1M,0D)),dayofweek(px_last(dates=range(-1M,0D)).date)==6),2),1)"))</f>
        <v>#NAME?</v>
      </c>
      <c r="BB66" s="109" t="str">
        <f t="shared" ca="1" si="23"/>
        <v>-</v>
      </c>
    </row>
    <row r="67" spans="5:54" ht="16.5" customHeight="1" thickBot="1">
      <c r="E67" s="111" t="s">
        <v>1024</v>
      </c>
      <c r="F67" s="66" t="e">
        <f ca="1">_xll.BDP($E67,F$3)&amp;" BEST Curncy"</f>
        <v>#NAME?</v>
      </c>
      <c r="G67" s="97" t="e">
        <f t="shared" ca="1" si="17"/>
        <v>#NAME?</v>
      </c>
      <c r="I67" s="632" t="s">
        <v>1025</v>
      </c>
      <c r="J67" s="98" t="e">
        <f ca="1">_xll.BDP($E67,J$3)</f>
        <v>#NAME?</v>
      </c>
      <c r="K67" s="99" t="e">
        <f ca="1">_xll.BDP($E67,K$3)</f>
        <v>#NAME?</v>
      </c>
      <c r="L67" s="100" t="str">
        <f ca="1">IF(ISNUMBER(_xll.BDH($E67,"PX_LAST",TEXT($E$2,"YYYYMMDD"),TEXT($E$2,"YYYYMMDD"),"days=a","fill=p")),_xll.BDH($E67,"PX_LAST",TEXT($E$2,"YYYYMMDD"),TEXT($E$2,"YYYYMMDD"),"days=a","fill=p"),"-")</f>
        <v>-</v>
      </c>
      <c r="M67" s="100" t="str">
        <f ca="1">IF(ISNUMBER(_xll.BDH($E67,"PX_LAST",TEXT($E$2-7,"YYYYMMDD"),TEXT($E$2-7,"YYYYMMDD"),"days=a","fill=p")),_xll.BDH($E67,"PX_LAST",TEXT($E$2-7,"YYYYMMDD"),TEXT($E$2-7,"YYYYMMDD"),"days=a","fill=p"),"-")</f>
        <v>-</v>
      </c>
      <c r="N67" s="180" t="str">
        <f t="shared" ca="1" si="4"/>
        <v>-</v>
      </c>
      <c r="O67" s="101" t="e">
        <f ca="1">IF(OR(_xll.BDP($E67,O$3)="#N/A N/A",_xll.BDP($E67,O$3)="#N/A Invalid Security"), "-", _xll.BDP($E67,O$3))</f>
        <v>#NAME?</v>
      </c>
      <c r="P67" s="182" t="str">
        <f ca="1">IF(ISNUMBER(_xll.BDH($F67,"PX_LAST",TEXT($E$2,"YYYYMMDD"),TEXT($E$2,"YYYYMMDD"),"days=a","fill=p")),_xll.BDH($F67,"PX_LAST",TEXT($E$2,"YYYYMMDD"),TEXT($E$2,"YYYYMMDD"),"days=a","fill=p"),"-")</f>
        <v>-</v>
      </c>
      <c r="Q67" s="182" t="str">
        <f ca="1">IF(ISNUMBER(_xll.BDH($F67,"PX_LAST",TEXT($E$2-7,"YYYYMMDD"),TEXT($E$2-7,"YYYYMMDD"),"days=a","fill=p")),_xll.BDH($F67,"PX_LAST",TEXT($E$2-7,"YYYYMMDD"),TEXT($E$2-7,"YYYYMMDD"),"days=a","fill=p"),"-")</f>
        <v>-</v>
      </c>
      <c r="R67" s="102" t="str">
        <f t="shared" ca="1" si="5"/>
        <v>-</v>
      </c>
      <c r="S67" s="103" t="str">
        <f ca="1">IF(ISNUMBER(_xll.BDP($F67,S$3)),_xll.BDP($F67,S$3),"-")</f>
        <v>-</v>
      </c>
      <c r="T67" s="104" t="e">
        <f t="shared" ca="1" si="16"/>
        <v>#NAME?</v>
      </c>
      <c r="U67" s="105" t="e">
        <f ca="1">IF(OR(_xll.BDP($E67,U$3)="#N/A N/A",_xll.BDP($E67,U$3)="#N/A Invalid Security"), "-", _xll.BDP($E67,U$3))</f>
        <v>#NAME?</v>
      </c>
      <c r="V67" s="105" t="e">
        <f ca="1">IF(OR(_xll.BDP($E67,V$2)="#N/A N/A",_xll.BDP($E67,V$2)="#N/A Invalid Security"), "-", _xll.BDP($E67,V$2))</f>
        <v>#NAME?</v>
      </c>
      <c r="W67" s="106" t="e">
        <f ca="1">IF(OR(_xll.BDP($E67,W$3)="#N/A N/A",_xll.BDP($E67,W$3)="#N/A Invalid Security"), "-", _xll.BDP($E67,W$3))</f>
        <v>#NAME?</v>
      </c>
      <c r="X67" s="105" t="e">
        <f ca="1">IF(OR(_xll.BDP($E67,X$3)="#N/A N/A",_xll.BDP($E67,X$3)="#N/A Invalid Security"), " ", _xll.BDP($E67,X$3))</f>
        <v>#NAME?</v>
      </c>
      <c r="Y67" s="105" t="e">
        <f ca="1">IF(OR(_xll.BDP($E67,Y$3)="#N/A N/A",_xll.BDP($E67,Y$3)="#N/A Invalid Security"), " ", _xll.BDP($E67,Y$3))</f>
        <v>#NAME?</v>
      </c>
      <c r="Z67" s="106" t="e">
        <f ca="1">IF(OR(_xll.BDP($E67,Z$3)="#N/A N/A",_xll.BDP($E67,Z$3)="#N/A Invalid Security"), " ", _xll.BDP($E67,Z$3))</f>
        <v>#NAME?</v>
      </c>
      <c r="AA67" s="107"/>
      <c r="AB67" s="93" t="s">
        <v>938</v>
      </c>
      <c r="AC67" s="93" t="s">
        <v>942</v>
      </c>
      <c r="AD67" s="93" t="s">
        <v>934</v>
      </c>
      <c r="AE67" s="93" t="s">
        <v>940</v>
      </c>
      <c r="AF67" s="93" t="s">
        <v>948</v>
      </c>
      <c r="AG67" s="93" t="s">
        <v>936</v>
      </c>
      <c r="AH67" s="95" t="e">
        <f t="shared" ca="1" si="22"/>
        <v>#NAME?</v>
      </c>
      <c r="AI67" s="95" t="e">
        <f t="shared" ca="1" si="22"/>
        <v>#NAME?</v>
      </c>
      <c r="AJ67" s="95" t="e">
        <f t="shared" ca="1" si="22"/>
        <v>#NAME?</v>
      </c>
      <c r="AK67" s="95" t="e">
        <f t="shared" ca="1" si="22"/>
        <v>#NAME?</v>
      </c>
      <c r="AL67" s="95" t="e">
        <f t="shared" ca="1" si="22"/>
        <v>#NAME?</v>
      </c>
      <c r="AM67" s="95" t="e">
        <f t="shared" ca="1" si="22"/>
        <v>#NAME?</v>
      </c>
      <c r="AN67" s="66" t="str">
        <f t="shared" ca="1" si="26"/>
        <v/>
      </c>
      <c r="AO67" s="108" t="e" cm="1">
        <f t="array" aca="1" ref="AO67" ca="1">_xll.BDP($E67,"cur_mkt_cap")</f>
        <v>#NAME?</v>
      </c>
      <c r="AP67" s="108" t="e" cm="1">
        <f t="array" aca="1" ref="AP67" ca="1">_xll.BDP($E67,"crncy")</f>
        <v>#NAME?</v>
      </c>
      <c r="AQ67" s="109" t="e" cm="1">
        <f t="array" aca="1" ref="AQ67" ca="1">_xll.BDP("USD"&amp;AP67&amp;" curncy","px_last")</f>
        <v>#NAME?</v>
      </c>
      <c r="AR67" s="109" t="e">
        <f t="shared" ca="1" si="20"/>
        <v>#NAME?</v>
      </c>
      <c r="AT67" s="66" t="str">
        <f t="shared" ca="1" si="21"/>
        <v/>
      </c>
      <c r="AU67" s="66" t="str">
        <f t="shared" ca="1" si="21"/>
        <v/>
      </c>
      <c r="AV67" s="66" t="str">
        <f t="shared" ca="1" si="21"/>
        <v/>
      </c>
      <c r="AW67" s="73" t="str" cm="1">
        <f t="array" aca="1" ref="AW67" ca="1">IF(ISERROR(DATEVALUE(_xll.BDP($E67,AW$6))),"",DATEVALUE(_xll.BDP($E67,AW$6)))</f>
        <v/>
      </c>
      <c r="AX67" s="73" t="str" cm="1">
        <f t="array" aca="1" ref="AX67" ca="1">IF(ISERROR(DATEVALUE(_xll.BDP($E67,AX$2))),"",DATEVALUE(_xll.BDP($E67,AX$2)))</f>
        <v/>
      </c>
      <c r="AY67" s="73" t="str" cm="1">
        <f t="array" aca="1" ref="AY67" ca="1">IF(ISERROR(DATEVALUE(_xll.BDP($E67,AY$6))),"",DATEVALUE(_xll.BDP($E67,AY$6)))</f>
        <v/>
      </c>
      <c r="AZ67" s="110" t="e" cm="1">
        <f t="array" aca="1" ref="AZ67" ca="1">IF(_xll.BQL($E67, "last(matches(px_last(dates=range(-1w,0d)), dayofweek(px_last(dates=range(-1w,0d)).date)==6))")="#N/A","-",_xll.BQL($E67, "last(matches(px_last(dates=range(-1w,0d)), dayofweek(px_last(dates=range(-1w,0d)).date)==6))"))</f>
        <v>#NAME?</v>
      </c>
      <c r="BA67" s="109" t="e" cm="1">
        <f t="array" aca="1" ref="BA67" ca="1">IF(_xll.BQL(E67,"first(last(matches(px_last(dates=range(-1M,0D)),dayofweek(px_last(dates=range(-1M,0D)).date)==6),2),1)")="#N/A","-",_xll.BQL(E67,"first(last(matches(px_last(dates=range(-1M,0D)),dayofweek(px_last(dates=range(-1M,0D)).date)==6),2),1)"))</f>
        <v>#NAME?</v>
      </c>
      <c r="BB67" s="109" t="str">
        <f t="shared" ca="1" si="23"/>
        <v>-</v>
      </c>
    </row>
    <row r="68" spans="5:54" ht="16.5" customHeight="1" thickBot="1">
      <c r="E68" s="111" t="s">
        <v>1026</v>
      </c>
      <c r="F68" s="66" t="e">
        <f ca="1">_xll.BDP($E68,F$3)&amp;" BEST Curncy"</f>
        <v>#NAME?</v>
      </c>
      <c r="G68" s="97" t="e">
        <f t="shared" ca="1" si="17"/>
        <v>#NAME?</v>
      </c>
      <c r="I68" s="633"/>
      <c r="J68" s="98" t="e">
        <f ca="1">_xll.BDP($E68,J$3)</f>
        <v>#NAME?</v>
      </c>
      <c r="K68" s="99" t="e">
        <f ca="1">_xll.BDP($E68,K$3)</f>
        <v>#NAME?</v>
      </c>
      <c r="L68" s="100" t="str">
        <f ca="1">IF(ISNUMBER(_xll.BDH($E68,"PX_LAST",TEXT($E$2,"YYYYMMDD"),TEXT($E$2,"YYYYMMDD"),"days=a","fill=p")),_xll.BDH($E68,"PX_LAST",TEXT($E$2,"YYYYMMDD"),TEXT($E$2,"YYYYMMDD"),"days=a","fill=p"),"-")</f>
        <v>-</v>
      </c>
      <c r="M68" s="100" t="str">
        <f ca="1">IF(ISNUMBER(_xll.BDH($E68,"PX_LAST",TEXT($E$2-7,"YYYYMMDD"),TEXT($E$2-7,"YYYYMMDD"),"days=a","fill=p")),_xll.BDH($E68,"PX_LAST",TEXT($E$2-7,"YYYYMMDD"),TEXT($E$2-7,"YYYYMMDD"),"days=a","fill=p"),"-")</f>
        <v>-</v>
      </c>
      <c r="N68" s="180" t="str">
        <f t="shared" ca="1" si="4"/>
        <v>-</v>
      </c>
      <c r="O68" s="101" t="e">
        <f ca="1">IF(OR(_xll.BDP($E68,O$3)="#N/A N/A",_xll.BDP($E68,O$3)="#N/A Invalid Security"), "-", _xll.BDP($E68,O$3))</f>
        <v>#NAME?</v>
      </c>
      <c r="P68" s="182" t="str">
        <f ca="1">IF(ISNUMBER(_xll.BDH($F68,"PX_LAST",TEXT($E$2,"YYYYMMDD"),TEXT($E$2,"YYYYMMDD"),"days=a","fill=p")),_xll.BDH($F68,"PX_LAST",TEXT($E$2,"YYYYMMDD"),TEXT($E$2,"YYYYMMDD"),"days=a","fill=p"),"-")</f>
        <v>-</v>
      </c>
      <c r="Q68" s="182" t="str">
        <f ca="1">IF(ISNUMBER(_xll.BDH($F68,"PX_LAST",TEXT($E$2-7,"YYYYMMDD"),TEXT($E$2-7,"YYYYMMDD"),"days=a","fill=p")),_xll.BDH($F68,"PX_LAST",TEXT($E$2-7,"YYYYMMDD"),TEXT($E$2-7,"YYYYMMDD"),"days=a","fill=p"),"-")</f>
        <v>-</v>
      </c>
      <c r="R68" s="102" t="str">
        <f t="shared" ca="1" si="5"/>
        <v>-</v>
      </c>
      <c r="S68" s="103" t="str">
        <f ca="1">IF(ISNUMBER(_xll.BDP($F68,S$3)),_xll.BDP($F68,S$3),"-")</f>
        <v>-</v>
      </c>
      <c r="T68" s="104" t="e">
        <f t="shared" ca="1" si="16"/>
        <v>#NAME?</v>
      </c>
      <c r="U68" s="105" t="e">
        <f ca="1">IF(OR(_xll.BDP($E68,U$3)="#N/A N/A",_xll.BDP($E68,U$3)="#N/A Invalid Security"), "-", _xll.BDP($E68,U$3))</f>
        <v>#NAME?</v>
      </c>
      <c r="V68" s="105" t="e">
        <f ca="1">IF(OR(_xll.BDP($E68,V$2)="#N/A N/A",_xll.BDP($E68,V$2)="#N/A Invalid Security"), "-", _xll.BDP($E68,V$2))</f>
        <v>#NAME?</v>
      </c>
      <c r="W68" s="106" t="e">
        <f ca="1">IF(OR(_xll.BDP($E68,W$3)="#N/A N/A",_xll.BDP($E68,W$3)="#N/A Invalid Security"), "-", _xll.BDP($E68,W$3))</f>
        <v>#NAME?</v>
      </c>
      <c r="X68" s="105" t="e">
        <f ca="1">IF(OR(_xll.BDP($E68,X$3)="#N/A N/A",_xll.BDP($E68,X$3)="#N/A Invalid Security"), " ", _xll.BDP($E68,X$3))</f>
        <v>#NAME?</v>
      </c>
      <c r="Y68" s="105" t="e">
        <f ca="1">IF(OR(_xll.BDP($E68,Y$3)="#N/A N/A",_xll.BDP($E68,Y$3)="#N/A Invalid Security"), " ", _xll.BDP($E68,Y$3))</f>
        <v>#NAME?</v>
      </c>
      <c r="Z68" s="106" t="e">
        <f ca="1">IF(OR(_xll.BDP($E68,Z$3)="#N/A N/A",_xll.BDP($E68,Z$3)="#N/A Invalid Security"), " ", _xll.BDP($E68,Z$3))</f>
        <v>#NAME?</v>
      </c>
      <c r="AA68" s="107"/>
      <c r="AB68" s="93" t="s">
        <v>938</v>
      </c>
      <c r="AC68" s="93" t="s">
        <v>942</v>
      </c>
      <c r="AD68" s="93" t="s">
        <v>934</v>
      </c>
      <c r="AE68" s="93" t="s">
        <v>940</v>
      </c>
      <c r="AF68" s="93" t="s">
        <v>948</v>
      </c>
      <c r="AG68" s="93" t="s">
        <v>936</v>
      </c>
      <c r="AH68" s="95" t="e">
        <f t="shared" ca="1" si="22"/>
        <v>#NAME?</v>
      </c>
      <c r="AI68" s="95" t="e">
        <f t="shared" ca="1" si="22"/>
        <v>#NAME?</v>
      </c>
      <c r="AJ68" s="95" t="e">
        <f t="shared" ca="1" si="22"/>
        <v>#NAME?</v>
      </c>
      <c r="AK68" s="95" t="e">
        <f t="shared" ca="1" si="22"/>
        <v>#NAME?</v>
      </c>
      <c r="AL68" s="95" t="e">
        <f t="shared" ca="1" si="22"/>
        <v>#NAME?</v>
      </c>
      <c r="AM68" s="95" t="e">
        <f t="shared" ca="1" si="22"/>
        <v>#NAME?</v>
      </c>
      <c r="AN68" s="66" t="str">
        <f t="shared" ca="1" si="26"/>
        <v/>
      </c>
      <c r="AO68" s="108" t="e" cm="1">
        <f t="array" aca="1" ref="AO68" ca="1">_xll.BDP($E68,"cur_mkt_cap")</f>
        <v>#NAME?</v>
      </c>
      <c r="AP68" s="108" t="e" cm="1">
        <f t="array" aca="1" ref="AP68" ca="1">_xll.BDP($E68,"crncy")</f>
        <v>#NAME?</v>
      </c>
      <c r="AQ68" s="109" t="e" cm="1">
        <f t="array" aca="1" ref="AQ68" ca="1">_xll.BDP("USD"&amp;AP68&amp;" curncy","px_last")</f>
        <v>#NAME?</v>
      </c>
      <c r="AR68" s="109" t="e">
        <f t="shared" ca="1" si="20"/>
        <v>#NAME?</v>
      </c>
      <c r="AT68" s="66" t="str">
        <f t="shared" ca="1" si="21"/>
        <v/>
      </c>
      <c r="AU68" s="66" t="str">
        <f t="shared" ca="1" si="21"/>
        <v/>
      </c>
      <c r="AV68" s="66" t="str">
        <f t="shared" ca="1" si="21"/>
        <v/>
      </c>
      <c r="AW68" s="73" t="str" cm="1">
        <f t="array" aca="1" ref="AW68" ca="1">IF(ISERROR(DATEVALUE(_xll.BDP($E68,AW$6))),"",DATEVALUE(_xll.BDP($E68,AW$6)))</f>
        <v/>
      </c>
      <c r="AX68" s="73" t="str" cm="1">
        <f t="array" aca="1" ref="AX68" ca="1">IF(ISERROR(DATEVALUE(_xll.BDP($E68,AX$2))),"",DATEVALUE(_xll.BDP($E68,AX$2)))</f>
        <v/>
      </c>
      <c r="AY68" s="73" t="str" cm="1">
        <f t="array" aca="1" ref="AY68" ca="1">IF(ISERROR(DATEVALUE(_xll.BDP($E68,AY$6))),"",DATEVALUE(_xll.BDP($E68,AY$6)))</f>
        <v/>
      </c>
      <c r="AZ68" s="110" t="e" cm="1">
        <f t="array" aca="1" ref="AZ68" ca="1">IF(_xll.BQL($E68, "last(matches(px_last(dates=range(-1w,0d)), dayofweek(px_last(dates=range(-1w,0d)).date)==6))")="#N/A","-",_xll.BQL($E68, "last(matches(px_last(dates=range(-1w,0d)), dayofweek(px_last(dates=range(-1w,0d)).date)==6))"))</f>
        <v>#NAME?</v>
      </c>
      <c r="BA68" s="109" t="e" cm="1">
        <f t="array" aca="1" ref="BA68" ca="1">IF(_xll.BQL(E68,"first(last(matches(px_last(dates=range(-1M,0D)),dayofweek(px_last(dates=range(-1M,0D)).date)==6),2),1)")="#N/A","-",_xll.BQL(E68,"first(last(matches(px_last(dates=range(-1M,0D)),dayofweek(px_last(dates=range(-1M,0D)).date)==6),2),1)"))</f>
        <v>#NAME?</v>
      </c>
      <c r="BB68" s="109" t="str">
        <f t="shared" ca="1" si="23"/>
        <v>-</v>
      </c>
    </row>
    <row r="69" spans="5:54" ht="16.5" customHeight="1" thickBot="1">
      <c r="E69" s="96" t="s">
        <v>1027</v>
      </c>
      <c r="F69" s="66" t="e">
        <f ca="1">_xll.BDP($E69,F$3)&amp;" BEST Curncy"</f>
        <v>#NAME?</v>
      </c>
      <c r="G69" s="97" t="e">
        <f t="shared" ca="1" si="17"/>
        <v>#NAME?</v>
      </c>
      <c r="I69" s="633"/>
      <c r="J69" s="98" t="e">
        <f ca="1">_xll.BDP($E69,J$3)</f>
        <v>#NAME?</v>
      </c>
      <c r="K69" s="99" t="e">
        <f ca="1">_xll.BDP($E69,K$3)</f>
        <v>#NAME?</v>
      </c>
      <c r="L69" s="100" t="str">
        <f ca="1">IF(ISNUMBER(_xll.BDH($E69,"PX_LAST",TEXT($E$2,"YYYYMMDD"),TEXT($E$2,"YYYYMMDD"),"days=a","fill=p")),_xll.BDH($E69,"PX_LAST",TEXT($E$2,"YYYYMMDD"),TEXT($E$2,"YYYYMMDD"),"days=a","fill=p"),"-")</f>
        <v>-</v>
      </c>
      <c r="M69" s="100" t="str">
        <f ca="1">IF(ISNUMBER(_xll.BDH($E69,"PX_LAST",TEXT($E$2-7,"YYYYMMDD"),TEXT($E$2-7,"YYYYMMDD"),"days=a","fill=p")),_xll.BDH($E69,"PX_LAST",TEXT($E$2-7,"YYYYMMDD"),TEXT($E$2-7,"YYYYMMDD"),"days=a","fill=p"),"-")</f>
        <v>-</v>
      </c>
      <c r="N69" s="180" t="str">
        <f t="shared" ca="1" si="4"/>
        <v>-</v>
      </c>
      <c r="O69" s="101" t="e">
        <f ca="1">IF(OR(_xll.BDP($E69,O$3)="#N/A N/A",_xll.BDP($E69,O$3)="#N/A Invalid Security"), "-", _xll.BDP($E69,O$3))</f>
        <v>#NAME?</v>
      </c>
      <c r="P69" s="182" t="str">
        <f ca="1">IF(ISNUMBER(_xll.BDH($F69,"PX_LAST",TEXT($E$2,"YYYYMMDD"),TEXT($E$2,"YYYYMMDD"),"days=a","fill=p")),_xll.BDH($F69,"PX_LAST",TEXT($E$2,"YYYYMMDD"),TEXT($E$2,"YYYYMMDD"),"days=a","fill=p"),"-")</f>
        <v>-</v>
      </c>
      <c r="Q69" s="182" t="str">
        <f ca="1">IF(ISNUMBER(_xll.BDH($F69,"PX_LAST",TEXT($E$2-7,"YYYYMMDD"),TEXT($E$2-7,"YYYYMMDD"),"days=a","fill=p")),_xll.BDH($F69,"PX_LAST",TEXT($E$2-7,"YYYYMMDD"),TEXT($E$2-7,"YYYYMMDD"),"days=a","fill=p"),"-")</f>
        <v>-</v>
      </c>
      <c r="R69" s="102" t="str">
        <f t="shared" ca="1" si="5"/>
        <v>-</v>
      </c>
      <c r="S69" s="103" t="str">
        <f ca="1">IF(ISNUMBER(_xll.BDP($F69,S$3)),_xll.BDP($F69,S$3),"-")</f>
        <v>-</v>
      </c>
      <c r="T69" s="104" t="e">
        <f t="shared" ca="1" si="16"/>
        <v>#NAME?</v>
      </c>
      <c r="U69" s="105" t="e">
        <f ca="1">IF(OR(_xll.BDP($E69,U$3)="#N/A N/A",_xll.BDP($E69,U$3)="#N/A Invalid Security"), "-", _xll.BDP($E69,U$3))</f>
        <v>#NAME?</v>
      </c>
      <c r="V69" s="105" t="e">
        <f ca="1">IF(OR(_xll.BDP($E69,V$2)="#N/A N/A",_xll.BDP($E69,V$2)="#N/A Invalid Security"), "-", _xll.BDP($E69,V$2))</f>
        <v>#NAME?</v>
      </c>
      <c r="W69" s="106" t="e">
        <f ca="1">IF(OR(_xll.BDP($E69,W$3)="#N/A N/A",_xll.BDP($E69,W$3)="#N/A Invalid Security"), "-", _xll.BDP($E69,W$3))</f>
        <v>#NAME?</v>
      </c>
      <c r="X69" s="105" t="e">
        <f ca="1">IF(OR(_xll.BDP($E69,X$3)="#N/A N/A",_xll.BDP($E69,X$3)="#N/A Invalid Security"), " ", _xll.BDP($E69,X$3))</f>
        <v>#NAME?</v>
      </c>
      <c r="Y69" s="105" t="e">
        <f ca="1">IF(OR(_xll.BDP($E69,Y$3)="#N/A N/A",_xll.BDP($E69,Y$3)="#N/A Invalid Security"), " ", _xll.BDP($E69,Y$3))</f>
        <v>#NAME?</v>
      </c>
      <c r="Z69" s="106" t="e">
        <f ca="1">IF(OR(_xll.BDP($E69,Z$3)="#N/A N/A",_xll.BDP($E69,Z$3)="#N/A Invalid Security"), " ", _xll.BDP($E69,Z$3))</f>
        <v>#NAME?</v>
      </c>
      <c r="AA69" s="107"/>
      <c r="AB69" s="93" t="s">
        <v>950</v>
      </c>
      <c r="AC69" s="93" t="s">
        <v>942</v>
      </c>
      <c r="AD69" s="93" t="s">
        <v>932</v>
      </c>
      <c r="AE69" s="93" t="s">
        <v>940</v>
      </c>
      <c r="AF69" s="93" t="s">
        <v>940</v>
      </c>
      <c r="AG69" s="93" t="s">
        <v>940</v>
      </c>
      <c r="AH69" s="95" t="e">
        <f t="shared" ca="1" si="22"/>
        <v>#NAME?</v>
      </c>
      <c r="AI69" s="95" t="e">
        <f t="shared" ca="1" si="22"/>
        <v>#NAME?</v>
      </c>
      <c r="AJ69" s="95" t="e">
        <f t="shared" ca="1" si="22"/>
        <v>#NAME?</v>
      </c>
      <c r="AK69" s="95" t="e">
        <f t="shared" ca="1" si="22"/>
        <v>#NAME?</v>
      </c>
      <c r="AL69" s="95" t="e">
        <f t="shared" ca="1" si="22"/>
        <v>#NAME?</v>
      </c>
      <c r="AM69" s="95" t="e">
        <f t="shared" ca="1" si="22"/>
        <v>#NAME?</v>
      </c>
      <c r="AN69" s="66" t="str">
        <f t="shared" ca="1" si="26"/>
        <v/>
      </c>
      <c r="AO69" s="108" t="e" cm="1">
        <f t="array" aca="1" ref="AO69" ca="1">_xll.BDP($E69,"cur_mkt_cap")</f>
        <v>#NAME?</v>
      </c>
      <c r="AP69" s="108" t="e" cm="1">
        <f t="array" aca="1" ref="AP69" ca="1">_xll.BDP($E69,"crncy")</f>
        <v>#NAME?</v>
      </c>
      <c r="AQ69" s="109" t="e" cm="1">
        <f t="array" aca="1" ref="AQ69" ca="1">_xll.BDP("USD"&amp;AP69&amp;" curncy","px_last")</f>
        <v>#NAME?</v>
      </c>
      <c r="AR69" s="109" t="e">
        <f t="shared" ca="1" si="20"/>
        <v>#NAME?</v>
      </c>
      <c r="AT69" s="66" t="str">
        <f t="shared" ca="1" si="21"/>
        <v/>
      </c>
      <c r="AU69" s="66" t="str">
        <f t="shared" ca="1" si="21"/>
        <v/>
      </c>
      <c r="AV69" s="66" t="str">
        <f t="shared" ca="1" si="21"/>
        <v/>
      </c>
      <c r="AW69" s="73" t="str" cm="1">
        <f t="array" aca="1" ref="AW69" ca="1">IF(ISERROR(DATEVALUE(_xll.BDP($E69,AW$6))),"",DATEVALUE(_xll.BDP($E69,AW$6)))</f>
        <v/>
      </c>
      <c r="AX69" s="73" t="str" cm="1">
        <f t="array" aca="1" ref="AX69" ca="1">IF(ISERROR(DATEVALUE(_xll.BDP($E69,AX$2))),"",DATEVALUE(_xll.BDP($E69,AX$2)))</f>
        <v/>
      </c>
      <c r="AY69" s="73" t="str" cm="1">
        <f t="array" aca="1" ref="AY69" ca="1">IF(ISERROR(DATEVALUE(_xll.BDP($E69,AY$6))),"",DATEVALUE(_xll.BDP($E69,AY$6)))</f>
        <v/>
      </c>
      <c r="AZ69" s="110" t="e" cm="1">
        <f t="array" aca="1" ref="AZ69" ca="1">IF(_xll.BQL($E69, "last(matches(px_last(dates=range(-1w,0d)), dayofweek(px_last(dates=range(-1w,0d)).date)==6))")="#N/A","-",_xll.BQL($E69, "last(matches(px_last(dates=range(-1w,0d)), dayofweek(px_last(dates=range(-1w,0d)).date)==6))"))</f>
        <v>#NAME?</v>
      </c>
      <c r="BA69" s="109" t="e" cm="1">
        <f t="array" aca="1" ref="BA69" ca="1">IF(_xll.BQL(E69,"first(last(matches(px_last(dates=range(-1M,0D)),dayofweek(px_last(dates=range(-1M,0D)).date)==6),2),1)")="#N/A","-",_xll.BQL(E69,"first(last(matches(px_last(dates=range(-1M,0D)),dayofweek(px_last(dates=range(-1M,0D)).date)==6),2),1)"))</f>
        <v>#NAME?</v>
      </c>
      <c r="BB69" s="109" t="str">
        <f t="shared" ca="1" si="23"/>
        <v>-</v>
      </c>
    </row>
    <row r="70" spans="5:54" ht="16.5" customHeight="1" thickBot="1">
      <c r="E70" s="96" t="s">
        <v>1028</v>
      </c>
      <c r="F70" s="66" t="e">
        <f ca="1">_xll.BDP($E70,F$3)&amp;" BEST Curncy"</f>
        <v>#NAME?</v>
      </c>
      <c r="G70" s="97" t="e">
        <f t="shared" ca="1" si="17"/>
        <v>#NAME?</v>
      </c>
      <c r="I70" s="633"/>
      <c r="J70" s="98" t="e">
        <f ca="1">_xll.BDP($E70,J$3)</f>
        <v>#NAME?</v>
      </c>
      <c r="K70" s="99" t="e">
        <f ca="1">_xll.BDP($E70,K$3)</f>
        <v>#NAME?</v>
      </c>
      <c r="L70" s="100" t="str">
        <f ca="1">IF(ISNUMBER(_xll.BDH($E70,"PX_LAST",TEXT($E$2,"YYYYMMDD"),TEXT($E$2,"YYYYMMDD"),"days=a","fill=p")),_xll.BDH($E70,"PX_LAST",TEXT($E$2,"YYYYMMDD"),TEXT($E$2,"YYYYMMDD"),"days=a","fill=p"),"-")</f>
        <v>-</v>
      </c>
      <c r="M70" s="100" t="str">
        <f ca="1">IF(ISNUMBER(_xll.BDH($E70,"PX_LAST",TEXT($E$2-7,"YYYYMMDD"),TEXT($E$2-7,"YYYYMMDD"),"days=a","fill=p")),_xll.BDH($E70,"PX_LAST",TEXT($E$2-7,"YYYYMMDD"),TEXT($E$2-7,"YYYYMMDD"),"days=a","fill=p"),"-")</f>
        <v>-</v>
      </c>
      <c r="N70" s="180" t="str">
        <f t="shared" ca="1" si="4"/>
        <v>-</v>
      </c>
      <c r="O70" s="101" t="e">
        <f ca="1">IF(OR(_xll.BDP($E70,O$3)="#N/A N/A",_xll.BDP($E70,O$3)="#N/A Invalid Security"), "-", _xll.BDP($E70,O$3))</f>
        <v>#NAME?</v>
      </c>
      <c r="P70" s="182" t="str">
        <f ca="1">IF(ISNUMBER(_xll.BDH($F70,"PX_LAST",TEXT($E$2,"YYYYMMDD"),TEXT($E$2,"YYYYMMDD"),"days=a","fill=p")),_xll.BDH($F70,"PX_LAST",TEXT($E$2,"YYYYMMDD"),TEXT($E$2,"YYYYMMDD"),"days=a","fill=p"),"-")</f>
        <v>-</v>
      </c>
      <c r="Q70" s="182" t="str">
        <f ca="1">IF(ISNUMBER(_xll.BDH($F70,"PX_LAST",TEXT($E$2-7,"YYYYMMDD"),TEXT($E$2-7,"YYYYMMDD"),"days=a","fill=p")),_xll.BDH($F70,"PX_LAST",TEXT($E$2-7,"YYYYMMDD"),TEXT($E$2-7,"YYYYMMDD"),"days=a","fill=p"),"-")</f>
        <v>-</v>
      </c>
      <c r="R70" s="102" t="str">
        <f t="shared" ca="1" si="5"/>
        <v>-</v>
      </c>
      <c r="S70" s="103" t="str">
        <f ca="1">IF(ISNUMBER(_xll.BDP($F70,S$3)),_xll.BDP($F70,S$3),"-")</f>
        <v>-</v>
      </c>
      <c r="T70" s="104" t="e">
        <f t="shared" ca="1" si="16"/>
        <v>#NAME?</v>
      </c>
      <c r="U70" s="105" t="e">
        <f ca="1">IF(OR(_xll.BDP($E70,U$3)="#N/A N/A",_xll.BDP($E70,U$3)="#N/A Invalid Security"), "-", _xll.BDP($E70,U$3))</f>
        <v>#NAME?</v>
      </c>
      <c r="V70" s="105" t="e">
        <f ca="1">IF(OR(_xll.BDP($E70,V$2)="#N/A N/A",_xll.BDP($E70,V$2)="#N/A Invalid Security"), "-", _xll.BDP($E70,V$2))</f>
        <v>#NAME?</v>
      </c>
      <c r="W70" s="106" t="e">
        <f ca="1">IF(OR(_xll.BDP($E70,W$3)="#N/A N/A",_xll.BDP($E70,W$3)="#N/A Invalid Security"), "-", _xll.BDP($E70,W$3))</f>
        <v>#NAME?</v>
      </c>
      <c r="X70" s="105" t="e">
        <f ca="1">IF(OR(_xll.BDP($E70,X$3)="#N/A N/A",_xll.BDP($E70,X$3)="#N/A Invalid Security"), " ", _xll.BDP($E70,X$3))</f>
        <v>#NAME?</v>
      </c>
      <c r="Y70" s="105" t="e">
        <f ca="1">IF(OR(_xll.BDP($E70,Y$3)="#N/A N/A",_xll.BDP($E70,Y$3)="#N/A Invalid Security"), " ", _xll.BDP($E70,Y$3))</f>
        <v>#NAME?</v>
      </c>
      <c r="Z70" s="106" t="e">
        <f ca="1">IF(OR(_xll.BDP($E70,Z$3)="#N/A N/A",_xll.BDP($E70,Z$3)="#N/A Invalid Security"), " ", _xll.BDP($E70,Z$3))</f>
        <v>#NAME?</v>
      </c>
      <c r="AA70" s="107"/>
      <c r="AB70" s="93" t="s">
        <v>950</v>
      </c>
      <c r="AC70" s="93" t="s">
        <v>942</v>
      </c>
      <c r="AD70" s="93" t="s">
        <v>932</v>
      </c>
      <c r="AE70" s="93" t="s">
        <v>940</v>
      </c>
      <c r="AF70" s="93" t="s">
        <v>940</v>
      </c>
      <c r="AG70" s="93" t="s">
        <v>940</v>
      </c>
      <c r="AH70" s="95" t="e">
        <f t="shared" ca="1" si="22"/>
        <v>#NAME?</v>
      </c>
      <c r="AI70" s="95" t="e">
        <f t="shared" ca="1" si="22"/>
        <v>#NAME?</v>
      </c>
      <c r="AJ70" s="95" t="e">
        <f t="shared" ca="1" si="22"/>
        <v>#NAME?</v>
      </c>
      <c r="AK70" s="95" t="e">
        <f t="shared" ca="1" si="22"/>
        <v>#NAME?</v>
      </c>
      <c r="AL70" s="95" t="e">
        <f t="shared" ca="1" si="22"/>
        <v>#NAME?</v>
      </c>
      <c r="AM70" s="95" t="e">
        <f t="shared" ca="1" si="22"/>
        <v>#NAME?</v>
      </c>
      <c r="AN70" s="66" t="str">
        <f t="shared" ca="1" si="26"/>
        <v/>
      </c>
      <c r="AO70" s="108" t="e" cm="1">
        <f t="array" aca="1" ref="AO70" ca="1">_xll.BDP($E70,"cur_mkt_cap")</f>
        <v>#NAME?</v>
      </c>
      <c r="AP70" s="108" t="e" cm="1">
        <f t="array" aca="1" ref="AP70" ca="1">_xll.BDP($E70,"crncy")</f>
        <v>#NAME?</v>
      </c>
      <c r="AQ70" s="109" t="e" cm="1">
        <f t="array" aca="1" ref="AQ70" ca="1">_xll.BDP("USD"&amp;AP70&amp;" curncy","px_last")</f>
        <v>#NAME?</v>
      </c>
      <c r="AR70" s="109" t="e">
        <f t="shared" ca="1" si="20"/>
        <v>#NAME?</v>
      </c>
      <c r="AT70" s="66" t="str">
        <f t="shared" ca="1" si="21"/>
        <v/>
      </c>
      <c r="AU70" s="66" t="str">
        <f t="shared" ca="1" si="21"/>
        <v/>
      </c>
      <c r="AV70" s="66" t="str">
        <f t="shared" ca="1" si="21"/>
        <v/>
      </c>
      <c r="AW70" s="73" t="str" cm="1">
        <f t="array" aca="1" ref="AW70" ca="1">IF(ISERROR(DATEVALUE(_xll.BDP($E70,AW$6))),"",DATEVALUE(_xll.BDP($E70,AW$6)))</f>
        <v/>
      </c>
      <c r="AX70" s="73" t="str" cm="1">
        <f t="array" aca="1" ref="AX70" ca="1">IF(ISERROR(DATEVALUE(_xll.BDP($E70,AX$2))),"",DATEVALUE(_xll.BDP($E70,AX$2)))</f>
        <v/>
      </c>
      <c r="AY70" s="73" t="str" cm="1">
        <f t="array" aca="1" ref="AY70" ca="1">IF(ISERROR(DATEVALUE(_xll.BDP($E70,AY$6))),"",DATEVALUE(_xll.BDP($E70,AY$6)))</f>
        <v/>
      </c>
      <c r="AZ70" s="110" t="e" cm="1">
        <f t="array" aca="1" ref="AZ70" ca="1">IF(_xll.BQL($E70, "last(matches(px_last(dates=range(-1w,0d)), dayofweek(px_last(dates=range(-1w,0d)).date)==6))")="#N/A","-",_xll.BQL($E70, "last(matches(px_last(dates=range(-1w,0d)), dayofweek(px_last(dates=range(-1w,0d)).date)==6))"))</f>
        <v>#NAME?</v>
      </c>
      <c r="BA70" s="109" t="e" cm="1">
        <f t="array" aca="1" ref="BA70" ca="1">IF(_xll.BQL(E70,"first(last(matches(px_last(dates=range(-1M,0D)),dayofweek(px_last(dates=range(-1M,0D)).date)==6),2),1)")="#N/A","-",_xll.BQL(E70,"first(last(matches(px_last(dates=range(-1M,0D)),dayofweek(px_last(dates=range(-1M,0D)).date)==6),2),1)"))</f>
        <v>#NAME?</v>
      </c>
      <c r="BB70" s="109" t="str">
        <f t="shared" ca="1" si="23"/>
        <v>-</v>
      </c>
    </row>
    <row r="71" spans="5:54" ht="16.5" customHeight="1" thickBot="1">
      <c r="E71" s="96" t="s">
        <v>1029</v>
      </c>
      <c r="F71" s="66" t="e">
        <f ca="1">_xll.BDP($E71,F$3)&amp;" BEST Curncy"</f>
        <v>#NAME?</v>
      </c>
      <c r="G71" s="97" t="e">
        <f t="shared" ca="1" si="17"/>
        <v>#NAME?</v>
      </c>
      <c r="I71" s="144"/>
      <c r="J71" s="98" t="e">
        <f ca="1">_xll.BDP($E71,J$3)</f>
        <v>#NAME?</v>
      </c>
      <c r="K71" s="99" t="e">
        <f ca="1">_xll.BDP($E71,K$3)</f>
        <v>#NAME?</v>
      </c>
      <c r="L71" s="100" t="str">
        <f ca="1">IF(ISNUMBER(_xll.BDH($E71,"PX_LAST",TEXT($E$2,"YYYYMMDD"),TEXT($E$2,"YYYYMMDD"),"days=a","fill=p")),_xll.BDH($E71,"PX_LAST",TEXT($E$2,"YYYYMMDD"),TEXT($E$2,"YYYYMMDD"),"days=a","fill=p"),"-")</f>
        <v>-</v>
      </c>
      <c r="M71" s="100" t="str">
        <f ca="1">IF(ISNUMBER(_xll.BDH($E71,"PX_LAST",TEXT($E$2-7,"YYYYMMDD"),TEXT($E$2-7,"YYYYMMDD"),"days=a","fill=p")),_xll.BDH($E71,"PX_LAST",TEXT($E$2-7,"YYYYMMDD"),TEXT($E$2-7,"YYYYMMDD"),"days=a","fill=p"),"-")</f>
        <v>-</v>
      </c>
      <c r="N71" s="180" t="str">
        <f t="shared" ca="1" si="4"/>
        <v>-</v>
      </c>
      <c r="O71" s="101" t="e">
        <f ca="1">IF(OR(_xll.BDP($E71,O$3)="#N/A N/A",_xll.BDP($E71,O$3)="#N/A Invalid Security"), "-", _xll.BDP($E71,O$3))</f>
        <v>#NAME?</v>
      </c>
      <c r="P71" s="182" t="str">
        <f ca="1">IF(ISNUMBER(_xll.BDH($F71,"PX_LAST",TEXT($E$2,"YYYYMMDD"),TEXT($E$2,"YYYYMMDD"),"days=a","fill=p")),_xll.BDH($F71,"PX_LAST",TEXT($E$2,"YYYYMMDD"),TEXT($E$2,"YYYYMMDD"),"days=a","fill=p"),"-")</f>
        <v>-</v>
      </c>
      <c r="Q71" s="182" t="str">
        <f ca="1">IF(ISNUMBER(_xll.BDH($F71,"PX_LAST",TEXT($E$2-7,"YYYYMMDD"),TEXT($E$2-7,"YYYYMMDD"),"days=a","fill=p")),_xll.BDH($F71,"PX_LAST",TEXT($E$2-7,"YYYYMMDD"),TEXT($E$2-7,"YYYYMMDD"),"days=a","fill=p"),"-")</f>
        <v>-</v>
      </c>
      <c r="R71" s="102" t="str">
        <f t="shared" ca="1" si="5"/>
        <v>-</v>
      </c>
      <c r="S71" s="103" t="str">
        <f ca="1">IF(ISNUMBER(_xll.BDP($F71,S$3)),_xll.BDP($F71,S$3),"-")</f>
        <v>-</v>
      </c>
      <c r="T71" s="104" t="e">
        <f t="shared" ca="1" si="16"/>
        <v>#NAME?</v>
      </c>
      <c r="U71" s="105" t="e">
        <f ca="1">IF(OR(_xll.BDP($E71,U$3)="#N/A N/A",_xll.BDP($E71,U$3)="#N/A Invalid Security"), "-", _xll.BDP($E71,U$3))</f>
        <v>#NAME?</v>
      </c>
      <c r="V71" s="105" t="e">
        <f ca="1">IF(OR(_xll.BDP($E71,V$2)="#N/A N/A",_xll.BDP($E71,V$2)="#N/A Invalid Security"), "-", _xll.BDP($E71,V$2))</f>
        <v>#NAME?</v>
      </c>
      <c r="W71" s="106" t="e">
        <f ca="1">IF(OR(_xll.BDP($E71,W$3)="#N/A N/A",_xll.BDP($E71,W$3)="#N/A Invalid Security"), "-", _xll.BDP($E71,W$3))</f>
        <v>#NAME?</v>
      </c>
      <c r="X71" s="105" t="e">
        <f ca="1">IF(OR(_xll.BDP($E71,X$3)="#N/A N/A",_xll.BDP($E71,X$3)="#N/A Invalid Security"), " ", _xll.BDP($E71,X$3))</f>
        <v>#NAME?</v>
      </c>
      <c r="Y71" s="105" t="e">
        <f ca="1">IF(OR(_xll.BDP($E71,Y$3)="#N/A N/A",_xll.BDP($E71,Y$3)="#N/A Invalid Security"), " ", _xll.BDP($E71,Y$3))</f>
        <v>#NAME?</v>
      </c>
      <c r="Z71" s="106" t="e">
        <f ca="1">IF(OR(_xll.BDP($E71,Z$3)="#N/A N/A",_xll.BDP($E71,Z$3)="#N/A Invalid Security"), " ", _xll.BDP($E71,Z$3))</f>
        <v>#NAME?</v>
      </c>
      <c r="AA71" s="107"/>
      <c r="AB71" s="93" t="s">
        <v>950</v>
      </c>
      <c r="AC71" s="93" t="s">
        <v>942</v>
      </c>
      <c r="AD71" s="93" t="s">
        <v>932</v>
      </c>
      <c r="AE71" s="93" t="s">
        <v>940</v>
      </c>
      <c r="AF71" s="93" t="s">
        <v>940</v>
      </c>
      <c r="AG71" s="93" t="s">
        <v>940</v>
      </c>
      <c r="AH71" s="95" t="e">
        <f t="shared" ca="1" si="22"/>
        <v>#NAME?</v>
      </c>
      <c r="AI71" s="95" t="e">
        <f t="shared" ca="1" si="22"/>
        <v>#NAME?</v>
      </c>
      <c r="AJ71" s="95" t="e">
        <f t="shared" ca="1" si="22"/>
        <v>#NAME?</v>
      </c>
      <c r="AK71" s="95" t="e">
        <f t="shared" ca="1" si="22"/>
        <v>#NAME?</v>
      </c>
      <c r="AL71" s="95" t="e">
        <f t="shared" ca="1" si="22"/>
        <v>#NAME?</v>
      </c>
      <c r="AM71" s="95" t="e">
        <f t="shared" ca="1" si="22"/>
        <v>#NAME?</v>
      </c>
      <c r="AN71" s="66" t="str">
        <f t="shared" ca="1" si="26"/>
        <v/>
      </c>
      <c r="AO71" s="108" t="e" cm="1">
        <f t="array" aca="1" ref="AO71" ca="1">_xll.BDP($E71,"cur_mkt_cap")</f>
        <v>#NAME?</v>
      </c>
      <c r="AP71" s="108" t="e" cm="1">
        <f t="array" aca="1" ref="AP71" ca="1">_xll.BDP($E71,"crncy")</f>
        <v>#NAME?</v>
      </c>
      <c r="AQ71" s="109" t="e" cm="1">
        <f t="array" aca="1" ref="AQ71" ca="1">_xll.BDP("USD"&amp;AP71&amp;" curncy","px_last")</f>
        <v>#NAME?</v>
      </c>
      <c r="AR71" s="109" t="e">
        <f t="shared" ca="1" si="20"/>
        <v>#NAME?</v>
      </c>
      <c r="AT71" s="66" t="str">
        <f t="shared" ca="1" si="21"/>
        <v/>
      </c>
      <c r="AU71" s="66" t="str">
        <f t="shared" ca="1" si="21"/>
        <v/>
      </c>
      <c r="AV71" s="66" t="str">
        <f t="shared" ca="1" si="21"/>
        <v/>
      </c>
      <c r="AW71" s="73" t="str" cm="1">
        <f t="array" aca="1" ref="AW71" ca="1">IF(ISERROR(DATEVALUE(_xll.BDP($E71,AW$6))),"",DATEVALUE(_xll.BDP($E71,AW$6)))</f>
        <v/>
      </c>
      <c r="AX71" s="73" t="str" cm="1">
        <f t="array" aca="1" ref="AX71" ca="1">IF(ISERROR(DATEVALUE(_xll.BDP($E71,AX$2))),"",DATEVALUE(_xll.BDP($E71,AX$2)))</f>
        <v/>
      </c>
      <c r="AY71" s="73" t="str" cm="1">
        <f t="array" aca="1" ref="AY71" ca="1">IF(ISERROR(DATEVALUE(_xll.BDP($E71,AY$6))),"",DATEVALUE(_xll.BDP($E71,AY$6)))</f>
        <v/>
      </c>
      <c r="AZ71" s="110" t="e" cm="1">
        <f t="array" aca="1" ref="AZ71" ca="1">IF(_xll.BQL($E71, "last(matches(px_last(dates=range(-1w,0d)), dayofweek(px_last(dates=range(-1w,0d)).date)==6))")="#N/A","-",_xll.BQL($E71, "last(matches(px_last(dates=range(-1w,0d)), dayofweek(px_last(dates=range(-1w,0d)).date)==6))"))</f>
        <v>#NAME?</v>
      </c>
      <c r="BA71" s="109" t="e" cm="1">
        <f t="array" aca="1" ref="BA71" ca="1">IF(_xll.BQL(E71,"first(last(matches(px_last(dates=range(-1M,0D)),dayofweek(px_last(dates=range(-1M,0D)).date)==6),2),1)")="#N/A","-",_xll.BQL(E71,"first(last(matches(px_last(dates=range(-1M,0D)),dayofweek(px_last(dates=range(-1M,0D)).date)==6),2),1)"))</f>
        <v>#NAME?</v>
      </c>
      <c r="BB71" s="109" t="str">
        <f t="shared" ca="1" si="23"/>
        <v>-</v>
      </c>
    </row>
    <row r="72" spans="5:54" ht="16.5" customHeight="1" thickBot="1">
      <c r="E72" s="96" t="s">
        <v>1030</v>
      </c>
      <c r="F72" s="66" t="e">
        <f ca="1">_xll.BDP($E72,F$3)&amp;" BEST Curncy"</f>
        <v>#NAME?</v>
      </c>
      <c r="G72" s="97" t="e">
        <f t="shared" ca="1" si="17"/>
        <v>#NAME?</v>
      </c>
      <c r="I72" s="144"/>
      <c r="J72" s="98" t="e">
        <f ca="1">_xll.BDP($E72,J$3)</f>
        <v>#NAME?</v>
      </c>
      <c r="K72" s="99" t="e">
        <f ca="1">_xll.BDP($E72,K$3)</f>
        <v>#NAME?</v>
      </c>
      <c r="L72" s="100" t="str">
        <f ca="1">IF(ISNUMBER(_xll.BDH($E72,"PX_LAST",TEXT($E$2,"YYYYMMDD"),TEXT($E$2,"YYYYMMDD"),"days=a","fill=p")),_xll.BDH($E72,"PX_LAST",TEXT($E$2,"YYYYMMDD"),TEXT($E$2,"YYYYMMDD"),"days=a","fill=p"),"-")</f>
        <v>-</v>
      </c>
      <c r="M72" s="100" t="str">
        <f ca="1">IF(ISNUMBER(_xll.BDH($E72,"PX_LAST",TEXT($E$2-7,"YYYYMMDD"),TEXT($E$2-7,"YYYYMMDD"),"days=a","fill=p")),_xll.BDH($E72,"PX_LAST",TEXT($E$2-7,"YYYYMMDD"),TEXT($E$2-7,"YYYYMMDD"),"days=a","fill=p"),"-")</f>
        <v>-</v>
      </c>
      <c r="N72" s="180" t="str">
        <f t="shared" ref="N72:N81" ca="1" si="27">IF(ISNUMBER(($L72-$M72)/$M72),($L72-$M72)/$M72,"-")</f>
        <v>-</v>
      </c>
      <c r="O72" s="101" t="e">
        <f ca="1">IF(OR(_xll.BDP($E72,O$3)="#N/A N/A",_xll.BDP($E72,O$3)="#N/A Invalid Security"), "-", _xll.BDP($E72,O$3))</f>
        <v>#NAME?</v>
      </c>
      <c r="P72" s="182" t="str">
        <f ca="1">IF(ISNUMBER(_xll.BDH($F72,"PX_LAST",TEXT($E$2,"YYYYMMDD"),TEXT($E$2,"YYYYMMDD"),"days=a","fill=p")),_xll.BDH($F72,"PX_LAST",TEXT($E$2,"YYYYMMDD"),TEXT($E$2,"YYYYMMDD"),"days=a","fill=p"),"-")</f>
        <v>-</v>
      </c>
      <c r="Q72" s="182" t="str">
        <f ca="1">IF(ISNUMBER(_xll.BDH($F72,"PX_LAST",TEXT($E$2-7,"YYYYMMDD"),TEXT($E$2-7,"YYYYMMDD"),"days=a","fill=p")),_xll.BDH($F72,"PX_LAST",TEXT($E$2-7,"YYYYMMDD"),TEXT($E$2-7,"YYYYMMDD"),"days=a","fill=p"),"-")</f>
        <v>-</v>
      </c>
      <c r="R72" s="102" t="str">
        <f t="shared" ref="R72:R81" ca="1" si="28">IF(ISNUMBER($P72-$Q72),$P72-$Q72,"-")</f>
        <v>-</v>
      </c>
      <c r="S72" s="103" t="str">
        <f ca="1">IF(ISNUMBER(_xll.BDP($F72,S$3)),_xll.BDP($F72,S$3),"-")</f>
        <v>-</v>
      </c>
      <c r="T72" s="104" t="e">
        <f t="shared" ca="1" si="16"/>
        <v>#NAME?</v>
      </c>
      <c r="U72" s="105" t="e">
        <f ca="1">IF(OR(_xll.BDP($E72,U$3)="#N/A N/A",_xll.BDP($E72,U$3)="#N/A Invalid Security"), "-", _xll.BDP($E72,U$3))</f>
        <v>#NAME?</v>
      </c>
      <c r="V72" s="105" t="e">
        <f ca="1">IF(OR(_xll.BDP($E72,V$2)="#N/A N/A",_xll.BDP($E72,V$2)="#N/A Invalid Security"), "-", _xll.BDP($E72,V$2))</f>
        <v>#NAME?</v>
      </c>
      <c r="W72" s="106" t="e">
        <f ca="1">IF(OR(_xll.BDP($E72,W$3)="#N/A N/A",_xll.BDP($E72,W$3)="#N/A Invalid Security"), "-", _xll.BDP($E72,W$3))</f>
        <v>#NAME?</v>
      </c>
      <c r="X72" s="105" t="e">
        <f ca="1">IF(OR(_xll.BDP($E72,X$3)="#N/A N/A",_xll.BDP($E72,X$3)="#N/A Invalid Security"), " ", _xll.BDP($E72,X$3))</f>
        <v>#NAME?</v>
      </c>
      <c r="Y72" s="105" t="e">
        <f ca="1">IF(OR(_xll.BDP($E72,Y$3)="#N/A N/A",_xll.BDP($E72,Y$3)="#N/A Invalid Security"), " ", _xll.BDP($E72,Y$3))</f>
        <v>#NAME?</v>
      </c>
      <c r="Z72" s="106" t="e">
        <f ca="1">IF(OR(_xll.BDP($E72,Z$3)="#N/A N/A",_xll.BDP($E72,Z$3)="#N/A Invalid Security"), " ", _xll.BDP($E72,Z$3))</f>
        <v>#NAME?</v>
      </c>
      <c r="AA72" s="107"/>
      <c r="AB72" s="93" t="s">
        <v>950</v>
      </c>
      <c r="AC72" s="93" t="s">
        <v>942</v>
      </c>
      <c r="AD72" s="93" t="s">
        <v>932</v>
      </c>
      <c r="AE72" s="93" t="s">
        <v>940</v>
      </c>
      <c r="AF72" s="93" t="s">
        <v>940</v>
      </c>
      <c r="AG72" s="93" t="s">
        <v>940</v>
      </c>
      <c r="AH72" s="95" t="e">
        <f t="shared" ca="1" si="22"/>
        <v>#NAME?</v>
      </c>
      <c r="AI72" s="95" t="e">
        <f t="shared" ca="1" si="22"/>
        <v>#NAME?</v>
      </c>
      <c r="AJ72" s="95" t="e">
        <f t="shared" ca="1" si="22"/>
        <v>#NAME?</v>
      </c>
      <c r="AK72" s="95" t="e">
        <f t="shared" ca="1" si="22"/>
        <v>#NAME?</v>
      </c>
      <c r="AL72" s="95" t="e">
        <f t="shared" ca="1" si="22"/>
        <v>#NAME?</v>
      </c>
      <c r="AM72" s="95" t="e">
        <f t="shared" ca="1" si="22"/>
        <v>#NAME?</v>
      </c>
      <c r="AN72" s="66" t="str">
        <f t="shared" ca="1" si="26"/>
        <v/>
      </c>
      <c r="AO72" s="108" t="e" cm="1">
        <f t="array" aca="1" ref="AO72" ca="1">_xll.BDP($E72,"cur_mkt_cap")</f>
        <v>#NAME?</v>
      </c>
      <c r="AP72" s="108" t="e" cm="1">
        <f t="array" aca="1" ref="AP72" ca="1">_xll.BDP($E72,"crncy")</f>
        <v>#NAME?</v>
      </c>
      <c r="AQ72" s="109" t="e" cm="1">
        <f t="array" aca="1" ref="AQ72" ca="1">_xll.BDP("USD"&amp;AP72&amp;" curncy","px_last")</f>
        <v>#NAME?</v>
      </c>
      <c r="AR72" s="109" t="e">
        <f t="shared" ca="1" si="20"/>
        <v>#NAME?</v>
      </c>
      <c r="AT72" s="66" t="str">
        <f t="shared" ca="1" si="21"/>
        <v/>
      </c>
      <c r="AU72" s="66" t="str">
        <f t="shared" ca="1" si="21"/>
        <v/>
      </c>
      <c r="AV72" s="66" t="str">
        <f t="shared" ca="1" si="21"/>
        <v/>
      </c>
      <c r="AW72" s="73" t="str" cm="1">
        <f t="array" aca="1" ref="AW72" ca="1">IF(ISERROR(DATEVALUE(_xll.BDP($E72,AW$6))),"",DATEVALUE(_xll.BDP($E72,AW$6)))</f>
        <v/>
      </c>
      <c r="AX72" s="73" t="str" cm="1">
        <f t="array" aca="1" ref="AX72" ca="1">IF(ISERROR(DATEVALUE(_xll.BDP($E72,AX$2))),"",DATEVALUE(_xll.BDP($E72,AX$2)))</f>
        <v/>
      </c>
      <c r="AY72" s="73" t="str" cm="1">
        <f t="array" aca="1" ref="AY72" ca="1">IF(ISERROR(DATEVALUE(_xll.BDP($E72,AY$6))),"",DATEVALUE(_xll.BDP($E72,AY$6)))</f>
        <v/>
      </c>
      <c r="AZ72" s="110" t="e" cm="1">
        <f t="array" aca="1" ref="AZ72" ca="1">IF(_xll.BQL($E72, "last(matches(px_last(dates=range(-1w,0d)), dayofweek(px_last(dates=range(-1w,0d)).date)==6))")="#N/A","-",_xll.BQL($E72, "last(matches(px_last(dates=range(-1w,0d)), dayofweek(px_last(dates=range(-1w,0d)).date)==6))"))</f>
        <v>#NAME?</v>
      </c>
      <c r="BA72" s="109" t="e" cm="1">
        <f t="array" aca="1" ref="BA72" ca="1">IF(_xll.BQL(E72,"first(last(matches(px_last(dates=range(-1M,0D)),dayofweek(px_last(dates=range(-1M,0D)).date)==6),2),1)")="#N/A","-",_xll.BQL(E72,"first(last(matches(px_last(dates=range(-1M,0D)),dayofweek(px_last(dates=range(-1M,0D)).date)==6),2),1)"))</f>
        <v>#NAME?</v>
      </c>
      <c r="BB72" s="109" t="str">
        <f t="shared" ca="1" si="23"/>
        <v>-</v>
      </c>
    </row>
    <row r="73" spans="5:54" ht="16.5" customHeight="1" thickBot="1">
      <c r="E73" s="96" t="s">
        <v>1031</v>
      </c>
      <c r="F73" s="66" t="e">
        <f ca="1">_xll.BDP($E73,F$3)&amp;" BEST Curncy"</f>
        <v>#NAME?</v>
      </c>
      <c r="G73" s="97" t="e">
        <f t="shared" ca="1" si="17"/>
        <v>#NAME?</v>
      </c>
      <c r="I73" s="144"/>
      <c r="J73" s="98" t="e">
        <f ca="1">_xll.BDP($E73,J$3)</f>
        <v>#NAME?</v>
      </c>
      <c r="K73" s="99" t="e">
        <f ca="1">_xll.BDP($E73,K$3)</f>
        <v>#NAME?</v>
      </c>
      <c r="L73" s="100" t="str">
        <f ca="1">IF(ISNUMBER(_xll.BDH($E73,"PX_LAST",TEXT($E$2,"YYYYMMDD"),TEXT($E$2,"YYYYMMDD"),"days=a","fill=p")),_xll.BDH($E73,"PX_LAST",TEXT($E$2,"YYYYMMDD"),TEXT($E$2,"YYYYMMDD"),"days=a","fill=p"),"-")</f>
        <v>-</v>
      </c>
      <c r="M73" s="100" t="str">
        <f ca="1">IF(ISNUMBER(_xll.BDH($E73,"PX_LAST",TEXT($E$2-7,"YYYYMMDD"),TEXT($E$2-7,"YYYYMMDD"),"days=a","fill=p")),_xll.BDH($E73,"PX_LAST",TEXT($E$2-7,"YYYYMMDD"),TEXT($E$2-7,"YYYYMMDD"),"days=a","fill=p"),"-")</f>
        <v>-</v>
      </c>
      <c r="N73" s="180" t="str">
        <f t="shared" ca="1" si="27"/>
        <v>-</v>
      </c>
      <c r="O73" s="101" t="e">
        <f ca="1">IF(OR(_xll.BDP($E73,O$3)="#N/A N/A",_xll.BDP($E73,O$3)="#N/A Invalid Security"), "-", _xll.BDP($E73,O$3))</f>
        <v>#NAME?</v>
      </c>
      <c r="P73" s="182" t="str">
        <f ca="1">IF(ISNUMBER(_xll.BDH($F73,"PX_LAST",TEXT($E$2,"YYYYMMDD"),TEXT($E$2,"YYYYMMDD"),"days=a","fill=p")),_xll.BDH($F73,"PX_LAST",TEXT($E$2,"YYYYMMDD"),TEXT($E$2,"YYYYMMDD"),"days=a","fill=p"),"-")</f>
        <v>-</v>
      </c>
      <c r="Q73" s="182" t="str">
        <f ca="1">IF(ISNUMBER(_xll.BDH($F73,"PX_LAST",TEXT($E$2-7,"YYYYMMDD"),TEXT($E$2-7,"YYYYMMDD"),"days=a","fill=p")),_xll.BDH($F73,"PX_LAST",TEXT($E$2-7,"YYYYMMDD"),TEXT($E$2-7,"YYYYMMDD"),"days=a","fill=p"),"-")</f>
        <v>-</v>
      </c>
      <c r="R73" s="102" t="str">
        <f t="shared" ca="1" si="28"/>
        <v>-</v>
      </c>
      <c r="S73" s="103" t="str">
        <f ca="1">IF(ISNUMBER(_xll.BDP($F73,S$3)),_xll.BDP($F73,S$3),"-")</f>
        <v>-</v>
      </c>
      <c r="T73" s="104" t="e">
        <f t="shared" ca="1" si="16"/>
        <v>#NAME?</v>
      </c>
      <c r="U73" s="105" t="e">
        <f ca="1">IF(OR(_xll.BDP($E73,U$3)="#N/A N/A",_xll.BDP($E73,U$3)="#N/A Invalid Security"), "-", _xll.BDP($E73,U$3))</f>
        <v>#NAME?</v>
      </c>
      <c r="V73" s="105" t="e">
        <f ca="1">IF(OR(_xll.BDP($E73,V$2)="#N/A N/A",_xll.BDP($E73,V$2)="#N/A Invalid Security"), "-", _xll.BDP($E73,V$2))</f>
        <v>#NAME?</v>
      </c>
      <c r="W73" s="106" t="e">
        <f ca="1">IF(OR(_xll.BDP($E73,W$3)="#N/A N/A",_xll.BDP($E73,W$3)="#N/A Invalid Security"), "-", _xll.BDP($E73,W$3))</f>
        <v>#NAME?</v>
      </c>
      <c r="X73" s="105" t="e">
        <f ca="1">IF(OR(_xll.BDP($E73,X$3)="#N/A N/A",_xll.BDP($E73,X$3)="#N/A Invalid Security"), " ", _xll.BDP($E73,X$3))</f>
        <v>#NAME?</v>
      </c>
      <c r="Y73" s="105" t="e">
        <f ca="1">IF(OR(_xll.BDP($E73,Y$3)="#N/A N/A",_xll.BDP($E73,Y$3)="#N/A Invalid Security"), " ", _xll.BDP($E73,Y$3))</f>
        <v>#NAME?</v>
      </c>
      <c r="Z73" s="106" t="e">
        <f ca="1">IF(OR(_xll.BDP($E73,Z$3)="#N/A N/A",_xll.BDP($E73,Z$3)="#N/A Invalid Security"), " ", _xll.BDP($E73,Z$3))</f>
        <v>#NAME?</v>
      </c>
      <c r="AA73" s="107"/>
      <c r="AB73" s="93" t="s">
        <v>950</v>
      </c>
      <c r="AC73" s="93" t="s">
        <v>942</v>
      </c>
      <c r="AD73" s="93" t="s">
        <v>932</v>
      </c>
      <c r="AE73" s="93" t="s">
        <v>940</v>
      </c>
      <c r="AF73" s="93" t="s">
        <v>940</v>
      </c>
      <c r="AG73" s="93" t="s">
        <v>940</v>
      </c>
      <c r="AH73" s="95" t="e">
        <f t="shared" ca="1" si="22"/>
        <v>#NAME?</v>
      </c>
      <c r="AI73" s="95" t="e">
        <f t="shared" ca="1" si="22"/>
        <v>#NAME?</v>
      </c>
      <c r="AJ73" s="95" t="e">
        <f t="shared" ca="1" si="22"/>
        <v>#NAME?</v>
      </c>
      <c r="AK73" s="95" t="e">
        <f t="shared" ca="1" si="22"/>
        <v>#NAME?</v>
      </c>
      <c r="AL73" s="95" t="e">
        <f t="shared" ca="1" si="22"/>
        <v>#NAME?</v>
      </c>
      <c r="AM73" s="95" t="e">
        <f t="shared" ca="1" si="22"/>
        <v>#NAME?</v>
      </c>
      <c r="AN73" s="66" t="str">
        <f t="shared" ca="1" si="26"/>
        <v/>
      </c>
      <c r="AO73" s="108" t="e" cm="1">
        <f t="array" aca="1" ref="AO73" ca="1">_xll.BDP($E73,"cur_mkt_cap")</f>
        <v>#NAME?</v>
      </c>
      <c r="AP73" s="108" t="e" cm="1">
        <f t="array" aca="1" ref="AP73" ca="1">_xll.BDP($E73,"crncy")</f>
        <v>#NAME?</v>
      </c>
      <c r="AQ73" s="109" t="e" cm="1">
        <f t="array" aca="1" ref="AQ73" ca="1">_xll.BDP("USD"&amp;AP73&amp;" curncy","px_last")</f>
        <v>#NAME?</v>
      </c>
      <c r="AR73" s="109" t="e">
        <f t="shared" ca="1" si="20"/>
        <v>#NAME?</v>
      </c>
      <c r="AT73" s="66" t="str">
        <f t="shared" ca="1" si="21"/>
        <v/>
      </c>
      <c r="AU73" s="66" t="str">
        <f t="shared" ca="1" si="21"/>
        <v/>
      </c>
      <c r="AV73" s="66" t="str">
        <f t="shared" ca="1" si="21"/>
        <v/>
      </c>
      <c r="AW73" s="73" t="str" cm="1">
        <f t="array" aca="1" ref="AW73" ca="1">IF(ISERROR(DATEVALUE(_xll.BDP($E73,AW$6))),"",DATEVALUE(_xll.BDP($E73,AW$6)))</f>
        <v/>
      </c>
      <c r="AX73" s="73" t="str" cm="1">
        <f t="array" aca="1" ref="AX73" ca="1">IF(ISERROR(DATEVALUE(_xll.BDP($E73,AX$2))),"",DATEVALUE(_xll.BDP($E73,AX$2)))</f>
        <v/>
      </c>
      <c r="AY73" s="73" t="str" cm="1">
        <f t="array" aca="1" ref="AY73" ca="1">IF(ISERROR(DATEVALUE(_xll.BDP($E73,AY$6))),"",DATEVALUE(_xll.BDP($E73,AY$6)))</f>
        <v/>
      </c>
      <c r="AZ73" s="110" t="e" cm="1">
        <f t="array" aca="1" ref="AZ73" ca="1">IF(_xll.BQL($E73, "last(matches(px_last(dates=range(-1w,0d)), dayofweek(px_last(dates=range(-1w,0d)).date)==6))")="#N/A","-",_xll.BQL($E73, "last(matches(px_last(dates=range(-1w,0d)), dayofweek(px_last(dates=range(-1w,0d)).date)==6))"))</f>
        <v>#NAME?</v>
      </c>
      <c r="BA73" s="109" t="e" cm="1">
        <f t="array" aca="1" ref="BA73" ca="1">IF(_xll.BQL(E73,"first(last(matches(px_last(dates=range(-1M,0D)),dayofweek(px_last(dates=range(-1M,0D)).date)==6),2),1)")="#N/A","-",_xll.BQL(E73,"first(last(matches(px_last(dates=range(-1M,0D)),dayofweek(px_last(dates=range(-1M,0D)).date)==6),2),1)"))</f>
        <v>#NAME?</v>
      </c>
      <c r="BB73" s="109" t="str">
        <f t="shared" ca="1" si="23"/>
        <v>-</v>
      </c>
    </row>
    <row r="74" spans="5:54" ht="16.5" customHeight="1" thickBot="1">
      <c r="E74" s="96" t="s">
        <v>1032</v>
      </c>
      <c r="F74" s="66" t="e">
        <f ca="1">_xll.BDP($E74,F$3)&amp;" BEST Curncy"</f>
        <v>#NAME?</v>
      </c>
      <c r="G74" s="97" t="e">
        <f t="shared" ca="1" si="17"/>
        <v>#NAME?</v>
      </c>
      <c r="I74" s="145"/>
      <c r="J74" s="98" t="e">
        <f ca="1">_xll.BDP($E74,J$3)</f>
        <v>#NAME?</v>
      </c>
      <c r="K74" s="99" t="e">
        <f ca="1">_xll.BDP($E74,K$3)</f>
        <v>#NAME?</v>
      </c>
      <c r="L74" s="100" t="str">
        <f ca="1">IF(ISNUMBER(_xll.BDH($E74,"PX_LAST",TEXT($E$2,"YYYYMMDD"),TEXT($E$2,"YYYYMMDD"),"days=a","fill=p")),_xll.BDH($E74,"PX_LAST",TEXT($E$2,"YYYYMMDD"),TEXT($E$2,"YYYYMMDD"),"days=a","fill=p"),"-")</f>
        <v>-</v>
      </c>
      <c r="M74" s="100" t="str">
        <f ca="1">IF(ISNUMBER(_xll.BDH($E74,"PX_LAST",TEXT($E$2-7,"YYYYMMDD"),TEXT($E$2-7,"YYYYMMDD"),"days=a","fill=p")),_xll.BDH($E74,"PX_LAST",TEXT($E$2-7,"YYYYMMDD"),TEXT($E$2-7,"YYYYMMDD"),"days=a","fill=p"),"-")</f>
        <v>-</v>
      </c>
      <c r="N74" s="180" t="str">
        <f t="shared" ca="1" si="27"/>
        <v>-</v>
      </c>
      <c r="O74" s="101" t="e">
        <f ca="1">IF(OR(_xll.BDP($E74,O$3)="#N/A N/A",_xll.BDP($E74,O$3)="#N/A Invalid Security"), "-", _xll.BDP($E74,O$3))</f>
        <v>#NAME?</v>
      </c>
      <c r="P74" s="182" t="str">
        <f ca="1">IF(ISNUMBER(_xll.BDH($F74,"PX_LAST",TEXT($E$2,"YYYYMMDD"),TEXT($E$2,"YYYYMMDD"),"days=a","fill=p")),_xll.BDH($F74,"PX_LAST",TEXT($E$2,"YYYYMMDD"),TEXT($E$2,"YYYYMMDD"),"days=a","fill=p"),"-")</f>
        <v>-</v>
      </c>
      <c r="Q74" s="182" t="str">
        <f ca="1">IF(ISNUMBER(_xll.BDH($F74,"PX_LAST",TEXT($E$2-7,"YYYYMMDD"),TEXT($E$2-7,"YYYYMMDD"),"days=a","fill=p")),_xll.BDH($F74,"PX_LAST",TEXT($E$2-7,"YYYYMMDD"),TEXT($E$2-7,"YYYYMMDD"),"days=a","fill=p"),"-")</f>
        <v>-</v>
      </c>
      <c r="R74" s="102" t="str">
        <f t="shared" ca="1" si="28"/>
        <v>-</v>
      </c>
      <c r="S74" s="103" t="str">
        <f ca="1">IF(ISNUMBER(_xll.BDP($F74,S$3)),_xll.BDP($F74,S$3),"-")</f>
        <v>-</v>
      </c>
      <c r="T74" s="104" t="e">
        <f t="shared" ca="1" si="16"/>
        <v>#NAME?</v>
      </c>
      <c r="U74" s="105" t="e">
        <f ca="1">IF(OR(_xll.BDP($E74,U$3)="#N/A N/A",_xll.BDP($E74,U$3)="#N/A Invalid Security"), "-", _xll.BDP($E74,U$3))</f>
        <v>#NAME?</v>
      </c>
      <c r="V74" s="105" t="e">
        <f ca="1">IF(OR(_xll.BDP($E74,V$2)="#N/A N/A",_xll.BDP($E74,V$2)="#N/A Invalid Security"), "-", _xll.BDP($E74,V$2))</f>
        <v>#NAME?</v>
      </c>
      <c r="W74" s="106" t="e">
        <f ca="1">IF(OR(_xll.BDP($E74,W$3)="#N/A N/A",_xll.BDP($E74,W$3)="#N/A Invalid Security"), "-", _xll.BDP($E74,W$3))</f>
        <v>#NAME?</v>
      </c>
      <c r="X74" s="105" t="e">
        <f ca="1">IF(OR(_xll.BDP($E74,X$3)="#N/A N/A",_xll.BDP($E74,X$3)="#N/A Invalid Security"), " ", _xll.BDP($E74,X$3))</f>
        <v>#NAME?</v>
      </c>
      <c r="Y74" s="105" t="e">
        <f ca="1">IF(OR(_xll.BDP($E74,Y$3)="#N/A N/A",_xll.BDP($E74,Y$3)="#N/A Invalid Security"), " ", _xll.BDP($E74,Y$3))</f>
        <v>#NAME?</v>
      </c>
      <c r="Z74" s="106" t="e">
        <f ca="1">IF(OR(_xll.BDP($E74,Z$3)="#N/A N/A",_xll.BDP($E74,Z$3)="#N/A Invalid Security"), " ", _xll.BDP($E74,Z$3))</f>
        <v>#NAME?</v>
      </c>
      <c r="AA74" s="107"/>
      <c r="AB74" s="93" t="s">
        <v>950</v>
      </c>
      <c r="AC74" s="93" t="s">
        <v>942</v>
      </c>
      <c r="AD74" s="93" t="s">
        <v>932</v>
      </c>
      <c r="AE74" s="93" t="s">
        <v>940</v>
      </c>
      <c r="AF74" s="93" t="s">
        <v>940</v>
      </c>
      <c r="AG74" s="93" t="s">
        <v>940</v>
      </c>
      <c r="AH74" s="95" t="e">
        <f t="shared" ca="1" si="22"/>
        <v>#NAME?</v>
      </c>
      <c r="AI74" s="95" t="e">
        <f t="shared" ca="1" si="22"/>
        <v>#NAME?</v>
      </c>
      <c r="AJ74" s="95" t="e">
        <f t="shared" ca="1" si="22"/>
        <v>#NAME?</v>
      </c>
      <c r="AK74" s="95" t="e">
        <f t="shared" ca="1" si="22"/>
        <v>#NAME?</v>
      </c>
      <c r="AL74" s="95" t="e">
        <f t="shared" ca="1" si="22"/>
        <v>#NAME?</v>
      </c>
      <c r="AM74" s="95" t="e">
        <f t="shared" ca="1" si="22"/>
        <v>#NAME?</v>
      </c>
      <c r="AN74" s="66" t="str">
        <f t="shared" ca="1" si="26"/>
        <v/>
      </c>
      <c r="AO74" s="108" t="e" cm="1">
        <f t="array" aca="1" ref="AO74" ca="1">_xll.BDP($E74,"cur_mkt_cap")</f>
        <v>#NAME?</v>
      </c>
      <c r="AP74" s="108" t="e" cm="1">
        <f t="array" aca="1" ref="AP74" ca="1">_xll.BDP($E74,"crncy")</f>
        <v>#NAME?</v>
      </c>
      <c r="AQ74" s="109" t="e" cm="1">
        <f t="array" aca="1" ref="AQ74" ca="1">_xll.BDP("USD"&amp;AP74&amp;" curncy","px_last")</f>
        <v>#NAME?</v>
      </c>
      <c r="AR74" s="109" t="e">
        <f t="shared" ca="1" si="20"/>
        <v>#NAME?</v>
      </c>
      <c r="AT74" s="66" t="str">
        <f t="shared" ca="1" si="21"/>
        <v/>
      </c>
      <c r="AU74" s="66" t="str">
        <f t="shared" ca="1" si="21"/>
        <v/>
      </c>
      <c r="AV74" s="66" t="str">
        <f t="shared" ca="1" si="21"/>
        <v/>
      </c>
      <c r="AW74" s="73" t="str" cm="1">
        <f t="array" aca="1" ref="AW74" ca="1">IF(ISERROR(DATEVALUE(_xll.BDP($E74,AW$6))),"",DATEVALUE(_xll.BDP($E74,AW$6)))</f>
        <v/>
      </c>
      <c r="AX74" s="73" t="str" cm="1">
        <f t="array" aca="1" ref="AX74" ca="1">IF(ISERROR(DATEVALUE(_xll.BDP($E74,AX$2))),"",DATEVALUE(_xll.BDP($E74,AX$2)))</f>
        <v/>
      </c>
      <c r="AY74" s="73" t="str" cm="1">
        <f t="array" aca="1" ref="AY74" ca="1">IF(ISERROR(DATEVALUE(_xll.BDP($E74,AY$6))),"",DATEVALUE(_xll.BDP($E74,AY$6)))</f>
        <v/>
      </c>
      <c r="AZ74" s="110" t="e" cm="1">
        <f t="array" aca="1" ref="AZ74" ca="1">IF(_xll.BQL($E74, "last(matches(px_last(dates=range(-1w,0d)), dayofweek(px_last(dates=range(-1w,0d)).date)==6))")="#N/A","-",_xll.BQL($E74, "last(matches(px_last(dates=range(-1w,0d)), dayofweek(px_last(dates=range(-1w,0d)).date)==6))"))</f>
        <v>#NAME?</v>
      </c>
      <c r="BA74" s="109" t="e" cm="1">
        <f t="array" aca="1" ref="BA74" ca="1">IF(_xll.BQL(E74,"first(last(matches(px_last(dates=range(-1M,0D)),dayofweek(px_last(dates=range(-1M,0D)).date)==6),2),1)")="#N/A","-",_xll.BQL(E74,"first(last(matches(px_last(dates=range(-1M,0D)),dayofweek(px_last(dates=range(-1M,0D)).date)==6),2),1)"))</f>
        <v>#NAME?</v>
      </c>
      <c r="BB74" s="109" t="str">
        <f t="shared" ca="1" si="23"/>
        <v>-</v>
      </c>
    </row>
    <row r="75" spans="5:54" ht="16.5" customHeight="1" thickBot="1">
      <c r="E75" s="96" t="s">
        <v>1033</v>
      </c>
      <c r="F75" s="66" t="e">
        <f ca="1">_xll.BDP($E75,F$3)&amp;" CBIN Curncy"</f>
        <v>#NAME?</v>
      </c>
      <c r="G75" s="97" t="e">
        <f t="shared" ca="1" si="17"/>
        <v>#NAME?</v>
      </c>
      <c r="I75" s="632" t="s">
        <v>1034</v>
      </c>
      <c r="J75" s="98" t="e">
        <f ca="1">_xll.BDP($E75,J$3)</f>
        <v>#NAME?</v>
      </c>
      <c r="K75" s="99" t="e">
        <f ca="1">_xll.BDP($E75,K$3)</f>
        <v>#NAME?</v>
      </c>
      <c r="L75" s="100" t="str">
        <f ca="1">IF(ISNUMBER(_xll.BDH($E75,"PX_LAST",TEXT($E$2,"YYYYMMDD"),TEXT($E$2,"YYYYMMDD"),"days=a","fill=p")),_xll.BDH($E75,"PX_LAST",TEXT($E$2,"YYYYMMDD"),TEXT($E$2,"YYYYMMDD"),"days=a","fill=p"),"-")</f>
        <v>-</v>
      </c>
      <c r="M75" s="100" t="str">
        <f ca="1">IF(ISNUMBER(_xll.BDH($E75,"PX_LAST",TEXT($E$2-7,"YYYYMMDD"),TEXT($E$2-7,"YYYYMMDD"),"days=a","fill=p")),_xll.BDH($E75,"PX_LAST",TEXT($E$2-7,"YYYYMMDD"),TEXT($E$2-7,"YYYYMMDD"),"days=a","fill=p"),"-")</f>
        <v>-</v>
      </c>
      <c r="N75" s="180" t="str">
        <f t="shared" ca="1" si="27"/>
        <v>-</v>
      </c>
      <c r="O75" s="101" t="e">
        <f ca="1">IF(OR(_xll.BDP($E75,O$3)="#N/A N/A",_xll.BDP($E75,O$3)="#N/A Invalid Security"), "-", _xll.BDP($E75,O$3))</f>
        <v>#NAME?</v>
      </c>
      <c r="P75" s="182" t="str">
        <f ca="1">IF(ISNUMBER(_xll.BDH($F75,"PX_LAST",TEXT($E$2,"YYYYMMDD"),TEXT($E$2,"YYYYMMDD"),"days=a","fill=p")),_xll.BDH($F75,"PX_LAST",TEXT($E$2,"YYYYMMDD"),TEXT($E$2,"YYYYMMDD"),"days=a","fill=p"),"-")</f>
        <v>-</v>
      </c>
      <c r="Q75" s="182" t="str">
        <f ca="1">IF(ISNUMBER(_xll.BDH($F75,"PX_LAST",TEXT($E$2-7,"YYYYMMDD"),TEXT($E$2-7,"YYYYMMDD"),"days=a","fill=p")),_xll.BDH($F75,"PX_LAST",TEXT($E$2-7,"YYYYMMDD"),TEXT($E$2-7,"YYYYMMDD"),"days=a","fill=p"),"-")</f>
        <v>-</v>
      </c>
      <c r="R75" s="102" t="str">
        <f t="shared" ca="1" si="28"/>
        <v>-</v>
      </c>
      <c r="S75" s="103" t="str">
        <f ca="1">IF(ISNUMBER(_xll.BDP($F75,S$3)),_xll.BDP($F75,S$3),"-")</f>
        <v>-</v>
      </c>
      <c r="T75" s="104" t="e">
        <f t="shared" ca="1" si="16"/>
        <v>#NAME?</v>
      </c>
      <c r="U75" s="105" t="e">
        <f ca="1">IF(OR(_xll.BDP($E75,U$3)="#N/A N/A",_xll.BDP($E75,U$3)="#N/A Invalid Security"), "-", _xll.BDP($E75,U$3))</f>
        <v>#NAME?</v>
      </c>
      <c r="V75" s="105" t="e">
        <f ca="1">IF(OR(_xll.BDP($E75,V$2)="#N/A N/A",_xll.BDP($E75,V$2)="#N/A Invalid Security"), "-", _xll.BDP($E75,V$2))</f>
        <v>#NAME?</v>
      </c>
      <c r="W75" s="106" t="e">
        <f ca="1">IF(OR(_xll.BDP($E75,W$3)="#N/A N/A",_xll.BDP($E75,W$3)="#N/A Invalid Security"), "-", _xll.BDP($E75,W$3))</f>
        <v>#NAME?</v>
      </c>
      <c r="X75" s="105" t="e">
        <f ca="1">IF(OR(_xll.BDP($E75,X$3)="#N/A N/A",_xll.BDP($E75,X$3)="#N/A Invalid Security"), " ", _xll.BDP($E75,X$3))</f>
        <v>#NAME?</v>
      </c>
      <c r="Y75" s="105" t="e">
        <f ca="1">IF(OR(_xll.BDP($E75,Y$3)="#N/A N/A",_xll.BDP($E75,Y$3)="#N/A Invalid Security"), " ", _xll.BDP($E75,Y$3))</f>
        <v>#NAME?</v>
      </c>
      <c r="Z75" s="106" t="e">
        <f ca="1">IF(OR(_xll.BDP($E75,Z$3)="#N/A N/A",_xll.BDP($E75,Z$3)="#N/A Invalid Security"), " ", _xll.BDP($E75,Z$3))</f>
        <v>#NAME?</v>
      </c>
      <c r="AA75" s="107"/>
      <c r="AB75" s="93" t="s">
        <v>932</v>
      </c>
      <c r="AC75" s="93" t="s">
        <v>1035</v>
      </c>
      <c r="AD75" s="93" t="s">
        <v>1036</v>
      </c>
      <c r="AE75" s="93" t="s">
        <v>940</v>
      </c>
      <c r="AF75" s="93" t="s">
        <v>935</v>
      </c>
      <c r="AG75" s="93" t="s">
        <v>940</v>
      </c>
      <c r="AH75" s="95" t="e">
        <f t="shared" ca="1" si="22"/>
        <v>#NAME?</v>
      </c>
      <c r="AI75" s="95" t="e">
        <f t="shared" ca="1" si="22"/>
        <v>#NAME?</v>
      </c>
      <c r="AJ75" s="95" t="e">
        <f t="shared" ca="1" si="22"/>
        <v>#NAME?</v>
      </c>
      <c r="AK75" s="95" t="e">
        <f t="shared" ca="1" si="22"/>
        <v>#NAME?</v>
      </c>
      <c r="AL75" s="95" t="e">
        <f t="shared" ca="1" si="22"/>
        <v>#NAME?</v>
      </c>
      <c r="AM75" s="95" t="e">
        <f t="shared" ca="1" si="22"/>
        <v>#NAME?</v>
      </c>
      <c r="AN75" s="66" t="str">
        <f t="shared" ref="AN75:AN96" ca="1" si="29">IF(SUM(AT75:AV75)&gt;0,"Y","")</f>
        <v/>
      </c>
      <c r="AO75" s="108" t="e" cm="1">
        <f t="array" aca="1" ref="AO75" ca="1">_xll.BDP($E75,"cur_mkt_cap")</f>
        <v>#NAME?</v>
      </c>
      <c r="AP75" s="108" t="e" cm="1">
        <f t="array" aca="1" ref="AP75" ca="1">_xll.BDP($E75,"crncy")</f>
        <v>#NAME?</v>
      </c>
      <c r="AQ75" s="109" t="e" cm="1">
        <f t="array" aca="1" ref="AQ75" ca="1">_xll.BDP("USD"&amp;AP75&amp;" curncy","px_last")</f>
        <v>#NAME?</v>
      </c>
      <c r="AR75" s="109" t="e">
        <f t="shared" ca="1" si="20"/>
        <v>#NAME?</v>
      </c>
      <c r="AT75" s="66" t="str">
        <f t="shared" ca="1" si="21"/>
        <v/>
      </c>
      <c r="AU75" s="66" t="str">
        <f t="shared" ca="1" si="21"/>
        <v/>
      </c>
      <c r="AV75" s="66" t="str">
        <f t="shared" ca="1" si="21"/>
        <v/>
      </c>
      <c r="AW75" s="73" t="str" cm="1">
        <f t="array" aca="1" ref="AW75" ca="1">IF(ISERROR(DATEVALUE(_xll.BDP($E75,AW$6))),"",DATEVALUE(_xll.BDP($E75,AW$6)))</f>
        <v/>
      </c>
      <c r="AX75" s="73" t="str" cm="1">
        <f t="array" aca="1" ref="AX75" ca="1">IF(ISERROR(DATEVALUE(_xll.BDP($E75,AX$2))),"",DATEVALUE(_xll.BDP($E75,AX$2)))</f>
        <v/>
      </c>
      <c r="AY75" s="73" t="str" cm="1">
        <f t="array" aca="1" ref="AY75" ca="1">IF(ISERROR(DATEVALUE(_xll.BDP($E75,AY$6))),"",DATEVALUE(_xll.BDP($E75,AY$6)))</f>
        <v/>
      </c>
      <c r="AZ75" s="110" t="e" cm="1">
        <f t="array" aca="1" ref="AZ75" ca="1">IF(_xll.BQL($E75, "last(matches(px_last(dates=range(-1w,0d)), dayofweek(px_last(dates=range(-1w,0d)).date)==6))")="#N/A","-",_xll.BQL($E75, "last(matches(px_last(dates=range(-1w,0d)), dayofweek(px_last(dates=range(-1w,0d)).date)==6))"))</f>
        <v>#NAME?</v>
      </c>
      <c r="BA75" s="109" t="e" cm="1">
        <f t="array" aca="1" ref="BA75" ca="1">IF(_xll.BQL(E75,"first(last(matches(px_last(dates=range(-1M,0D)),dayofweek(px_last(dates=range(-1M,0D)).date)==6),2),1)")="#N/A","-",_xll.BQL(E75,"first(last(matches(px_last(dates=range(-1M,0D)),dayofweek(px_last(dates=range(-1M,0D)).date)==6),2),1)"))</f>
        <v>#NAME?</v>
      </c>
      <c r="BB75" s="109" t="str">
        <f t="shared" ca="1" si="23"/>
        <v>-</v>
      </c>
    </row>
    <row r="76" spans="5:54" ht="16.5" customHeight="1" thickBot="1">
      <c r="E76" s="111" t="s">
        <v>1037</v>
      </c>
      <c r="F76" s="66" t="e">
        <f ca="1">_xll.BDP($E76,F$3)&amp;" BEST Curncy"</f>
        <v>#NAME?</v>
      </c>
      <c r="G76" s="97" t="e">
        <f t="shared" ca="1" si="17"/>
        <v>#NAME?</v>
      </c>
      <c r="I76" s="633"/>
      <c r="J76" s="98" t="e">
        <f ca="1">_xll.BDP($E76,J$3)</f>
        <v>#NAME?</v>
      </c>
      <c r="K76" s="99" t="e">
        <f ca="1">_xll.BDP($E76,K$3)</f>
        <v>#NAME?</v>
      </c>
      <c r="L76" s="100" t="str">
        <f ca="1">IF(ISNUMBER(_xll.BDH($E76,"PX_LAST",TEXT($E$2,"YYYYMMDD"),TEXT($E$2,"YYYYMMDD"),"days=a","fill=p")),_xll.BDH($E76,"PX_LAST",TEXT($E$2,"YYYYMMDD"),TEXT($E$2,"YYYYMMDD"),"days=a","fill=p"),"-")</f>
        <v>-</v>
      </c>
      <c r="M76" s="100" t="str">
        <f ca="1">IF(ISNUMBER(_xll.BDH($E76,"PX_LAST",TEXT($E$2-7,"YYYYMMDD"),TEXT($E$2-7,"YYYYMMDD"),"days=a","fill=p")),_xll.BDH($E76,"PX_LAST",TEXT($E$2-7,"YYYYMMDD"),TEXT($E$2-7,"YYYYMMDD"),"days=a","fill=p"),"-")</f>
        <v>-</v>
      </c>
      <c r="N76" s="180" t="str">
        <f t="shared" ca="1" si="27"/>
        <v>-</v>
      </c>
      <c r="O76" s="101" t="e">
        <f ca="1">IF(OR(_xll.BDP($E76,O$3)="#N/A N/A",_xll.BDP($E76,O$3)="#N/A Invalid Security"), "-", _xll.BDP($E76,O$3))</f>
        <v>#NAME?</v>
      </c>
      <c r="P76" s="182" t="str">
        <f ca="1">IF(ISNUMBER(_xll.BDH($F76,"PX_LAST",TEXT($E$2,"YYYYMMDD"),TEXT($E$2,"YYYYMMDD"),"days=a","fill=p")),_xll.BDH($F76,"PX_LAST",TEXT($E$2,"YYYYMMDD"),TEXT($E$2,"YYYYMMDD"),"days=a","fill=p"),"-")</f>
        <v>-</v>
      </c>
      <c r="Q76" s="182" t="str">
        <f ca="1">IF(ISNUMBER(_xll.BDH($F76,"PX_LAST",TEXT($E$2-7,"YYYYMMDD"),TEXT($E$2-7,"YYYYMMDD"),"days=a","fill=p")),_xll.BDH($F76,"PX_LAST",TEXT($E$2-7,"YYYYMMDD"),TEXT($E$2-7,"YYYYMMDD"),"days=a","fill=p"),"-")</f>
        <v>-</v>
      </c>
      <c r="R76" s="102" t="str">
        <f t="shared" ca="1" si="28"/>
        <v>-</v>
      </c>
      <c r="S76" s="103" t="str">
        <f ca="1">IF(ISNUMBER(_xll.BDP($F76,S$3)),_xll.BDP($F76,S$3),"-")</f>
        <v>-</v>
      </c>
      <c r="T76" s="104" t="e">
        <f t="shared" ca="1" si="16"/>
        <v>#NAME?</v>
      </c>
      <c r="U76" s="105" t="e">
        <f ca="1">IF(OR(_xll.BDP($E76,U$3)="#N/A N/A",_xll.BDP($E76,U$3)="#N/A Invalid Security"), "-", _xll.BDP($E76,U$3))</f>
        <v>#NAME?</v>
      </c>
      <c r="V76" s="105" t="e">
        <f ca="1">IF(OR(_xll.BDP($E76,V$2)="#N/A N/A",_xll.BDP($E76,V$2)="#N/A Invalid Security"), "-", _xll.BDP($E76,V$2))</f>
        <v>#NAME?</v>
      </c>
      <c r="W76" s="106" t="e">
        <f ca="1">IF(OR(_xll.BDP($E76,W$3)="#N/A N/A",_xll.BDP($E76,W$3)="#N/A Invalid Security"), "-", _xll.BDP($E76,W$3))</f>
        <v>#NAME?</v>
      </c>
      <c r="X76" s="105" t="e">
        <f ca="1">IF(OR(_xll.BDP($E76,X$3)="#N/A N/A",_xll.BDP($E76,X$3)="#N/A Invalid Security"), " ", _xll.BDP($E76,X$3))</f>
        <v>#NAME?</v>
      </c>
      <c r="Y76" s="105" t="e">
        <f ca="1">IF(OR(_xll.BDP($E76,Y$3)="#N/A N/A",_xll.BDP($E76,Y$3)="#N/A Invalid Security"), " ", _xll.BDP($E76,Y$3))</f>
        <v>#NAME?</v>
      </c>
      <c r="Z76" s="106" t="e">
        <f ca="1">IF(OR(_xll.BDP($E76,Z$3)="#N/A N/A",_xll.BDP($E76,Z$3)="#N/A Invalid Security"), " ", _xll.BDP($E76,Z$3))</f>
        <v>#NAME?</v>
      </c>
      <c r="AA76" s="107"/>
      <c r="AB76" s="93" t="s">
        <v>932</v>
      </c>
      <c r="AC76" s="93" t="s">
        <v>875</v>
      </c>
      <c r="AD76" s="93" t="s">
        <v>932</v>
      </c>
      <c r="AE76" s="93" t="s">
        <v>940</v>
      </c>
      <c r="AF76" s="93" t="s">
        <v>940</v>
      </c>
      <c r="AG76" s="93" t="s">
        <v>940</v>
      </c>
      <c r="AH76" s="95" t="e">
        <f t="shared" ca="1" si="22"/>
        <v>#NAME?</v>
      </c>
      <c r="AI76" s="95" t="e">
        <f t="shared" ca="1" si="22"/>
        <v>#NAME?</v>
      </c>
      <c r="AJ76" s="95" t="e">
        <f t="shared" ca="1" si="22"/>
        <v>#NAME?</v>
      </c>
      <c r="AK76" s="95" t="e">
        <f t="shared" ca="1" si="22"/>
        <v>#NAME?</v>
      </c>
      <c r="AL76" s="95" t="e">
        <f t="shared" ca="1" si="22"/>
        <v>#NAME?</v>
      </c>
      <c r="AM76" s="95" t="e">
        <f t="shared" ca="1" si="22"/>
        <v>#NAME?</v>
      </c>
      <c r="AN76" s="66" t="str">
        <f t="shared" ca="1" si="29"/>
        <v/>
      </c>
      <c r="AO76" s="108" t="e" cm="1">
        <f t="array" aca="1" ref="AO76" ca="1">_xll.BDP($E76,"cur_mkt_cap")</f>
        <v>#NAME?</v>
      </c>
      <c r="AP76" s="108" t="e" cm="1">
        <f t="array" aca="1" ref="AP76" ca="1">_xll.BDP($E76,"crncy")</f>
        <v>#NAME?</v>
      </c>
      <c r="AQ76" s="109" t="e" cm="1">
        <f t="array" aca="1" ref="AQ76" ca="1">_xll.BDP("USD"&amp;AP76&amp;" curncy","px_last")</f>
        <v>#NAME?</v>
      </c>
      <c r="AR76" s="109" t="e">
        <f t="shared" ca="1" si="20"/>
        <v>#NAME?</v>
      </c>
      <c r="AT76" s="66" t="str">
        <f t="shared" ca="1" si="21"/>
        <v/>
      </c>
      <c r="AU76" s="66" t="str">
        <f t="shared" ca="1" si="21"/>
        <v/>
      </c>
      <c r="AV76" s="66" t="str">
        <f t="shared" ca="1" si="21"/>
        <v/>
      </c>
      <c r="AW76" s="73" t="str" cm="1">
        <f t="array" aca="1" ref="AW76" ca="1">IF(ISERROR(DATEVALUE(_xll.BDP($E76,AW$6))),"",DATEVALUE(_xll.BDP($E76,AW$6)))</f>
        <v/>
      </c>
      <c r="AX76" s="73" t="str" cm="1">
        <f t="array" aca="1" ref="AX76" ca="1">IF(ISERROR(DATEVALUE(_xll.BDP($E76,AX$2))),"",DATEVALUE(_xll.BDP($E76,AX$2)))</f>
        <v/>
      </c>
      <c r="AY76" s="73" t="str" cm="1">
        <f t="array" aca="1" ref="AY76" ca="1">IF(ISERROR(DATEVALUE(_xll.BDP($E76,AY$6))),"",DATEVALUE(_xll.BDP($E76,AY$6)))</f>
        <v/>
      </c>
      <c r="AZ76" s="110" t="e" cm="1">
        <f t="array" aca="1" ref="AZ76" ca="1">IF(_xll.BQL($E76, "last(matches(px_last(dates=range(-1w,0d)), dayofweek(px_last(dates=range(-1w,0d)).date)==6))")="#N/A","-",_xll.BQL($E76, "last(matches(px_last(dates=range(-1w,0d)), dayofweek(px_last(dates=range(-1w,0d)).date)==6))"))</f>
        <v>#NAME?</v>
      </c>
      <c r="BA76" s="109" t="e" cm="1">
        <f t="array" aca="1" ref="BA76" ca="1">IF(_xll.BQL(E76,"first(last(matches(px_last(dates=range(-1M,0D)),dayofweek(px_last(dates=range(-1M,0D)).date)==6),2),1)")="#N/A","-",_xll.BQL(E76,"first(last(matches(px_last(dates=range(-1M,0D)),dayofweek(px_last(dates=range(-1M,0D)).date)==6),2),1)"))</f>
        <v>#NAME?</v>
      </c>
      <c r="BB76" s="109" t="str">
        <f t="shared" ca="1" si="23"/>
        <v>-</v>
      </c>
    </row>
    <row r="77" spans="5:54" ht="16.5" customHeight="1" thickBot="1">
      <c r="E77" s="111" t="s">
        <v>1038</v>
      </c>
      <c r="F77" s="66" t="e">
        <f ca="1">_xll.BDP($E77,F$3)&amp;" BEST Curncy"</f>
        <v>#NAME?</v>
      </c>
      <c r="G77" s="97" t="e">
        <f t="shared" ca="1" si="17"/>
        <v>#NAME?</v>
      </c>
      <c r="I77" s="633"/>
      <c r="J77" s="98" t="e">
        <f ca="1">_xll.BDP($E77,J$3)</f>
        <v>#NAME?</v>
      </c>
      <c r="K77" s="99" t="e">
        <f ca="1">_xll.BDP($E77,K$3)</f>
        <v>#NAME?</v>
      </c>
      <c r="L77" s="100" t="str">
        <f ca="1">IF(ISNUMBER(_xll.BDH($E77,"PX_LAST",TEXT($E$2,"YYYYMMDD"),TEXT($E$2,"YYYYMMDD"),"days=a","fill=p")),_xll.BDH($E77,"PX_LAST",TEXT($E$2,"YYYYMMDD"),TEXT($E$2,"YYYYMMDD"),"days=a","fill=p"),"-")</f>
        <v>-</v>
      </c>
      <c r="M77" s="100" t="str">
        <f ca="1">IF(ISNUMBER(_xll.BDH($E77,"PX_LAST",TEXT($E$2-7,"YYYYMMDD"),TEXT($E$2-7,"YYYYMMDD"),"days=a","fill=p")),_xll.BDH($E77,"PX_LAST",TEXT($E$2-7,"YYYYMMDD"),TEXT($E$2-7,"YYYYMMDD"),"days=a","fill=p"),"-")</f>
        <v>-</v>
      </c>
      <c r="N77" s="180" t="str">
        <f t="shared" ca="1" si="27"/>
        <v>-</v>
      </c>
      <c r="O77" s="101" t="e">
        <f ca="1">IF(OR(_xll.BDP($E77,O$3)="#N/A N/A",_xll.BDP($E77,O$3)="#N/A Invalid Security"), "-", _xll.BDP($E77,O$3))</f>
        <v>#NAME?</v>
      </c>
      <c r="P77" s="182" t="str">
        <f ca="1">IF(ISNUMBER(_xll.BDH($F77,"PX_LAST",TEXT($E$2,"YYYYMMDD"),TEXT($E$2,"YYYYMMDD"),"days=a","fill=p")),_xll.BDH($F77,"PX_LAST",TEXT($E$2,"YYYYMMDD"),TEXT($E$2,"YYYYMMDD"),"days=a","fill=p"),"-")</f>
        <v>-</v>
      </c>
      <c r="Q77" s="182" t="str">
        <f ca="1">IF(ISNUMBER(_xll.BDH($F77,"PX_LAST",TEXT($E$2-7,"YYYYMMDD"),TEXT($E$2-7,"YYYYMMDD"),"days=a","fill=p")),_xll.BDH($F77,"PX_LAST",TEXT($E$2-7,"YYYYMMDD"),TEXT($E$2-7,"YYYYMMDD"),"days=a","fill=p"),"-")</f>
        <v>-</v>
      </c>
      <c r="R77" s="102" t="str">
        <f t="shared" ca="1" si="28"/>
        <v>-</v>
      </c>
      <c r="S77" s="103" t="str">
        <f ca="1">IF(ISNUMBER(_xll.BDP($F77,S$3)),_xll.BDP($F77,S$3),"-")</f>
        <v>-</v>
      </c>
      <c r="T77" s="104" t="e">
        <f t="shared" ca="1" si="16"/>
        <v>#NAME?</v>
      </c>
      <c r="U77" s="105" t="e">
        <f ca="1">IF(OR(_xll.BDP($E77,U$3)="#N/A N/A",_xll.BDP($E77,U$3)="#N/A Invalid Security"), "-", _xll.BDP($E77,U$3))</f>
        <v>#NAME?</v>
      </c>
      <c r="V77" s="105" t="e">
        <f ca="1">IF(OR(_xll.BDP($E77,V$2)="#N/A N/A",_xll.BDP($E77,V$2)="#N/A Invalid Security"), "-", _xll.BDP($E77,V$2))</f>
        <v>#NAME?</v>
      </c>
      <c r="W77" s="106" t="e">
        <f ca="1">IF(OR(_xll.BDP($E77,W$3)="#N/A N/A",_xll.BDP($E77,W$3)="#N/A Invalid Security"), "-", _xll.BDP($E77,W$3))</f>
        <v>#NAME?</v>
      </c>
      <c r="X77" s="105" t="e">
        <f ca="1">IF(OR(_xll.BDP($E77,X$3)="#N/A N/A",_xll.BDP($E77,X$3)="#N/A Invalid Security"), " ", _xll.BDP($E77,X$3))</f>
        <v>#NAME?</v>
      </c>
      <c r="Y77" s="105" t="e">
        <f ca="1">IF(OR(_xll.BDP($E77,Y$3)="#N/A N/A",_xll.BDP($E77,Y$3)="#N/A Invalid Security"), " ", _xll.BDP($E77,Y$3))</f>
        <v>#NAME?</v>
      </c>
      <c r="Z77" s="106" t="e">
        <f ca="1">IF(OR(_xll.BDP($E77,Z$3)="#N/A N/A",_xll.BDP($E77,Z$3)="#N/A Invalid Security"), " ", _xll.BDP($E77,Z$3))</f>
        <v>#NAME?</v>
      </c>
      <c r="AA77" s="107"/>
      <c r="AB77" s="93" t="s">
        <v>997</v>
      </c>
      <c r="AC77" s="93" t="s">
        <v>1012</v>
      </c>
      <c r="AD77" s="93" t="s">
        <v>987</v>
      </c>
      <c r="AE77" s="93" t="s">
        <v>940</v>
      </c>
      <c r="AF77" s="93" t="s">
        <v>940</v>
      </c>
      <c r="AG77" s="93" t="s">
        <v>936</v>
      </c>
      <c r="AH77" s="95" t="e">
        <f t="shared" ca="1" si="22"/>
        <v>#NAME?</v>
      </c>
      <c r="AI77" s="95" t="e">
        <f t="shared" ca="1" si="22"/>
        <v>#NAME?</v>
      </c>
      <c r="AJ77" s="95" t="e">
        <f t="shared" ca="1" si="22"/>
        <v>#NAME?</v>
      </c>
      <c r="AK77" s="95" t="e">
        <f t="shared" ca="1" si="22"/>
        <v>#NAME?</v>
      </c>
      <c r="AL77" s="95" t="e">
        <f t="shared" ca="1" si="22"/>
        <v>#NAME?</v>
      </c>
      <c r="AM77" s="95" t="e">
        <f t="shared" ca="1" si="22"/>
        <v>#NAME?</v>
      </c>
      <c r="AN77" s="66" t="str">
        <f t="shared" ca="1" si="29"/>
        <v/>
      </c>
      <c r="AO77" s="108" t="e" cm="1">
        <f t="array" aca="1" ref="AO77" ca="1">_xll.BDP($E77,"cur_mkt_cap")</f>
        <v>#NAME?</v>
      </c>
      <c r="AP77" s="108" t="e" cm="1">
        <f t="array" aca="1" ref="AP77" ca="1">_xll.BDP($E77,"crncy")</f>
        <v>#NAME?</v>
      </c>
      <c r="AQ77" s="109" t="e" cm="1">
        <f t="array" aca="1" ref="AQ77" ca="1">_xll.BDP("USD"&amp;AP77&amp;" curncy","px_last")</f>
        <v>#NAME?</v>
      </c>
      <c r="AR77" s="109" t="e">
        <f t="shared" ca="1" si="20"/>
        <v>#NAME?</v>
      </c>
      <c r="AT77" s="66" t="str">
        <f t="shared" ca="1" si="21"/>
        <v/>
      </c>
      <c r="AU77" s="66" t="str">
        <f t="shared" ca="1" si="21"/>
        <v/>
      </c>
      <c r="AV77" s="66" t="str">
        <f t="shared" ca="1" si="21"/>
        <v/>
      </c>
      <c r="AW77" s="73" t="str" cm="1">
        <f t="array" aca="1" ref="AW77" ca="1">IF(ISERROR(DATEVALUE(_xll.BDP($E77,AW$6))),"",DATEVALUE(_xll.BDP($E77,AW$6)))</f>
        <v/>
      </c>
      <c r="AX77" s="73" t="str" cm="1">
        <f t="array" aca="1" ref="AX77" ca="1">IF(ISERROR(DATEVALUE(_xll.BDP($E77,AX$2))),"",DATEVALUE(_xll.BDP($E77,AX$2)))</f>
        <v/>
      </c>
      <c r="AY77" s="73" t="str" cm="1">
        <f t="array" aca="1" ref="AY77" ca="1">IF(ISERROR(DATEVALUE(_xll.BDP($E77,AY$6))),"",DATEVALUE(_xll.BDP($E77,AY$6)))</f>
        <v/>
      </c>
      <c r="AZ77" s="110" t="e" cm="1">
        <f t="array" aca="1" ref="AZ77" ca="1">IF(_xll.BQL($E77, "last(matches(px_last(dates=range(-1w,0d)), dayofweek(px_last(dates=range(-1w,0d)).date)==6))")="#N/A","-",_xll.BQL($E77, "last(matches(px_last(dates=range(-1w,0d)), dayofweek(px_last(dates=range(-1w,0d)).date)==6))"))</f>
        <v>#NAME?</v>
      </c>
      <c r="BA77" s="109" t="e" cm="1">
        <f t="array" aca="1" ref="BA77" ca="1">IF(_xll.BQL(E77,"first(last(matches(px_last(dates=range(-1M,0D)),dayofweek(px_last(dates=range(-1M,0D)).date)==6),2),1)")="#N/A","-",_xll.BQL(E77,"first(last(matches(px_last(dates=range(-1M,0D)),dayofweek(px_last(dates=range(-1M,0D)).date)==6),2),1)"))</f>
        <v>#NAME?</v>
      </c>
      <c r="BB77" s="109" t="str">
        <f t="shared" ca="1" si="23"/>
        <v>-</v>
      </c>
    </row>
    <row r="78" spans="5:54" ht="16.5" customHeight="1" thickBot="1">
      <c r="E78" s="111" t="s">
        <v>1039</v>
      </c>
      <c r="F78" s="66" t="e">
        <f ca="1">_xll.BDP($E78,F$3)&amp;" BEST Curncy"</f>
        <v>#NAME?</v>
      </c>
      <c r="G78" s="97" t="e">
        <f t="shared" ca="1" si="17"/>
        <v>#NAME?</v>
      </c>
      <c r="I78" s="633"/>
      <c r="J78" s="98" t="e">
        <f ca="1">_xll.BDP($E78,J$3)</f>
        <v>#NAME?</v>
      </c>
      <c r="K78" s="99" t="e">
        <f ca="1">_xll.BDP($E78,K$3)</f>
        <v>#NAME?</v>
      </c>
      <c r="L78" s="100" t="str">
        <f ca="1">IF(ISNUMBER(_xll.BDH($E78,"PX_LAST",TEXT($E$2,"YYYYMMDD"),TEXT($E$2,"YYYYMMDD"),"days=a","fill=p")),_xll.BDH($E78,"PX_LAST",TEXT($E$2,"YYYYMMDD"),TEXT($E$2,"YYYYMMDD"),"days=a","fill=p"),"-")</f>
        <v>-</v>
      </c>
      <c r="M78" s="100" t="str">
        <f ca="1">IF(ISNUMBER(_xll.BDH($E78,"PX_LAST",TEXT($E$2-7,"YYYYMMDD"),TEXT($E$2-7,"YYYYMMDD"),"days=a","fill=p")),_xll.BDH($E78,"PX_LAST",TEXT($E$2-7,"YYYYMMDD"),TEXT($E$2-7,"YYYYMMDD"),"days=a","fill=p"),"-")</f>
        <v>-</v>
      </c>
      <c r="N78" s="180" t="str">
        <f t="shared" ca="1" si="27"/>
        <v>-</v>
      </c>
      <c r="O78" s="101" t="e">
        <f ca="1">IF(OR(_xll.BDP($E78,O$3)="#N/A N/A",_xll.BDP($E78,O$3)="#N/A Invalid Security"), "-", _xll.BDP($E78,O$3))</f>
        <v>#NAME?</v>
      </c>
      <c r="P78" s="182" t="str">
        <f ca="1">IF(ISNUMBER(_xll.BDH($F78,"PX_LAST",TEXT($E$2,"YYYYMMDD"),TEXT($E$2,"YYYYMMDD"),"days=a","fill=p")),_xll.BDH($F78,"PX_LAST",TEXT($E$2,"YYYYMMDD"),TEXT($E$2,"YYYYMMDD"),"days=a","fill=p"),"-")</f>
        <v>-</v>
      </c>
      <c r="Q78" s="182" t="str">
        <f ca="1">IF(ISNUMBER(_xll.BDH($F78,"PX_LAST",TEXT($E$2-7,"YYYYMMDD"),TEXT($E$2-7,"YYYYMMDD"),"days=a","fill=p")),_xll.BDH($F78,"PX_LAST",TEXT($E$2-7,"YYYYMMDD"),TEXT($E$2-7,"YYYYMMDD"),"days=a","fill=p"),"-")</f>
        <v>-</v>
      </c>
      <c r="R78" s="102" t="str">
        <f t="shared" ca="1" si="28"/>
        <v>-</v>
      </c>
      <c r="S78" s="103" t="str">
        <f ca="1">IF(ISNUMBER(_xll.BDP($F78,S$3)),_xll.BDP($F78,S$3),"-")</f>
        <v>-</v>
      </c>
      <c r="T78" s="104" t="e">
        <f t="shared" ca="1" si="16"/>
        <v>#NAME?</v>
      </c>
      <c r="U78" s="105" t="e">
        <f ca="1">IF(OR(_xll.BDP($E78,U$3)="#N/A N/A",_xll.BDP($E78,U$3)="#N/A Invalid Security"), "-", _xll.BDP($E78,U$3))</f>
        <v>#NAME?</v>
      </c>
      <c r="V78" s="105" t="e">
        <f ca="1">IF(OR(_xll.BDP($E78,V$2)="#N/A N/A",_xll.BDP($E78,V$2)="#N/A Invalid Security"), "-", _xll.BDP($E78,V$2))</f>
        <v>#NAME?</v>
      </c>
      <c r="W78" s="106" t="e">
        <f ca="1">IF(OR(_xll.BDP($E78,W$3)="#N/A N/A",_xll.BDP($E78,W$3)="#N/A Invalid Security"), "-", _xll.BDP($E78,W$3))</f>
        <v>#NAME?</v>
      </c>
      <c r="X78" s="105" t="e">
        <f ca="1">IF(OR(_xll.BDP($E78,X$3)="#N/A N/A",_xll.BDP($E78,X$3)="#N/A Invalid Security"), " ", _xll.BDP($E78,X$3))</f>
        <v>#NAME?</v>
      </c>
      <c r="Y78" s="105" t="e">
        <f ca="1">IF(OR(_xll.BDP($E78,Y$3)="#N/A N/A",_xll.BDP($E78,Y$3)="#N/A Invalid Security"), " ", _xll.BDP($E78,Y$3))</f>
        <v>#NAME?</v>
      </c>
      <c r="Z78" s="106" t="e">
        <f ca="1">IF(OR(_xll.BDP($E78,Z$3)="#N/A N/A",_xll.BDP($E78,Z$3)="#N/A Invalid Security"), " ", _xll.BDP($E78,Z$3))</f>
        <v>#NAME?</v>
      </c>
      <c r="AA78" s="107"/>
      <c r="AB78" s="93" t="s">
        <v>934</v>
      </c>
      <c r="AC78" s="93" t="s">
        <v>934</v>
      </c>
      <c r="AD78" s="93" t="s">
        <v>934</v>
      </c>
      <c r="AE78" s="93" t="s">
        <v>936</v>
      </c>
      <c r="AF78" s="93" t="s">
        <v>936</v>
      </c>
      <c r="AG78" s="93" t="s">
        <v>936</v>
      </c>
      <c r="AH78" s="95" t="e">
        <f t="shared" ca="1" si="22"/>
        <v>#NAME?</v>
      </c>
      <c r="AI78" s="95" t="e">
        <f t="shared" ca="1" si="22"/>
        <v>#NAME?</v>
      </c>
      <c r="AJ78" s="95" t="e">
        <f t="shared" ca="1" si="22"/>
        <v>#NAME?</v>
      </c>
      <c r="AK78" s="95" t="e">
        <f t="shared" ref="AH78:AM120" ca="1" si="30">IF(X78=AE78, 0,1)</f>
        <v>#NAME?</v>
      </c>
      <c r="AL78" s="95" t="e">
        <f t="shared" ca="1" si="30"/>
        <v>#NAME?</v>
      </c>
      <c r="AM78" s="95" t="e">
        <f t="shared" ca="1" si="30"/>
        <v>#NAME?</v>
      </c>
      <c r="AN78" s="66" t="str">
        <f t="shared" ca="1" si="29"/>
        <v/>
      </c>
      <c r="AO78" s="108" t="e" cm="1">
        <f t="array" aca="1" ref="AO78" ca="1">_xll.BDP($E78,"cur_mkt_cap")</f>
        <v>#NAME?</v>
      </c>
      <c r="AP78" s="108" t="e" cm="1">
        <f t="array" aca="1" ref="AP78" ca="1">_xll.BDP($E78,"crncy")</f>
        <v>#NAME?</v>
      </c>
      <c r="AQ78" s="109" t="e" cm="1">
        <f t="array" aca="1" ref="AQ78" ca="1">_xll.BDP("USD"&amp;AP78&amp;" curncy","px_last")</f>
        <v>#NAME?</v>
      </c>
      <c r="AR78" s="109" t="e">
        <f t="shared" ca="1" si="20"/>
        <v>#NAME?</v>
      </c>
      <c r="AT78" s="66" t="str">
        <f t="shared" ca="1" si="21"/>
        <v/>
      </c>
      <c r="AU78" s="66" t="str">
        <f t="shared" ca="1" si="21"/>
        <v/>
      </c>
      <c r="AV78" s="66" t="str">
        <f t="shared" ca="1" si="21"/>
        <v/>
      </c>
      <c r="AW78" s="73" t="str" cm="1">
        <f t="array" aca="1" ref="AW78" ca="1">IF(ISERROR(DATEVALUE(_xll.BDP($E78,AW$6))),"",DATEVALUE(_xll.BDP($E78,AW$6)))</f>
        <v/>
      </c>
      <c r="AX78" s="73" t="str" cm="1">
        <f t="array" aca="1" ref="AX78" ca="1">IF(ISERROR(DATEVALUE(_xll.BDP($E78,AX$2))),"",DATEVALUE(_xll.BDP($E78,AX$2)))</f>
        <v/>
      </c>
      <c r="AY78" s="73" t="str" cm="1">
        <f t="array" aca="1" ref="AY78" ca="1">IF(ISERROR(DATEVALUE(_xll.BDP($E78,AY$6))),"",DATEVALUE(_xll.BDP($E78,AY$6)))</f>
        <v/>
      </c>
      <c r="AZ78" s="110" t="e" cm="1">
        <f t="array" aca="1" ref="AZ78" ca="1">IF(_xll.BQL($E78, "last(matches(px_last(dates=range(-1w,0d)), dayofweek(px_last(dates=range(-1w,0d)).date)==6))")="#N/A","-",_xll.BQL($E78, "last(matches(px_last(dates=range(-1w,0d)), dayofweek(px_last(dates=range(-1w,0d)).date)==6))"))</f>
        <v>#NAME?</v>
      </c>
      <c r="BA78" s="109" t="e" cm="1">
        <f t="array" aca="1" ref="BA78" ca="1">IF(_xll.BQL(E78,"first(last(matches(px_last(dates=range(-1M,0D)),dayofweek(px_last(dates=range(-1M,0D)).date)==6),2),1)")="#N/A","-",_xll.BQL(E78,"first(last(matches(px_last(dates=range(-1M,0D)),dayofweek(px_last(dates=range(-1M,0D)).date)==6),2),1)"))</f>
        <v>#NAME?</v>
      </c>
      <c r="BB78" s="109" t="str">
        <f t="shared" ca="1" si="23"/>
        <v>-</v>
      </c>
    </row>
    <row r="79" spans="5:54" ht="16.5" customHeight="1" thickBot="1">
      <c r="E79" s="111" t="s">
        <v>1040</v>
      </c>
      <c r="F79" s="66" t="e">
        <f ca="1">_xll.BDP($E79,F$3)&amp;" BEST Curncy"</f>
        <v>#NAME?</v>
      </c>
      <c r="G79" s="97" t="e">
        <f t="shared" ca="1" si="17"/>
        <v>#NAME?</v>
      </c>
      <c r="I79" s="633"/>
      <c r="J79" s="98" t="e">
        <f ca="1">_xll.BDP($E79,J$3)</f>
        <v>#NAME?</v>
      </c>
      <c r="K79" s="99" t="e">
        <f ca="1">_xll.BDP($E79,K$3)</f>
        <v>#NAME?</v>
      </c>
      <c r="L79" s="100" t="str">
        <f ca="1">IF(ISNUMBER(_xll.BDH($E79,"PX_LAST",TEXT($E$2,"YYYYMMDD"),TEXT($E$2,"YYYYMMDD"),"days=a","fill=p")),_xll.BDH($E79,"PX_LAST",TEXT($E$2,"YYYYMMDD"),TEXT($E$2,"YYYYMMDD"),"days=a","fill=p"),"-")</f>
        <v>-</v>
      </c>
      <c r="M79" s="100" t="str">
        <f ca="1">IF(ISNUMBER(_xll.BDH($E79,"PX_LAST",TEXT($E$2-7,"YYYYMMDD"),TEXT($E$2-7,"YYYYMMDD"),"days=a","fill=p")),_xll.BDH($E79,"PX_LAST",TEXT($E$2-7,"YYYYMMDD"),TEXT($E$2-7,"YYYYMMDD"),"days=a","fill=p"),"-")</f>
        <v>-</v>
      </c>
      <c r="N79" s="180" t="str">
        <f t="shared" ca="1" si="27"/>
        <v>-</v>
      </c>
      <c r="O79" s="101" t="e">
        <f ca="1">IF(OR(_xll.BDP($E79,O$3)="#N/A N/A",_xll.BDP($E79,O$3)="#N/A Invalid Security"), "-", _xll.BDP($E79,O$3))</f>
        <v>#NAME?</v>
      </c>
      <c r="P79" s="182" t="str">
        <f ca="1">IF(ISNUMBER(_xll.BDH($F79,"PX_LAST",TEXT($E$2,"YYYYMMDD"),TEXT($E$2,"YYYYMMDD"),"days=a","fill=p")),_xll.BDH($F79,"PX_LAST",TEXT($E$2,"YYYYMMDD"),TEXT($E$2,"YYYYMMDD"),"days=a","fill=p"),"-")</f>
        <v>-</v>
      </c>
      <c r="Q79" s="182" t="str">
        <f ca="1">IF(ISNUMBER(_xll.BDH($F79,"PX_LAST",TEXT($E$2-7,"YYYYMMDD"),TEXT($E$2-7,"YYYYMMDD"),"days=a","fill=p")),_xll.BDH($F79,"PX_LAST",TEXT($E$2-7,"YYYYMMDD"),TEXT($E$2-7,"YYYYMMDD"),"days=a","fill=p"),"-")</f>
        <v>-</v>
      </c>
      <c r="R79" s="102" t="str">
        <f t="shared" ca="1" si="28"/>
        <v>-</v>
      </c>
      <c r="S79" s="103" t="str">
        <f ca="1">IF(ISNUMBER(_xll.BDP($F79,S$3)),_xll.BDP($F79,S$3),"-")</f>
        <v>-</v>
      </c>
      <c r="T79" s="104" t="e">
        <f t="shared" ca="1" si="16"/>
        <v>#NAME?</v>
      </c>
      <c r="U79" s="105" t="e">
        <f ca="1">IF(OR(_xll.BDP($E79,U$3)="#N/A N/A",_xll.BDP($E79,U$3)="#N/A Invalid Security"), "-", _xll.BDP($E79,U$3))</f>
        <v>#NAME?</v>
      </c>
      <c r="V79" s="105" t="e">
        <f ca="1">IF(OR(_xll.BDP($E79,V$2)="#N/A N/A",_xll.BDP($E79,V$2)="#N/A Invalid Security"), "-", _xll.BDP($E79,V$2))</f>
        <v>#NAME?</v>
      </c>
      <c r="W79" s="106" t="e">
        <f ca="1">IF(OR(_xll.BDP($E79,W$3)="#N/A N/A",_xll.BDP($E79,W$3)="#N/A Invalid Security"), "-", _xll.BDP($E79,W$3))</f>
        <v>#NAME?</v>
      </c>
      <c r="X79" s="105" t="e">
        <f ca="1">IF(OR(_xll.BDP($E79,X$3)="#N/A N/A",_xll.BDP($E79,X$3)="#N/A Invalid Security"), " ", _xll.BDP($E79,X$3))</f>
        <v>#NAME?</v>
      </c>
      <c r="Y79" s="105" t="e">
        <f ca="1">IF(OR(_xll.BDP($E79,Y$3)="#N/A N/A",_xll.BDP($E79,Y$3)="#N/A Invalid Security"), " ", _xll.BDP($E79,Y$3))</f>
        <v>#NAME?</v>
      </c>
      <c r="Z79" s="106" t="e">
        <f ca="1">IF(OR(_xll.BDP($E79,Z$3)="#N/A N/A",_xll.BDP($E79,Z$3)="#N/A Invalid Security"), " ", _xll.BDP($E79,Z$3))</f>
        <v>#NAME?</v>
      </c>
      <c r="AA79" s="107"/>
      <c r="AB79" s="93" t="s">
        <v>953</v>
      </c>
      <c r="AC79" s="93" t="s">
        <v>1012</v>
      </c>
      <c r="AD79" s="93" t="s">
        <v>997</v>
      </c>
      <c r="AE79" s="93" t="s">
        <v>940</v>
      </c>
      <c r="AF79" s="93" t="s">
        <v>940</v>
      </c>
      <c r="AG79" s="93" t="s">
        <v>940</v>
      </c>
      <c r="AH79" s="95" t="e">
        <f t="shared" ca="1" si="30"/>
        <v>#NAME?</v>
      </c>
      <c r="AI79" s="95" t="e">
        <f t="shared" ca="1" si="30"/>
        <v>#NAME?</v>
      </c>
      <c r="AJ79" s="95" t="e">
        <f t="shared" ca="1" si="30"/>
        <v>#NAME?</v>
      </c>
      <c r="AK79" s="95" t="e">
        <f t="shared" ca="1" si="30"/>
        <v>#NAME?</v>
      </c>
      <c r="AL79" s="95" t="e">
        <f t="shared" ca="1" si="30"/>
        <v>#NAME?</v>
      </c>
      <c r="AM79" s="95" t="e">
        <f t="shared" ca="1" si="30"/>
        <v>#NAME?</v>
      </c>
      <c r="AN79" s="66" t="str">
        <f t="shared" ca="1" si="29"/>
        <v/>
      </c>
      <c r="AO79" s="108" t="e" cm="1">
        <f t="array" aca="1" ref="AO79" ca="1">_xll.BDP($E79,"cur_mkt_cap")</f>
        <v>#NAME?</v>
      </c>
      <c r="AP79" s="108" t="e" cm="1">
        <f t="array" aca="1" ref="AP79" ca="1">_xll.BDP($E79,"crncy")</f>
        <v>#NAME?</v>
      </c>
      <c r="AQ79" s="109" t="e" cm="1">
        <f t="array" aca="1" ref="AQ79" ca="1">_xll.BDP("USD"&amp;AP79&amp;" curncy","px_last")</f>
        <v>#NAME?</v>
      </c>
      <c r="AR79" s="109" t="e">
        <f t="shared" ca="1" si="20"/>
        <v>#NAME?</v>
      </c>
      <c r="AT79" s="66" t="str">
        <f t="shared" ca="1" si="21"/>
        <v/>
      </c>
      <c r="AU79" s="66" t="str">
        <f t="shared" ca="1" si="21"/>
        <v/>
      </c>
      <c r="AV79" s="66" t="str">
        <f t="shared" ca="1" si="21"/>
        <v/>
      </c>
      <c r="AW79" s="73" t="str" cm="1">
        <f t="array" aca="1" ref="AW79" ca="1">IF(ISERROR(DATEVALUE(_xll.BDP($E79,AW$6))),"",DATEVALUE(_xll.BDP($E79,AW$6)))</f>
        <v/>
      </c>
      <c r="AX79" s="73" t="str" cm="1">
        <f t="array" aca="1" ref="AX79" ca="1">IF(ISERROR(DATEVALUE(_xll.BDP($E79,AX$2))),"",DATEVALUE(_xll.BDP($E79,AX$2)))</f>
        <v/>
      </c>
      <c r="AY79" s="73" t="str" cm="1">
        <f t="array" aca="1" ref="AY79" ca="1">IF(ISERROR(DATEVALUE(_xll.BDP($E79,AY$6))),"",DATEVALUE(_xll.BDP($E79,AY$6)))</f>
        <v/>
      </c>
      <c r="AZ79" s="110" t="e" cm="1">
        <f t="array" aca="1" ref="AZ79" ca="1">IF(_xll.BQL($E79, "last(matches(px_last(dates=range(-1w,0d)), dayofweek(px_last(dates=range(-1w,0d)).date)==6))")="#N/A","-",_xll.BQL($E79, "last(matches(px_last(dates=range(-1w,0d)), dayofweek(px_last(dates=range(-1w,0d)).date)==6))"))</f>
        <v>#NAME?</v>
      </c>
      <c r="BA79" s="109" t="e" cm="1">
        <f t="array" aca="1" ref="BA79" ca="1">IF(_xll.BQL(E79,"first(last(matches(px_last(dates=range(-1M,0D)),dayofweek(px_last(dates=range(-1M,0D)).date)==6),2),1)")="#N/A","-",_xll.BQL(E79,"first(last(matches(px_last(dates=range(-1M,0D)),dayofweek(px_last(dates=range(-1M,0D)).date)==6),2),1)"))</f>
        <v>#NAME?</v>
      </c>
      <c r="BB79" s="109" t="str">
        <f t="shared" ca="1" si="23"/>
        <v>-</v>
      </c>
    </row>
    <row r="80" spans="5:54" ht="16.5" customHeight="1" thickBot="1">
      <c r="E80" s="96" t="s">
        <v>1041</v>
      </c>
      <c r="F80" s="66" t="e">
        <f ca="1">_xll.BDP($E80,F$3)&amp;" BEST Curncy"</f>
        <v>#NAME?</v>
      </c>
      <c r="G80" s="97" t="e">
        <f t="shared" ca="1" si="17"/>
        <v>#NAME?</v>
      </c>
      <c r="I80" s="633"/>
      <c r="J80" s="98" t="e">
        <f ca="1">_xll.BDP($E80,J$3)</f>
        <v>#NAME?</v>
      </c>
      <c r="K80" s="99" t="e">
        <f ca="1">_xll.BDP($E80,K$3)</f>
        <v>#NAME?</v>
      </c>
      <c r="L80" s="100" t="str">
        <f ca="1">IF(ISNUMBER(_xll.BDH($E80,"PX_LAST",TEXT($E$2,"YYYYMMDD"),TEXT($E$2,"YYYYMMDD"),"days=a","fill=p")),_xll.BDH($E80,"PX_LAST",TEXT($E$2,"YYYYMMDD"),TEXT($E$2,"YYYYMMDD"),"days=a","fill=p"),"-")</f>
        <v>-</v>
      </c>
      <c r="M80" s="100" t="str">
        <f ca="1">IF(ISNUMBER(_xll.BDH($E80,"PX_LAST",TEXT($E$2-7,"YYYYMMDD"),TEXT($E$2-7,"YYYYMMDD"),"days=a","fill=p")),_xll.BDH($E80,"PX_LAST",TEXT($E$2-7,"YYYYMMDD"),TEXT($E$2-7,"YYYYMMDD"),"days=a","fill=p"),"-")</f>
        <v>-</v>
      </c>
      <c r="N80" s="180" t="str">
        <f t="shared" ca="1" si="27"/>
        <v>-</v>
      </c>
      <c r="O80" s="101" t="e">
        <f ca="1">IF(OR(_xll.BDP($E80,O$3)="#N/A N/A",_xll.BDP($E80,O$3)="#N/A Invalid Security"), "-", _xll.BDP($E80,O$3))</f>
        <v>#NAME?</v>
      </c>
      <c r="P80" s="182" t="str">
        <f ca="1">IF(ISNUMBER(_xll.BDH($F80,"PX_LAST",TEXT($E$2,"YYYYMMDD"),TEXT($E$2,"YYYYMMDD"),"days=a","fill=p")),_xll.BDH($F80,"PX_LAST",TEXT($E$2,"YYYYMMDD"),TEXT($E$2,"YYYYMMDD"),"days=a","fill=p"),"-")</f>
        <v>-</v>
      </c>
      <c r="Q80" s="182" t="str">
        <f ca="1">IF(ISNUMBER(_xll.BDH($F80,"PX_LAST",TEXT($E$2-7,"YYYYMMDD"),TEXT($E$2-7,"YYYYMMDD"),"days=a","fill=p")),_xll.BDH($F80,"PX_LAST",TEXT($E$2-7,"YYYYMMDD"),TEXT($E$2-7,"YYYYMMDD"),"days=a","fill=p"),"-")</f>
        <v>-</v>
      </c>
      <c r="R80" s="102" t="str">
        <f t="shared" ca="1" si="28"/>
        <v>-</v>
      </c>
      <c r="S80" s="103" t="str">
        <f ca="1">IF(ISNUMBER(_xll.BDP($F80,S$3)),_xll.BDP($F80,S$3),"-")</f>
        <v>-</v>
      </c>
      <c r="T80" s="104" t="e">
        <f t="shared" ca="1" si="16"/>
        <v>#NAME?</v>
      </c>
      <c r="U80" s="105" t="e">
        <f ca="1">IF(OR(_xll.BDP($E80,U$3)="#N/A N/A",_xll.BDP($E80,U$3)="#N/A Invalid Security"), "-", _xll.BDP($E80,U$3))</f>
        <v>#NAME?</v>
      </c>
      <c r="V80" s="105" t="e">
        <f ca="1">IF(OR(_xll.BDP($E80,V$2)="#N/A N/A",_xll.BDP($E80,V$2)="#N/A Invalid Security"), "-", _xll.BDP($E80,V$2))</f>
        <v>#NAME?</v>
      </c>
      <c r="W80" s="106" t="e">
        <f ca="1">IF(OR(_xll.BDP($E80,W$3)="#N/A N/A",_xll.BDP($E80,W$3)="#N/A Invalid Security"), "-", _xll.BDP($E80,W$3))</f>
        <v>#NAME?</v>
      </c>
      <c r="X80" s="105" t="e">
        <f ca="1">IF(OR(_xll.BDP($E80,X$3)="#N/A N/A",_xll.BDP($E80,X$3)="#N/A Invalid Security"), " ", _xll.BDP($E80,X$3))</f>
        <v>#NAME?</v>
      </c>
      <c r="Y80" s="105" t="e">
        <f ca="1">IF(OR(_xll.BDP($E80,Y$3)="#N/A N/A",_xll.BDP($E80,Y$3)="#N/A Invalid Security"), " ", _xll.BDP($E80,Y$3))</f>
        <v>#NAME?</v>
      </c>
      <c r="Z80" s="106" t="e">
        <f ca="1">IF(OR(_xll.BDP($E80,Z$3)="#N/A N/A",_xll.BDP($E80,Z$3)="#N/A Invalid Security"), " ", _xll.BDP($E80,Z$3))</f>
        <v>#NAME?</v>
      </c>
      <c r="AA80" s="107"/>
      <c r="AB80" s="93" t="s">
        <v>934</v>
      </c>
      <c r="AC80" s="93" t="s">
        <v>998</v>
      </c>
      <c r="AD80" s="93" t="s">
        <v>953</v>
      </c>
      <c r="AE80" s="93" t="s">
        <v>936</v>
      </c>
      <c r="AF80" s="93" t="s">
        <v>940</v>
      </c>
      <c r="AG80" s="93" t="s">
        <v>940</v>
      </c>
      <c r="AH80" s="95" t="e">
        <f t="shared" ca="1" si="30"/>
        <v>#NAME?</v>
      </c>
      <c r="AI80" s="95" t="e">
        <f t="shared" ca="1" si="30"/>
        <v>#NAME?</v>
      </c>
      <c r="AJ80" s="95" t="e">
        <f t="shared" ca="1" si="30"/>
        <v>#NAME?</v>
      </c>
      <c r="AK80" s="95" t="e">
        <f t="shared" ca="1" si="30"/>
        <v>#NAME?</v>
      </c>
      <c r="AL80" s="95" t="e">
        <f t="shared" ca="1" si="30"/>
        <v>#NAME?</v>
      </c>
      <c r="AM80" s="95" t="e">
        <f t="shared" ca="1" si="30"/>
        <v>#NAME?</v>
      </c>
      <c r="AN80" s="66" t="str">
        <f t="shared" ca="1" si="29"/>
        <v/>
      </c>
      <c r="AO80" s="108" t="e" cm="1">
        <f t="array" aca="1" ref="AO80" ca="1">_xll.BDP($E80,"cur_mkt_cap")</f>
        <v>#NAME?</v>
      </c>
      <c r="AP80" s="108" t="e" cm="1">
        <f t="array" aca="1" ref="AP80" ca="1">_xll.BDP($E80,"crncy")</f>
        <v>#NAME?</v>
      </c>
      <c r="AQ80" s="109" t="e" cm="1">
        <f t="array" aca="1" ref="AQ80" ca="1">_xll.BDP("USD"&amp;AP80&amp;" curncy","px_last")</f>
        <v>#NAME?</v>
      </c>
      <c r="AR80" s="109" t="e">
        <f t="shared" ca="1" si="20"/>
        <v>#NAME?</v>
      </c>
      <c r="AT80" s="66" t="str">
        <f t="shared" ca="1" si="21"/>
        <v/>
      </c>
      <c r="AU80" s="66" t="str">
        <f t="shared" ca="1" si="21"/>
        <v/>
      </c>
      <c r="AV80" s="66" t="str">
        <f t="shared" ca="1" si="21"/>
        <v/>
      </c>
      <c r="AW80" s="73" t="str" cm="1">
        <f t="array" aca="1" ref="AW80" ca="1">IF(ISERROR(DATEVALUE(_xll.BDP($E80,AW$6))),"",DATEVALUE(_xll.BDP($E80,AW$6)))</f>
        <v/>
      </c>
      <c r="AX80" s="73" t="str" cm="1">
        <f t="array" aca="1" ref="AX80" ca="1">IF(ISERROR(DATEVALUE(_xll.BDP($E80,AX$2))),"",DATEVALUE(_xll.BDP($E80,AX$2)))</f>
        <v/>
      </c>
      <c r="AY80" s="73" t="str" cm="1">
        <f t="array" aca="1" ref="AY80" ca="1">IF(ISERROR(DATEVALUE(_xll.BDP($E80,AY$6))),"",DATEVALUE(_xll.BDP($E80,AY$6)))</f>
        <v/>
      </c>
      <c r="AZ80" s="110" t="e" cm="1">
        <f t="array" aca="1" ref="AZ80" ca="1">IF(_xll.BQL($E80, "last(matches(px_last(dates=range(-1w,0d)), dayofweek(px_last(dates=range(-1w,0d)).date)==6))")="#N/A","-",_xll.BQL($E80, "last(matches(px_last(dates=range(-1w,0d)), dayofweek(px_last(dates=range(-1w,0d)).date)==6))"))</f>
        <v>#NAME?</v>
      </c>
      <c r="BA80" s="109" t="e" cm="1">
        <f t="array" aca="1" ref="BA80" ca="1">IF(_xll.BQL(E80,"first(last(matches(px_last(dates=range(-1M,0D)),dayofweek(px_last(dates=range(-1M,0D)).date)==6),2),1)")="#N/A","-",_xll.BQL(E80,"first(last(matches(px_last(dates=range(-1M,0D)),dayofweek(px_last(dates=range(-1M,0D)).date)==6),2),1)"))</f>
        <v>#NAME?</v>
      </c>
      <c r="BB80" s="109" t="str">
        <f t="shared" ca="1" si="23"/>
        <v>-</v>
      </c>
    </row>
    <row r="81" spans="5:54" ht="16.5" customHeight="1" thickBot="1">
      <c r="E81" s="157" t="s">
        <v>1042</v>
      </c>
      <c r="F81" s="66" t="e">
        <f ca="1">_xll.BDP($E81,F$3)&amp;" BEST Curncy"</f>
        <v>#NAME?</v>
      </c>
      <c r="G81" s="97" t="e">
        <f t="shared" ca="1" si="17"/>
        <v>#NAME?</v>
      </c>
      <c r="I81" s="647"/>
      <c r="J81" s="98" t="e">
        <f ca="1">_xll.BDP($E81,J$3)</f>
        <v>#NAME?</v>
      </c>
      <c r="K81" s="99" t="e">
        <f ca="1">_xll.BDP($E81,K$3)</f>
        <v>#NAME?</v>
      </c>
      <c r="L81" s="100" t="str">
        <f ca="1">IF(ISNUMBER(_xll.BDH($E81,"PX_LAST",TEXT($E$2,"YYYYMMDD"),TEXT($E$2,"YYYYMMDD"),"days=a","fill=p")),_xll.BDH($E81,"PX_LAST",TEXT($E$2,"YYYYMMDD"),TEXT($E$2,"YYYYMMDD"),"days=a","fill=p"),"-")</f>
        <v>-</v>
      </c>
      <c r="M81" s="100" t="str">
        <f ca="1">IF(ISNUMBER(_xll.BDH($E81,"PX_LAST",TEXT($E$2-7,"YYYYMMDD"),TEXT($E$2-7,"YYYYMMDD"),"days=a","fill=p")),_xll.BDH($E81,"PX_LAST",TEXT($E$2-7,"YYYYMMDD"),TEXT($E$2-7,"YYYYMMDD"),"days=a","fill=p"),"-")</f>
        <v>-</v>
      </c>
      <c r="N81" s="180" t="str">
        <f t="shared" ca="1" si="27"/>
        <v>-</v>
      </c>
      <c r="O81" s="101" t="e">
        <f ca="1">IF(OR(_xll.BDP($E81,O$3)="#N/A N/A",_xll.BDP($E81,O$3)="#N/A Invalid Security"), "-", _xll.BDP($E81,O$3))</f>
        <v>#NAME?</v>
      </c>
      <c r="P81" s="182" t="str">
        <f ca="1">IF(ISNUMBER(_xll.BDH($F81,"PX_LAST",TEXT($E$2,"YYYYMMDD"),TEXT($E$2,"YYYYMMDD"),"days=a","fill=p")),_xll.BDH($F81,"PX_LAST",TEXT($E$2,"YYYYMMDD"),TEXT($E$2,"YYYYMMDD"),"days=a","fill=p"),"-")</f>
        <v>-</v>
      </c>
      <c r="Q81" s="182" t="str">
        <f ca="1">IF(ISNUMBER(_xll.BDH($F81,"PX_LAST",TEXT($E$2-7,"YYYYMMDD"),TEXT($E$2-7,"YYYYMMDD"),"days=a","fill=p")),_xll.BDH($F81,"PX_LAST",TEXT($E$2-7,"YYYYMMDD"),TEXT($E$2-7,"YYYYMMDD"),"days=a","fill=p"),"-")</f>
        <v>-</v>
      </c>
      <c r="R81" s="102" t="str">
        <f t="shared" ca="1" si="28"/>
        <v>-</v>
      </c>
      <c r="S81" s="103" t="str">
        <f ca="1">IF(ISNUMBER(_xll.BDP($F81,S$3)),_xll.BDP($F81,S$3),"-")</f>
        <v>-</v>
      </c>
      <c r="T81" s="104" t="e">
        <f t="shared" ca="1" si="16"/>
        <v>#NAME?</v>
      </c>
      <c r="U81" s="105" t="e">
        <f ca="1">IF(OR(_xll.BDP($E81,U$3)="#N/A N/A",_xll.BDP($E81,U$3)="#N/A Invalid Security"), "-", _xll.BDP($E81,U$3))</f>
        <v>#NAME?</v>
      </c>
      <c r="V81" s="105" t="e">
        <f ca="1">IF(OR(_xll.BDP($E81,V$2)="#N/A N/A",_xll.BDP($E81,V$2)="#N/A Invalid Security"), "-", _xll.BDP($E81,V$2))</f>
        <v>#NAME?</v>
      </c>
      <c r="W81" s="106" t="e">
        <f ca="1">IF(OR(_xll.BDP($E81,W$3)="#N/A N/A",_xll.BDP($E81,W$3)="#N/A Invalid Security"), "-", _xll.BDP($E81,W$3))</f>
        <v>#NAME?</v>
      </c>
      <c r="X81" s="105" t="e">
        <f ca="1">IF(OR(_xll.BDP($E81,X$3)="#N/A N/A",_xll.BDP($E81,X$3)="#N/A Invalid Security"), " ", _xll.BDP($E81,X$3))</f>
        <v>#NAME?</v>
      </c>
      <c r="Y81" s="105" t="e">
        <f ca="1">IF(OR(_xll.BDP($E81,Y$3)="#N/A N/A",_xll.BDP($E81,Y$3)="#N/A Invalid Security"), " ", _xll.BDP($E81,Y$3))</f>
        <v>#NAME?</v>
      </c>
      <c r="Z81" s="106" t="e">
        <f ca="1">IF(OR(_xll.BDP($E81,Z$3)="#N/A N/A",_xll.BDP($E81,Z$3)="#N/A Invalid Security"), " ", _xll.BDP($E81,Z$3))</f>
        <v>#NAME?</v>
      </c>
      <c r="AA81" s="107"/>
      <c r="AB81" s="93" t="s">
        <v>1043</v>
      </c>
      <c r="AC81" s="93" t="s">
        <v>980</v>
      </c>
      <c r="AD81" s="93" t="s">
        <v>1043</v>
      </c>
      <c r="AE81" s="93" t="s">
        <v>940</v>
      </c>
      <c r="AF81" s="93" t="s">
        <v>940</v>
      </c>
      <c r="AG81" s="93" t="s">
        <v>940</v>
      </c>
      <c r="AH81" s="95" t="e">
        <f t="shared" ca="1" si="30"/>
        <v>#NAME?</v>
      </c>
      <c r="AI81" s="95" t="e">
        <f t="shared" ca="1" si="30"/>
        <v>#NAME?</v>
      </c>
      <c r="AJ81" s="95" t="e">
        <f t="shared" ca="1" si="30"/>
        <v>#NAME?</v>
      </c>
      <c r="AK81" s="95" t="e">
        <f t="shared" ca="1" si="30"/>
        <v>#NAME?</v>
      </c>
      <c r="AL81" s="95" t="e">
        <f t="shared" ca="1" si="30"/>
        <v>#NAME?</v>
      </c>
      <c r="AM81" s="95" t="e">
        <f t="shared" ca="1" si="30"/>
        <v>#NAME?</v>
      </c>
      <c r="AN81" s="66" t="str">
        <f t="shared" ca="1" si="29"/>
        <v/>
      </c>
      <c r="AO81" s="108" t="e" cm="1">
        <f t="array" aca="1" ref="AO81" ca="1">_xll.BDP($E81,"cur_mkt_cap")</f>
        <v>#NAME?</v>
      </c>
      <c r="AP81" s="108" t="e" cm="1">
        <f t="array" aca="1" ref="AP81" ca="1">_xll.BDP($E81,"crncy")</f>
        <v>#NAME?</v>
      </c>
      <c r="AQ81" s="109" t="e" cm="1">
        <f t="array" aca="1" ref="AQ81" ca="1">_xll.BDP("USD"&amp;AP81&amp;" curncy","px_last")</f>
        <v>#NAME?</v>
      </c>
      <c r="AR81" s="109" t="e">
        <f t="shared" ca="1" si="20"/>
        <v>#NAME?</v>
      </c>
      <c r="AT81" s="66" t="str">
        <f t="shared" ca="1" si="21"/>
        <v/>
      </c>
      <c r="AU81" s="66" t="str">
        <f t="shared" ca="1" si="21"/>
        <v/>
      </c>
      <c r="AV81" s="66" t="str">
        <f t="shared" ca="1" si="21"/>
        <v/>
      </c>
      <c r="AW81" s="73" t="str" cm="1">
        <f t="array" aca="1" ref="AW81" ca="1">IF(ISERROR(DATEVALUE(_xll.BDP($E81,AW$6))),"",DATEVALUE(_xll.BDP($E81,AW$6)))</f>
        <v/>
      </c>
      <c r="AX81" s="73" t="str" cm="1">
        <f t="array" aca="1" ref="AX81" ca="1">IF(ISERROR(DATEVALUE(_xll.BDP($E81,AX$2))),"",DATEVALUE(_xll.BDP($E81,AX$2)))</f>
        <v/>
      </c>
      <c r="AY81" s="73" t="str" cm="1">
        <f t="array" aca="1" ref="AY81" ca="1">IF(ISERROR(DATEVALUE(_xll.BDP($E81,AY$6))),"",DATEVALUE(_xll.BDP($E81,AY$6)))</f>
        <v/>
      </c>
      <c r="AZ81" s="110" t="e" cm="1">
        <f t="array" aca="1" ref="AZ81" ca="1">IF(_xll.BQL($E81, "last(matches(px_last(dates=range(-1w,0d)), dayofweek(px_last(dates=range(-1w,0d)).date)==6))")="#N/A","-",_xll.BQL($E81, "last(matches(px_last(dates=range(-1w,0d)), dayofweek(px_last(dates=range(-1w,0d)).date)==6))"))</f>
        <v>#NAME?</v>
      </c>
      <c r="BA81" s="109" t="e" cm="1">
        <f t="array" aca="1" ref="BA81" ca="1">IF(_xll.BQL(E81,"first(last(matches(px_last(dates=range(-1M,0D)),dayofweek(px_last(dates=range(-1M,0D)).date)==6),2),1)")="#N/A","-",_xll.BQL(E81,"first(last(matches(px_last(dates=range(-1M,0D)),dayofweek(px_last(dates=range(-1M,0D)).date)==6),2),1)"))</f>
        <v>#NAME?</v>
      </c>
      <c r="BB81" s="109" t="str">
        <f t="shared" ca="1" si="23"/>
        <v>-</v>
      </c>
    </row>
    <row r="82" spans="5:54" s="121" customFormat="1" ht="16.5" customHeight="1" thickBot="1">
      <c r="E82" s="120" t="s">
        <v>1044</v>
      </c>
      <c r="F82" s="121" t="e">
        <f ca="1">_xll.BDP($E82,F$3)&amp;" BEST Curncy"</f>
        <v>#NAME?</v>
      </c>
      <c r="G82" s="122" t="e">
        <f t="shared" ca="1" si="17"/>
        <v>#NAME?</v>
      </c>
      <c r="H82" s="158"/>
      <c r="I82" s="632" t="s">
        <v>1045</v>
      </c>
      <c r="J82" s="98" t="e">
        <f ca="1">_xll.BDP($E82,J$3)</f>
        <v>#NAME?</v>
      </c>
      <c r="K82" s="99" t="e">
        <f ca="1">_xll.BDP($E82,K$3)</f>
        <v>#NAME?</v>
      </c>
      <c r="L82" s="100" t="str">
        <f ca="1">IF(ISNUMBER(_xll.BDH($E82,"PX_LAST",TEXT($E$2,"YYYYMMDD"),TEXT($E$2,"YYYYMMDD"),"days=a","fill=p")),_xll.BDH($E82,"PX_LAST",TEXT($E$2,"YYYYMMDD"),TEXT($E$2,"YYYYMMDD"),"days=a","fill=p"),"-")</f>
        <v>-</v>
      </c>
      <c r="M82" s="100" t="str">
        <f ca="1">IF(ISNUMBER(_xll.BDH($E82,"PX_LAST",TEXT($E$2-7,"YYYYMMDD"),TEXT($E$2-7,"YYYYMMDD"),"days=a","fill=p")),_xll.BDH($E82,"PX_LAST",TEXT($E$2-7,"YYYYMMDD"),TEXT($E$2-7,"YYYYMMDD"),"days=a","fill=p"),"-")</f>
        <v>-</v>
      </c>
      <c r="N82" s="180" t="str">
        <f ca="1">IF(ISNUMBER(($L82-$M82)/$M82),($L82-$M82)/$M82,"-")</f>
        <v>-</v>
      </c>
      <c r="O82" s="101" t="e">
        <f ca="1">IF(OR(_xll.BDP($E82,O$3)="#N/A N/A",_xll.BDP($E82,O$3)="#N/A Invalid Security"), "-", _xll.BDP($E82,O$3))</f>
        <v>#NAME?</v>
      </c>
      <c r="P82" s="182" t="str">
        <f ca="1">IF(ISNUMBER(_xll.BDH($F82,"PX_LAST",TEXT($E$2,"YYYYMMDD"),TEXT($E$2,"YYYYMMDD"),"days=a","fill=p")),_xll.BDH($F82,"PX_LAST",TEXT($E$2,"YYYYMMDD"),TEXT($E$2,"YYYYMMDD"),"days=a","fill=p"),"-")</f>
        <v>-</v>
      </c>
      <c r="Q82" s="182" t="str">
        <f ca="1">IF(ISNUMBER(_xll.BDH($F82,"PX_LAST",TEXT($E$2-7,"YYYYMMDD"),TEXT($E$2-7,"YYYYMMDD"),"days=a","fill=p")),_xll.BDH($F82,"PX_LAST",TEXT($E$2-7,"YYYYMMDD"),TEXT($E$2-7,"YYYYMMDD"),"days=a","fill=p"),"-")</f>
        <v>-</v>
      </c>
      <c r="R82" s="102" t="str">
        <f ca="1">IF(ISNUMBER($P82-$Q82),$P82-$Q82,"-")</f>
        <v>-</v>
      </c>
      <c r="S82" s="103" t="str">
        <f ca="1">IF(ISNUMBER(_xll.BDP($F82,S$3)),_xll.BDP($F82,S$3),"-")</f>
        <v>-</v>
      </c>
      <c r="T82" s="104" t="e">
        <f t="shared" ca="1" si="16"/>
        <v>#NAME?</v>
      </c>
      <c r="U82" s="105" t="e">
        <f ca="1">IF(OR(_xll.BDP($E82,U$3)="#N/A N/A",_xll.BDP($E82,U$3)="#N/A Invalid Security"), "-", _xll.BDP($E82,U$3))</f>
        <v>#NAME?</v>
      </c>
      <c r="V82" s="105" t="e">
        <f ca="1">IF(OR(_xll.BDP($E82,V$2)="#N/A N/A",_xll.BDP($E82,V$2)="#N/A Invalid Security"), "-", _xll.BDP($E82,V$2))</f>
        <v>#NAME?</v>
      </c>
      <c r="W82" s="106" t="e">
        <f ca="1">IF(OR(_xll.BDP($E82,W$3)="#N/A N/A",_xll.BDP($E82,W$3)="#N/A Invalid Security"), "-", _xll.BDP($E82,W$3))</f>
        <v>#NAME?</v>
      </c>
      <c r="X82" s="105" t="e">
        <f ca="1">IF(OR(_xll.BDP($E82,X$3)="#N/A N/A",_xll.BDP($E82,X$3)="#N/A Invalid Security"), " ", _xll.BDP($E82,X$3))</f>
        <v>#NAME?</v>
      </c>
      <c r="Y82" s="105" t="e">
        <f ca="1">IF(OR(_xll.BDP($E82,Y$3)="#N/A N/A",_xll.BDP($E82,Y$3)="#N/A Invalid Security"), " ", _xll.BDP($E82,Y$3))</f>
        <v>#NAME?</v>
      </c>
      <c r="Z82" s="106" t="e">
        <f ca="1">IF(OR(_xll.BDP($E82,Z$3)="#N/A N/A",_xll.BDP($E82,Z$3)="#N/A Invalid Security"), " ", _xll.BDP($E82,Z$3))</f>
        <v>#NAME?</v>
      </c>
      <c r="AA82" s="123"/>
      <c r="AB82" s="124" t="s">
        <v>932</v>
      </c>
      <c r="AC82" s="124" t="s">
        <v>875</v>
      </c>
      <c r="AD82" s="124" t="s">
        <v>950</v>
      </c>
      <c r="AE82" s="124" t="s">
        <v>940</v>
      </c>
      <c r="AF82" s="124" t="s">
        <v>940</v>
      </c>
      <c r="AG82" s="124" t="s">
        <v>940</v>
      </c>
      <c r="AH82" s="95" t="e">
        <f t="shared" ca="1" si="30"/>
        <v>#NAME?</v>
      </c>
      <c r="AI82" s="95" t="e">
        <f t="shared" ca="1" si="30"/>
        <v>#NAME?</v>
      </c>
      <c r="AJ82" s="95" t="e">
        <f t="shared" ca="1" si="30"/>
        <v>#NAME?</v>
      </c>
      <c r="AK82" s="95" t="e">
        <f t="shared" ca="1" si="30"/>
        <v>#NAME?</v>
      </c>
      <c r="AL82" s="95" t="e">
        <f t="shared" ca="1" si="30"/>
        <v>#NAME?</v>
      </c>
      <c r="AM82" s="95" t="e">
        <f t="shared" ca="1" si="30"/>
        <v>#NAME?</v>
      </c>
      <c r="AN82" s="121" t="str">
        <f t="shared" ca="1" si="29"/>
        <v/>
      </c>
      <c r="AO82" s="108" t="e" cm="1">
        <f t="array" aca="1" ref="AO82" ca="1">_xll.BDP($E82,"cur_mkt_cap")</f>
        <v>#NAME?</v>
      </c>
      <c r="AP82" s="108" t="e" cm="1">
        <f t="array" aca="1" ref="AP82" ca="1">_xll.BDP($E82,"crncy")</f>
        <v>#NAME?</v>
      </c>
      <c r="AQ82" s="109" t="e" cm="1">
        <f t="array" aca="1" ref="AQ82" ca="1">_xll.BDP("USD"&amp;AP82&amp;" curncy","px_last")</f>
        <v>#NAME?</v>
      </c>
      <c r="AR82" s="109" t="e">
        <f t="shared" ca="1" si="20"/>
        <v>#NAME?</v>
      </c>
      <c r="AT82" s="121" t="str">
        <f t="shared" ca="1" si="21"/>
        <v/>
      </c>
      <c r="AU82" s="121" t="str">
        <f t="shared" ca="1" si="21"/>
        <v/>
      </c>
      <c r="AV82" s="121" t="str">
        <f t="shared" ca="1" si="21"/>
        <v/>
      </c>
      <c r="AW82" s="73" t="str" cm="1">
        <f t="array" aca="1" ref="AW82" ca="1">IF(ISERROR(DATEVALUE(_xll.BDP($E82,AW$6))),"",DATEVALUE(_xll.BDP($E82,AW$6)))</f>
        <v/>
      </c>
      <c r="AX82" s="73" t="str" cm="1">
        <f t="array" aca="1" ref="AX82" ca="1">IF(ISERROR(DATEVALUE(_xll.BDP($E82,AX$2))),"",DATEVALUE(_xll.BDP($E82,AX$2)))</f>
        <v/>
      </c>
      <c r="AY82" s="73" t="str" cm="1">
        <f t="array" aca="1" ref="AY82" ca="1">IF(ISERROR(DATEVALUE(_xll.BDP($E82,AY$6))),"",DATEVALUE(_xll.BDP($E82,AY$6)))</f>
        <v/>
      </c>
      <c r="AZ82" s="110" t="e" cm="1">
        <f t="array" aca="1" ref="AZ82" ca="1">IF(_xll.BQL($E82, "last(matches(px_last(dates=range(-1w,0d)), dayofweek(px_last(dates=range(-1w,0d)).date)==6))")="#N/A","-",_xll.BQL($E82, "last(matches(px_last(dates=range(-1w,0d)), dayofweek(px_last(dates=range(-1w,0d)).date)==6))"))</f>
        <v>#NAME?</v>
      </c>
      <c r="BA82" s="109" t="e" cm="1">
        <f t="array" aca="1" ref="BA82" ca="1">IF(_xll.BQL(E82,"first(last(matches(px_last(dates=range(-1M,0D)),dayofweek(px_last(dates=range(-1M,0D)).date)==6),2),1)")="#N/A","-",_xll.BQL(E82,"first(last(matches(px_last(dates=range(-1M,0D)),dayofweek(px_last(dates=range(-1M,0D)).date)==6),2),1)"))</f>
        <v>#NAME?</v>
      </c>
      <c r="BB82" s="109" t="str">
        <f t="shared" ca="1" si="23"/>
        <v>-</v>
      </c>
    </row>
    <row r="83" spans="5:54" s="121" customFormat="1" ht="16.5" customHeight="1" thickBot="1">
      <c r="E83" s="120" t="s">
        <v>1046</v>
      </c>
      <c r="F83" s="121" t="e">
        <f ca="1">_xll.BDP($E83,F$3)&amp;" BEST Curncy"</f>
        <v>#NAME?</v>
      </c>
      <c r="G83" s="122" t="e">
        <f t="shared" ca="1" si="17"/>
        <v>#NAME?</v>
      </c>
      <c r="H83" s="158"/>
      <c r="I83" s="633"/>
      <c r="J83" s="98" t="e">
        <f ca="1">_xll.BDP($E83,J$3)</f>
        <v>#NAME?</v>
      </c>
      <c r="K83" s="99" t="e">
        <f ca="1">_xll.BDP($E83,K$3)</f>
        <v>#NAME?</v>
      </c>
      <c r="L83" s="100" t="str">
        <f ca="1">IF(ISNUMBER(_xll.BDH($E83,"PX_LAST",TEXT($E$2,"YYYYMMDD"),TEXT($E$2,"YYYYMMDD"),"days=a","fill=p")),_xll.BDH($E83,"PX_LAST",TEXT($E$2,"YYYYMMDD"),TEXT($E$2,"YYYYMMDD"),"days=a","fill=p"),"-")</f>
        <v>-</v>
      </c>
      <c r="M83" s="100" t="str">
        <f ca="1">IF(ISNUMBER(_xll.BDH($E83,"PX_LAST",TEXT($E$2-7,"YYYYMMDD"),TEXT($E$2-7,"YYYYMMDD"),"days=a","fill=p")),_xll.BDH($E83,"PX_LAST",TEXT($E$2-7,"YYYYMMDD"),TEXT($E$2-7,"YYYYMMDD"),"days=a","fill=p"),"-")</f>
        <v>-</v>
      </c>
      <c r="N83" s="180" t="str">
        <f t="shared" ref="N83:N101" ca="1" si="31">IF(ISNUMBER(($L83-$M83)/$M83),($L83-$M83)/$M83,"-")</f>
        <v>-</v>
      </c>
      <c r="O83" s="101" t="e">
        <f ca="1">IF(OR(_xll.BDP($E83,O$3)="#N/A N/A",_xll.BDP($E83,O$3)="#N/A Invalid Security"), "-", _xll.BDP($E83,O$3))</f>
        <v>#NAME?</v>
      </c>
      <c r="P83" s="182" t="str">
        <f ca="1">IF(ISNUMBER(_xll.BDH($F83,"PX_LAST",TEXT($E$2,"YYYYMMDD"),TEXT($E$2,"YYYYMMDD"),"days=a","fill=p")),_xll.BDH($F83,"PX_LAST",TEXT($E$2,"YYYYMMDD"),TEXT($E$2,"YYYYMMDD"),"days=a","fill=p"),"-")</f>
        <v>-</v>
      </c>
      <c r="Q83" s="182" t="str">
        <f ca="1">IF(ISNUMBER(_xll.BDH($F83,"PX_LAST",TEXT($E$2-7,"YYYYMMDD"),TEXT($E$2-7,"YYYYMMDD"),"days=a","fill=p")),_xll.BDH($F83,"PX_LAST",TEXT($E$2-7,"YYYYMMDD"),TEXT($E$2-7,"YYYYMMDD"),"days=a","fill=p"),"-")</f>
        <v>-</v>
      </c>
      <c r="R83" s="102" t="str">
        <f t="shared" ref="R83:R101" ca="1" si="32">IF(ISNUMBER($P83-$Q83),$P83-$Q83,"-")</f>
        <v>-</v>
      </c>
      <c r="S83" s="103" t="str">
        <f ca="1">IF(ISNUMBER(_xll.BDP($F83,S$3)),_xll.BDP($F83,S$3),"-")</f>
        <v>-</v>
      </c>
      <c r="T83" s="104" t="e">
        <f t="shared" ca="1" si="16"/>
        <v>#NAME?</v>
      </c>
      <c r="U83" s="105" t="e">
        <f ca="1">IF(OR(_xll.BDP($E83,U$3)="#N/A N/A",_xll.BDP($E83,U$3)="#N/A Invalid Security"), "-", _xll.BDP($E83,U$3))</f>
        <v>#NAME?</v>
      </c>
      <c r="V83" s="105" t="e">
        <f ca="1">IF(OR(_xll.BDP($E83,V$2)="#N/A N/A",_xll.BDP($E83,V$2)="#N/A Invalid Security"), "-", _xll.BDP($E83,V$2))</f>
        <v>#NAME?</v>
      </c>
      <c r="W83" s="106" t="e">
        <f ca="1">IF(OR(_xll.BDP($E83,W$3)="#N/A N/A",_xll.BDP($E83,W$3)="#N/A Invalid Security"), "-", _xll.BDP($E83,W$3))</f>
        <v>#NAME?</v>
      </c>
      <c r="X83" s="105" t="e">
        <f ca="1">IF(OR(_xll.BDP($E83,X$3)="#N/A N/A",_xll.BDP($E83,X$3)="#N/A Invalid Security"), " ", _xll.BDP($E83,X$3))</f>
        <v>#NAME?</v>
      </c>
      <c r="Y83" s="105" t="e">
        <f ca="1">IF(OR(_xll.BDP($E83,Y$3)="#N/A N/A",_xll.BDP($E83,Y$3)="#N/A Invalid Security"), " ", _xll.BDP($E83,Y$3))</f>
        <v>#NAME?</v>
      </c>
      <c r="Z83" s="106" t="e">
        <f ca="1">IF(OR(_xll.BDP($E83,Z$3)="#N/A N/A",_xll.BDP($E83,Z$3)="#N/A Invalid Security"), " ", _xll.BDP($E83,Z$3))</f>
        <v>#NAME?</v>
      </c>
      <c r="AA83" s="123"/>
      <c r="AB83" s="124" t="s">
        <v>950</v>
      </c>
      <c r="AC83" s="124" t="s">
        <v>933</v>
      </c>
      <c r="AD83" s="124" t="s">
        <v>938</v>
      </c>
      <c r="AE83" s="124" t="s">
        <v>940</v>
      </c>
      <c r="AF83" s="124" t="s">
        <v>940</v>
      </c>
      <c r="AG83" s="124" t="s">
        <v>940</v>
      </c>
      <c r="AH83" s="95" t="e">
        <f t="shared" ca="1" si="30"/>
        <v>#NAME?</v>
      </c>
      <c r="AI83" s="95" t="e">
        <f t="shared" ca="1" si="30"/>
        <v>#NAME?</v>
      </c>
      <c r="AJ83" s="95" t="e">
        <f t="shared" ca="1" si="30"/>
        <v>#NAME?</v>
      </c>
      <c r="AK83" s="95" t="e">
        <f t="shared" ca="1" si="30"/>
        <v>#NAME?</v>
      </c>
      <c r="AL83" s="95" t="e">
        <f t="shared" ca="1" si="30"/>
        <v>#NAME?</v>
      </c>
      <c r="AM83" s="95" t="e">
        <f t="shared" ca="1" si="30"/>
        <v>#NAME?</v>
      </c>
      <c r="AN83" s="121" t="str">
        <f t="shared" ca="1" si="29"/>
        <v/>
      </c>
      <c r="AO83" s="108" t="e" cm="1">
        <f t="array" aca="1" ref="AO83" ca="1">_xll.BDP($E83,"cur_mkt_cap")</f>
        <v>#NAME?</v>
      </c>
      <c r="AP83" s="108" t="e" cm="1">
        <f t="array" aca="1" ref="AP83" ca="1">_xll.BDP($E83,"crncy")</f>
        <v>#NAME?</v>
      </c>
      <c r="AQ83" s="109" t="e" cm="1">
        <f t="array" aca="1" ref="AQ83" ca="1">_xll.BDP("USD"&amp;AP83&amp;" curncy","px_last")</f>
        <v>#NAME?</v>
      </c>
      <c r="AR83" s="109" t="e">
        <f t="shared" ca="1" si="20"/>
        <v>#NAME?</v>
      </c>
      <c r="AT83" s="121" t="str">
        <f t="shared" ca="1" si="21"/>
        <v/>
      </c>
      <c r="AU83" s="121" t="str">
        <f t="shared" ca="1" si="21"/>
        <v/>
      </c>
      <c r="AV83" s="121" t="str">
        <f t="shared" ca="1" si="21"/>
        <v/>
      </c>
      <c r="AW83" s="73" t="str" cm="1">
        <f t="array" aca="1" ref="AW83" ca="1">IF(ISERROR(DATEVALUE(_xll.BDP($E83,AW$6))),"",DATEVALUE(_xll.BDP($E83,AW$6)))</f>
        <v/>
      </c>
      <c r="AX83" s="73" t="str" cm="1">
        <f t="array" aca="1" ref="AX83" ca="1">IF(ISERROR(DATEVALUE(_xll.BDP($E83,AX$2))),"",DATEVALUE(_xll.BDP($E83,AX$2)))</f>
        <v/>
      </c>
      <c r="AY83" s="73" t="str" cm="1">
        <f t="array" aca="1" ref="AY83" ca="1">IF(ISERROR(DATEVALUE(_xll.BDP($E83,AY$6))),"",DATEVALUE(_xll.BDP($E83,AY$6)))</f>
        <v/>
      </c>
      <c r="AZ83" s="110" t="e" cm="1">
        <f t="array" aca="1" ref="AZ83" ca="1">IF(_xll.BQL($E83, "last(matches(px_last(dates=range(-1w,0d)), dayofweek(px_last(dates=range(-1w,0d)).date)==6))")="#N/A","-",_xll.BQL($E83, "last(matches(px_last(dates=range(-1w,0d)), dayofweek(px_last(dates=range(-1w,0d)).date)==6))"))</f>
        <v>#NAME?</v>
      </c>
      <c r="BA83" s="109" t="e" cm="1">
        <f t="array" aca="1" ref="BA83" ca="1">IF(_xll.BQL(E83,"first(last(matches(px_last(dates=range(-1M,0D)),dayofweek(px_last(dates=range(-1M,0D)).date)==6),2),1)")="#N/A","-",_xll.BQL(E83,"first(last(matches(px_last(dates=range(-1M,0D)),dayofweek(px_last(dates=range(-1M,0D)).date)==6),2),1)"))</f>
        <v>#NAME?</v>
      </c>
      <c r="BB83" s="109" t="str">
        <f t="shared" ca="1" si="23"/>
        <v>-</v>
      </c>
    </row>
    <row r="84" spans="5:54" s="121" customFormat="1" ht="16.5" customHeight="1" thickBot="1">
      <c r="E84" s="120" t="s">
        <v>1047</v>
      </c>
      <c r="F84" s="121" t="e">
        <f ca="1">_xll.BDP($E84,F$3)&amp;" BEST Curncy"</f>
        <v>#NAME?</v>
      </c>
      <c r="G84" s="122" t="e">
        <f t="shared" ca="1" si="17"/>
        <v>#NAME?</v>
      </c>
      <c r="H84" s="158"/>
      <c r="I84" s="633"/>
      <c r="J84" s="98" t="e">
        <f ca="1">_xll.BDP($E84,J$3)</f>
        <v>#NAME?</v>
      </c>
      <c r="K84" s="99" t="e">
        <f ca="1">_xll.BDP($E84,K$3)</f>
        <v>#NAME?</v>
      </c>
      <c r="L84" s="100" t="str">
        <f ca="1">IF(ISNUMBER(_xll.BDH($E84,"PX_LAST",TEXT($E$2,"YYYYMMDD"),TEXT($E$2,"YYYYMMDD"),"days=a","fill=p")),_xll.BDH($E84,"PX_LAST",TEXT($E$2,"YYYYMMDD"),TEXT($E$2,"YYYYMMDD"),"days=a","fill=p"),"-")</f>
        <v>-</v>
      </c>
      <c r="M84" s="100" t="str">
        <f ca="1">IF(ISNUMBER(_xll.BDH($E84,"PX_LAST",TEXT($E$2-7,"YYYYMMDD"),TEXT($E$2-7,"YYYYMMDD"),"days=a","fill=p")),_xll.BDH($E84,"PX_LAST",TEXT($E$2-7,"YYYYMMDD"),TEXT($E$2-7,"YYYYMMDD"),"days=a","fill=p"),"-")</f>
        <v>-</v>
      </c>
      <c r="N84" s="180" t="str">
        <f t="shared" ca="1" si="31"/>
        <v>-</v>
      </c>
      <c r="O84" s="101" t="e">
        <f ca="1">IF(OR(_xll.BDP($E84,O$3)="#N/A N/A",_xll.BDP($E84,O$3)="#N/A Invalid Security"), "-", _xll.BDP($E84,O$3))</f>
        <v>#NAME?</v>
      </c>
      <c r="P84" s="182" t="str">
        <f ca="1">IF(ISNUMBER(_xll.BDH($F84,"PX_LAST",TEXT($E$2,"YYYYMMDD"),TEXT($E$2,"YYYYMMDD"),"days=a","fill=p")),_xll.BDH($F84,"PX_LAST",TEXT($E$2,"YYYYMMDD"),TEXT($E$2,"YYYYMMDD"),"days=a","fill=p"),"-")</f>
        <v>-</v>
      </c>
      <c r="Q84" s="182" t="str">
        <f ca="1">IF(ISNUMBER(_xll.BDH($F84,"PX_LAST",TEXT($E$2-7,"YYYYMMDD"),TEXT($E$2-7,"YYYYMMDD"),"days=a","fill=p")),_xll.BDH($F84,"PX_LAST",TEXT($E$2-7,"YYYYMMDD"),TEXT($E$2-7,"YYYYMMDD"),"days=a","fill=p"),"-")</f>
        <v>-</v>
      </c>
      <c r="R84" s="102" t="str">
        <f t="shared" ca="1" si="32"/>
        <v>-</v>
      </c>
      <c r="S84" s="103" t="str">
        <f ca="1">IF(ISNUMBER(_xll.BDP($F84,S$3)),_xll.BDP($F84,S$3),"-")</f>
        <v>-</v>
      </c>
      <c r="T84" s="104" t="e">
        <f t="shared" ca="1" si="16"/>
        <v>#NAME?</v>
      </c>
      <c r="U84" s="105" t="e">
        <f ca="1">IF(OR(_xll.BDP($E84,U$3)="#N/A N/A",_xll.BDP($E84,U$3)="#N/A Invalid Security"), "-", _xll.BDP($E84,U$3))</f>
        <v>#NAME?</v>
      </c>
      <c r="V84" s="105" t="e">
        <f ca="1">IF(OR(_xll.BDP($E84,V$2)="#N/A N/A",_xll.BDP($E84,V$2)="#N/A Invalid Security"), "-", _xll.BDP($E84,V$2))</f>
        <v>#NAME?</v>
      </c>
      <c r="W84" s="106" t="e">
        <f ca="1">IF(OR(_xll.BDP($E84,W$3)="#N/A N/A",_xll.BDP($E84,W$3)="#N/A Invalid Security"), "-", _xll.BDP($E84,W$3))</f>
        <v>#NAME?</v>
      </c>
      <c r="X84" s="105" t="e">
        <f ca="1">IF(OR(_xll.BDP($E84,X$3)="#N/A N/A",_xll.BDP($E84,X$3)="#N/A Invalid Security"), " ", _xll.BDP($E84,X$3))</f>
        <v>#NAME?</v>
      </c>
      <c r="Y84" s="105" t="e">
        <f ca="1">IF(OR(_xll.BDP($E84,Y$3)="#N/A N/A",_xll.BDP($E84,Y$3)="#N/A Invalid Security"), " ", _xll.BDP($E84,Y$3))</f>
        <v>#NAME?</v>
      </c>
      <c r="Z84" s="106" t="e">
        <f ca="1">IF(OR(_xll.BDP($E84,Z$3)="#N/A N/A",_xll.BDP($E84,Z$3)="#N/A Invalid Security"), " ", _xll.BDP($E84,Z$3))</f>
        <v>#NAME?</v>
      </c>
      <c r="AA84" s="123"/>
      <c r="AB84" s="124" t="s">
        <v>877</v>
      </c>
      <c r="AC84" s="124" t="s">
        <v>980</v>
      </c>
      <c r="AD84" s="124" t="s">
        <v>932</v>
      </c>
      <c r="AE84" s="124" t="s">
        <v>940</v>
      </c>
      <c r="AF84" s="124" t="s">
        <v>940</v>
      </c>
      <c r="AG84" s="124" t="s">
        <v>940</v>
      </c>
      <c r="AH84" s="95" t="e">
        <f t="shared" ca="1" si="30"/>
        <v>#NAME?</v>
      </c>
      <c r="AI84" s="95" t="e">
        <f t="shared" ca="1" si="30"/>
        <v>#NAME?</v>
      </c>
      <c r="AJ84" s="95" t="e">
        <f t="shared" ca="1" si="30"/>
        <v>#NAME?</v>
      </c>
      <c r="AK84" s="95" t="e">
        <f t="shared" ca="1" si="30"/>
        <v>#NAME?</v>
      </c>
      <c r="AL84" s="95" t="e">
        <f t="shared" ca="1" si="30"/>
        <v>#NAME?</v>
      </c>
      <c r="AM84" s="95" t="e">
        <f t="shared" ca="1" si="30"/>
        <v>#NAME?</v>
      </c>
      <c r="AN84" s="121" t="str">
        <f t="shared" ca="1" si="29"/>
        <v/>
      </c>
      <c r="AO84" s="108" t="e" cm="1">
        <f t="array" aca="1" ref="AO84" ca="1">_xll.BDP($E84,"cur_mkt_cap")</f>
        <v>#NAME?</v>
      </c>
      <c r="AP84" s="108" t="e" cm="1">
        <f t="array" aca="1" ref="AP84" ca="1">_xll.BDP($E84,"crncy")</f>
        <v>#NAME?</v>
      </c>
      <c r="AQ84" s="109" t="e" cm="1">
        <f t="array" aca="1" ref="AQ84" ca="1">_xll.BDP("USD"&amp;AP84&amp;" curncy","px_last")</f>
        <v>#NAME?</v>
      </c>
      <c r="AR84" s="109" t="e">
        <f t="shared" ca="1" si="20"/>
        <v>#NAME?</v>
      </c>
      <c r="AT84" s="121" t="str">
        <f t="shared" ca="1" si="21"/>
        <v/>
      </c>
      <c r="AU84" s="121" t="str">
        <f t="shared" ca="1" si="21"/>
        <v/>
      </c>
      <c r="AV84" s="121" t="str">
        <f t="shared" ca="1" si="21"/>
        <v/>
      </c>
      <c r="AW84" s="73" t="str" cm="1">
        <f t="array" aca="1" ref="AW84" ca="1">IF(ISERROR(DATEVALUE(_xll.BDP($E84,AW$6))),"",DATEVALUE(_xll.BDP($E84,AW$6)))</f>
        <v/>
      </c>
      <c r="AX84" s="73" t="str" cm="1">
        <f t="array" aca="1" ref="AX84" ca="1">IF(ISERROR(DATEVALUE(_xll.BDP($E84,AX$2))),"",DATEVALUE(_xll.BDP($E84,AX$2)))</f>
        <v/>
      </c>
      <c r="AY84" s="73" t="str" cm="1">
        <f t="array" aca="1" ref="AY84" ca="1">IF(ISERROR(DATEVALUE(_xll.BDP($E84,AY$6))),"",DATEVALUE(_xll.BDP($E84,AY$6)))</f>
        <v/>
      </c>
      <c r="AZ84" s="110" t="e" cm="1">
        <f t="array" aca="1" ref="AZ84" ca="1">IF(_xll.BQL($E84, "last(matches(px_last(dates=range(-1w,0d)), dayofweek(px_last(dates=range(-1w,0d)).date)==6))")="#N/A","-",_xll.BQL($E84, "last(matches(px_last(dates=range(-1w,0d)), dayofweek(px_last(dates=range(-1w,0d)).date)==6))"))</f>
        <v>#NAME?</v>
      </c>
      <c r="BA84" s="109" t="e" cm="1">
        <f t="array" aca="1" ref="BA84" ca="1">IF(_xll.BQL(E84,"first(last(matches(px_last(dates=range(-1M,0D)),dayofweek(px_last(dates=range(-1M,0D)).date)==6),2),1)")="#N/A","-",_xll.BQL(E84,"first(last(matches(px_last(dates=range(-1M,0D)),dayofweek(px_last(dates=range(-1M,0D)).date)==6),2),1)"))</f>
        <v>#NAME?</v>
      </c>
      <c r="BB84" s="109" t="str">
        <f t="shared" ca="1" si="23"/>
        <v>-</v>
      </c>
    </row>
    <row r="85" spans="5:54" s="121" customFormat="1" ht="16.5" customHeight="1" thickBot="1">
      <c r="E85" s="120" t="s">
        <v>1048</v>
      </c>
      <c r="F85" s="181" t="e">
        <f ca="1">_xll.BDP($E85,F$3)&amp;" BEST Curncy"</f>
        <v>#NAME?</v>
      </c>
      <c r="G85" s="122" t="e">
        <f t="shared" ca="1" si="17"/>
        <v>#NAME?</v>
      </c>
      <c r="H85" s="158"/>
      <c r="I85" s="633"/>
      <c r="J85" s="98" t="e">
        <f ca="1">_xll.BDP($E85,J$3)</f>
        <v>#NAME?</v>
      </c>
      <c r="K85" s="99" t="e">
        <f ca="1">_xll.BDP($E85,K$3)</f>
        <v>#NAME?</v>
      </c>
      <c r="L85" s="100" t="str">
        <f ca="1">IF(ISNUMBER(_xll.BDH($E85,"PX_LAST",TEXT($E$2,"YYYYMMDD"),TEXT($E$2,"YYYYMMDD"),"days=a","fill=p")),_xll.BDH($E85,"PX_LAST",TEXT($E$2,"YYYYMMDD"),TEXT($E$2,"YYYYMMDD"),"days=a","fill=p"),"-")</f>
        <v>-</v>
      </c>
      <c r="M85" s="100" t="str">
        <f ca="1">IF(ISNUMBER(_xll.BDH($E85,"PX_LAST",TEXT($E$2-7,"YYYYMMDD"),TEXT($E$2-7,"YYYYMMDD"),"days=a","fill=p")),_xll.BDH($E85,"PX_LAST",TEXT($E$2-7,"YYYYMMDD"),TEXT($E$2-7,"YYYYMMDD"),"days=a","fill=p"),"-")</f>
        <v>-</v>
      </c>
      <c r="N85" s="180" t="str">
        <f t="shared" ca="1" si="31"/>
        <v>-</v>
      </c>
      <c r="O85" s="101" t="e">
        <f ca="1">IF(OR(_xll.BDP($E85,O$3)="#N/A N/A",_xll.BDP($E85,O$3)="#N/A Invalid Security"), "-", _xll.BDP($E85,O$3))</f>
        <v>#NAME?</v>
      </c>
      <c r="P85" s="182" t="str">
        <f ca="1">IF(ISNUMBER(_xll.BDH($F85,"PX_LAST",TEXT($E$2,"YYYYMMDD"),TEXT($E$2,"YYYYMMDD"),"days=a","fill=p")),_xll.BDH($F85,"PX_LAST",TEXT($E$2,"YYYYMMDD"),TEXT($E$2,"YYYYMMDD"),"days=a","fill=p"),"-")</f>
        <v>-</v>
      </c>
      <c r="Q85" s="182" t="str">
        <f ca="1">IF(ISNUMBER(_xll.BDH($F85,"PX_LAST",TEXT($E$2-7,"YYYYMMDD"),TEXT($E$2-7,"YYYYMMDD"),"days=a","fill=p")),_xll.BDH($F85,"PX_LAST",TEXT($E$2-7,"YYYYMMDD"),TEXT($E$2-7,"YYYYMMDD"),"days=a","fill=p"),"-")</f>
        <v>-</v>
      </c>
      <c r="R85" s="102" t="str">
        <f t="shared" ca="1" si="32"/>
        <v>-</v>
      </c>
      <c r="S85" s="103" t="str">
        <f ca="1">IF(ISNUMBER(_xll.BDP($F85,S$3)),_xll.BDP($F85,S$3),"-")</f>
        <v>-</v>
      </c>
      <c r="T85" s="104" t="e">
        <f t="shared" ca="1" si="16"/>
        <v>#NAME?</v>
      </c>
      <c r="U85" s="105" t="e">
        <f ca="1">IF(OR(_xll.BDP($E85,U$3)="#N/A N/A",_xll.BDP($E85,U$3)="#N/A Invalid Security"), "-", _xll.BDP($E85,U$3))</f>
        <v>#NAME?</v>
      </c>
      <c r="V85" s="105" t="e">
        <f ca="1">IF(OR(_xll.BDP($E85,V$2)="#N/A N/A",_xll.BDP($E85,V$2)="#N/A Invalid Security"), "-", _xll.BDP($E85,V$2))</f>
        <v>#NAME?</v>
      </c>
      <c r="W85" s="106" t="e">
        <f ca="1">IF(OR(_xll.BDP($E85,W$3)="#N/A N/A",_xll.BDP($E85,W$3)="#N/A Invalid Security"), "-", _xll.BDP($E85,W$3))</f>
        <v>#NAME?</v>
      </c>
      <c r="X85" s="105" t="e">
        <f ca="1">IF(OR(_xll.BDP($E85,X$3)="#N/A N/A",_xll.BDP($E85,X$3)="#N/A Invalid Security"), " ", _xll.BDP($E85,X$3))</f>
        <v>#NAME?</v>
      </c>
      <c r="Y85" s="105" t="e">
        <f ca="1">IF(OR(_xll.BDP($E85,Y$3)="#N/A N/A",_xll.BDP($E85,Y$3)="#N/A Invalid Security"), " ", _xll.BDP($E85,Y$3))</f>
        <v>#NAME?</v>
      </c>
      <c r="Z85" s="106" t="e">
        <f ca="1">IF(OR(_xll.BDP($E85,Z$3)="#N/A N/A",_xll.BDP($E85,Z$3)="#N/A Invalid Security"), " ", _xll.BDP($E85,Z$3))</f>
        <v>#NAME?</v>
      </c>
      <c r="AA85" s="123"/>
      <c r="AB85" s="124" t="s">
        <v>876</v>
      </c>
      <c r="AC85" s="124" t="s">
        <v>934</v>
      </c>
      <c r="AD85" s="124" t="s">
        <v>876</v>
      </c>
      <c r="AE85" s="124" t="s">
        <v>940</v>
      </c>
      <c r="AF85" s="124" t="s">
        <v>935</v>
      </c>
      <c r="AG85" s="124" t="s">
        <v>940</v>
      </c>
      <c r="AH85" s="95" t="e">
        <f t="shared" ca="1" si="30"/>
        <v>#NAME?</v>
      </c>
      <c r="AI85" s="95" t="e">
        <f t="shared" ca="1" si="30"/>
        <v>#NAME?</v>
      </c>
      <c r="AJ85" s="95" t="e">
        <f t="shared" ca="1" si="30"/>
        <v>#NAME?</v>
      </c>
      <c r="AK85" s="95" t="e">
        <f t="shared" ca="1" si="30"/>
        <v>#NAME?</v>
      </c>
      <c r="AL85" s="95" t="e">
        <f t="shared" ca="1" si="30"/>
        <v>#NAME?</v>
      </c>
      <c r="AM85" s="95" t="e">
        <f t="shared" ca="1" si="30"/>
        <v>#NAME?</v>
      </c>
      <c r="AN85" s="121" t="str">
        <f t="shared" ca="1" si="29"/>
        <v/>
      </c>
      <c r="AO85" s="108" t="e" cm="1">
        <f t="array" aca="1" ref="AO85" ca="1">_xll.BDP($E85,"cur_mkt_cap")</f>
        <v>#NAME?</v>
      </c>
      <c r="AP85" s="108" t="e" cm="1">
        <f t="array" aca="1" ref="AP85" ca="1">_xll.BDP($E85,"crncy")</f>
        <v>#NAME?</v>
      </c>
      <c r="AQ85" s="109" t="e" cm="1">
        <f t="array" aca="1" ref="AQ85" ca="1">_xll.BDP("USD"&amp;AP85&amp;" curncy","px_last")</f>
        <v>#NAME?</v>
      </c>
      <c r="AR85" s="109" t="e">
        <f t="shared" ca="1" si="20"/>
        <v>#NAME?</v>
      </c>
      <c r="AT85" s="121" t="str">
        <f t="shared" ref="AT85:AV116" ca="1" si="33">IF(AND(AW85&lt;=$E$1,AW85&gt;=$F$1),1,"")</f>
        <v/>
      </c>
      <c r="AU85" s="121" t="str">
        <f t="shared" ca="1" si="33"/>
        <v/>
      </c>
      <c r="AV85" s="121" t="str">
        <f t="shared" ca="1" si="33"/>
        <v/>
      </c>
      <c r="AW85" s="73" t="str" cm="1">
        <f t="array" aca="1" ref="AW85" ca="1">IF(ISERROR(DATEVALUE(_xll.BDP($E85,AW$6))),"",DATEVALUE(_xll.BDP($E85,AW$6)))</f>
        <v/>
      </c>
      <c r="AX85" s="73" t="str" cm="1">
        <f t="array" aca="1" ref="AX85" ca="1">IF(ISERROR(DATEVALUE(_xll.BDP($E85,AX$2))),"",DATEVALUE(_xll.BDP($E85,AX$2)))</f>
        <v/>
      </c>
      <c r="AY85" s="73" t="str" cm="1">
        <f t="array" aca="1" ref="AY85" ca="1">IF(ISERROR(DATEVALUE(_xll.BDP($E85,AY$6))),"",DATEVALUE(_xll.BDP($E85,AY$6)))</f>
        <v/>
      </c>
      <c r="AZ85" s="110" t="e" cm="1">
        <f t="array" aca="1" ref="AZ85" ca="1">IF(_xll.BQL($E85, "last(matches(px_last(dates=range(-1w,0d)), dayofweek(px_last(dates=range(-1w,0d)).date)==6))")="#N/A","-",_xll.BQL($E85, "last(matches(px_last(dates=range(-1w,0d)), dayofweek(px_last(dates=range(-1w,0d)).date)==6))"))</f>
        <v>#NAME?</v>
      </c>
      <c r="BA85" s="109" t="e" cm="1">
        <f t="array" aca="1" ref="BA85" ca="1">IF(_xll.BQL(E85,"first(last(matches(px_last(dates=range(-1M,0D)),dayofweek(px_last(dates=range(-1M,0D)).date)==6),2),1)")="#N/A","-",_xll.BQL(E85,"first(last(matches(px_last(dates=range(-1M,0D)),dayofweek(px_last(dates=range(-1M,0D)).date)==6),2),1)"))</f>
        <v>#NAME?</v>
      </c>
      <c r="BB85" s="109" t="str">
        <f t="shared" ca="1" si="23"/>
        <v>-</v>
      </c>
    </row>
    <row r="86" spans="5:54" ht="16.5" customHeight="1" thickBot="1">
      <c r="E86" s="96" t="s">
        <v>1049</v>
      </c>
      <c r="F86" s="66" t="e">
        <f ca="1">_xll.BDP($E86,F$3)&amp;" BEST Curncy"</f>
        <v>#NAME?</v>
      </c>
      <c r="G86" s="97" t="e">
        <f t="shared" ca="1" si="17"/>
        <v>#NAME?</v>
      </c>
      <c r="H86" s="76"/>
      <c r="I86" s="633"/>
      <c r="J86" s="98" t="e">
        <f ca="1">_xll.BDP($E86,J$3)</f>
        <v>#NAME?</v>
      </c>
      <c r="K86" s="99" t="e">
        <f ca="1">_xll.BDP($E86,K$3)</f>
        <v>#NAME?</v>
      </c>
      <c r="L86" s="100" t="str">
        <f ca="1">IF(ISNUMBER(_xll.BDH($E86,"PX_LAST",TEXT($E$2,"YYYYMMDD"),TEXT($E$2,"YYYYMMDD"),"days=a","fill=p")),_xll.BDH($E86,"PX_LAST",TEXT($E$2,"YYYYMMDD"),TEXT($E$2,"YYYYMMDD"),"days=a","fill=p"),"-")</f>
        <v>-</v>
      </c>
      <c r="M86" s="100" t="str">
        <f ca="1">IF(ISNUMBER(_xll.BDH($E86,"PX_LAST",TEXT($E$2-7,"YYYYMMDD"),TEXT($E$2-7,"YYYYMMDD"),"days=a","fill=p")),_xll.BDH($E86,"PX_LAST",TEXT($E$2-7,"YYYYMMDD"),TEXT($E$2-7,"YYYYMMDD"),"days=a","fill=p"),"-")</f>
        <v>-</v>
      </c>
      <c r="N86" s="180" t="str">
        <f t="shared" ca="1" si="31"/>
        <v>-</v>
      </c>
      <c r="O86" s="101" t="e">
        <f ca="1">IF(OR(_xll.BDP($E86,O$3)="#N/A N/A",_xll.BDP($E86,O$3)="#N/A Invalid Security"), "-", _xll.BDP($E86,O$3))</f>
        <v>#NAME?</v>
      </c>
      <c r="P86" s="182" t="str">
        <f ca="1">IF(ISNUMBER(_xll.BDH($F86,"PX_LAST",TEXT($E$2,"YYYYMMDD"),TEXT($E$2,"YYYYMMDD"),"days=a","fill=p")),_xll.BDH($F86,"PX_LAST",TEXT($E$2,"YYYYMMDD"),TEXT($E$2,"YYYYMMDD"),"days=a","fill=p"),"-")</f>
        <v>-</v>
      </c>
      <c r="Q86" s="182" t="str">
        <f ca="1">IF(ISNUMBER(_xll.BDH($F86,"PX_LAST",TEXT($E$2-7,"YYYYMMDD"),TEXT($E$2-7,"YYYYMMDD"),"days=a","fill=p")),_xll.BDH($F86,"PX_LAST",TEXT($E$2-7,"YYYYMMDD"),TEXT($E$2-7,"YYYYMMDD"),"days=a","fill=p"),"-")</f>
        <v>-</v>
      </c>
      <c r="R86" s="102" t="str">
        <f t="shared" ca="1" si="32"/>
        <v>-</v>
      </c>
      <c r="S86" s="103" t="str">
        <f ca="1">IF(ISNUMBER(_xll.BDP($F86,S$3)),_xll.BDP($F86,S$3),"-")</f>
        <v>-</v>
      </c>
      <c r="T86" s="104" t="e">
        <f t="shared" ca="1" si="16"/>
        <v>#NAME?</v>
      </c>
      <c r="U86" s="105" t="e">
        <f ca="1">IF(OR(_xll.BDP($E86,U$3)="#N/A N/A",_xll.BDP($E86,U$3)="#N/A Invalid Security"), "-", _xll.BDP($E86,U$3))</f>
        <v>#NAME?</v>
      </c>
      <c r="V86" s="105" t="e">
        <f ca="1">IF(OR(_xll.BDP($E86,V$2)="#N/A N/A",_xll.BDP($E86,V$2)="#N/A Invalid Security"), "-", _xll.BDP($E86,V$2))</f>
        <v>#NAME?</v>
      </c>
      <c r="W86" s="106" t="e">
        <f ca="1">IF(OR(_xll.BDP($E86,W$3)="#N/A N/A",_xll.BDP($E86,W$3)="#N/A Invalid Security"), "-", _xll.BDP($E86,W$3))</f>
        <v>#NAME?</v>
      </c>
      <c r="X86" s="105" t="e">
        <f ca="1">IF(OR(_xll.BDP($E86,X$3)="#N/A N/A",_xll.BDP($E86,X$3)="#N/A Invalid Security"), " ", _xll.BDP($E86,X$3))</f>
        <v>#NAME?</v>
      </c>
      <c r="Y86" s="105" t="e">
        <f ca="1">IF(OR(_xll.BDP($E86,Y$3)="#N/A N/A",_xll.BDP($E86,Y$3)="#N/A Invalid Security"), " ", _xll.BDP($E86,Y$3))</f>
        <v>#NAME?</v>
      </c>
      <c r="Z86" s="106" t="e">
        <f ca="1">IF(OR(_xll.BDP($E86,Z$3)="#N/A N/A",_xll.BDP($E86,Z$3)="#N/A Invalid Security"), " ", _xll.BDP($E86,Z$3))</f>
        <v>#NAME?</v>
      </c>
      <c r="AA86" s="107"/>
      <c r="AB86" s="93" t="s">
        <v>876</v>
      </c>
      <c r="AC86" s="93" t="s">
        <v>934</v>
      </c>
      <c r="AD86" s="93" t="s">
        <v>876</v>
      </c>
      <c r="AE86" s="93" t="s">
        <v>940</v>
      </c>
      <c r="AF86" s="93" t="s">
        <v>935</v>
      </c>
      <c r="AG86" s="93" t="s">
        <v>940</v>
      </c>
      <c r="AH86" s="95" t="e">
        <f t="shared" ca="1" si="30"/>
        <v>#NAME?</v>
      </c>
      <c r="AI86" s="95" t="e">
        <f t="shared" ca="1" si="30"/>
        <v>#NAME?</v>
      </c>
      <c r="AJ86" s="95" t="e">
        <f t="shared" ca="1" si="30"/>
        <v>#NAME?</v>
      </c>
      <c r="AK86" s="95" t="e">
        <f t="shared" ca="1" si="30"/>
        <v>#NAME?</v>
      </c>
      <c r="AL86" s="95" t="e">
        <f t="shared" ca="1" si="30"/>
        <v>#NAME?</v>
      </c>
      <c r="AM86" s="95" t="e">
        <f t="shared" ca="1" si="30"/>
        <v>#NAME?</v>
      </c>
      <c r="AN86" s="66" t="str">
        <f t="shared" ca="1" si="29"/>
        <v/>
      </c>
      <c r="AO86" s="108" t="e" cm="1">
        <f t="array" aca="1" ref="AO86" ca="1">_xll.BDP($E86,"cur_mkt_cap")</f>
        <v>#NAME?</v>
      </c>
      <c r="AP86" s="108" t="e" cm="1">
        <f t="array" aca="1" ref="AP86" ca="1">_xll.BDP($E86,"crncy")</f>
        <v>#NAME?</v>
      </c>
      <c r="AQ86" s="109" t="e" cm="1">
        <f t="array" aca="1" ref="AQ86" ca="1">_xll.BDP("USD"&amp;AP86&amp;" curncy","px_last")</f>
        <v>#NAME?</v>
      </c>
      <c r="AR86" s="109" t="e">
        <f t="shared" ca="1" si="20"/>
        <v>#NAME?</v>
      </c>
      <c r="AT86" s="66" t="str">
        <f t="shared" ca="1" si="33"/>
        <v/>
      </c>
      <c r="AU86" s="66" t="str">
        <f t="shared" ca="1" si="33"/>
        <v/>
      </c>
      <c r="AV86" s="66" t="str">
        <f t="shared" ca="1" si="33"/>
        <v/>
      </c>
      <c r="AW86" s="73" t="str" cm="1">
        <f t="array" aca="1" ref="AW86" ca="1">IF(ISERROR(DATEVALUE(_xll.BDP($E86,AW$6))),"",DATEVALUE(_xll.BDP($E86,AW$6)))</f>
        <v/>
      </c>
      <c r="AX86" s="73" t="str" cm="1">
        <f t="array" aca="1" ref="AX86" ca="1">IF(ISERROR(DATEVALUE(_xll.BDP($E86,AX$2))),"",DATEVALUE(_xll.BDP($E86,AX$2)))</f>
        <v/>
      </c>
      <c r="AY86" s="73" t="str" cm="1">
        <f t="array" aca="1" ref="AY86" ca="1">IF(ISERROR(DATEVALUE(_xll.BDP($E86,AY$6))),"",DATEVALUE(_xll.BDP($E86,AY$6)))</f>
        <v/>
      </c>
      <c r="AZ86" s="110" t="e" cm="1">
        <f t="array" aca="1" ref="AZ86" ca="1">IF(_xll.BQL($E86, "last(matches(px_last(dates=range(-1w,0d)), dayofweek(px_last(dates=range(-1w,0d)).date)==6))")="#N/A","-",_xll.BQL($E86, "last(matches(px_last(dates=range(-1w,0d)), dayofweek(px_last(dates=range(-1w,0d)).date)==6))"))</f>
        <v>#NAME?</v>
      </c>
      <c r="BA86" s="109" t="e" cm="1">
        <f t="array" aca="1" ref="BA86" ca="1">IF(_xll.BQL(E86,"first(last(matches(px_last(dates=range(-1M,0D)),dayofweek(px_last(dates=range(-1M,0D)).date)==6),2),1)")="#N/A","-",_xll.BQL(E86,"first(last(matches(px_last(dates=range(-1M,0D)),dayofweek(px_last(dates=range(-1M,0D)).date)==6),2),1)"))</f>
        <v>#NAME?</v>
      </c>
      <c r="BB86" s="109" t="str">
        <f t="shared" ca="1" si="23"/>
        <v>-</v>
      </c>
    </row>
    <row r="87" spans="5:54" ht="16.5" customHeight="1" thickBot="1">
      <c r="E87" s="96" t="s">
        <v>1050</v>
      </c>
      <c r="F87" s="66" t="e">
        <f ca="1">_xll.BDP($E87,F$3)&amp;" BEST Curncy"</f>
        <v>#NAME?</v>
      </c>
      <c r="G87" s="97" t="e">
        <f t="shared" ca="1" si="17"/>
        <v>#NAME?</v>
      </c>
      <c r="H87" s="76"/>
      <c r="I87" s="633"/>
      <c r="J87" s="98" t="e">
        <f ca="1">_xll.BDP($E87,J$3)</f>
        <v>#NAME?</v>
      </c>
      <c r="K87" s="99" t="e">
        <f ca="1">_xll.BDP($E87,K$3)</f>
        <v>#NAME?</v>
      </c>
      <c r="L87" s="100" t="str">
        <f ca="1">IF(ISNUMBER(_xll.BDH($E87,"PX_LAST",TEXT($E$2,"YYYYMMDD"),TEXT($E$2,"YYYYMMDD"),"days=a","fill=p")),_xll.BDH($E87,"PX_LAST",TEXT($E$2,"YYYYMMDD"),TEXT($E$2,"YYYYMMDD"),"days=a","fill=p"),"-")</f>
        <v>-</v>
      </c>
      <c r="M87" s="100" t="str">
        <f ca="1">IF(ISNUMBER(_xll.BDH($E87,"PX_LAST",TEXT($E$2-7,"YYYYMMDD"),TEXT($E$2-7,"YYYYMMDD"),"days=a","fill=p")),_xll.BDH($E87,"PX_LAST",TEXT($E$2-7,"YYYYMMDD"),TEXT($E$2-7,"YYYYMMDD"),"days=a","fill=p"),"-")</f>
        <v>-</v>
      </c>
      <c r="N87" s="180" t="str">
        <f t="shared" ca="1" si="31"/>
        <v>-</v>
      </c>
      <c r="O87" s="101" t="e">
        <f ca="1">IF(OR(_xll.BDP($E87,O$3)="#N/A N/A",_xll.BDP($E87,O$3)="#N/A Invalid Security"), "-", _xll.BDP($E87,O$3))</f>
        <v>#NAME?</v>
      </c>
      <c r="P87" s="182" t="str">
        <f ca="1">IF(ISNUMBER(_xll.BDH($F87,"PX_LAST",TEXT($E$2,"YYYYMMDD"),TEXT($E$2,"YYYYMMDD"),"days=a","fill=p")),_xll.BDH($F87,"PX_LAST",TEXT($E$2,"YYYYMMDD"),TEXT($E$2,"YYYYMMDD"),"days=a","fill=p"),"-")</f>
        <v>-</v>
      </c>
      <c r="Q87" s="182" t="str">
        <f ca="1">IF(ISNUMBER(_xll.BDH($F87,"PX_LAST",TEXT($E$2-7,"YYYYMMDD"),TEXT($E$2-7,"YYYYMMDD"),"days=a","fill=p")),_xll.BDH($F87,"PX_LAST",TEXT($E$2-7,"YYYYMMDD"),TEXT($E$2-7,"YYYYMMDD"),"days=a","fill=p"),"-")</f>
        <v>-</v>
      </c>
      <c r="R87" s="102" t="str">
        <f t="shared" ca="1" si="32"/>
        <v>-</v>
      </c>
      <c r="S87" s="103" t="str">
        <f ca="1">IF(ISNUMBER(_xll.BDP($F87,S$3)),_xll.BDP($F87,S$3),"-")</f>
        <v>-</v>
      </c>
      <c r="T87" s="104" t="e">
        <f t="shared" ca="1" si="16"/>
        <v>#NAME?</v>
      </c>
      <c r="U87" s="105" t="e">
        <f ca="1">IF(OR(_xll.BDP($E87,U$3)="#N/A N/A",_xll.BDP($E87,U$3)="#N/A Invalid Security"), "-", _xll.BDP($E87,U$3))</f>
        <v>#NAME?</v>
      </c>
      <c r="V87" s="105" t="e">
        <f ca="1">IF(OR(_xll.BDP($E87,V$2)="#N/A N/A",_xll.BDP($E87,V$2)="#N/A Invalid Security"), "-", _xll.BDP($E87,V$2))</f>
        <v>#NAME?</v>
      </c>
      <c r="W87" s="106" t="e">
        <f ca="1">IF(OR(_xll.BDP($E87,W$3)="#N/A N/A",_xll.BDP($E87,W$3)="#N/A Invalid Security"), "-", _xll.BDP($E87,W$3))</f>
        <v>#NAME?</v>
      </c>
      <c r="X87" s="105" t="e">
        <f ca="1">IF(OR(_xll.BDP($E87,X$3)="#N/A N/A",_xll.BDP($E87,X$3)="#N/A Invalid Security"), " ", _xll.BDP($E87,X$3))</f>
        <v>#NAME?</v>
      </c>
      <c r="Y87" s="105" t="e">
        <f ca="1">IF(OR(_xll.BDP($E87,Y$3)="#N/A N/A",_xll.BDP($E87,Y$3)="#N/A Invalid Security"), " ", _xll.BDP($E87,Y$3))</f>
        <v>#NAME?</v>
      </c>
      <c r="Z87" s="106" t="e">
        <f ca="1">IF(OR(_xll.BDP($E87,Z$3)="#N/A N/A",_xll.BDP($E87,Z$3)="#N/A Invalid Security"), " ", _xll.BDP($E87,Z$3))</f>
        <v>#NAME?</v>
      </c>
      <c r="AA87" s="107"/>
      <c r="AB87" s="93" t="s">
        <v>876</v>
      </c>
      <c r="AC87" s="93" t="s">
        <v>934</v>
      </c>
      <c r="AD87" s="93" t="s">
        <v>876</v>
      </c>
      <c r="AE87" s="93" t="s">
        <v>940</v>
      </c>
      <c r="AF87" s="93" t="s">
        <v>935</v>
      </c>
      <c r="AG87" s="93" t="s">
        <v>940</v>
      </c>
      <c r="AH87" s="95" t="e">
        <f t="shared" ca="1" si="30"/>
        <v>#NAME?</v>
      </c>
      <c r="AI87" s="95" t="e">
        <f t="shared" ca="1" si="30"/>
        <v>#NAME?</v>
      </c>
      <c r="AJ87" s="95" t="e">
        <f t="shared" ca="1" si="30"/>
        <v>#NAME?</v>
      </c>
      <c r="AK87" s="95" t="e">
        <f t="shared" ca="1" si="30"/>
        <v>#NAME?</v>
      </c>
      <c r="AL87" s="95" t="e">
        <f t="shared" ca="1" si="30"/>
        <v>#NAME?</v>
      </c>
      <c r="AM87" s="95" t="e">
        <f t="shared" ca="1" si="30"/>
        <v>#NAME?</v>
      </c>
      <c r="AN87" s="66" t="str">
        <f t="shared" ca="1" si="29"/>
        <v/>
      </c>
      <c r="AO87" s="108" t="e" cm="1">
        <f t="array" aca="1" ref="AO87" ca="1">_xll.BDP($E87,"cur_mkt_cap")</f>
        <v>#NAME?</v>
      </c>
      <c r="AP87" s="108" t="e" cm="1">
        <f t="array" aca="1" ref="AP87" ca="1">_xll.BDP($E87,"crncy")</f>
        <v>#NAME?</v>
      </c>
      <c r="AQ87" s="109" t="e" cm="1">
        <f t="array" aca="1" ref="AQ87" ca="1">_xll.BDP("USD"&amp;AP87&amp;" curncy","px_last")</f>
        <v>#NAME?</v>
      </c>
      <c r="AR87" s="109" t="e">
        <f t="shared" ca="1" si="20"/>
        <v>#NAME?</v>
      </c>
      <c r="AT87" s="66" t="str">
        <f t="shared" ca="1" si="33"/>
        <v/>
      </c>
      <c r="AU87" s="66" t="str">
        <f t="shared" ca="1" si="33"/>
        <v/>
      </c>
      <c r="AV87" s="66" t="str">
        <f t="shared" ca="1" si="33"/>
        <v/>
      </c>
      <c r="AW87" s="73" t="str" cm="1">
        <f t="array" aca="1" ref="AW87" ca="1">IF(ISERROR(DATEVALUE(_xll.BDP($E87,AW$6))),"",DATEVALUE(_xll.BDP($E87,AW$6)))</f>
        <v/>
      </c>
      <c r="AX87" s="73" t="str" cm="1">
        <f t="array" aca="1" ref="AX87" ca="1">IF(ISERROR(DATEVALUE(_xll.BDP($E87,AX$2))),"",DATEVALUE(_xll.BDP($E87,AX$2)))</f>
        <v/>
      </c>
      <c r="AY87" s="73" t="str" cm="1">
        <f t="array" aca="1" ref="AY87" ca="1">IF(ISERROR(DATEVALUE(_xll.BDP($E87,AY$6))),"",DATEVALUE(_xll.BDP($E87,AY$6)))</f>
        <v/>
      </c>
      <c r="AZ87" s="110" t="e" cm="1">
        <f t="array" aca="1" ref="AZ87" ca="1">IF(_xll.BQL($E87, "last(matches(px_last(dates=range(-1w,0d)), dayofweek(px_last(dates=range(-1w,0d)).date)==6))")="#N/A","-",_xll.BQL($E87, "last(matches(px_last(dates=range(-1w,0d)), dayofweek(px_last(dates=range(-1w,0d)).date)==6))"))</f>
        <v>#NAME?</v>
      </c>
      <c r="BA87" s="109" t="e" cm="1">
        <f t="array" aca="1" ref="BA87" ca="1">IF(_xll.BQL(E87,"first(last(matches(px_last(dates=range(-1M,0D)),dayofweek(px_last(dates=range(-1M,0D)).date)==6),2),1)")="#N/A","-",_xll.BQL(E87,"first(last(matches(px_last(dates=range(-1M,0D)),dayofweek(px_last(dates=range(-1M,0D)).date)==6),2),1)"))</f>
        <v>#NAME?</v>
      </c>
      <c r="BB87" s="109" t="str">
        <f t="shared" ca="1" si="23"/>
        <v>-</v>
      </c>
    </row>
    <row r="88" spans="5:54" ht="16.5" customHeight="1" thickBot="1">
      <c r="E88" s="96" t="s">
        <v>1051</v>
      </c>
      <c r="F88" s="66" t="e">
        <f ca="1">_xll.BDP($E88,F$3)&amp;" BEST Curncy"</f>
        <v>#NAME?</v>
      </c>
      <c r="G88" s="97" t="e">
        <f t="shared" ca="1" si="17"/>
        <v>#NAME?</v>
      </c>
      <c r="H88" s="76"/>
      <c r="I88" s="633"/>
      <c r="J88" s="98" t="e">
        <f ca="1">_xll.BDP($E88,J$3)</f>
        <v>#NAME?</v>
      </c>
      <c r="K88" s="99" t="e">
        <f ca="1">_xll.BDP($E88,K$3)</f>
        <v>#NAME?</v>
      </c>
      <c r="L88" s="100" t="str">
        <f ca="1">IF(ISNUMBER(_xll.BDH($E88,"PX_LAST",TEXT($E$2,"YYYYMMDD"),TEXT($E$2,"YYYYMMDD"),"days=a","fill=p")),_xll.BDH($E88,"PX_LAST",TEXT($E$2,"YYYYMMDD"),TEXT($E$2,"YYYYMMDD"),"days=a","fill=p"),"-")</f>
        <v>-</v>
      </c>
      <c r="M88" s="100" t="str">
        <f ca="1">IF(ISNUMBER(_xll.BDH($E88,"PX_LAST",TEXT($E$2-7,"YYYYMMDD"),TEXT($E$2-7,"YYYYMMDD"),"days=a","fill=p")),_xll.BDH($E88,"PX_LAST",TEXT($E$2-7,"YYYYMMDD"),TEXT($E$2-7,"YYYYMMDD"),"days=a","fill=p"),"-")</f>
        <v>-</v>
      </c>
      <c r="N88" s="180" t="str">
        <f t="shared" ca="1" si="31"/>
        <v>-</v>
      </c>
      <c r="O88" s="101" t="e">
        <f ca="1">IF(OR(_xll.BDP($E88,O$3)="#N/A N/A",_xll.BDP($E88,O$3)="#N/A Invalid Security"), "-", _xll.BDP($E88,O$3))</f>
        <v>#NAME?</v>
      </c>
      <c r="P88" s="182" t="str">
        <f ca="1">IF(ISNUMBER(_xll.BDH($F88,"PX_LAST",TEXT($E$2,"YYYYMMDD"),TEXT($E$2,"YYYYMMDD"),"days=a","fill=p")),_xll.BDH($F88,"PX_LAST",TEXT($E$2,"YYYYMMDD"),TEXT($E$2,"YYYYMMDD"),"days=a","fill=p"),"-")</f>
        <v>-</v>
      </c>
      <c r="Q88" s="182" t="str">
        <f ca="1">IF(ISNUMBER(_xll.BDH($F88,"PX_LAST",TEXT($E$2-7,"YYYYMMDD"),TEXT($E$2-7,"YYYYMMDD"),"days=a","fill=p")),_xll.BDH($F88,"PX_LAST",TEXT($E$2-7,"YYYYMMDD"),TEXT($E$2-7,"YYYYMMDD"),"days=a","fill=p"),"-")</f>
        <v>-</v>
      </c>
      <c r="R88" s="102" t="str">
        <f t="shared" ca="1" si="32"/>
        <v>-</v>
      </c>
      <c r="S88" s="103" t="str">
        <f ca="1">IF(ISNUMBER(_xll.BDP($F88,S$3)),_xll.BDP($F88,S$3),"-")</f>
        <v>-</v>
      </c>
      <c r="T88" s="104" t="e">
        <f t="shared" ca="1" si="16"/>
        <v>#NAME?</v>
      </c>
      <c r="U88" s="105" t="e">
        <f ca="1">IF(OR(_xll.BDP($E88,U$3)="#N/A N/A",_xll.BDP($E88,U$3)="#N/A Invalid Security"), "-", _xll.BDP($E88,U$3))</f>
        <v>#NAME?</v>
      </c>
      <c r="V88" s="105" t="e">
        <f ca="1">IF(OR(_xll.BDP($E88,V$2)="#N/A N/A",_xll.BDP($E88,V$2)="#N/A Invalid Security"), "-", _xll.BDP($E88,V$2))</f>
        <v>#NAME?</v>
      </c>
      <c r="W88" s="106" t="e">
        <f ca="1">IF(OR(_xll.BDP($E88,W$3)="#N/A N/A",_xll.BDP($E88,W$3)="#N/A Invalid Security"), "-", _xll.BDP($E88,W$3))</f>
        <v>#NAME?</v>
      </c>
      <c r="X88" s="105" t="e">
        <f ca="1">IF(OR(_xll.BDP($E88,X$3)="#N/A N/A",_xll.BDP($E88,X$3)="#N/A Invalid Security"), " ", _xll.BDP($E88,X$3))</f>
        <v>#NAME?</v>
      </c>
      <c r="Y88" s="105" t="e">
        <f ca="1">IF(OR(_xll.BDP($E88,Y$3)="#N/A N/A",_xll.BDP($E88,Y$3)="#N/A Invalid Security"), " ", _xll.BDP($E88,Y$3))</f>
        <v>#NAME?</v>
      </c>
      <c r="Z88" s="106" t="e">
        <f ca="1">IF(OR(_xll.BDP($E88,Z$3)="#N/A N/A",_xll.BDP($E88,Z$3)="#N/A Invalid Security"), " ", _xll.BDP($E88,Z$3))</f>
        <v>#NAME?</v>
      </c>
      <c r="AA88" s="107"/>
      <c r="AB88" s="93" t="s">
        <v>938</v>
      </c>
      <c r="AC88" s="93" t="s">
        <v>934</v>
      </c>
      <c r="AD88" s="93" t="s">
        <v>876</v>
      </c>
      <c r="AE88" s="93" t="s">
        <v>940</v>
      </c>
      <c r="AF88" s="93" t="s">
        <v>940</v>
      </c>
      <c r="AG88" s="93" t="s">
        <v>940</v>
      </c>
      <c r="AH88" s="95" t="e">
        <f t="shared" ca="1" si="30"/>
        <v>#NAME?</v>
      </c>
      <c r="AI88" s="95" t="e">
        <f t="shared" ca="1" si="30"/>
        <v>#NAME?</v>
      </c>
      <c r="AJ88" s="95" t="e">
        <f t="shared" ca="1" si="30"/>
        <v>#NAME?</v>
      </c>
      <c r="AK88" s="95" t="e">
        <f t="shared" ca="1" si="30"/>
        <v>#NAME?</v>
      </c>
      <c r="AL88" s="95" t="e">
        <f t="shared" ca="1" si="30"/>
        <v>#NAME?</v>
      </c>
      <c r="AM88" s="95" t="e">
        <f t="shared" ca="1" si="30"/>
        <v>#NAME?</v>
      </c>
      <c r="AN88" s="66" t="str">
        <f t="shared" ca="1" si="29"/>
        <v/>
      </c>
      <c r="AO88" s="108" t="e" cm="1">
        <f t="array" aca="1" ref="AO88" ca="1">_xll.BDP($E88,"cur_mkt_cap")</f>
        <v>#NAME?</v>
      </c>
      <c r="AP88" s="108" t="e" cm="1">
        <f t="array" aca="1" ref="AP88" ca="1">_xll.BDP($E88,"crncy")</f>
        <v>#NAME?</v>
      </c>
      <c r="AQ88" s="109" t="e" cm="1">
        <f t="array" aca="1" ref="AQ88" ca="1">_xll.BDP("USD"&amp;AP88&amp;" curncy","px_last")</f>
        <v>#NAME?</v>
      </c>
      <c r="AR88" s="109" t="e">
        <f t="shared" ca="1" si="20"/>
        <v>#NAME?</v>
      </c>
      <c r="AT88" s="66" t="str">
        <f t="shared" ca="1" si="33"/>
        <v/>
      </c>
      <c r="AU88" s="66" t="str">
        <f t="shared" ca="1" si="33"/>
        <v/>
      </c>
      <c r="AV88" s="66" t="str">
        <f t="shared" ca="1" si="33"/>
        <v/>
      </c>
      <c r="AW88" s="73" t="str" cm="1">
        <f t="array" aca="1" ref="AW88" ca="1">IF(ISERROR(DATEVALUE(_xll.BDP($E88,AW$6))),"",DATEVALUE(_xll.BDP($E88,AW$6)))</f>
        <v/>
      </c>
      <c r="AX88" s="73" t="str" cm="1">
        <f t="array" aca="1" ref="AX88" ca="1">IF(ISERROR(DATEVALUE(_xll.BDP($E88,AX$2))),"",DATEVALUE(_xll.BDP($E88,AX$2)))</f>
        <v/>
      </c>
      <c r="AY88" s="73" t="str" cm="1">
        <f t="array" aca="1" ref="AY88" ca="1">IF(ISERROR(DATEVALUE(_xll.BDP($E88,AY$6))),"",DATEVALUE(_xll.BDP($E88,AY$6)))</f>
        <v/>
      </c>
      <c r="AZ88" s="110" t="e" cm="1">
        <f t="array" aca="1" ref="AZ88" ca="1">IF(_xll.BQL($E88, "last(matches(px_last(dates=range(-1w,0d)), dayofweek(px_last(dates=range(-1w,0d)).date)==6))")="#N/A","-",_xll.BQL($E88, "last(matches(px_last(dates=range(-1w,0d)), dayofweek(px_last(dates=range(-1w,0d)).date)==6))"))</f>
        <v>#NAME?</v>
      </c>
      <c r="BA88" s="109" t="e" cm="1">
        <f t="array" aca="1" ref="BA88" ca="1">IF(_xll.BQL(E88,"first(last(matches(px_last(dates=range(-1M,0D)),dayofweek(px_last(dates=range(-1M,0D)).date)==6),2),1)")="#N/A","-",_xll.BQL(E88,"first(last(matches(px_last(dates=range(-1M,0D)),dayofweek(px_last(dates=range(-1M,0D)).date)==6),2),1)"))</f>
        <v>#NAME?</v>
      </c>
      <c r="BB88" s="109" t="str">
        <f t="shared" ca="1" si="23"/>
        <v>-</v>
      </c>
    </row>
    <row r="89" spans="5:54" ht="16.5" customHeight="1" thickBot="1">
      <c r="E89" s="96" t="s">
        <v>1052</v>
      </c>
      <c r="F89" s="66" t="e">
        <f ca="1">_xll.BDP($E89,F$3)&amp;" BEST Curncy"</f>
        <v>#NAME?</v>
      </c>
      <c r="G89" s="97" t="e">
        <f t="shared" ca="1" si="17"/>
        <v>#NAME?</v>
      </c>
      <c r="H89" s="76"/>
      <c r="I89" s="633"/>
      <c r="J89" s="98" t="e">
        <f ca="1">_xll.BDP($E89,J$3)</f>
        <v>#NAME?</v>
      </c>
      <c r="K89" s="99" t="e">
        <f ca="1">_xll.BDP($E89,K$3)</f>
        <v>#NAME?</v>
      </c>
      <c r="L89" s="100" t="str">
        <f ca="1">IF(ISNUMBER(_xll.BDH($E89,"PX_LAST",TEXT($E$2,"YYYYMMDD"),TEXT($E$2,"YYYYMMDD"),"days=a","fill=p")),_xll.BDH($E89,"PX_LAST",TEXT($E$2,"YYYYMMDD"),TEXT($E$2,"YYYYMMDD"),"days=a","fill=p"),"-")</f>
        <v>-</v>
      </c>
      <c r="M89" s="100" t="str">
        <f ca="1">IF(ISNUMBER(_xll.BDH($E89,"PX_LAST",TEXT($E$2-7,"YYYYMMDD"),TEXT($E$2-7,"YYYYMMDD"),"days=a","fill=p")),_xll.BDH($E89,"PX_LAST",TEXT($E$2-7,"YYYYMMDD"),TEXT($E$2-7,"YYYYMMDD"),"days=a","fill=p"),"-")</f>
        <v>-</v>
      </c>
      <c r="N89" s="180" t="str">
        <f t="shared" ca="1" si="31"/>
        <v>-</v>
      </c>
      <c r="O89" s="101" t="e">
        <f ca="1">IF(OR(_xll.BDP($E89,O$3)="#N/A N/A",_xll.BDP($E89,O$3)="#N/A Invalid Security"), "-", _xll.BDP($E89,O$3))</f>
        <v>#NAME?</v>
      </c>
      <c r="P89" s="182" t="str">
        <f ca="1">IF(ISNUMBER(_xll.BDH($F89,"PX_LAST",TEXT($E$2,"YYYYMMDD"),TEXT($E$2,"YYYYMMDD"),"days=a","fill=p")),_xll.BDH($F89,"PX_LAST",TEXT($E$2,"YYYYMMDD"),TEXT($E$2,"YYYYMMDD"),"days=a","fill=p"),"-")</f>
        <v>-</v>
      </c>
      <c r="Q89" s="182" t="str">
        <f ca="1">IF(ISNUMBER(_xll.BDH($F89,"PX_LAST",TEXT($E$2-7,"YYYYMMDD"),TEXT($E$2-7,"YYYYMMDD"),"days=a","fill=p")),_xll.BDH($F89,"PX_LAST",TEXT($E$2-7,"YYYYMMDD"),TEXT($E$2-7,"YYYYMMDD"),"days=a","fill=p"),"-")</f>
        <v>-</v>
      </c>
      <c r="R89" s="102" t="str">
        <f t="shared" ca="1" si="32"/>
        <v>-</v>
      </c>
      <c r="S89" s="103" t="str">
        <f ca="1">IF(ISNUMBER(_xll.BDP($F89,S$3)),_xll.BDP($F89,S$3),"-")</f>
        <v>-</v>
      </c>
      <c r="T89" s="104" t="e">
        <f t="shared" ca="1" si="16"/>
        <v>#NAME?</v>
      </c>
      <c r="U89" s="105" t="e">
        <f ca="1">IF(OR(_xll.BDP($E89,U$3)="#N/A N/A",_xll.BDP($E89,U$3)="#N/A Invalid Security"), "-", _xll.BDP($E89,U$3))</f>
        <v>#NAME?</v>
      </c>
      <c r="V89" s="105" t="e">
        <f ca="1">IF(OR(_xll.BDP($E89,V$2)="#N/A N/A",_xll.BDP($E89,V$2)="#N/A Invalid Security"), "-", _xll.BDP($E89,V$2))</f>
        <v>#NAME?</v>
      </c>
      <c r="W89" s="106" t="e">
        <f ca="1">IF(OR(_xll.BDP($E89,W$3)="#N/A N/A",_xll.BDP($E89,W$3)="#N/A Invalid Security"), "-", _xll.BDP($E89,W$3))</f>
        <v>#NAME?</v>
      </c>
      <c r="X89" s="105" t="e">
        <f ca="1">IF(OR(_xll.BDP($E89,X$3)="#N/A N/A",_xll.BDP($E89,X$3)="#N/A Invalid Security"), " ", _xll.BDP($E89,X$3))</f>
        <v>#NAME?</v>
      </c>
      <c r="Y89" s="105" t="e">
        <f ca="1">IF(OR(_xll.BDP($E89,Y$3)="#N/A N/A",_xll.BDP($E89,Y$3)="#N/A Invalid Security"), " ", _xll.BDP($E89,Y$3))</f>
        <v>#NAME?</v>
      </c>
      <c r="Z89" s="106" t="e">
        <f ca="1">IF(OR(_xll.BDP($E89,Z$3)="#N/A N/A",_xll.BDP($E89,Z$3)="#N/A Invalid Security"), " ", _xll.BDP($E89,Z$3))</f>
        <v>#NAME?</v>
      </c>
      <c r="AA89" s="107"/>
      <c r="AB89" s="93" t="s">
        <v>876</v>
      </c>
      <c r="AC89" s="93" t="s">
        <v>934</v>
      </c>
      <c r="AD89" s="93" t="s">
        <v>876</v>
      </c>
      <c r="AE89" s="93" t="s">
        <v>940</v>
      </c>
      <c r="AF89" s="93" t="s">
        <v>935</v>
      </c>
      <c r="AG89" s="93" t="s">
        <v>940</v>
      </c>
      <c r="AH89" s="95" t="e">
        <f t="shared" ca="1" si="30"/>
        <v>#NAME?</v>
      </c>
      <c r="AI89" s="95" t="e">
        <f t="shared" ca="1" si="30"/>
        <v>#NAME?</v>
      </c>
      <c r="AJ89" s="95" t="e">
        <f t="shared" ca="1" si="30"/>
        <v>#NAME?</v>
      </c>
      <c r="AK89" s="95" t="e">
        <f t="shared" ca="1" si="30"/>
        <v>#NAME?</v>
      </c>
      <c r="AL89" s="95" t="e">
        <f t="shared" ca="1" si="30"/>
        <v>#NAME?</v>
      </c>
      <c r="AM89" s="95" t="e">
        <f t="shared" ca="1" si="30"/>
        <v>#NAME?</v>
      </c>
      <c r="AN89" s="66" t="str">
        <f t="shared" ca="1" si="29"/>
        <v/>
      </c>
      <c r="AO89" s="108" t="e" cm="1">
        <f t="array" aca="1" ref="AO89" ca="1">_xll.BDP($E89,"cur_mkt_cap")</f>
        <v>#NAME?</v>
      </c>
      <c r="AP89" s="108" t="e" cm="1">
        <f t="array" aca="1" ref="AP89" ca="1">_xll.BDP($E89,"crncy")</f>
        <v>#NAME?</v>
      </c>
      <c r="AQ89" s="109" t="e" cm="1">
        <f t="array" aca="1" ref="AQ89" ca="1">_xll.BDP("USD"&amp;AP89&amp;" curncy","px_last")</f>
        <v>#NAME?</v>
      </c>
      <c r="AR89" s="109" t="e">
        <f t="shared" ca="1" si="20"/>
        <v>#NAME?</v>
      </c>
      <c r="AT89" s="66" t="str">
        <f t="shared" ca="1" si="33"/>
        <v/>
      </c>
      <c r="AU89" s="66" t="str">
        <f t="shared" ca="1" si="33"/>
        <v/>
      </c>
      <c r="AV89" s="66" t="str">
        <f t="shared" ca="1" si="33"/>
        <v/>
      </c>
      <c r="AW89" s="73" t="str" cm="1">
        <f t="array" aca="1" ref="AW89" ca="1">IF(ISERROR(DATEVALUE(_xll.BDP($E89,AW$6))),"",DATEVALUE(_xll.BDP($E89,AW$6)))</f>
        <v/>
      </c>
      <c r="AX89" s="73" t="str" cm="1">
        <f t="array" aca="1" ref="AX89" ca="1">IF(ISERROR(DATEVALUE(_xll.BDP($E89,AX$2))),"",DATEVALUE(_xll.BDP($E89,AX$2)))</f>
        <v/>
      </c>
      <c r="AY89" s="73" t="str" cm="1">
        <f t="array" aca="1" ref="AY89" ca="1">IF(ISERROR(DATEVALUE(_xll.BDP($E89,AY$6))),"",DATEVALUE(_xll.BDP($E89,AY$6)))</f>
        <v/>
      </c>
      <c r="AZ89" s="110" t="e" cm="1">
        <f t="array" aca="1" ref="AZ89" ca="1">IF(_xll.BQL($E89, "last(matches(px_last(dates=range(-1w,0d)), dayofweek(px_last(dates=range(-1w,0d)).date)==6))")="#N/A","-",_xll.BQL($E89, "last(matches(px_last(dates=range(-1w,0d)), dayofweek(px_last(dates=range(-1w,0d)).date)==6))"))</f>
        <v>#NAME?</v>
      </c>
      <c r="BA89" s="109" t="e" cm="1">
        <f t="array" aca="1" ref="BA89" ca="1">IF(_xll.BQL(E89,"first(last(matches(px_last(dates=range(-1M,0D)),dayofweek(px_last(dates=range(-1M,0D)).date)==6),2),1)")="#N/A","-",_xll.BQL(E89,"first(last(matches(px_last(dates=range(-1M,0D)),dayofweek(px_last(dates=range(-1M,0D)).date)==6),2),1)"))</f>
        <v>#NAME?</v>
      </c>
      <c r="BB89" s="109" t="str">
        <f t="shared" ca="1" si="23"/>
        <v>-</v>
      </c>
    </row>
    <row r="90" spans="5:54" ht="16.5" customHeight="1" thickBot="1">
      <c r="E90" s="96" t="s">
        <v>1053</v>
      </c>
      <c r="F90" s="66" t="e">
        <f ca="1">_xll.BDP($E90,F$3)&amp;" CBIN Curncy"</f>
        <v>#NAME?</v>
      </c>
      <c r="G90" s="97" t="e">
        <f t="shared" ca="1" si="17"/>
        <v>#NAME?</v>
      </c>
      <c r="H90" s="76"/>
      <c r="I90" s="633"/>
      <c r="J90" s="98" t="e">
        <f ca="1">_xll.BDP($E90,J$3)</f>
        <v>#NAME?</v>
      </c>
      <c r="K90" s="99" t="e">
        <f ca="1">_xll.BDP($E90,K$3)</f>
        <v>#NAME?</v>
      </c>
      <c r="L90" s="100" t="str">
        <f ca="1">IF(ISNUMBER(_xll.BDH($E90,"PX_LAST",TEXT($E$2,"YYYYMMDD"),TEXT($E$2,"YYYYMMDD"),"days=a","fill=p")),_xll.BDH($E90,"PX_LAST",TEXT($E$2,"YYYYMMDD"),TEXT($E$2,"YYYYMMDD"),"days=a","fill=p"),"-")</f>
        <v>-</v>
      </c>
      <c r="M90" s="100" t="str">
        <f ca="1">IF(ISNUMBER(_xll.BDH($E90,"PX_LAST",TEXT($E$2-7,"YYYYMMDD"),TEXT($E$2-7,"YYYYMMDD"),"days=a","fill=p")),_xll.BDH($E90,"PX_LAST",TEXT($E$2-7,"YYYYMMDD"),TEXT($E$2-7,"YYYYMMDD"),"days=a","fill=p"),"-")</f>
        <v>-</v>
      </c>
      <c r="N90" s="180" t="str">
        <f t="shared" ca="1" si="31"/>
        <v>-</v>
      </c>
      <c r="O90" s="101" t="e">
        <f ca="1">IF(OR(_xll.BDP($E90,O$3)="#N/A N/A",_xll.BDP($E90,O$3)="#N/A Invalid Security"), "-", _xll.BDP($E90,O$3))</f>
        <v>#NAME?</v>
      </c>
      <c r="P90" s="182" t="str">
        <f ca="1">IF(ISNUMBER(_xll.BDH($F90,"PX_LAST",TEXT($E$2,"YYYYMMDD"),TEXT($E$2,"YYYYMMDD"),"days=a","fill=p")),_xll.BDH($F90,"PX_LAST",TEXT($E$2,"YYYYMMDD"),TEXT($E$2,"YYYYMMDD"),"days=a","fill=p"),"-")</f>
        <v>-</v>
      </c>
      <c r="Q90" s="182" t="str">
        <f ca="1">IF(ISNUMBER(_xll.BDH($F90,"PX_LAST",TEXT($E$2-7,"YYYYMMDD"),TEXT($E$2-7,"YYYYMMDD"),"days=a","fill=p")),_xll.BDH($F90,"PX_LAST",TEXT($E$2-7,"YYYYMMDD"),TEXT($E$2-7,"YYYYMMDD"),"days=a","fill=p"),"-")</f>
        <v>-</v>
      </c>
      <c r="R90" s="102" t="str">
        <f t="shared" ca="1" si="32"/>
        <v>-</v>
      </c>
      <c r="S90" s="103" t="str">
        <f ca="1">IF(ISNUMBER(_xll.BDP($F90,S$3)),_xll.BDP($F90,S$3),"-")</f>
        <v>-</v>
      </c>
      <c r="T90" s="104" t="e">
        <f t="shared" ca="1" si="16"/>
        <v>#NAME?</v>
      </c>
      <c r="U90" s="105" t="e">
        <f ca="1">IF(OR(_xll.BDP($E90,U$3)="#N/A N/A",_xll.BDP($E90,U$3)="#N/A Invalid Security"), "-", _xll.BDP($E90,U$3))</f>
        <v>#NAME?</v>
      </c>
      <c r="V90" s="105" t="e">
        <f ca="1">IF(OR(_xll.BDP($E90,V$2)="#N/A N/A",_xll.BDP($E90,V$2)="#N/A Invalid Security"), "-", _xll.BDP($E90,V$2))</f>
        <v>#NAME?</v>
      </c>
      <c r="W90" s="106" t="e">
        <f ca="1">IF(OR(_xll.BDP($E90,W$3)="#N/A N/A",_xll.BDP($E90,W$3)="#N/A Invalid Security"), "-", _xll.BDP($E90,W$3))</f>
        <v>#NAME?</v>
      </c>
      <c r="X90" s="105" t="e">
        <f ca="1">IF(OR(_xll.BDP($E90,X$3)="#N/A N/A",_xll.BDP($E90,X$3)="#N/A Invalid Security"), " ", _xll.BDP($E90,X$3))</f>
        <v>#NAME?</v>
      </c>
      <c r="Y90" s="105" t="e">
        <f ca="1">IF(OR(_xll.BDP($E90,Y$3)="#N/A N/A",_xll.BDP($E90,Y$3)="#N/A Invalid Security"), " ", _xll.BDP($E90,Y$3))</f>
        <v>#NAME?</v>
      </c>
      <c r="Z90" s="106" t="e">
        <f ca="1">IF(OR(_xll.BDP($E90,Z$3)="#N/A N/A",_xll.BDP($E90,Z$3)="#N/A Invalid Security"), " ", _xll.BDP($E90,Z$3))</f>
        <v>#NAME?</v>
      </c>
      <c r="AA90" s="107"/>
      <c r="AB90" s="93" t="s">
        <v>950</v>
      </c>
      <c r="AC90" s="93" t="s">
        <v>942</v>
      </c>
      <c r="AD90" s="93" t="s">
        <v>876</v>
      </c>
      <c r="AE90" s="93" t="s">
        <v>940</v>
      </c>
      <c r="AF90" s="93" t="s">
        <v>940</v>
      </c>
      <c r="AG90" s="93" t="s">
        <v>940</v>
      </c>
      <c r="AH90" s="95" t="e">
        <f t="shared" ca="1" si="30"/>
        <v>#NAME?</v>
      </c>
      <c r="AI90" s="95" t="e">
        <f t="shared" ca="1" si="30"/>
        <v>#NAME?</v>
      </c>
      <c r="AJ90" s="95" t="e">
        <f t="shared" ca="1" si="30"/>
        <v>#NAME?</v>
      </c>
      <c r="AK90" s="95" t="e">
        <f t="shared" ca="1" si="30"/>
        <v>#NAME?</v>
      </c>
      <c r="AL90" s="95" t="e">
        <f t="shared" ca="1" si="30"/>
        <v>#NAME?</v>
      </c>
      <c r="AM90" s="95" t="e">
        <f t="shared" ca="1" si="30"/>
        <v>#NAME?</v>
      </c>
      <c r="AN90" s="66" t="str">
        <f t="shared" ca="1" si="29"/>
        <v/>
      </c>
      <c r="AO90" s="108" t="e" cm="1">
        <f t="array" aca="1" ref="AO90" ca="1">_xll.BDP($E90,"cur_mkt_cap")</f>
        <v>#NAME?</v>
      </c>
      <c r="AP90" s="108" t="e" cm="1">
        <f t="array" aca="1" ref="AP90" ca="1">_xll.BDP($E90,"crncy")</f>
        <v>#NAME?</v>
      </c>
      <c r="AQ90" s="109" t="e" cm="1">
        <f t="array" aca="1" ref="AQ90" ca="1">_xll.BDP("USD"&amp;AP90&amp;" curncy","px_last")</f>
        <v>#NAME?</v>
      </c>
      <c r="AR90" s="109" t="e">
        <f t="shared" ca="1" si="20"/>
        <v>#NAME?</v>
      </c>
      <c r="AT90" s="66" t="str">
        <f t="shared" ca="1" si="33"/>
        <v/>
      </c>
      <c r="AU90" s="66" t="str">
        <f t="shared" ca="1" si="33"/>
        <v/>
      </c>
      <c r="AV90" s="66" t="str">
        <f t="shared" ca="1" si="33"/>
        <v/>
      </c>
      <c r="AW90" s="73" t="str" cm="1">
        <f t="array" aca="1" ref="AW90" ca="1">IF(ISERROR(DATEVALUE(_xll.BDP($E90,AW$6))),"",DATEVALUE(_xll.BDP($E90,AW$6)))</f>
        <v/>
      </c>
      <c r="AX90" s="73" t="str" cm="1">
        <f t="array" aca="1" ref="AX90" ca="1">IF(ISERROR(DATEVALUE(_xll.BDP($E90,AX$2))),"",DATEVALUE(_xll.BDP($E90,AX$2)))</f>
        <v/>
      </c>
      <c r="AY90" s="73" t="str" cm="1">
        <f t="array" aca="1" ref="AY90" ca="1">IF(ISERROR(DATEVALUE(_xll.BDP($E90,AY$6))),"",DATEVALUE(_xll.BDP($E90,AY$6)))</f>
        <v/>
      </c>
      <c r="AZ90" s="110" t="e" cm="1">
        <f t="array" aca="1" ref="AZ90" ca="1">IF(_xll.BQL($E90, "last(matches(px_last(dates=range(-1w,0d)), dayofweek(px_last(dates=range(-1w,0d)).date)==6))")="#N/A","-",_xll.BQL($E90, "last(matches(px_last(dates=range(-1w,0d)), dayofweek(px_last(dates=range(-1w,0d)).date)==6))"))</f>
        <v>#NAME?</v>
      </c>
      <c r="BA90" s="109" t="e" cm="1">
        <f t="array" aca="1" ref="BA90" ca="1">IF(_xll.BQL(E90,"first(last(matches(px_last(dates=range(-1M,0D)),dayofweek(px_last(dates=range(-1M,0D)).date)==6),2),1)")="#N/A","-",_xll.BQL(E90,"first(last(matches(px_last(dates=range(-1M,0D)),dayofweek(px_last(dates=range(-1M,0D)).date)==6),2),1)"))</f>
        <v>#NAME?</v>
      </c>
      <c r="BB90" s="109" t="str">
        <f t="shared" ca="1" si="23"/>
        <v>-</v>
      </c>
    </row>
    <row r="91" spans="5:54" ht="16.5" customHeight="1" thickBot="1">
      <c r="E91" s="96" t="s">
        <v>1054</v>
      </c>
      <c r="F91" s="66" t="e">
        <f ca="1">_xll.BDP($E91,F$3)&amp;" BEST Curncy"</f>
        <v>#NAME?</v>
      </c>
      <c r="G91" s="97" t="e">
        <f t="shared" ca="1" si="17"/>
        <v>#NAME?</v>
      </c>
      <c r="H91" s="76"/>
      <c r="I91" s="633"/>
      <c r="J91" s="98" t="e">
        <f ca="1">_xll.BDP($E91,J$3)</f>
        <v>#NAME?</v>
      </c>
      <c r="K91" s="99" t="e">
        <f ca="1">_xll.BDP($E91,K$3)</f>
        <v>#NAME?</v>
      </c>
      <c r="L91" s="100" t="str">
        <f ca="1">IF(ISNUMBER(_xll.BDH($E91,"PX_LAST",TEXT($E$2,"YYYYMMDD"),TEXT($E$2,"YYYYMMDD"),"days=a","fill=p")),_xll.BDH($E91,"PX_LAST",TEXT($E$2,"YYYYMMDD"),TEXT($E$2,"YYYYMMDD"),"days=a","fill=p"),"-")</f>
        <v>-</v>
      </c>
      <c r="M91" s="100" t="str">
        <f ca="1">IF(ISNUMBER(_xll.BDH($E91,"PX_LAST",TEXT($E$2-7,"YYYYMMDD"),TEXT($E$2-7,"YYYYMMDD"),"days=a","fill=p")),_xll.BDH($E91,"PX_LAST",TEXT($E$2-7,"YYYYMMDD"),TEXT($E$2-7,"YYYYMMDD"),"days=a","fill=p"),"-")</f>
        <v>-</v>
      </c>
      <c r="N91" s="180" t="str">
        <f t="shared" ca="1" si="31"/>
        <v>-</v>
      </c>
      <c r="O91" s="101" t="e">
        <f ca="1">IF(OR(_xll.BDP($E91,O$3)="#N/A N/A",_xll.BDP($E91,O$3)="#N/A Invalid Security"), "-", _xll.BDP($E91,O$3))</f>
        <v>#NAME?</v>
      </c>
      <c r="P91" s="182" t="str">
        <f ca="1">IF(ISNUMBER(_xll.BDH($F91,"PX_LAST",TEXT($E$2,"YYYYMMDD"),TEXT($E$2,"YYYYMMDD"),"days=a","fill=p")),_xll.BDH($F91,"PX_LAST",TEXT($E$2,"YYYYMMDD"),TEXT($E$2,"YYYYMMDD"),"days=a","fill=p"),"-")</f>
        <v>-</v>
      </c>
      <c r="Q91" s="182" t="str">
        <f ca="1">IF(ISNUMBER(_xll.BDH($F91,"PX_LAST",TEXT($E$2-7,"YYYYMMDD"),TEXT($E$2-7,"YYYYMMDD"),"days=a","fill=p")),_xll.BDH($F91,"PX_LAST",TEXT($E$2-7,"YYYYMMDD"),TEXT($E$2-7,"YYYYMMDD"),"days=a","fill=p"),"-")</f>
        <v>-</v>
      </c>
      <c r="R91" s="102" t="str">
        <f t="shared" ca="1" si="32"/>
        <v>-</v>
      </c>
      <c r="S91" s="103" t="str">
        <f ca="1">IF(ISNUMBER(_xll.BDP($F91,S$3)),_xll.BDP($F91,S$3),"-")</f>
        <v>-</v>
      </c>
      <c r="T91" s="104" t="e">
        <f t="shared" ca="1" si="16"/>
        <v>#NAME?</v>
      </c>
      <c r="U91" s="105" t="e">
        <f ca="1">IF(OR(_xll.BDP($E91,U$3)="#N/A N/A",_xll.BDP($E91,U$3)="#N/A Invalid Security"), "-", _xll.BDP($E91,U$3))</f>
        <v>#NAME?</v>
      </c>
      <c r="V91" s="105" t="e">
        <f ca="1">IF(OR(_xll.BDP($E91,V$2)="#N/A N/A",_xll.BDP($E91,V$2)="#N/A Invalid Security"), "-", _xll.BDP($E91,V$2))</f>
        <v>#NAME?</v>
      </c>
      <c r="W91" s="106" t="e">
        <f ca="1">IF(OR(_xll.BDP($E91,W$3)="#N/A N/A",_xll.BDP($E91,W$3)="#N/A Invalid Security"), "-", _xll.BDP($E91,W$3))</f>
        <v>#NAME?</v>
      </c>
      <c r="X91" s="105" t="e">
        <f ca="1">IF(OR(_xll.BDP($E91,X$3)="#N/A N/A",_xll.BDP($E91,X$3)="#N/A Invalid Security"), " ", _xll.BDP($E91,X$3))</f>
        <v>#NAME?</v>
      </c>
      <c r="Y91" s="105" t="e">
        <f ca="1">IF(OR(_xll.BDP($E91,Y$3)="#N/A N/A",_xll.BDP($E91,Y$3)="#N/A Invalid Security"), " ", _xll.BDP($E91,Y$3))</f>
        <v>#NAME?</v>
      </c>
      <c r="Z91" s="106" t="e">
        <f ca="1">IF(OR(_xll.BDP($E91,Z$3)="#N/A N/A",_xll.BDP($E91,Z$3)="#N/A Invalid Security"), " ", _xll.BDP($E91,Z$3))</f>
        <v>#NAME?</v>
      </c>
      <c r="AA91" s="107"/>
      <c r="AB91" s="93" t="s">
        <v>938</v>
      </c>
      <c r="AC91" s="93" t="s">
        <v>939</v>
      </c>
      <c r="AD91" s="93" t="s">
        <v>997</v>
      </c>
      <c r="AE91" s="93" t="s">
        <v>940</v>
      </c>
      <c r="AF91" s="93" t="s">
        <v>940</v>
      </c>
      <c r="AG91" s="93" t="s">
        <v>940</v>
      </c>
      <c r="AH91" s="95" t="e">
        <f t="shared" ca="1" si="30"/>
        <v>#NAME?</v>
      </c>
      <c r="AI91" s="95" t="e">
        <f t="shared" ca="1" si="30"/>
        <v>#NAME?</v>
      </c>
      <c r="AJ91" s="95" t="e">
        <f t="shared" ca="1" si="30"/>
        <v>#NAME?</v>
      </c>
      <c r="AK91" s="95" t="e">
        <f t="shared" ca="1" si="30"/>
        <v>#NAME?</v>
      </c>
      <c r="AL91" s="95" t="e">
        <f t="shared" ca="1" si="30"/>
        <v>#NAME?</v>
      </c>
      <c r="AM91" s="95" t="e">
        <f t="shared" ca="1" si="30"/>
        <v>#NAME?</v>
      </c>
      <c r="AN91" s="66" t="str">
        <f t="shared" ca="1" si="29"/>
        <v/>
      </c>
      <c r="AO91" s="108" t="e" cm="1">
        <f t="array" aca="1" ref="AO91" ca="1">_xll.BDP($E91,"cur_mkt_cap")</f>
        <v>#NAME?</v>
      </c>
      <c r="AP91" s="108" t="e" cm="1">
        <f t="array" aca="1" ref="AP91" ca="1">_xll.BDP($E91,"crncy")</f>
        <v>#NAME?</v>
      </c>
      <c r="AQ91" s="109" t="e" cm="1">
        <f t="array" aca="1" ref="AQ91" ca="1">_xll.BDP("USD"&amp;AP91&amp;" curncy","px_last")</f>
        <v>#NAME?</v>
      </c>
      <c r="AR91" s="109" t="e">
        <f t="shared" ca="1" si="20"/>
        <v>#NAME?</v>
      </c>
      <c r="AT91" s="66" t="str">
        <f t="shared" ca="1" si="33"/>
        <v/>
      </c>
      <c r="AU91" s="66" t="str">
        <f t="shared" ca="1" si="33"/>
        <v/>
      </c>
      <c r="AV91" s="66" t="str">
        <f t="shared" ca="1" si="33"/>
        <v/>
      </c>
      <c r="AW91" s="73" t="str" cm="1">
        <f t="array" aca="1" ref="AW91" ca="1">IF(ISERROR(DATEVALUE(_xll.BDP($E91,AW$6))),"",DATEVALUE(_xll.BDP($E91,AW$6)))</f>
        <v/>
      </c>
      <c r="AX91" s="73" t="str" cm="1">
        <f t="array" aca="1" ref="AX91" ca="1">IF(ISERROR(DATEVALUE(_xll.BDP($E91,AX$2))),"",DATEVALUE(_xll.BDP($E91,AX$2)))</f>
        <v/>
      </c>
      <c r="AY91" s="73" t="str" cm="1">
        <f t="array" aca="1" ref="AY91" ca="1">IF(ISERROR(DATEVALUE(_xll.BDP($E91,AY$6))),"",DATEVALUE(_xll.BDP($E91,AY$6)))</f>
        <v/>
      </c>
      <c r="AZ91" s="110" t="e" cm="1">
        <f t="array" aca="1" ref="AZ91" ca="1">IF(_xll.BQL($E91, "last(matches(px_last(dates=range(-1w,0d)), dayofweek(px_last(dates=range(-1w,0d)).date)==6))")="#N/A","-",_xll.BQL($E91, "last(matches(px_last(dates=range(-1w,0d)), dayofweek(px_last(dates=range(-1w,0d)).date)==6))"))</f>
        <v>#NAME?</v>
      </c>
      <c r="BA91" s="109" t="e" cm="1">
        <f t="array" aca="1" ref="BA91" ca="1">IF(_xll.BQL(E91,"first(last(matches(px_last(dates=range(-1M,0D)),dayofweek(px_last(dates=range(-1M,0D)).date)==6),2),1)")="#N/A","-",_xll.BQL(E91,"first(last(matches(px_last(dates=range(-1M,0D)),dayofweek(px_last(dates=range(-1M,0D)).date)==6),2),1)"))</f>
        <v>#NAME?</v>
      </c>
      <c r="BB91" s="109" t="str">
        <f t="shared" ca="1" si="23"/>
        <v>-</v>
      </c>
    </row>
    <row r="92" spans="5:54" ht="16.5" customHeight="1" thickBot="1">
      <c r="E92" s="96" t="s">
        <v>1055</v>
      </c>
      <c r="F92" s="66" t="e">
        <f ca="1">_xll.BDP($E92,F$3)&amp;" BEST Curncy"</f>
        <v>#NAME?</v>
      </c>
      <c r="G92" s="97" t="e">
        <f t="shared" ca="1" si="17"/>
        <v>#NAME?</v>
      </c>
      <c r="H92" s="76"/>
      <c r="I92" s="633"/>
      <c r="J92" s="98" t="e">
        <f ca="1">_xll.BDP($E92,J$3)</f>
        <v>#NAME?</v>
      </c>
      <c r="K92" s="99" t="e">
        <f ca="1">_xll.BDP($E92,K$3)</f>
        <v>#NAME?</v>
      </c>
      <c r="L92" s="100" t="str">
        <f ca="1">IF(ISNUMBER(_xll.BDH($E92,"PX_LAST",TEXT($E$2,"YYYYMMDD"),TEXT($E$2,"YYYYMMDD"),"days=a","fill=p")),_xll.BDH($E92,"PX_LAST",TEXT($E$2,"YYYYMMDD"),TEXT($E$2,"YYYYMMDD"),"days=a","fill=p"),"-")</f>
        <v>-</v>
      </c>
      <c r="M92" s="100" t="str">
        <f ca="1">IF(ISNUMBER(_xll.BDH($E92,"PX_LAST",TEXT($E$2-7,"YYYYMMDD"),TEXT($E$2-7,"YYYYMMDD"),"days=a","fill=p")),_xll.BDH($E92,"PX_LAST",TEXT($E$2-7,"YYYYMMDD"),TEXT($E$2-7,"YYYYMMDD"),"days=a","fill=p"),"-")</f>
        <v>-</v>
      </c>
      <c r="N92" s="180" t="str">
        <f t="shared" ca="1" si="31"/>
        <v>-</v>
      </c>
      <c r="O92" s="101" t="e">
        <f ca="1">IF(OR(_xll.BDP($E92,O$3)="#N/A N/A",_xll.BDP($E92,O$3)="#N/A Invalid Security"), "-", _xll.BDP($E92,O$3))</f>
        <v>#NAME?</v>
      </c>
      <c r="P92" s="182" t="str">
        <f ca="1">IF(ISNUMBER(_xll.BDH($F92,"PX_LAST",TEXT($E$2,"YYYYMMDD"),TEXT($E$2,"YYYYMMDD"),"days=a","fill=p")),_xll.BDH($F92,"PX_LAST",TEXT($E$2,"YYYYMMDD"),TEXT($E$2,"YYYYMMDD"),"days=a","fill=p"),"-")</f>
        <v>-</v>
      </c>
      <c r="Q92" s="182" t="str">
        <f ca="1">IF(ISNUMBER(_xll.BDH($F92,"PX_LAST",TEXT($E$2-7,"YYYYMMDD"),TEXT($E$2-7,"YYYYMMDD"),"days=a","fill=p")),_xll.BDH($F92,"PX_LAST",TEXT($E$2-7,"YYYYMMDD"),TEXT($E$2-7,"YYYYMMDD"),"days=a","fill=p"),"-")</f>
        <v>-</v>
      </c>
      <c r="R92" s="102" t="str">
        <f t="shared" ca="1" si="32"/>
        <v>-</v>
      </c>
      <c r="S92" s="103" t="str">
        <f ca="1">IF(ISNUMBER(_xll.BDP($F92,S$3)),_xll.BDP($F92,S$3),"-")</f>
        <v>-</v>
      </c>
      <c r="T92" s="104" t="e">
        <f t="shared" ca="1" si="16"/>
        <v>#NAME?</v>
      </c>
      <c r="U92" s="105" t="e">
        <f ca="1">IF(OR(_xll.BDP($E92,U$3)="#N/A N/A",_xll.BDP($E92,U$3)="#N/A Invalid Security"), "-", _xll.BDP($E92,U$3))</f>
        <v>#NAME?</v>
      </c>
      <c r="V92" s="105" t="e">
        <f ca="1">IF(OR(_xll.BDP($E92,V$2)="#N/A N/A",_xll.BDP($E92,V$2)="#N/A Invalid Security"), "-", _xll.BDP($E92,V$2))</f>
        <v>#NAME?</v>
      </c>
      <c r="W92" s="106" t="e">
        <f ca="1">IF(OR(_xll.BDP($E92,W$3)="#N/A N/A",_xll.BDP($E92,W$3)="#N/A Invalid Security"), "-", _xll.BDP($E92,W$3))</f>
        <v>#NAME?</v>
      </c>
      <c r="X92" s="105" t="e">
        <f ca="1">IF(OR(_xll.BDP($E92,X$3)="#N/A N/A",_xll.BDP($E92,X$3)="#N/A Invalid Security"), " ", _xll.BDP($E92,X$3))</f>
        <v>#NAME?</v>
      </c>
      <c r="Y92" s="105" t="e">
        <f ca="1">IF(OR(_xll.BDP($E92,Y$3)="#N/A N/A",_xll.BDP($E92,Y$3)="#N/A Invalid Security"), " ", _xll.BDP($E92,Y$3))</f>
        <v>#NAME?</v>
      </c>
      <c r="Z92" s="106" t="e">
        <f ca="1">IF(OR(_xll.BDP($E92,Z$3)="#N/A N/A",_xll.BDP($E92,Z$3)="#N/A Invalid Security"), " ", _xll.BDP($E92,Z$3))</f>
        <v>#NAME?</v>
      </c>
      <c r="AA92" s="107"/>
      <c r="AB92" s="93" t="s">
        <v>876</v>
      </c>
      <c r="AC92" s="93" t="s">
        <v>939</v>
      </c>
      <c r="AD92" s="93" t="s">
        <v>997</v>
      </c>
      <c r="AE92" s="93" t="s">
        <v>940</v>
      </c>
      <c r="AF92" s="93" t="s">
        <v>948</v>
      </c>
      <c r="AG92" s="93" t="s">
        <v>940</v>
      </c>
      <c r="AH92" s="95" t="e">
        <f t="shared" ca="1" si="30"/>
        <v>#NAME?</v>
      </c>
      <c r="AI92" s="95" t="e">
        <f t="shared" ca="1" si="30"/>
        <v>#NAME?</v>
      </c>
      <c r="AJ92" s="95" t="e">
        <f t="shared" ca="1" si="30"/>
        <v>#NAME?</v>
      </c>
      <c r="AK92" s="95" t="e">
        <f t="shared" ca="1" si="30"/>
        <v>#NAME?</v>
      </c>
      <c r="AL92" s="95" t="e">
        <f t="shared" ca="1" si="30"/>
        <v>#NAME?</v>
      </c>
      <c r="AM92" s="95" t="e">
        <f t="shared" ca="1" si="30"/>
        <v>#NAME?</v>
      </c>
      <c r="AN92" s="66" t="str">
        <f t="shared" ca="1" si="29"/>
        <v/>
      </c>
      <c r="AO92" s="108" t="e" cm="1">
        <f t="array" aca="1" ref="AO92" ca="1">_xll.BDP($E92,"cur_mkt_cap")</f>
        <v>#NAME?</v>
      </c>
      <c r="AP92" s="108" t="e" cm="1">
        <f t="array" aca="1" ref="AP92" ca="1">_xll.BDP($E92,"crncy")</f>
        <v>#NAME?</v>
      </c>
      <c r="AQ92" s="109" t="e" cm="1">
        <f t="array" aca="1" ref="AQ92" ca="1">_xll.BDP("USD"&amp;AP92&amp;" curncy","px_last")</f>
        <v>#NAME?</v>
      </c>
      <c r="AR92" s="109" t="e">
        <f t="shared" ca="1" si="20"/>
        <v>#NAME?</v>
      </c>
      <c r="AT92" s="66" t="str">
        <f t="shared" ca="1" si="33"/>
        <v/>
      </c>
      <c r="AU92" s="66" t="str">
        <f t="shared" ca="1" si="33"/>
        <v/>
      </c>
      <c r="AV92" s="66" t="str">
        <f t="shared" ca="1" si="33"/>
        <v/>
      </c>
      <c r="AW92" s="73" t="str" cm="1">
        <f t="array" aca="1" ref="AW92" ca="1">IF(ISERROR(DATEVALUE(_xll.BDP($E92,AW$6))),"",DATEVALUE(_xll.BDP($E92,AW$6)))</f>
        <v/>
      </c>
      <c r="AX92" s="73" t="str" cm="1">
        <f t="array" aca="1" ref="AX92" ca="1">IF(ISERROR(DATEVALUE(_xll.BDP($E92,AX$2))),"",DATEVALUE(_xll.BDP($E92,AX$2)))</f>
        <v/>
      </c>
      <c r="AY92" s="73" t="str" cm="1">
        <f t="array" aca="1" ref="AY92" ca="1">IF(ISERROR(DATEVALUE(_xll.BDP($E92,AY$6))),"",DATEVALUE(_xll.BDP($E92,AY$6)))</f>
        <v/>
      </c>
      <c r="AZ92" s="110" t="e" cm="1">
        <f t="array" aca="1" ref="AZ92" ca="1">IF(_xll.BQL($E92, "last(matches(px_last(dates=range(-1w,0d)), dayofweek(px_last(dates=range(-1w,0d)).date)==6))")="#N/A","-",_xll.BQL($E92, "last(matches(px_last(dates=range(-1w,0d)), dayofweek(px_last(dates=range(-1w,0d)).date)==6))"))</f>
        <v>#NAME?</v>
      </c>
      <c r="BA92" s="109" t="e" cm="1">
        <f t="array" aca="1" ref="BA92" ca="1">IF(_xll.BQL(E92,"first(last(matches(px_last(dates=range(-1M,0D)),dayofweek(px_last(dates=range(-1M,0D)).date)==6),2),1)")="#N/A","-",_xll.BQL(E92,"first(last(matches(px_last(dates=range(-1M,0D)),dayofweek(px_last(dates=range(-1M,0D)).date)==6),2),1)"))</f>
        <v>#NAME?</v>
      </c>
      <c r="BB92" s="109" t="str">
        <f t="shared" ca="1" si="23"/>
        <v>-</v>
      </c>
    </row>
    <row r="93" spans="5:54" ht="16.5" customHeight="1" thickBot="1">
      <c r="E93" s="96" t="s">
        <v>1056</v>
      </c>
      <c r="F93" s="66" t="e">
        <f ca="1">_xll.BDP($E93,F$3)&amp;" CBIN Curncy"</f>
        <v>#NAME?</v>
      </c>
      <c r="G93" s="97" t="e">
        <f t="shared" ca="1" si="17"/>
        <v>#NAME?</v>
      </c>
      <c r="H93" s="76"/>
      <c r="I93" s="633"/>
      <c r="J93" s="98" t="e">
        <f ca="1">_xll.BDP($E93,J$3)</f>
        <v>#NAME?</v>
      </c>
      <c r="K93" s="99" t="e">
        <f ca="1">_xll.BDP($E93,K$3)</f>
        <v>#NAME?</v>
      </c>
      <c r="L93" s="100" t="str">
        <f ca="1">IF(ISNUMBER(_xll.BDH($E93,"PX_LAST",TEXT($E$2,"YYYYMMDD"),TEXT($E$2,"YYYYMMDD"),"days=a","fill=p")),_xll.BDH($E93,"PX_LAST",TEXT($E$2,"YYYYMMDD"),TEXT($E$2,"YYYYMMDD"),"days=a","fill=p"),"-")</f>
        <v>-</v>
      </c>
      <c r="M93" s="100" t="str">
        <f ca="1">IF(ISNUMBER(_xll.BDH($E93,"PX_LAST",TEXT($E$2-7,"YYYYMMDD"),TEXT($E$2-7,"YYYYMMDD"),"days=a","fill=p")),_xll.BDH($E93,"PX_LAST",TEXT($E$2-7,"YYYYMMDD"),TEXT($E$2-7,"YYYYMMDD"),"days=a","fill=p"),"-")</f>
        <v>-</v>
      </c>
      <c r="N93" s="180" t="str">
        <f t="shared" ca="1" si="31"/>
        <v>-</v>
      </c>
      <c r="O93" s="101" t="e">
        <f ca="1">IF(OR(_xll.BDP($E93,O$3)="#N/A N/A",_xll.BDP($E93,O$3)="#N/A Invalid Security"), "-", _xll.BDP($E93,O$3))</f>
        <v>#NAME?</v>
      </c>
      <c r="P93" s="182" t="str">
        <f ca="1">IF(ISNUMBER(_xll.BDH($F93,"PX_LAST",TEXT($E$2,"YYYYMMDD"),TEXT($E$2,"YYYYMMDD"),"days=a","fill=p")),_xll.BDH($F93,"PX_LAST",TEXT($E$2,"YYYYMMDD"),TEXT($E$2,"YYYYMMDD"),"days=a","fill=p"),"-")</f>
        <v>-</v>
      </c>
      <c r="Q93" s="182" t="str">
        <f ca="1">IF(ISNUMBER(_xll.BDH($F93,"PX_LAST",TEXT($E$2-7,"YYYYMMDD"),TEXT($E$2-7,"YYYYMMDD"),"days=a","fill=p")),_xll.BDH($F93,"PX_LAST",TEXT($E$2-7,"YYYYMMDD"),TEXT($E$2-7,"YYYYMMDD"),"days=a","fill=p"),"-")</f>
        <v>-</v>
      </c>
      <c r="R93" s="102" t="str">
        <f t="shared" ca="1" si="32"/>
        <v>-</v>
      </c>
      <c r="S93" s="103" t="str">
        <f ca="1">IF(ISNUMBER(_xll.BDP($F93,S$3)),_xll.BDP($F93,S$3),"-")</f>
        <v>-</v>
      </c>
      <c r="T93" s="104" t="e">
        <f t="shared" ca="1" si="16"/>
        <v>#NAME?</v>
      </c>
      <c r="U93" s="105" t="e">
        <f ca="1">IF(OR(_xll.BDP($E93,U$3)="#N/A N/A",_xll.BDP($E93,U$3)="#N/A Invalid Security"), "-", _xll.BDP($E93,U$3))</f>
        <v>#NAME?</v>
      </c>
      <c r="V93" s="105" t="e">
        <f ca="1">IF(OR(_xll.BDP($E93,V$2)="#N/A N/A",_xll.BDP($E93,V$2)="#N/A Invalid Security"), "-", _xll.BDP($E93,V$2))</f>
        <v>#NAME?</v>
      </c>
      <c r="W93" s="106" t="e">
        <f ca="1">IF(OR(_xll.BDP($E93,W$3)="#N/A N/A",_xll.BDP($E93,W$3)="#N/A Invalid Security"), "-", _xll.BDP($E93,W$3))</f>
        <v>#NAME?</v>
      </c>
      <c r="X93" s="105" t="e">
        <f ca="1">IF(OR(_xll.BDP($E93,X$3)="#N/A N/A",_xll.BDP($E93,X$3)="#N/A Invalid Security"), " ", _xll.BDP($E93,X$3))</f>
        <v>#NAME?</v>
      </c>
      <c r="Y93" s="105" t="e">
        <f ca="1">IF(OR(_xll.BDP($E93,Y$3)="#N/A N/A",_xll.BDP($E93,Y$3)="#N/A Invalid Security"), " ", _xll.BDP($E93,Y$3))</f>
        <v>#NAME?</v>
      </c>
      <c r="Z93" s="106" t="e">
        <f ca="1">IF(OR(_xll.BDP($E93,Z$3)="#N/A N/A",_xll.BDP($E93,Z$3)="#N/A Invalid Security"), " ", _xll.BDP($E93,Z$3))</f>
        <v>#NAME?</v>
      </c>
      <c r="AA93" s="107"/>
      <c r="AB93" s="93" t="s">
        <v>950</v>
      </c>
      <c r="AC93" s="93" t="s">
        <v>939</v>
      </c>
      <c r="AD93" s="93" t="s">
        <v>953</v>
      </c>
      <c r="AE93" s="93" t="s">
        <v>948</v>
      </c>
      <c r="AF93" s="93" t="s">
        <v>940</v>
      </c>
      <c r="AG93" s="93" t="s">
        <v>940</v>
      </c>
      <c r="AH93" s="95" t="e">
        <f t="shared" ca="1" si="30"/>
        <v>#NAME?</v>
      </c>
      <c r="AI93" s="95" t="e">
        <f t="shared" ca="1" si="30"/>
        <v>#NAME?</v>
      </c>
      <c r="AJ93" s="95" t="e">
        <f t="shared" ca="1" si="30"/>
        <v>#NAME?</v>
      </c>
      <c r="AK93" s="95" t="e">
        <f t="shared" ca="1" si="30"/>
        <v>#NAME?</v>
      </c>
      <c r="AL93" s="95" t="e">
        <f t="shared" ca="1" si="30"/>
        <v>#NAME?</v>
      </c>
      <c r="AM93" s="95" t="e">
        <f t="shared" ca="1" si="30"/>
        <v>#NAME?</v>
      </c>
      <c r="AN93" s="66" t="str">
        <f t="shared" ca="1" si="29"/>
        <v/>
      </c>
      <c r="AO93" s="108" t="e" cm="1">
        <f t="array" aca="1" ref="AO93" ca="1">_xll.BDP($E93,"cur_mkt_cap")</f>
        <v>#NAME?</v>
      </c>
      <c r="AP93" s="108" t="e" cm="1">
        <f t="array" aca="1" ref="AP93" ca="1">_xll.BDP($E93,"crncy")</f>
        <v>#NAME?</v>
      </c>
      <c r="AQ93" s="109" t="e" cm="1">
        <f t="array" aca="1" ref="AQ93" ca="1">_xll.BDP("USD"&amp;AP93&amp;" curncy","px_last")</f>
        <v>#NAME?</v>
      </c>
      <c r="AR93" s="109" t="e">
        <f t="shared" ca="1" si="20"/>
        <v>#NAME?</v>
      </c>
      <c r="AT93" s="66" t="str">
        <f t="shared" ca="1" si="33"/>
        <v/>
      </c>
      <c r="AU93" s="66" t="str">
        <f t="shared" ca="1" si="33"/>
        <v/>
      </c>
      <c r="AV93" s="66" t="str">
        <f t="shared" ca="1" si="33"/>
        <v/>
      </c>
      <c r="AW93" s="73" t="str" cm="1">
        <f t="array" aca="1" ref="AW93" ca="1">IF(ISERROR(DATEVALUE(_xll.BDP($E93,AW$6))),"",DATEVALUE(_xll.BDP($E93,AW$6)))</f>
        <v/>
      </c>
      <c r="AX93" s="73" t="str" cm="1">
        <f t="array" aca="1" ref="AX93" ca="1">IF(ISERROR(DATEVALUE(_xll.BDP($E93,AX$2))),"",DATEVALUE(_xll.BDP($E93,AX$2)))</f>
        <v/>
      </c>
      <c r="AY93" s="73" t="str" cm="1">
        <f t="array" aca="1" ref="AY93" ca="1">IF(ISERROR(DATEVALUE(_xll.BDP($E93,AY$6))),"",DATEVALUE(_xll.BDP($E93,AY$6)))</f>
        <v/>
      </c>
      <c r="AZ93" s="110" t="e" cm="1">
        <f t="array" aca="1" ref="AZ93" ca="1">IF(_xll.BQL($E93, "last(matches(px_last(dates=range(-1w,0d)), dayofweek(px_last(dates=range(-1w,0d)).date)==6))")="#N/A","-",_xll.BQL($E93, "last(matches(px_last(dates=range(-1w,0d)), dayofweek(px_last(dates=range(-1w,0d)).date)==6))"))</f>
        <v>#NAME?</v>
      </c>
      <c r="BA93" s="109" t="e" cm="1">
        <f t="array" aca="1" ref="BA93" ca="1">IF(_xll.BQL(E93,"first(last(matches(px_last(dates=range(-1M,0D)),dayofweek(px_last(dates=range(-1M,0D)).date)==6),2),1)")="#N/A","-",_xll.BQL(E93,"first(last(matches(px_last(dates=range(-1M,0D)),dayofweek(px_last(dates=range(-1M,0D)).date)==6),2),1)"))</f>
        <v>#NAME?</v>
      </c>
      <c r="BB93" s="109" t="str">
        <f t="shared" ca="1" si="23"/>
        <v>-</v>
      </c>
    </row>
    <row r="94" spans="5:54" ht="16.5" customHeight="1" thickBot="1">
      <c r="E94" s="96" t="s">
        <v>1057</v>
      </c>
      <c r="F94" s="66" t="e">
        <f ca="1">_xll.BDP($E94,F$3)&amp;" BEST Curncy"</f>
        <v>#NAME?</v>
      </c>
      <c r="G94" s="97" t="e">
        <f t="shared" ca="1" si="17"/>
        <v>#NAME?</v>
      </c>
      <c r="H94" s="76"/>
      <c r="I94" s="633"/>
      <c r="J94" s="98" t="e">
        <f ca="1">_xll.BDP($E94,J$3)</f>
        <v>#NAME?</v>
      </c>
      <c r="K94" s="99" t="e">
        <f ca="1">_xll.BDP($E94,K$3)</f>
        <v>#NAME?</v>
      </c>
      <c r="L94" s="100" t="str">
        <f ca="1">IF(ISNUMBER(_xll.BDH($E94,"PX_LAST",TEXT($E$2,"YYYYMMDD"),TEXT($E$2,"YYYYMMDD"),"days=a","fill=p")),_xll.BDH($E94,"PX_LAST",TEXT($E$2,"YYYYMMDD"),TEXT($E$2,"YYYYMMDD"),"days=a","fill=p"),"-")</f>
        <v>-</v>
      </c>
      <c r="M94" s="100" t="str">
        <f ca="1">IF(ISNUMBER(_xll.BDH($E94,"PX_LAST",TEXT($E$2-7,"YYYYMMDD"),TEXT($E$2-7,"YYYYMMDD"),"days=a","fill=p")),_xll.BDH($E94,"PX_LAST",TEXT($E$2-7,"YYYYMMDD"),TEXT($E$2-7,"YYYYMMDD"),"days=a","fill=p"),"-")</f>
        <v>-</v>
      </c>
      <c r="N94" s="180" t="str">
        <f t="shared" ca="1" si="31"/>
        <v>-</v>
      </c>
      <c r="O94" s="101" t="e">
        <f ca="1">IF(OR(_xll.BDP($E94,O$3)="#N/A N/A",_xll.BDP($E94,O$3)="#N/A Invalid Security"), "-", _xll.BDP($E94,O$3))</f>
        <v>#NAME?</v>
      </c>
      <c r="P94" s="182" t="str">
        <f ca="1">IF(ISNUMBER(_xll.BDH($F94,"PX_LAST",TEXT($E$2,"YYYYMMDD"),TEXT($E$2,"YYYYMMDD"),"days=a","fill=p")),_xll.BDH($F94,"PX_LAST",TEXT($E$2,"YYYYMMDD"),TEXT($E$2,"YYYYMMDD"),"days=a","fill=p"),"-")</f>
        <v>-</v>
      </c>
      <c r="Q94" s="182" t="str">
        <f ca="1">IF(ISNUMBER(_xll.BDH($F94,"PX_LAST",TEXT($E$2-7,"YYYYMMDD"),TEXT($E$2-7,"YYYYMMDD"),"days=a","fill=p")),_xll.BDH($F94,"PX_LAST",TEXT($E$2-7,"YYYYMMDD"),TEXT($E$2-7,"YYYYMMDD"),"days=a","fill=p"),"-")</f>
        <v>-</v>
      </c>
      <c r="R94" s="102" t="str">
        <f t="shared" ca="1" si="32"/>
        <v>-</v>
      </c>
      <c r="S94" s="103" t="str">
        <f ca="1">IF(ISNUMBER(_xll.BDP($F94,S$3)),_xll.BDP($F94,S$3),"-")</f>
        <v>-</v>
      </c>
      <c r="T94" s="104" t="e">
        <f t="shared" ref="T94:T157" ca="1" si="34">IF(OR(AH94&gt;0, AI94&gt;0, AJ94&gt;0, AK94&gt;0, AL94&gt;0, AM94&gt;0), "Y"," ")</f>
        <v>#NAME?</v>
      </c>
      <c r="U94" s="105" t="e">
        <f ca="1">IF(OR(_xll.BDP($E94,U$3)="#N/A N/A",_xll.BDP($E94,U$3)="#N/A Invalid Security"), "-", _xll.BDP($E94,U$3))</f>
        <v>#NAME?</v>
      </c>
      <c r="V94" s="105" t="e">
        <f ca="1">IF(OR(_xll.BDP($E94,V$2)="#N/A N/A",_xll.BDP($E94,V$2)="#N/A Invalid Security"), "-", _xll.BDP($E94,V$2))</f>
        <v>#NAME?</v>
      </c>
      <c r="W94" s="106" t="e">
        <f ca="1">IF(OR(_xll.BDP($E94,W$3)="#N/A N/A",_xll.BDP($E94,W$3)="#N/A Invalid Security"), "-", _xll.BDP($E94,W$3))</f>
        <v>#NAME?</v>
      </c>
      <c r="X94" s="105" t="e">
        <f ca="1">IF(OR(_xll.BDP($E94,X$3)="#N/A N/A",_xll.BDP($E94,X$3)="#N/A Invalid Security"), " ", _xll.BDP($E94,X$3))</f>
        <v>#NAME?</v>
      </c>
      <c r="Y94" s="105" t="e">
        <f ca="1">IF(OR(_xll.BDP($E94,Y$3)="#N/A N/A",_xll.BDP($E94,Y$3)="#N/A Invalid Security"), " ", _xll.BDP($E94,Y$3))</f>
        <v>#NAME?</v>
      </c>
      <c r="Z94" s="106" t="e">
        <f ca="1">IF(OR(_xll.BDP($E94,Z$3)="#N/A N/A",_xll.BDP($E94,Z$3)="#N/A Invalid Security"), " ", _xll.BDP($E94,Z$3))</f>
        <v>#NAME?</v>
      </c>
      <c r="AA94" s="107"/>
      <c r="AB94" s="93" t="s">
        <v>950</v>
      </c>
      <c r="AC94" s="93" t="s">
        <v>874</v>
      </c>
      <c r="AD94" s="93" t="s">
        <v>876</v>
      </c>
      <c r="AE94" s="93" t="s">
        <v>940</v>
      </c>
      <c r="AF94" s="93" t="s">
        <v>940</v>
      </c>
      <c r="AG94" s="93" t="s">
        <v>940</v>
      </c>
      <c r="AH94" s="95" t="e">
        <f t="shared" ca="1" si="30"/>
        <v>#NAME?</v>
      </c>
      <c r="AI94" s="95" t="e">
        <f t="shared" ca="1" si="30"/>
        <v>#NAME?</v>
      </c>
      <c r="AJ94" s="95" t="e">
        <f t="shared" ca="1" si="30"/>
        <v>#NAME?</v>
      </c>
      <c r="AK94" s="95" t="e">
        <f t="shared" ca="1" si="30"/>
        <v>#NAME?</v>
      </c>
      <c r="AL94" s="95" t="e">
        <f t="shared" ca="1" si="30"/>
        <v>#NAME?</v>
      </c>
      <c r="AM94" s="95" t="e">
        <f t="shared" ca="1" si="30"/>
        <v>#NAME?</v>
      </c>
      <c r="AN94" s="66" t="str">
        <f t="shared" ca="1" si="29"/>
        <v/>
      </c>
      <c r="AO94" s="108" t="e" cm="1">
        <f t="array" aca="1" ref="AO94" ca="1">_xll.BDP($E94,"cur_mkt_cap")</f>
        <v>#NAME?</v>
      </c>
      <c r="AP94" s="108" t="e" cm="1">
        <f t="array" aca="1" ref="AP94" ca="1">_xll.BDP($E94,"crncy")</f>
        <v>#NAME?</v>
      </c>
      <c r="AQ94" s="109" t="e" cm="1">
        <f t="array" aca="1" ref="AQ94" ca="1">_xll.BDP("USD"&amp;AP94&amp;" curncy","px_last")</f>
        <v>#NAME?</v>
      </c>
      <c r="AR94" s="109" t="e">
        <f t="shared" ca="1" si="20"/>
        <v>#NAME?</v>
      </c>
      <c r="AT94" s="66" t="str">
        <f t="shared" ca="1" si="33"/>
        <v/>
      </c>
      <c r="AU94" s="66" t="str">
        <f t="shared" ca="1" si="33"/>
        <v/>
      </c>
      <c r="AV94" s="66" t="str">
        <f t="shared" ca="1" si="33"/>
        <v/>
      </c>
      <c r="AW94" s="73" t="str" cm="1">
        <f t="array" aca="1" ref="AW94" ca="1">IF(ISERROR(DATEVALUE(_xll.BDP($E94,AW$6))),"",DATEVALUE(_xll.BDP($E94,AW$6)))</f>
        <v/>
      </c>
      <c r="AX94" s="73" t="str" cm="1">
        <f t="array" aca="1" ref="AX94" ca="1">IF(ISERROR(DATEVALUE(_xll.BDP($E94,AX$2))),"",DATEVALUE(_xll.BDP($E94,AX$2)))</f>
        <v/>
      </c>
      <c r="AY94" s="73" t="str" cm="1">
        <f t="array" aca="1" ref="AY94" ca="1">IF(ISERROR(DATEVALUE(_xll.BDP($E94,AY$6))),"",DATEVALUE(_xll.BDP($E94,AY$6)))</f>
        <v/>
      </c>
      <c r="AZ94" s="110" t="e" cm="1">
        <f t="array" aca="1" ref="AZ94" ca="1">IF(_xll.BQL($E94, "last(matches(px_last(dates=range(-1w,0d)), dayofweek(px_last(dates=range(-1w,0d)).date)==6))")="#N/A","-",_xll.BQL($E94, "last(matches(px_last(dates=range(-1w,0d)), dayofweek(px_last(dates=range(-1w,0d)).date)==6))"))</f>
        <v>#NAME?</v>
      </c>
      <c r="BA94" s="109" t="e" cm="1">
        <f t="array" aca="1" ref="BA94" ca="1">IF(_xll.BQL(E94,"first(last(matches(px_last(dates=range(-1M,0D)),dayofweek(px_last(dates=range(-1M,0D)).date)==6),2),1)")="#N/A","-",_xll.BQL(E94,"first(last(matches(px_last(dates=range(-1M,0D)),dayofweek(px_last(dates=range(-1M,0D)).date)==6),2),1)"))</f>
        <v>#NAME?</v>
      </c>
      <c r="BB94" s="109" t="str">
        <f t="shared" ca="1" si="23"/>
        <v>-</v>
      </c>
    </row>
    <row r="95" spans="5:54" ht="16.5" customHeight="1" thickBot="1">
      <c r="E95" s="96" t="s">
        <v>1058</v>
      </c>
      <c r="F95" s="66" t="e">
        <f ca="1">_xll.BDP($E95,F$3)&amp;" CBIN Curncy"</f>
        <v>#NAME?</v>
      </c>
      <c r="G95" s="97" t="e">
        <f t="shared" ca="1" si="17"/>
        <v>#NAME?</v>
      </c>
      <c r="H95" s="76"/>
      <c r="I95" s="633"/>
      <c r="J95" s="98" t="e">
        <f ca="1">_xll.BDP($E95,J$3)</f>
        <v>#NAME?</v>
      </c>
      <c r="K95" s="99" t="e">
        <f ca="1">_xll.BDP($E95,K$3)</f>
        <v>#NAME?</v>
      </c>
      <c r="L95" s="100" t="str">
        <f ca="1">IF(ISNUMBER(_xll.BDH($E95,"PX_LAST",TEXT($E$2,"YYYYMMDD"),TEXT($E$2,"YYYYMMDD"),"days=a","fill=p")),_xll.BDH($E95,"PX_LAST",TEXT($E$2,"YYYYMMDD"),TEXT($E$2,"YYYYMMDD"),"days=a","fill=p"),"-")</f>
        <v>-</v>
      </c>
      <c r="M95" s="100" t="str">
        <f ca="1">IF(ISNUMBER(_xll.BDH($E95,"PX_LAST",TEXT($E$2-7,"YYYYMMDD"),TEXT($E$2-7,"YYYYMMDD"),"days=a","fill=p")),_xll.BDH($E95,"PX_LAST",TEXT($E$2-7,"YYYYMMDD"),TEXT($E$2-7,"YYYYMMDD"),"days=a","fill=p"),"-")</f>
        <v>-</v>
      </c>
      <c r="N95" s="180" t="str">
        <f t="shared" ca="1" si="31"/>
        <v>-</v>
      </c>
      <c r="O95" s="101" t="e">
        <f ca="1">IF(OR(_xll.BDP($E95,O$3)="#N/A N/A",_xll.BDP($E95,O$3)="#N/A Invalid Security"), "-", _xll.BDP($E95,O$3))</f>
        <v>#NAME?</v>
      </c>
      <c r="P95" s="182" t="str">
        <f ca="1">IF(ISNUMBER(_xll.BDH($F95,"PX_LAST",TEXT($E$2,"YYYYMMDD"),TEXT($E$2,"YYYYMMDD"),"days=a","fill=p")),_xll.BDH($F95,"PX_LAST",TEXT($E$2,"YYYYMMDD"),TEXT($E$2,"YYYYMMDD"),"days=a","fill=p"),"-")</f>
        <v>-</v>
      </c>
      <c r="Q95" s="182" t="str">
        <f ca="1">IF(ISNUMBER(_xll.BDH($F95,"PX_LAST",TEXT($E$2-7,"YYYYMMDD"),TEXT($E$2-7,"YYYYMMDD"),"days=a","fill=p")),_xll.BDH($F95,"PX_LAST",TEXT($E$2-7,"YYYYMMDD"),TEXT($E$2-7,"YYYYMMDD"),"days=a","fill=p"),"-")</f>
        <v>-</v>
      </c>
      <c r="R95" s="102" t="str">
        <f t="shared" ca="1" si="32"/>
        <v>-</v>
      </c>
      <c r="S95" s="103" t="str">
        <f ca="1">IF(ISNUMBER(_xll.BDP($F95,S$3)),_xll.BDP($F95,S$3),"-")</f>
        <v>-</v>
      </c>
      <c r="T95" s="104" t="e">
        <f t="shared" ca="1" si="34"/>
        <v>#NAME?</v>
      </c>
      <c r="U95" s="105" t="e">
        <f ca="1">IF(OR(_xll.BDP($E95,U$3)="#N/A N/A",_xll.BDP($E95,U$3)="#N/A Invalid Security"), "-", _xll.BDP($E95,U$3))</f>
        <v>#NAME?</v>
      </c>
      <c r="V95" s="105" t="e">
        <f ca="1">IF(OR(_xll.BDP($E95,V$2)="#N/A N/A",_xll.BDP($E95,V$2)="#N/A Invalid Security"), "-", _xll.BDP($E95,V$2))</f>
        <v>#NAME?</v>
      </c>
      <c r="W95" s="106" t="e">
        <f ca="1">IF(OR(_xll.BDP($E95,W$3)="#N/A N/A",_xll.BDP($E95,W$3)="#N/A Invalid Security"), "-", _xll.BDP($E95,W$3))</f>
        <v>#NAME?</v>
      </c>
      <c r="X95" s="105" t="e">
        <f ca="1">IF(OR(_xll.BDP($E95,X$3)="#N/A N/A",_xll.BDP($E95,X$3)="#N/A Invalid Security"), " ", _xll.BDP($E95,X$3))</f>
        <v>#NAME?</v>
      </c>
      <c r="Y95" s="105" t="e">
        <f ca="1">IF(OR(_xll.BDP($E95,Y$3)="#N/A N/A",_xll.BDP($E95,Y$3)="#N/A Invalid Security"), " ", _xll.BDP($E95,Y$3))</f>
        <v>#NAME?</v>
      </c>
      <c r="Z95" s="106" t="e">
        <f ca="1">IF(OR(_xll.BDP($E95,Z$3)="#N/A N/A",_xll.BDP($E95,Z$3)="#N/A Invalid Security"), " ", _xll.BDP($E95,Z$3))</f>
        <v>#NAME?</v>
      </c>
      <c r="AA95" s="107"/>
      <c r="AB95" s="93" t="s">
        <v>938</v>
      </c>
      <c r="AC95" s="93" t="s">
        <v>939</v>
      </c>
      <c r="AD95" s="93" t="s">
        <v>953</v>
      </c>
      <c r="AE95" s="93" t="s">
        <v>940</v>
      </c>
      <c r="AF95" s="93" t="s">
        <v>940</v>
      </c>
      <c r="AG95" s="93" t="s">
        <v>940</v>
      </c>
      <c r="AH95" s="95" t="e">
        <f t="shared" ca="1" si="30"/>
        <v>#NAME?</v>
      </c>
      <c r="AI95" s="95" t="e">
        <f t="shared" ca="1" si="30"/>
        <v>#NAME?</v>
      </c>
      <c r="AJ95" s="95" t="e">
        <f t="shared" ca="1" si="30"/>
        <v>#NAME?</v>
      </c>
      <c r="AK95" s="95" t="e">
        <f t="shared" ca="1" si="30"/>
        <v>#NAME?</v>
      </c>
      <c r="AL95" s="95" t="e">
        <f t="shared" ca="1" si="30"/>
        <v>#NAME?</v>
      </c>
      <c r="AM95" s="95" t="e">
        <f t="shared" ca="1" si="30"/>
        <v>#NAME?</v>
      </c>
      <c r="AN95" s="66" t="str">
        <f t="shared" ca="1" si="29"/>
        <v/>
      </c>
      <c r="AO95" s="108" t="e" cm="1">
        <f t="array" aca="1" ref="AO95" ca="1">_xll.BDP($E95,"cur_mkt_cap")</f>
        <v>#NAME?</v>
      </c>
      <c r="AP95" s="108" t="e" cm="1">
        <f t="array" aca="1" ref="AP95" ca="1">_xll.BDP($E95,"crncy")</f>
        <v>#NAME?</v>
      </c>
      <c r="AQ95" s="109" t="e" cm="1">
        <f t="array" aca="1" ref="AQ95" ca="1">_xll.BDP("USD"&amp;AP95&amp;" curncy","px_last")</f>
        <v>#NAME?</v>
      </c>
      <c r="AR95" s="109" t="e">
        <f t="shared" ca="1" si="20"/>
        <v>#NAME?</v>
      </c>
      <c r="AT95" s="66" t="str">
        <f t="shared" ca="1" si="33"/>
        <v/>
      </c>
      <c r="AU95" s="66" t="str">
        <f t="shared" ca="1" si="33"/>
        <v/>
      </c>
      <c r="AV95" s="66" t="str">
        <f t="shared" ca="1" si="33"/>
        <v/>
      </c>
      <c r="AW95" s="73" t="str" cm="1">
        <f t="array" aca="1" ref="AW95" ca="1">IF(ISERROR(DATEVALUE(_xll.BDP($E95,AW$6))),"",DATEVALUE(_xll.BDP($E95,AW$6)))</f>
        <v/>
      </c>
      <c r="AX95" s="73" t="str" cm="1">
        <f t="array" aca="1" ref="AX95" ca="1">IF(ISERROR(DATEVALUE(_xll.BDP($E95,AX$2))),"",DATEVALUE(_xll.BDP($E95,AX$2)))</f>
        <v/>
      </c>
      <c r="AY95" s="73" t="str" cm="1">
        <f t="array" aca="1" ref="AY95" ca="1">IF(ISERROR(DATEVALUE(_xll.BDP($E95,AY$6))),"",DATEVALUE(_xll.BDP($E95,AY$6)))</f>
        <v/>
      </c>
      <c r="AZ95" s="110" t="e" cm="1">
        <f t="array" aca="1" ref="AZ95" ca="1">IF(_xll.BQL($E95, "last(matches(px_last(dates=range(-1w,0d)), dayofweek(px_last(dates=range(-1w,0d)).date)==6))")="#N/A","-",_xll.BQL($E95, "last(matches(px_last(dates=range(-1w,0d)), dayofweek(px_last(dates=range(-1w,0d)).date)==6))"))</f>
        <v>#NAME?</v>
      </c>
      <c r="BA95" s="109" t="e" cm="1">
        <f t="array" aca="1" ref="BA95" ca="1">IF(_xll.BQL(E95,"first(last(matches(px_last(dates=range(-1M,0D)),dayofweek(px_last(dates=range(-1M,0D)).date)==6),2),1)")="#N/A","-",_xll.BQL(E95,"first(last(matches(px_last(dates=range(-1M,0D)),dayofweek(px_last(dates=range(-1M,0D)).date)==6),2),1)"))</f>
        <v>#NAME?</v>
      </c>
      <c r="BB95" s="109" t="str">
        <f t="shared" ca="1" si="23"/>
        <v>-</v>
      </c>
    </row>
    <row r="96" spans="5:54" ht="16.5" customHeight="1" thickBot="1">
      <c r="E96" s="96" t="s">
        <v>1059</v>
      </c>
      <c r="F96" s="66" t="e">
        <f ca="1">_xll.BDP($E96,F$3)&amp;" CBIN Curncy"</f>
        <v>#NAME?</v>
      </c>
      <c r="G96" s="97" t="e">
        <f t="shared" ca="1" si="17"/>
        <v>#NAME?</v>
      </c>
      <c r="H96" s="76"/>
      <c r="I96" s="633"/>
      <c r="J96" s="98" t="e">
        <f ca="1">_xll.BDP($E96,J$3)</f>
        <v>#NAME?</v>
      </c>
      <c r="K96" s="99" t="e">
        <f ca="1">_xll.BDP($E96,K$3)</f>
        <v>#NAME?</v>
      </c>
      <c r="L96" s="100" t="str">
        <f ca="1">IF(ISNUMBER(_xll.BDH($E96,"PX_LAST",TEXT($E$2,"YYYYMMDD"),TEXT($E$2,"YYYYMMDD"),"days=a","fill=p")),_xll.BDH($E96,"PX_LAST",TEXT($E$2,"YYYYMMDD"),TEXT($E$2,"YYYYMMDD"),"days=a","fill=p"),"-")</f>
        <v>-</v>
      </c>
      <c r="M96" s="100" t="str">
        <f ca="1">IF(ISNUMBER(_xll.BDH($E96,"PX_LAST",TEXT($E$2-7,"YYYYMMDD"),TEXT($E$2-7,"YYYYMMDD"),"days=a","fill=p")),_xll.BDH($E96,"PX_LAST",TEXT($E$2-7,"YYYYMMDD"),TEXT($E$2-7,"YYYYMMDD"),"days=a","fill=p"),"-")</f>
        <v>-</v>
      </c>
      <c r="N96" s="180" t="str">
        <f t="shared" ca="1" si="31"/>
        <v>-</v>
      </c>
      <c r="O96" s="101" t="e">
        <f ca="1">IF(OR(_xll.BDP($E96,O$3)="#N/A N/A",_xll.BDP($E96,O$3)="#N/A Invalid Security"), "-", _xll.BDP($E96,O$3))</f>
        <v>#NAME?</v>
      </c>
      <c r="P96" s="182" t="str">
        <f ca="1">IF(ISNUMBER(_xll.BDH($F96,"PX_LAST",TEXT($E$2,"YYYYMMDD"),TEXT($E$2,"YYYYMMDD"),"days=a","fill=p")),_xll.BDH($F96,"PX_LAST",TEXT($E$2,"YYYYMMDD"),TEXT($E$2,"YYYYMMDD"),"days=a","fill=p"),"-")</f>
        <v>-</v>
      </c>
      <c r="Q96" s="182" t="str">
        <f ca="1">IF(ISNUMBER(_xll.BDH($F96,"PX_LAST",TEXT($E$2-7,"YYYYMMDD"),TEXT($E$2-7,"YYYYMMDD"),"days=a","fill=p")),_xll.BDH($F96,"PX_LAST",TEXT($E$2-7,"YYYYMMDD"),TEXT($E$2-7,"YYYYMMDD"),"days=a","fill=p"),"-")</f>
        <v>-</v>
      </c>
      <c r="R96" s="102" t="str">
        <f t="shared" ca="1" si="32"/>
        <v>-</v>
      </c>
      <c r="S96" s="103" t="str">
        <f ca="1">IF(ISNUMBER(_xll.BDP($F96,S$3)),_xll.BDP($F96,S$3),"-")</f>
        <v>-</v>
      </c>
      <c r="T96" s="104" t="e">
        <f t="shared" ca="1" si="34"/>
        <v>#NAME?</v>
      </c>
      <c r="U96" s="105" t="e">
        <f ca="1">IF(OR(_xll.BDP($E96,U$3)="#N/A N/A",_xll.BDP($E96,U$3)="#N/A Invalid Security"), "-", _xll.BDP($E96,U$3))</f>
        <v>#NAME?</v>
      </c>
      <c r="V96" s="105" t="e">
        <f ca="1">IF(OR(_xll.BDP($E96,V$2)="#N/A N/A",_xll.BDP($E96,V$2)="#N/A Invalid Security"), "-", _xll.BDP($E96,V$2))</f>
        <v>#NAME?</v>
      </c>
      <c r="W96" s="106" t="e">
        <f ca="1">IF(OR(_xll.BDP($E96,W$3)="#N/A N/A",_xll.BDP($E96,W$3)="#N/A Invalid Security"), "-", _xll.BDP($E96,W$3))</f>
        <v>#NAME?</v>
      </c>
      <c r="X96" s="105" t="e">
        <f ca="1">IF(OR(_xll.BDP($E96,X$3)="#N/A N/A",_xll.BDP($E96,X$3)="#N/A Invalid Security"), " ", _xll.BDP($E96,X$3))</f>
        <v>#NAME?</v>
      </c>
      <c r="Y96" s="105" t="e">
        <f ca="1">IF(OR(_xll.BDP($E96,Y$3)="#N/A N/A",_xll.BDP($E96,Y$3)="#N/A Invalid Security"), " ", _xll.BDP($E96,Y$3))</f>
        <v>#NAME?</v>
      </c>
      <c r="Z96" s="106" t="e">
        <f ca="1">IF(OR(_xll.BDP($E96,Z$3)="#N/A N/A",_xll.BDP($E96,Z$3)="#N/A Invalid Security"), " ", _xll.BDP($E96,Z$3))</f>
        <v>#NAME?</v>
      </c>
      <c r="AA96" s="107"/>
      <c r="AB96" s="93" t="s">
        <v>953</v>
      </c>
      <c r="AC96" s="93" t="s">
        <v>939</v>
      </c>
      <c r="AD96" s="93" t="s">
        <v>953</v>
      </c>
      <c r="AE96" s="93" t="s">
        <v>940</v>
      </c>
      <c r="AF96" s="93" t="s">
        <v>940</v>
      </c>
      <c r="AG96" s="93" t="s">
        <v>940</v>
      </c>
      <c r="AH96" s="95" t="e">
        <f t="shared" ca="1" si="30"/>
        <v>#NAME?</v>
      </c>
      <c r="AI96" s="95" t="e">
        <f t="shared" ca="1" si="30"/>
        <v>#NAME?</v>
      </c>
      <c r="AJ96" s="95" t="e">
        <f t="shared" ca="1" si="30"/>
        <v>#NAME?</v>
      </c>
      <c r="AK96" s="95" t="e">
        <f t="shared" ca="1" si="30"/>
        <v>#NAME?</v>
      </c>
      <c r="AL96" s="95" t="e">
        <f t="shared" ca="1" si="30"/>
        <v>#NAME?</v>
      </c>
      <c r="AM96" s="95" t="e">
        <f t="shared" ca="1" si="30"/>
        <v>#NAME?</v>
      </c>
      <c r="AN96" s="66" t="str">
        <f t="shared" ca="1" si="29"/>
        <v/>
      </c>
      <c r="AO96" s="108" t="e" cm="1">
        <f t="array" aca="1" ref="AO96" ca="1">_xll.BDP($E96,"cur_mkt_cap")</f>
        <v>#NAME?</v>
      </c>
      <c r="AP96" s="108" t="e" cm="1">
        <f t="array" aca="1" ref="AP96" ca="1">_xll.BDP($E96,"crncy")</f>
        <v>#NAME?</v>
      </c>
      <c r="AQ96" s="109" t="e" cm="1">
        <f t="array" aca="1" ref="AQ96" ca="1">_xll.BDP("USD"&amp;AP96&amp;" curncy","px_last")</f>
        <v>#NAME?</v>
      </c>
      <c r="AR96" s="109" t="e">
        <f t="shared" ca="1" si="20"/>
        <v>#NAME?</v>
      </c>
      <c r="AT96" s="66" t="str">
        <f t="shared" ca="1" si="33"/>
        <v/>
      </c>
      <c r="AU96" s="66" t="str">
        <f t="shared" ca="1" si="33"/>
        <v/>
      </c>
      <c r="AV96" s="66" t="str">
        <f t="shared" ca="1" si="33"/>
        <v/>
      </c>
      <c r="AW96" s="73" t="str" cm="1">
        <f t="array" aca="1" ref="AW96" ca="1">IF(ISERROR(DATEVALUE(_xll.BDP($E96,AW$6))),"",DATEVALUE(_xll.BDP($E96,AW$6)))</f>
        <v/>
      </c>
      <c r="AX96" s="73" t="str" cm="1">
        <f t="array" aca="1" ref="AX96" ca="1">IF(ISERROR(DATEVALUE(_xll.BDP($E96,AX$2))),"",DATEVALUE(_xll.BDP($E96,AX$2)))</f>
        <v/>
      </c>
      <c r="AY96" s="73" t="str" cm="1">
        <f t="array" aca="1" ref="AY96" ca="1">IF(ISERROR(DATEVALUE(_xll.BDP($E96,AY$6))),"",DATEVALUE(_xll.BDP($E96,AY$6)))</f>
        <v/>
      </c>
      <c r="AZ96" s="110" t="e" cm="1">
        <f t="array" aca="1" ref="AZ96" ca="1">IF(_xll.BQL($E96, "last(matches(px_last(dates=range(-1w,0d)), dayofweek(px_last(dates=range(-1w,0d)).date)==6))")="#N/A","-",_xll.BQL($E96, "last(matches(px_last(dates=range(-1w,0d)), dayofweek(px_last(dates=range(-1w,0d)).date)==6))"))</f>
        <v>#NAME?</v>
      </c>
      <c r="BA96" s="109" t="e" cm="1">
        <f t="array" aca="1" ref="BA96" ca="1">IF(_xll.BQL(E96,"first(last(matches(px_last(dates=range(-1M,0D)),dayofweek(px_last(dates=range(-1M,0D)).date)==6),2),1)")="#N/A","-",_xll.BQL(E96,"first(last(matches(px_last(dates=range(-1M,0D)),dayofweek(px_last(dates=range(-1M,0D)).date)==6),2),1)"))</f>
        <v>#NAME?</v>
      </c>
      <c r="BB96" s="109" t="str">
        <f t="shared" ca="1" si="23"/>
        <v>-</v>
      </c>
    </row>
    <row r="97" spans="5:54" ht="16.5" customHeight="1" thickBot="1">
      <c r="E97" s="96" t="s">
        <v>1060</v>
      </c>
      <c r="F97" s="66" t="e">
        <f ca="1">_xll.BDP($E97,F$3)&amp;" CBIN Curncy"</f>
        <v>#NAME?</v>
      </c>
      <c r="G97" s="97" t="e">
        <f t="shared" ca="1" si="17"/>
        <v>#NAME?</v>
      </c>
      <c r="H97" s="76"/>
      <c r="I97" s="633"/>
      <c r="J97" s="98" t="e">
        <f ca="1">_xll.BDP($E97,J$3)</f>
        <v>#NAME?</v>
      </c>
      <c r="K97" s="99" t="e">
        <f ca="1">_xll.BDP($E97,K$3)</f>
        <v>#NAME?</v>
      </c>
      <c r="L97" s="100" t="str">
        <f ca="1">IF(ISNUMBER(_xll.BDH($E97,"PX_LAST",TEXT($E$2,"YYYYMMDD"),TEXT($E$2,"YYYYMMDD"),"days=a","fill=p")),_xll.BDH($E97,"PX_LAST",TEXT($E$2,"YYYYMMDD"),TEXT($E$2,"YYYYMMDD"),"days=a","fill=p"),"-")</f>
        <v>-</v>
      </c>
      <c r="M97" s="100" t="str">
        <f ca="1">IF(ISNUMBER(_xll.BDH($E97,"PX_LAST",TEXT($E$2-7,"YYYYMMDD"),TEXT($E$2-7,"YYYYMMDD"),"days=a","fill=p")),_xll.BDH($E97,"PX_LAST",TEXT($E$2-7,"YYYYMMDD"),TEXT($E$2-7,"YYYYMMDD"),"days=a","fill=p"),"-")</f>
        <v>-</v>
      </c>
      <c r="N97" s="180" t="str">
        <f t="shared" ca="1" si="31"/>
        <v>-</v>
      </c>
      <c r="O97" s="101" t="e">
        <f ca="1">IF(OR(_xll.BDP($E97,O$3)="#N/A N/A",_xll.BDP($E97,O$3)="#N/A Invalid Security"), "-", _xll.BDP($E97,O$3))</f>
        <v>#NAME?</v>
      </c>
      <c r="P97" s="182" t="str">
        <f ca="1">IF(ISNUMBER(_xll.BDH($F97,"PX_LAST",TEXT($E$2,"YYYYMMDD"),TEXT($E$2,"YYYYMMDD"),"days=a","fill=p")),_xll.BDH($F97,"PX_LAST",TEXT($E$2,"YYYYMMDD"),TEXT($E$2,"YYYYMMDD"),"days=a","fill=p"),"-")</f>
        <v>-</v>
      </c>
      <c r="Q97" s="182" t="str">
        <f ca="1">IF(ISNUMBER(_xll.BDH($F97,"PX_LAST",TEXT($E$2-7,"YYYYMMDD"),TEXT($E$2-7,"YYYYMMDD"),"days=a","fill=p")),_xll.BDH($F97,"PX_LAST",TEXT($E$2-7,"YYYYMMDD"),TEXT($E$2-7,"YYYYMMDD"),"days=a","fill=p"),"-")</f>
        <v>-</v>
      </c>
      <c r="R97" s="102" t="str">
        <f t="shared" ca="1" si="32"/>
        <v>-</v>
      </c>
      <c r="S97" s="103" t="str">
        <f ca="1">IF(ISNUMBER(_xll.BDP($F97,S$3)),_xll.BDP($F97,S$3),"-")</f>
        <v>-</v>
      </c>
      <c r="T97" s="104" t="e">
        <f t="shared" ca="1" si="34"/>
        <v>#NAME?</v>
      </c>
      <c r="U97" s="105" t="e">
        <f ca="1">IF(OR(_xll.BDP($E97,U$3)="#N/A N/A",_xll.BDP($E97,U$3)="#N/A Invalid Security"), "-", _xll.BDP($E97,U$3))</f>
        <v>#NAME?</v>
      </c>
      <c r="V97" s="105" t="e">
        <f ca="1">IF(OR(_xll.BDP($E97,V$2)="#N/A N/A",_xll.BDP($E97,V$2)="#N/A Invalid Security"), "-", _xll.BDP($E97,V$2))</f>
        <v>#NAME?</v>
      </c>
      <c r="W97" s="106" t="e">
        <f ca="1">IF(OR(_xll.BDP($E97,W$3)="#N/A N/A",_xll.BDP($E97,W$3)="#N/A Invalid Security"), "-", _xll.BDP($E97,W$3))</f>
        <v>#NAME?</v>
      </c>
      <c r="X97" s="105" t="e">
        <f ca="1">IF(OR(_xll.BDP($E97,X$3)="#N/A N/A",_xll.BDP($E97,X$3)="#N/A Invalid Security"), " ", _xll.BDP($E97,X$3))</f>
        <v>#NAME?</v>
      </c>
      <c r="Y97" s="105" t="e">
        <f ca="1">IF(OR(_xll.BDP($E97,Y$3)="#N/A N/A",_xll.BDP($E97,Y$3)="#N/A Invalid Security"), " ", _xll.BDP($E97,Y$3))</f>
        <v>#NAME?</v>
      </c>
      <c r="Z97" s="106" t="e">
        <f ca="1">IF(OR(_xll.BDP($E97,Z$3)="#N/A N/A",_xll.BDP($E97,Z$3)="#N/A Invalid Security"), " ", _xll.BDP($E97,Z$3))</f>
        <v>#NAME?</v>
      </c>
      <c r="AA97" s="107"/>
      <c r="AB97" s="93" t="s">
        <v>953</v>
      </c>
      <c r="AC97" s="93" t="s">
        <v>939</v>
      </c>
      <c r="AD97" s="93" t="s">
        <v>953</v>
      </c>
      <c r="AE97" s="93" t="s">
        <v>940</v>
      </c>
      <c r="AF97" s="93" t="s">
        <v>940</v>
      </c>
      <c r="AG97" s="93" t="s">
        <v>940</v>
      </c>
      <c r="AH97" s="95" t="e">
        <f t="shared" ca="1" si="30"/>
        <v>#NAME?</v>
      </c>
      <c r="AI97" s="95" t="e">
        <f t="shared" ca="1" si="30"/>
        <v>#NAME?</v>
      </c>
      <c r="AJ97" s="95" t="e">
        <f t="shared" ca="1" si="30"/>
        <v>#NAME?</v>
      </c>
      <c r="AK97" s="95" t="e">
        <f t="shared" ca="1" si="30"/>
        <v>#NAME?</v>
      </c>
      <c r="AL97" s="95" t="e">
        <f t="shared" ca="1" si="30"/>
        <v>#NAME?</v>
      </c>
      <c r="AM97" s="95" t="e">
        <f t="shared" ca="1" si="30"/>
        <v>#NAME?</v>
      </c>
      <c r="AN97" s="66" t="str">
        <f ca="1">IF(SUM(AT97:AV97)&gt;0,"Y","")</f>
        <v/>
      </c>
      <c r="AO97" s="108" t="e" cm="1">
        <f t="array" aca="1" ref="AO97" ca="1">_xll.BDP($E97,"cur_mkt_cap")</f>
        <v>#NAME?</v>
      </c>
      <c r="AP97" s="108" t="e" cm="1">
        <f t="array" aca="1" ref="AP97" ca="1">_xll.BDP($E97,"crncy")</f>
        <v>#NAME?</v>
      </c>
      <c r="AQ97" s="109" t="e" cm="1">
        <f t="array" aca="1" ref="AQ97" ca="1">_xll.BDP("USD"&amp;AP97&amp;" curncy","px_last")</f>
        <v>#NAME?</v>
      </c>
      <c r="AR97" s="109" t="e">
        <f t="shared" ca="1" si="20"/>
        <v>#NAME?</v>
      </c>
      <c r="AT97" s="66" t="str">
        <f t="shared" ca="1" si="33"/>
        <v/>
      </c>
      <c r="AU97" s="66" t="str">
        <f t="shared" ca="1" si="33"/>
        <v/>
      </c>
      <c r="AV97" s="66" t="str">
        <f t="shared" ca="1" si="33"/>
        <v/>
      </c>
      <c r="AW97" s="73" t="str" cm="1">
        <f t="array" aca="1" ref="AW97" ca="1">IF(ISERROR(DATEVALUE(_xll.BDP($E97,AW$6))),"",DATEVALUE(_xll.BDP($E97,AW$6)))</f>
        <v/>
      </c>
      <c r="AX97" s="73" t="str" cm="1">
        <f t="array" aca="1" ref="AX97" ca="1">IF(ISERROR(DATEVALUE(_xll.BDP($E97,AX$2))),"",DATEVALUE(_xll.BDP($E97,AX$2)))</f>
        <v/>
      </c>
      <c r="AY97" s="73" t="str" cm="1">
        <f t="array" aca="1" ref="AY97" ca="1">IF(ISERROR(DATEVALUE(_xll.BDP($E97,AY$6))),"",DATEVALUE(_xll.BDP($E97,AY$6)))</f>
        <v/>
      </c>
      <c r="AZ97" s="110" t="e" cm="1">
        <f t="array" aca="1" ref="AZ97" ca="1">IF(_xll.BQL($E97, "last(matches(px_last(dates=range(-1w,0d)), dayofweek(px_last(dates=range(-1w,0d)).date)==6))")="#N/A","-",_xll.BQL($E97, "last(matches(px_last(dates=range(-1w,0d)), dayofweek(px_last(dates=range(-1w,0d)).date)==6))"))</f>
        <v>#NAME?</v>
      </c>
      <c r="BA97" s="109" t="e" cm="1">
        <f t="array" aca="1" ref="BA97" ca="1">IF(_xll.BQL(E97,"first(last(matches(px_last(dates=range(-1M,0D)),dayofweek(px_last(dates=range(-1M,0D)).date)==6),2),1)")="#N/A","-",_xll.BQL(E97,"first(last(matches(px_last(dates=range(-1M,0D)),dayofweek(px_last(dates=range(-1M,0D)).date)==6),2),1)"))</f>
        <v>#NAME?</v>
      </c>
      <c r="BB97" s="109" t="str">
        <f t="shared" ca="1" si="23"/>
        <v>-</v>
      </c>
    </row>
    <row r="98" spans="5:54" ht="16.5" customHeight="1" thickBot="1">
      <c r="E98" s="96" t="s">
        <v>1061</v>
      </c>
      <c r="F98" s="66" t="e">
        <f ca="1">_xll.BDP($E98,F$3)&amp;" CBIN Curncy"</f>
        <v>#NAME?</v>
      </c>
      <c r="G98" s="97" t="e">
        <f t="shared" ca="1" si="17"/>
        <v>#NAME?</v>
      </c>
      <c r="H98" s="76"/>
      <c r="I98" s="633"/>
      <c r="J98" s="98" t="e">
        <f ca="1">_xll.BDP($E98,J$3)</f>
        <v>#NAME?</v>
      </c>
      <c r="K98" s="99" t="e">
        <f ca="1">_xll.BDP($E98,K$3)</f>
        <v>#NAME?</v>
      </c>
      <c r="L98" s="100" t="str">
        <f ca="1">IF(ISNUMBER(_xll.BDH($E98,"PX_LAST",TEXT($E$2,"YYYYMMDD"),TEXT($E$2,"YYYYMMDD"),"days=a","fill=p")),_xll.BDH($E98,"PX_LAST",TEXT($E$2,"YYYYMMDD"),TEXT($E$2,"YYYYMMDD"),"days=a","fill=p"),"-")</f>
        <v>-</v>
      </c>
      <c r="M98" s="100" t="str">
        <f ca="1">IF(ISNUMBER(_xll.BDH($E98,"PX_LAST",TEXT($E$2-7,"YYYYMMDD"),TEXT($E$2-7,"YYYYMMDD"),"days=a","fill=p")),_xll.BDH($E98,"PX_LAST",TEXT($E$2-7,"YYYYMMDD"),TEXT($E$2-7,"YYYYMMDD"),"days=a","fill=p"),"-")</f>
        <v>-</v>
      </c>
      <c r="N98" s="180" t="str">
        <f t="shared" ca="1" si="31"/>
        <v>-</v>
      </c>
      <c r="O98" s="101" t="e">
        <f ca="1">IF(OR(_xll.BDP($E98,O$3)="#N/A N/A",_xll.BDP($E98,O$3)="#N/A Invalid Security"), "-", _xll.BDP($E98,O$3))</f>
        <v>#NAME?</v>
      </c>
      <c r="P98" s="182" t="str">
        <f ca="1">IF(ISNUMBER(_xll.BDH($F98,"PX_LAST",TEXT($E$2,"YYYYMMDD"),TEXT($E$2,"YYYYMMDD"),"days=a","fill=p")),_xll.BDH($F98,"PX_LAST",TEXT($E$2,"YYYYMMDD"),TEXT($E$2,"YYYYMMDD"),"days=a","fill=p"),"-")</f>
        <v>-</v>
      </c>
      <c r="Q98" s="182" t="str">
        <f ca="1">IF(ISNUMBER(_xll.BDH($F98,"PX_LAST",TEXT($E$2-7,"YYYYMMDD"),TEXT($E$2-7,"YYYYMMDD"),"days=a","fill=p")),_xll.BDH($F98,"PX_LAST",TEXT($E$2-7,"YYYYMMDD"),TEXT($E$2-7,"YYYYMMDD"),"days=a","fill=p"),"-")</f>
        <v>-</v>
      </c>
      <c r="R98" s="102" t="str">
        <f t="shared" ca="1" si="32"/>
        <v>-</v>
      </c>
      <c r="S98" s="103" t="str">
        <f ca="1">IF(ISNUMBER(_xll.BDP($F98,S$3)),_xll.BDP($F98,S$3),"-")</f>
        <v>-</v>
      </c>
      <c r="T98" s="104" t="e">
        <f t="shared" ca="1" si="34"/>
        <v>#NAME?</v>
      </c>
      <c r="U98" s="105" t="e">
        <f ca="1">IF(OR(_xll.BDP($E98,U$3)="#N/A N/A",_xll.BDP($E98,U$3)="#N/A Invalid Security"), "-", _xll.BDP($E98,U$3))</f>
        <v>#NAME?</v>
      </c>
      <c r="V98" s="105" t="e">
        <f ca="1">IF(OR(_xll.BDP($E98,V$2)="#N/A N/A",_xll.BDP($E98,V$2)="#N/A Invalid Security"), "-", _xll.BDP($E98,V$2))</f>
        <v>#NAME?</v>
      </c>
      <c r="W98" s="106" t="e">
        <f ca="1">IF(OR(_xll.BDP($E98,W$3)="#N/A N/A",_xll.BDP($E98,W$3)="#N/A Invalid Security"), "-", _xll.BDP($E98,W$3))</f>
        <v>#NAME?</v>
      </c>
      <c r="X98" s="105" t="e">
        <f ca="1">IF(OR(_xll.BDP($E98,X$3)="#N/A N/A",_xll.BDP($E98,X$3)="#N/A Invalid Security"), " ", _xll.BDP($E98,X$3))</f>
        <v>#NAME?</v>
      </c>
      <c r="Y98" s="105" t="e">
        <f ca="1">IF(OR(_xll.BDP($E98,Y$3)="#N/A N/A",_xll.BDP($E98,Y$3)="#N/A Invalid Security"), " ", _xll.BDP($E98,Y$3))</f>
        <v>#NAME?</v>
      </c>
      <c r="Z98" s="106" t="e">
        <f ca="1">IF(OR(_xll.BDP($E98,Z$3)="#N/A N/A",_xll.BDP($E98,Z$3)="#N/A Invalid Security"), " ", _xll.BDP($E98,Z$3))</f>
        <v>#NAME?</v>
      </c>
      <c r="AA98" s="107"/>
      <c r="AB98" s="93" t="s">
        <v>953</v>
      </c>
      <c r="AC98" s="93" t="s">
        <v>939</v>
      </c>
      <c r="AD98" s="93" t="s">
        <v>953</v>
      </c>
      <c r="AE98" s="93" t="s">
        <v>940</v>
      </c>
      <c r="AF98" s="93" t="s">
        <v>940</v>
      </c>
      <c r="AG98" s="93" t="s">
        <v>940</v>
      </c>
      <c r="AH98" s="95" t="e">
        <f t="shared" ca="1" si="30"/>
        <v>#NAME?</v>
      </c>
      <c r="AI98" s="95" t="e">
        <f t="shared" ca="1" si="30"/>
        <v>#NAME?</v>
      </c>
      <c r="AJ98" s="95" t="e">
        <f t="shared" ca="1" si="30"/>
        <v>#NAME?</v>
      </c>
      <c r="AK98" s="95" t="e">
        <f t="shared" ca="1" si="30"/>
        <v>#NAME?</v>
      </c>
      <c r="AL98" s="95" t="e">
        <f t="shared" ca="1" si="30"/>
        <v>#NAME?</v>
      </c>
      <c r="AM98" s="95" t="e">
        <f t="shared" ca="1" si="30"/>
        <v>#NAME?</v>
      </c>
      <c r="AN98" s="66" t="str">
        <f ca="1">IF(SUM(AT98:AV98)&gt;0,"Y","")</f>
        <v/>
      </c>
      <c r="AO98" s="108" t="e" cm="1">
        <f t="array" aca="1" ref="AO98" ca="1">_xll.BDP($E98,"cur_mkt_cap")</f>
        <v>#NAME?</v>
      </c>
      <c r="AP98" s="108" t="e" cm="1">
        <f t="array" aca="1" ref="AP98" ca="1">_xll.BDP($E98,"crncy")</f>
        <v>#NAME?</v>
      </c>
      <c r="AQ98" s="109" t="e" cm="1">
        <f t="array" aca="1" ref="AQ98" ca="1">_xll.BDP("USD"&amp;AP98&amp;" curncy","px_last")</f>
        <v>#NAME?</v>
      </c>
      <c r="AR98" s="109" t="e">
        <f t="shared" ca="1" si="20"/>
        <v>#NAME?</v>
      </c>
      <c r="AT98" s="66" t="str">
        <f t="shared" ca="1" si="33"/>
        <v/>
      </c>
      <c r="AU98" s="66" t="str">
        <f t="shared" ca="1" si="33"/>
        <v/>
      </c>
      <c r="AV98" s="66" t="str">
        <f t="shared" ca="1" si="33"/>
        <v/>
      </c>
      <c r="AW98" s="73" t="str" cm="1">
        <f t="array" aca="1" ref="AW98" ca="1">IF(ISERROR(DATEVALUE(_xll.BDP($E98,AW$6))),"",DATEVALUE(_xll.BDP($E98,AW$6)))</f>
        <v/>
      </c>
      <c r="AX98" s="73" t="str" cm="1">
        <f t="array" aca="1" ref="AX98" ca="1">IF(ISERROR(DATEVALUE(_xll.BDP($E98,AX$2))),"",DATEVALUE(_xll.BDP($E98,AX$2)))</f>
        <v/>
      </c>
      <c r="AY98" s="73" t="str" cm="1">
        <f t="array" aca="1" ref="AY98" ca="1">IF(ISERROR(DATEVALUE(_xll.BDP($E98,AY$6))),"",DATEVALUE(_xll.BDP($E98,AY$6)))</f>
        <v/>
      </c>
      <c r="AZ98" s="110" t="e" cm="1">
        <f t="array" aca="1" ref="AZ98" ca="1">IF(_xll.BQL($E98, "last(matches(px_last(dates=range(-1w,0d)), dayofweek(px_last(dates=range(-1w,0d)).date)==6))")="#N/A","-",_xll.BQL($E98, "last(matches(px_last(dates=range(-1w,0d)), dayofweek(px_last(dates=range(-1w,0d)).date)==6))"))</f>
        <v>#NAME?</v>
      </c>
      <c r="BA98" s="109" t="e" cm="1">
        <f t="array" aca="1" ref="BA98" ca="1">IF(_xll.BQL(E98,"first(last(matches(px_last(dates=range(-1M,0D)),dayofweek(px_last(dates=range(-1M,0D)).date)==6),2),1)")="#N/A","-",_xll.BQL(E98,"first(last(matches(px_last(dates=range(-1M,0D)),dayofweek(px_last(dates=range(-1M,0D)).date)==6),2),1)"))</f>
        <v>#NAME?</v>
      </c>
      <c r="BB98" s="109" t="str">
        <f t="shared" ca="1" si="23"/>
        <v>-</v>
      </c>
    </row>
    <row r="99" spans="5:54" ht="16.5" customHeight="1" thickBot="1">
      <c r="E99" s="96" t="s">
        <v>1062</v>
      </c>
      <c r="F99" s="66" t="e">
        <f ca="1">_xll.BDP($E99,F$3)&amp;" CBIN Curncy"</f>
        <v>#NAME?</v>
      </c>
      <c r="G99" s="97" t="e">
        <f t="shared" ca="1" si="17"/>
        <v>#NAME?</v>
      </c>
      <c r="H99" s="76"/>
      <c r="I99" s="633"/>
      <c r="J99" s="98" t="e">
        <f ca="1">_xll.BDP($E99,J$3)</f>
        <v>#NAME?</v>
      </c>
      <c r="K99" s="99" t="e">
        <f ca="1">_xll.BDP($E99,K$3)</f>
        <v>#NAME?</v>
      </c>
      <c r="L99" s="100" t="str">
        <f ca="1">IF(ISNUMBER(_xll.BDH($E99,"PX_LAST",TEXT($E$2,"YYYYMMDD"),TEXT($E$2,"YYYYMMDD"),"days=a","fill=p")),_xll.BDH($E99,"PX_LAST",TEXT($E$2,"YYYYMMDD"),TEXT($E$2,"YYYYMMDD"),"days=a","fill=p"),"-")</f>
        <v>-</v>
      </c>
      <c r="M99" s="100" t="str">
        <f ca="1">IF(ISNUMBER(_xll.BDH($E99,"PX_LAST",TEXT($E$2-7,"YYYYMMDD"),TEXT($E$2-7,"YYYYMMDD"),"days=a","fill=p")),_xll.BDH($E99,"PX_LAST",TEXT($E$2-7,"YYYYMMDD"),TEXT($E$2-7,"YYYYMMDD"),"days=a","fill=p"),"-")</f>
        <v>-</v>
      </c>
      <c r="N99" s="180" t="str">
        <f t="shared" ca="1" si="31"/>
        <v>-</v>
      </c>
      <c r="O99" s="101" t="e">
        <f ca="1">IF(OR(_xll.BDP($E99,O$3)="#N/A N/A",_xll.BDP($E99,O$3)="#N/A Invalid Security"), "-", _xll.BDP($E99,O$3))</f>
        <v>#NAME?</v>
      </c>
      <c r="P99" s="182" t="str">
        <f ca="1">IF(ISNUMBER(_xll.BDH($F99,"PX_LAST",TEXT($E$2,"YYYYMMDD"),TEXT($E$2,"YYYYMMDD"),"days=a","fill=p")),_xll.BDH($F99,"PX_LAST",TEXT($E$2,"YYYYMMDD"),TEXT($E$2,"YYYYMMDD"),"days=a","fill=p"),"-")</f>
        <v>-</v>
      </c>
      <c r="Q99" s="182" t="str">
        <f ca="1">IF(ISNUMBER(_xll.BDH($F99,"PX_LAST",TEXT($E$2-7,"YYYYMMDD"),TEXT($E$2-7,"YYYYMMDD"),"days=a","fill=p")),_xll.BDH($F99,"PX_LAST",TEXT($E$2-7,"YYYYMMDD"),TEXT($E$2-7,"YYYYMMDD"),"days=a","fill=p"),"-")</f>
        <v>-</v>
      </c>
      <c r="R99" s="102" t="str">
        <f t="shared" ca="1" si="32"/>
        <v>-</v>
      </c>
      <c r="S99" s="103" t="str">
        <f ca="1">IF(ISNUMBER(_xll.BDP($F99,S$3)),_xll.BDP($F99,S$3),"-")</f>
        <v>-</v>
      </c>
      <c r="T99" s="104" t="e">
        <f t="shared" ca="1" si="34"/>
        <v>#NAME?</v>
      </c>
      <c r="U99" s="105" t="e">
        <f ca="1">IF(OR(_xll.BDP($E99,U$3)="#N/A N/A",_xll.BDP($E99,U$3)="#N/A Invalid Security"), "-", _xll.BDP($E99,U$3))</f>
        <v>#NAME?</v>
      </c>
      <c r="V99" s="105" t="e">
        <f ca="1">IF(OR(_xll.BDP($E99,V$2)="#N/A N/A",_xll.BDP($E99,V$2)="#N/A Invalid Security"), "-", _xll.BDP($E99,V$2))</f>
        <v>#NAME?</v>
      </c>
      <c r="W99" s="106" t="e">
        <f ca="1">IF(OR(_xll.BDP($E99,W$3)="#N/A N/A",_xll.BDP($E99,W$3)="#N/A Invalid Security"), "-", _xll.BDP($E99,W$3))</f>
        <v>#NAME?</v>
      </c>
      <c r="X99" s="105" t="e">
        <f ca="1">IF(OR(_xll.BDP($E99,X$3)="#N/A N/A",_xll.BDP($E99,X$3)="#N/A Invalid Security"), " ", _xll.BDP($E99,X$3))</f>
        <v>#NAME?</v>
      </c>
      <c r="Y99" s="105" t="e">
        <f ca="1">IF(OR(_xll.BDP($E99,Y$3)="#N/A N/A",_xll.BDP($E99,Y$3)="#N/A Invalid Security"), " ", _xll.BDP($E99,Y$3))</f>
        <v>#NAME?</v>
      </c>
      <c r="Z99" s="106" t="e">
        <f ca="1">IF(OR(_xll.BDP($E99,Z$3)="#N/A N/A",_xll.BDP($E99,Z$3)="#N/A Invalid Security"), " ", _xll.BDP($E99,Z$3))</f>
        <v>#NAME?</v>
      </c>
      <c r="AA99" s="107"/>
      <c r="AB99" s="93" t="s">
        <v>953</v>
      </c>
      <c r="AC99" s="93" t="s">
        <v>939</v>
      </c>
      <c r="AD99" s="93" t="s">
        <v>953</v>
      </c>
      <c r="AE99" s="93" t="s">
        <v>940</v>
      </c>
      <c r="AF99" s="93" t="s">
        <v>940</v>
      </c>
      <c r="AG99" s="93" t="s">
        <v>940</v>
      </c>
      <c r="AH99" s="95" t="e">
        <f t="shared" ca="1" si="30"/>
        <v>#NAME?</v>
      </c>
      <c r="AI99" s="95" t="e">
        <f t="shared" ca="1" si="30"/>
        <v>#NAME?</v>
      </c>
      <c r="AJ99" s="95" t="e">
        <f t="shared" ca="1" si="30"/>
        <v>#NAME?</v>
      </c>
      <c r="AK99" s="95" t="e">
        <f t="shared" ca="1" si="30"/>
        <v>#NAME?</v>
      </c>
      <c r="AL99" s="95" t="e">
        <f t="shared" ca="1" si="30"/>
        <v>#NAME?</v>
      </c>
      <c r="AM99" s="95" t="e">
        <f t="shared" ca="1" si="30"/>
        <v>#NAME?</v>
      </c>
      <c r="AN99" s="66" t="str">
        <f ca="1">IF(SUM(AT99:AV99)&gt;0,"Y","")</f>
        <v/>
      </c>
      <c r="AO99" s="108" t="e" cm="1">
        <f t="array" aca="1" ref="AO99" ca="1">_xll.BDP($E99,"cur_mkt_cap")</f>
        <v>#NAME?</v>
      </c>
      <c r="AP99" s="108" t="e" cm="1">
        <f t="array" aca="1" ref="AP99" ca="1">_xll.BDP($E99,"crncy")</f>
        <v>#NAME?</v>
      </c>
      <c r="AQ99" s="109" t="e" cm="1">
        <f t="array" aca="1" ref="AQ99" ca="1">_xll.BDP("USD"&amp;AP99&amp;" curncy","px_last")</f>
        <v>#NAME?</v>
      </c>
      <c r="AR99" s="109" t="e">
        <f t="shared" ref="AR99:AR148" ca="1" si="35">AO99/AQ99/1000000000</f>
        <v>#NAME?</v>
      </c>
      <c r="AT99" s="66" t="str">
        <f t="shared" ca="1" si="33"/>
        <v/>
      </c>
      <c r="AU99" s="66" t="str">
        <f t="shared" ca="1" si="33"/>
        <v/>
      </c>
      <c r="AV99" s="66" t="str">
        <f t="shared" ca="1" si="33"/>
        <v/>
      </c>
      <c r="AW99" s="73" t="str" cm="1">
        <f t="array" aca="1" ref="AW99" ca="1">IF(ISERROR(DATEVALUE(_xll.BDP($E99,AW$6))),"",DATEVALUE(_xll.BDP($E99,AW$6)))</f>
        <v/>
      </c>
      <c r="AX99" s="73" t="str" cm="1">
        <f t="array" aca="1" ref="AX99" ca="1">IF(ISERROR(DATEVALUE(_xll.BDP($E99,AX$2))),"",DATEVALUE(_xll.BDP($E99,AX$2)))</f>
        <v/>
      </c>
      <c r="AY99" s="73" t="str" cm="1">
        <f t="array" aca="1" ref="AY99" ca="1">IF(ISERROR(DATEVALUE(_xll.BDP($E99,AY$6))),"",DATEVALUE(_xll.BDP($E99,AY$6)))</f>
        <v/>
      </c>
      <c r="AZ99" s="110" t="e" cm="1">
        <f t="array" aca="1" ref="AZ99" ca="1">IF(_xll.BQL($E99, "last(matches(px_last(dates=range(-1w,0d)), dayofweek(px_last(dates=range(-1w,0d)).date)==6))")="#N/A","-",_xll.BQL($E99, "last(matches(px_last(dates=range(-1w,0d)), dayofweek(px_last(dates=range(-1w,0d)).date)==6))"))</f>
        <v>#NAME?</v>
      </c>
      <c r="BA99" s="109" t="e" cm="1">
        <f t="array" aca="1" ref="BA99" ca="1">IF(_xll.BQL(E99,"first(last(matches(px_last(dates=range(-1M,0D)),dayofweek(px_last(dates=range(-1M,0D)).date)==6),2),1)")="#N/A","-",_xll.BQL(E99,"first(last(matches(px_last(dates=range(-1M,0D)),dayofweek(px_last(dates=range(-1M,0D)).date)==6),2),1)"))</f>
        <v>#NAME?</v>
      </c>
      <c r="BB99" s="109" t="str">
        <f t="shared" ca="1" si="23"/>
        <v>-</v>
      </c>
    </row>
    <row r="100" spans="5:54" ht="16.5" customHeight="1" thickBot="1">
      <c r="E100" s="96" t="s">
        <v>1063</v>
      </c>
      <c r="F100" s="66" t="e">
        <f ca="1">_xll.BDP($E100,F$3)&amp;" CBIN Curncy"</f>
        <v>#NAME?</v>
      </c>
      <c r="G100" s="97" t="e">
        <f t="shared" ca="1" si="17"/>
        <v>#NAME?</v>
      </c>
      <c r="H100" s="76"/>
      <c r="I100" s="633"/>
      <c r="J100" s="98" t="e">
        <f ca="1">_xll.BDP($E100,J$3)</f>
        <v>#NAME?</v>
      </c>
      <c r="K100" s="99" t="e">
        <f ca="1">_xll.BDP($E100,K$3)</f>
        <v>#NAME?</v>
      </c>
      <c r="L100" s="100" t="str">
        <f ca="1">IF(ISNUMBER(_xll.BDH($E100,"PX_LAST",TEXT($E$2,"YYYYMMDD"),TEXT($E$2,"YYYYMMDD"),"days=a","fill=p")),_xll.BDH($E100,"PX_LAST",TEXT($E$2,"YYYYMMDD"),TEXT($E$2,"YYYYMMDD"),"days=a","fill=p"),"-")</f>
        <v>-</v>
      </c>
      <c r="M100" s="100" t="str">
        <f ca="1">IF(ISNUMBER(_xll.BDH($E100,"PX_LAST",TEXT($E$2-7,"YYYYMMDD"),TEXT($E$2-7,"YYYYMMDD"),"days=a","fill=p")),_xll.BDH($E100,"PX_LAST",TEXT($E$2-7,"YYYYMMDD"),TEXT($E$2-7,"YYYYMMDD"),"days=a","fill=p"),"-")</f>
        <v>-</v>
      </c>
      <c r="N100" s="180" t="str">
        <f t="shared" ca="1" si="31"/>
        <v>-</v>
      </c>
      <c r="O100" s="101" t="e">
        <f ca="1">IF(OR(_xll.BDP($E100,O$3)="#N/A N/A",_xll.BDP($E100,O$3)="#N/A Invalid Security"), "-", _xll.BDP($E100,O$3))</f>
        <v>#NAME?</v>
      </c>
      <c r="P100" s="182" t="str">
        <f ca="1">IF(ISNUMBER(_xll.BDH($F100,"PX_LAST",TEXT($E$2,"YYYYMMDD"),TEXT($E$2,"YYYYMMDD"),"days=a","fill=p")),_xll.BDH($F100,"PX_LAST",TEXT($E$2,"YYYYMMDD"),TEXT($E$2,"YYYYMMDD"),"days=a","fill=p"),"-")</f>
        <v>-</v>
      </c>
      <c r="Q100" s="182" t="str">
        <f ca="1">IF(ISNUMBER(_xll.BDH($F100,"PX_LAST",TEXT($E$2-7,"YYYYMMDD"),TEXT($E$2-7,"YYYYMMDD"),"days=a","fill=p")),_xll.BDH($F100,"PX_LAST",TEXT($E$2-7,"YYYYMMDD"),TEXT($E$2-7,"YYYYMMDD"),"days=a","fill=p"),"-")</f>
        <v>-</v>
      </c>
      <c r="R100" s="102" t="str">
        <f t="shared" ca="1" si="32"/>
        <v>-</v>
      </c>
      <c r="S100" s="103" t="str">
        <f ca="1">IF(ISNUMBER(_xll.BDP($F100,S$3)),_xll.BDP($F100,S$3),"-")</f>
        <v>-</v>
      </c>
      <c r="T100" s="104" t="e">
        <f t="shared" ca="1" si="34"/>
        <v>#NAME?</v>
      </c>
      <c r="U100" s="105" t="e">
        <f ca="1">IF(OR(_xll.BDP($E100,U$3)="#N/A N/A",_xll.BDP($E100,U$3)="#N/A Invalid Security"), "-", _xll.BDP($E100,U$3))</f>
        <v>#NAME?</v>
      </c>
      <c r="V100" s="105" t="e">
        <f ca="1">IF(OR(_xll.BDP($E100,V$2)="#N/A N/A",_xll.BDP($E100,V$2)="#N/A Invalid Security"), "-", _xll.BDP($E100,V$2))</f>
        <v>#NAME?</v>
      </c>
      <c r="W100" s="106" t="e">
        <f ca="1">IF(OR(_xll.BDP($E100,W$3)="#N/A N/A",_xll.BDP($E100,W$3)="#N/A Invalid Security"), "-", _xll.BDP($E100,W$3))</f>
        <v>#NAME?</v>
      </c>
      <c r="X100" s="105" t="e">
        <f ca="1">IF(OR(_xll.BDP($E100,X$3)="#N/A N/A",_xll.BDP($E100,X$3)="#N/A Invalid Security"), " ", _xll.BDP($E100,X$3))</f>
        <v>#NAME?</v>
      </c>
      <c r="Y100" s="105" t="e">
        <f ca="1">IF(OR(_xll.BDP($E100,Y$3)="#N/A N/A",_xll.BDP($E100,Y$3)="#N/A Invalid Security"), " ", _xll.BDP($E100,Y$3))</f>
        <v>#NAME?</v>
      </c>
      <c r="Z100" s="106" t="e">
        <f ca="1">IF(OR(_xll.BDP($E100,Z$3)="#N/A N/A",_xll.BDP($E100,Z$3)="#N/A Invalid Security"), " ", _xll.BDP($E100,Z$3))</f>
        <v>#NAME?</v>
      </c>
      <c r="AA100" s="107"/>
      <c r="AB100" s="93" t="s">
        <v>953</v>
      </c>
      <c r="AC100" s="93" t="s">
        <v>939</v>
      </c>
      <c r="AD100" s="93" t="s">
        <v>953</v>
      </c>
      <c r="AE100" s="93" t="s">
        <v>940</v>
      </c>
      <c r="AF100" s="93" t="s">
        <v>940</v>
      </c>
      <c r="AG100" s="93" t="s">
        <v>940</v>
      </c>
      <c r="AH100" s="95" t="e">
        <f t="shared" ca="1" si="30"/>
        <v>#NAME?</v>
      </c>
      <c r="AI100" s="95" t="e">
        <f t="shared" ca="1" si="30"/>
        <v>#NAME?</v>
      </c>
      <c r="AJ100" s="95" t="e">
        <f t="shared" ca="1" si="30"/>
        <v>#NAME?</v>
      </c>
      <c r="AK100" s="95" t="e">
        <f t="shared" ca="1" si="30"/>
        <v>#NAME?</v>
      </c>
      <c r="AL100" s="95" t="e">
        <f t="shared" ca="1" si="30"/>
        <v>#NAME?</v>
      </c>
      <c r="AM100" s="95" t="e">
        <f t="shared" ca="1" si="30"/>
        <v>#NAME?</v>
      </c>
      <c r="AN100" s="66" t="str">
        <f ca="1">IF(SUM(AT100:AV100)&gt;0,"Y","")</f>
        <v/>
      </c>
      <c r="AO100" s="108" t="e" cm="1">
        <f t="array" aca="1" ref="AO100" ca="1">_xll.BDP($E100,"cur_mkt_cap")</f>
        <v>#NAME?</v>
      </c>
      <c r="AP100" s="108" t="e" cm="1">
        <f t="array" aca="1" ref="AP100" ca="1">_xll.BDP($E100,"crncy")</f>
        <v>#NAME?</v>
      </c>
      <c r="AQ100" s="109" t="e" cm="1">
        <f t="array" aca="1" ref="AQ100" ca="1">_xll.BDP("USD"&amp;AP100&amp;" curncy","px_last")</f>
        <v>#NAME?</v>
      </c>
      <c r="AR100" s="109" t="e">
        <f t="shared" ca="1" si="35"/>
        <v>#NAME?</v>
      </c>
      <c r="AT100" s="66" t="str">
        <f t="shared" ca="1" si="33"/>
        <v/>
      </c>
      <c r="AU100" s="66" t="str">
        <f t="shared" ca="1" si="33"/>
        <v/>
      </c>
      <c r="AV100" s="66" t="str">
        <f t="shared" ca="1" si="33"/>
        <v/>
      </c>
      <c r="AW100" s="73" t="str" cm="1">
        <f t="array" aca="1" ref="AW100" ca="1">IF(ISERROR(DATEVALUE(_xll.BDP($E100,AW$6))),"",DATEVALUE(_xll.BDP($E100,AW$6)))</f>
        <v/>
      </c>
      <c r="AX100" s="73" t="str" cm="1">
        <f t="array" aca="1" ref="AX100" ca="1">IF(ISERROR(DATEVALUE(_xll.BDP($E100,AX$2))),"",DATEVALUE(_xll.BDP($E100,AX$2)))</f>
        <v/>
      </c>
      <c r="AY100" s="73" t="str" cm="1">
        <f t="array" aca="1" ref="AY100" ca="1">IF(ISERROR(DATEVALUE(_xll.BDP($E100,AY$6))),"",DATEVALUE(_xll.BDP($E100,AY$6)))</f>
        <v/>
      </c>
      <c r="AZ100" s="110" t="e" cm="1">
        <f t="array" aca="1" ref="AZ100" ca="1">IF(_xll.BQL($E100, "last(matches(px_last(dates=range(-1w,0d)), dayofweek(px_last(dates=range(-1w,0d)).date)==6))")="#N/A","-",_xll.BQL($E100, "last(matches(px_last(dates=range(-1w,0d)), dayofweek(px_last(dates=range(-1w,0d)).date)==6))"))</f>
        <v>#NAME?</v>
      </c>
      <c r="BA100" s="109" t="e" cm="1">
        <f t="array" aca="1" ref="BA100" ca="1">IF(_xll.BQL(E100,"first(last(matches(px_last(dates=range(-1M,0D)),dayofweek(px_last(dates=range(-1M,0D)).date)==6),2),1)")="#N/A","-",_xll.BQL(E100,"first(last(matches(px_last(dates=range(-1M,0D)),dayofweek(px_last(dates=range(-1M,0D)).date)==6),2),1)"))</f>
        <v>#NAME?</v>
      </c>
      <c r="BB100" s="109" t="str">
        <f t="shared" ref="BB100:BB163" ca="1" si="36">IF(ISERROR((AZ100/BA100-1)*100),"-",(AZ100/BA100-1)*100)</f>
        <v>-</v>
      </c>
    </row>
    <row r="101" spans="5:54" ht="16.5" customHeight="1" thickBot="1">
      <c r="E101" s="96" t="s">
        <v>1064</v>
      </c>
      <c r="F101" s="66" t="e">
        <f ca="1">_xll.BDP($E101,F$3)&amp;" CBIN Curncy"</f>
        <v>#NAME?</v>
      </c>
      <c r="G101" s="97" t="e">
        <f t="shared" ca="1" si="17"/>
        <v>#NAME?</v>
      </c>
      <c r="H101" s="76"/>
      <c r="I101" s="633"/>
      <c r="J101" s="98" t="e">
        <f ca="1">_xll.BDP($E101,J$3)</f>
        <v>#NAME?</v>
      </c>
      <c r="K101" s="99" t="e">
        <f ca="1">_xll.BDP($E101,K$3)</f>
        <v>#NAME?</v>
      </c>
      <c r="L101" s="100" t="str">
        <f ca="1">IF(ISNUMBER(_xll.BDH($E101,"PX_LAST",TEXT($E$2,"YYYYMMDD"),TEXT($E$2,"YYYYMMDD"),"days=a","fill=p")),_xll.BDH($E101,"PX_LAST",TEXT($E$2,"YYYYMMDD"),TEXT($E$2,"YYYYMMDD"),"days=a","fill=p"),"-")</f>
        <v>-</v>
      </c>
      <c r="M101" s="100" t="str">
        <f ca="1">IF(ISNUMBER(_xll.BDH($E101,"PX_LAST",TEXT($E$2-7,"YYYYMMDD"),TEXT($E$2-7,"YYYYMMDD"),"days=a","fill=p")),_xll.BDH($E101,"PX_LAST",TEXT($E$2-7,"YYYYMMDD"),TEXT($E$2-7,"YYYYMMDD"),"days=a","fill=p"),"-")</f>
        <v>-</v>
      </c>
      <c r="N101" s="180" t="str">
        <f t="shared" ca="1" si="31"/>
        <v>-</v>
      </c>
      <c r="O101" s="101" t="e">
        <f ca="1">IF(OR(_xll.BDP($E101,O$3)="#N/A N/A",_xll.BDP($E101,O$3)="#N/A Invalid Security"), "-", _xll.BDP($E101,O$3))</f>
        <v>#NAME?</v>
      </c>
      <c r="P101" s="182" t="str">
        <f ca="1">IF(ISNUMBER(_xll.BDH($F101,"PX_LAST",TEXT($E$2,"YYYYMMDD"),TEXT($E$2,"YYYYMMDD"),"days=a","fill=p")),_xll.BDH($F101,"PX_LAST",TEXT($E$2,"YYYYMMDD"),TEXT($E$2,"YYYYMMDD"),"days=a","fill=p"),"-")</f>
        <v>-</v>
      </c>
      <c r="Q101" s="182" t="str">
        <f ca="1">IF(ISNUMBER(_xll.BDH($F101,"PX_LAST",TEXT($E$2-7,"YYYYMMDD"),TEXT($E$2-7,"YYYYMMDD"),"days=a","fill=p")),_xll.BDH($F101,"PX_LAST",TEXT($E$2-7,"YYYYMMDD"),TEXT($E$2-7,"YYYYMMDD"),"days=a","fill=p"),"-")</f>
        <v>-</v>
      </c>
      <c r="R101" s="102" t="str">
        <f t="shared" ca="1" si="32"/>
        <v>-</v>
      </c>
      <c r="S101" s="103" t="str">
        <f ca="1">IF(ISNUMBER(_xll.BDP($F101,S$3)),_xll.BDP($F101,S$3),"-")</f>
        <v>-</v>
      </c>
      <c r="T101" s="104" t="e">
        <f t="shared" ca="1" si="34"/>
        <v>#NAME?</v>
      </c>
      <c r="U101" s="105" t="e">
        <f ca="1">IF(OR(_xll.BDP($E101,U$3)="#N/A N/A",_xll.BDP($E101,U$3)="#N/A Invalid Security"), "-", _xll.BDP($E101,U$3))</f>
        <v>#NAME?</v>
      </c>
      <c r="V101" s="105" t="e">
        <f ca="1">IF(OR(_xll.BDP($E101,V$2)="#N/A N/A",_xll.BDP($E101,V$2)="#N/A Invalid Security"), "-", _xll.BDP($E101,V$2))</f>
        <v>#NAME?</v>
      </c>
      <c r="W101" s="106" t="e">
        <f ca="1">IF(OR(_xll.BDP($E101,W$3)="#N/A N/A",_xll.BDP($E101,W$3)="#N/A Invalid Security"), "-", _xll.BDP($E101,W$3))</f>
        <v>#NAME?</v>
      </c>
      <c r="X101" s="105" t="e">
        <f ca="1">IF(OR(_xll.BDP($E101,X$3)="#N/A N/A",_xll.BDP($E101,X$3)="#N/A Invalid Security"), " ", _xll.BDP($E101,X$3))</f>
        <v>#NAME?</v>
      </c>
      <c r="Y101" s="105" t="e">
        <f ca="1">IF(OR(_xll.BDP($E101,Y$3)="#N/A N/A",_xll.BDP($E101,Y$3)="#N/A Invalid Security"), " ", _xll.BDP($E101,Y$3))</f>
        <v>#NAME?</v>
      </c>
      <c r="Z101" s="106" t="e">
        <f ca="1">IF(OR(_xll.BDP($E101,Z$3)="#N/A N/A",_xll.BDP($E101,Z$3)="#N/A Invalid Security"), " ", _xll.BDP($E101,Z$3))</f>
        <v>#NAME?</v>
      </c>
      <c r="AA101" s="107"/>
      <c r="AB101" s="93" t="s">
        <v>953</v>
      </c>
      <c r="AC101" s="93" t="s">
        <v>939</v>
      </c>
      <c r="AD101" s="93" t="s">
        <v>953</v>
      </c>
      <c r="AE101" s="93" t="s">
        <v>940</v>
      </c>
      <c r="AF101" s="93" t="s">
        <v>940</v>
      </c>
      <c r="AG101" s="93" t="s">
        <v>940</v>
      </c>
      <c r="AH101" s="95" t="e">
        <f t="shared" ca="1" si="30"/>
        <v>#NAME?</v>
      </c>
      <c r="AI101" s="95" t="e">
        <f t="shared" ca="1" si="30"/>
        <v>#NAME?</v>
      </c>
      <c r="AJ101" s="95" t="e">
        <f t="shared" ca="1" si="30"/>
        <v>#NAME?</v>
      </c>
      <c r="AK101" s="95" t="e">
        <f t="shared" ca="1" si="30"/>
        <v>#NAME?</v>
      </c>
      <c r="AL101" s="95" t="e">
        <f t="shared" ca="1" si="30"/>
        <v>#NAME?</v>
      </c>
      <c r="AM101" s="95" t="e">
        <f t="shared" ca="1" si="30"/>
        <v>#NAME?</v>
      </c>
      <c r="AN101" s="66" t="str">
        <f ca="1">IF(SUM(AT101:AV101)&gt;0,"Y","")</f>
        <v/>
      </c>
      <c r="AO101" s="108" t="e" cm="1">
        <f t="array" aca="1" ref="AO101" ca="1">_xll.BDP($E101,"cur_mkt_cap")</f>
        <v>#NAME?</v>
      </c>
      <c r="AP101" s="108" t="e" cm="1">
        <f t="array" aca="1" ref="AP101" ca="1">_xll.BDP($E101,"crncy")</f>
        <v>#NAME?</v>
      </c>
      <c r="AQ101" s="109" t="e" cm="1">
        <f t="array" aca="1" ref="AQ101" ca="1">_xll.BDP("USD"&amp;AP101&amp;" curncy","px_last")</f>
        <v>#NAME?</v>
      </c>
      <c r="AR101" s="109" t="e">
        <f t="shared" ca="1" si="35"/>
        <v>#NAME?</v>
      </c>
      <c r="AT101" s="66" t="str">
        <f t="shared" ca="1" si="33"/>
        <v/>
      </c>
      <c r="AU101" s="66" t="str">
        <f t="shared" ca="1" si="33"/>
        <v/>
      </c>
      <c r="AV101" s="66" t="str">
        <f t="shared" ca="1" si="33"/>
        <v/>
      </c>
      <c r="AW101" s="73" t="str" cm="1">
        <f t="array" aca="1" ref="AW101" ca="1">IF(ISERROR(DATEVALUE(_xll.BDP($E101,AW$6))),"",DATEVALUE(_xll.BDP($E101,AW$6)))</f>
        <v/>
      </c>
      <c r="AX101" s="73" t="str" cm="1">
        <f t="array" aca="1" ref="AX101" ca="1">IF(ISERROR(DATEVALUE(_xll.BDP($E101,AX$2))),"",DATEVALUE(_xll.BDP($E101,AX$2)))</f>
        <v/>
      </c>
      <c r="AY101" s="73" t="str" cm="1">
        <f t="array" aca="1" ref="AY101" ca="1">IF(ISERROR(DATEVALUE(_xll.BDP($E101,AY$6))),"",DATEVALUE(_xll.BDP($E101,AY$6)))</f>
        <v/>
      </c>
      <c r="AZ101" s="110" t="e" cm="1">
        <f t="array" aca="1" ref="AZ101" ca="1">IF(_xll.BQL($E101, "last(matches(px_last(dates=range(-1w,0d)), dayofweek(px_last(dates=range(-1w,0d)).date)==6))")="#N/A","-",_xll.BQL($E101, "last(matches(px_last(dates=range(-1w,0d)), dayofweek(px_last(dates=range(-1w,0d)).date)==6))"))</f>
        <v>#NAME?</v>
      </c>
      <c r="BA101" s="109" t="e" cm="1">
        <f t="array" aca="1" ref="BA101" ca="1">IF(_xll.BQL(E101,"first(last(matches(px_last(dates=range(-1M,0D)),dayofweek(px_last(dates=range(-1M,0D)).date)==6),2),1)")="#N/A","-",_xll.BQL(E101,"first(last(matches(px_last(dates=range(-1M,0D)),dayofweek(px_last(dates=range(-1M,0D)).date)==6),2),1)"))</f>
        <v>#NAME?</v>
      </c>
      <c r="BB101" s="109" t="str">
        <f t="shared" ca="1" si="36"/>
        <v>-</v>
      </c>
    </row>
    <row r="102" spans="5:54" ht="16.5" customHeight="1" thickBot="1">
      <c r="E102" s="96" t="s">
        <v>1065</v>
      </c>
      <c r="F102" s="66" t="e">
        <f ca="1">_xll.BDP($E102,F$3)&amp;" CBIN Curncy"</f>
        <v>#NAME?</v>
      </c>
      <c r="G102" s="97" t="e">
        <f t="shared" ca="1" si="17"/>
        <v>#NAME?</v>
      </c>
      <c r="H102" s="76"/>
      <c r="I102" s="633"/>
      <c r="J102" s="98" t="e">
        <f ca="1">_xll.BDP($E102,J$3)</f>
        <v>#NAME?</v>
      </c>
      <c r="K102" s="99" t="e">
        <f ca="1">_xll.BDP($E102,K$3)</f>
        <v>#NAME?</v>
      </c>
      <c r="L102" s="100" t="str">
        <f ca="1">IF(ISNUMBER(_xll.BDH($E102,"PX_LAST",TEXT($E$2,"YYYYMMDD"),TEXT($E$2,"YYYYMMDD"),"days=a","fill=p")),_xll.BDH($E102,"PX_LAST",TEXT($E$2,"YYYYMMDD"),TEXT($E$2,"YYYYMMDD"),"days=a","fill=p"),"-")</f>
        <v>-</v>
      </c>
      <c r="M102" s="100" t="str">
        <f ca="1">IF(ISNUMBER(_xll.BDH($E102,"PX_LAST",TEXT($E$2-7,"YYYYMMDD"),TEXT($E$2-7,"YYYYMMDD"),"days=a","fill=p")),_xll.BDH($E102,"PX_LAST",TEXT($E$2-7,"YYYYMMDD"),TEXT($E$2-7,"YYYYMMDD"),"days=a","fill=p"),"-")</f>
        <v>-</v>
      </c>
      <c r="N102" s="180" t="str">
        <f ca="1">IF(ISNUMBER(($L102-$M102)/$M102),($L102-$M102)/$M102,"-")</f>
        <v>-</v>
      </c>
      <c r="O102" s="101" t="e">
        <f ca="1">IF(OR(_xll.BDP($E102,O$3)="#N/A N/A",_xll.BDP($E102,O$3)="#N/A Invalid Security"), "-", _xll.BDP($E102,O$3))</f>
        <v>#NAME?</v>
      </c>
      <c r="P102" s="182" t="str">
        <f ca="1">IF(ISNUMBER(_xll.BDH($F102,"PX_LAST",TEXT($E$2,"YYYYMMDD"),TEXT($E$2,"YYYYMMDD"),"days=a","fill=p")),_xll.BDH($F102,"PX_LAST",TEXT($E$2,"YYYYMMDD"),TEXT($E$2,"YYYYMMDD"),"days=a","fill=p"),"-")</f>
        <v>-</v>
      </c>
      <c r="Q102" s="182" t="str">
        <f ca="1">IF(ISNUMBER(_xll.BDH($F102,"PX_LAST",TEXT($E$2-7,"YYYYMMDD"),TEXT($E$2-7,"YYYYMMDD"),"days=a","fill=p")),_xll.BDH($F102,"PX_LAST",TEXT($E$2-7,"YYYYMMDD"),TEXT($E$2-7,"YYYYMMDD"),"days=a","fill=p"),"-")</f>
        <v>-</v>
      </c>
      <c r="R102" s="102" t="str">
        <f ca="1">IF(ISNUMBER($P102-$Q102),$P102-$Q102,"-")</f>
        <v>-</v>
      </c>
      <c r="S102" s="103" t="str">
        <f ca="1">IF(ISNUMBER(_xll.BDP($F102,S$3)),_xll.BDP($F102,S$3),"-")</f>
        <v>-</v>
      </c>
      <c r="T102" s="104" t="e">
        <f t="shared" ca="1" si="34"/>
        <v>#NAME?</v>
      </c>
      <c r="U102" s="105" t="e">
        <f ca="1">IF(OR(_xll.BDP($E102,U$3)="#N/A N/A",_xll.BDP($E102,U$3)="#N/A Invalid Security"), "-", _xll.BDP($E102,U$3))</f>
        <v>#NAME?</v>
      </c>
      <c r="V102" s="105" t="e">
        <f ca="1">IF(OR(_xll.BDP($E102,V$2)="#N/A N/A",_xll.BDP($E102,V$2)="#N/A Invalid Security"), "-", _xll.BDP($E102,V$2))</f>
        <v>#NAME?</v>
      </c>
      <c r="W102" s="106" t="e">
        <f ca="1">IF(OR(_xll.BDP($E102,W$3)="#N/A N/A",_xll.BDP($E102,W$3)="#N/A Invalid Security"), "-", _xll.BDP($E102,W$3))</f>
        <v>#NAME?</v>
      </c>
      <c r="X102" s="105" t="e">
        <f ca="1">IF(OR(_xll.BDP($E102,X$3)="#N/A N/A",_xll.BDP($E102,X$3)="#N/A Invalid Security"), " ", _xll.BDP($E102,X$3))</f>
        <v>#NAME?</v>
      </c>
      <c r="Y102" s="105" t="e">
        <f ca="1">IF(OR(_xll.BDP($E102,Y$3)="#N/A N/A",_xll.BDP($E102,Y$3)="#N/A Invalid Security"), " ", _xll.BDP($E102,Y$3))</f>
        <v>#NAME?</v>
      </c>
      <c r="Z102" s="106" t="e">
        <f ca="1">IF(OR(_xll.BDP($E102,Z$3)="#N/A N/A",_xll.BDP($E102,Z$3)="#N/A Invalid Security"), " ", _xll.BDP($E102,Z$3))</f>
        <v>#NAME?</v>
      </c>
      <c r="AA102" s="107"/>
      <c r="AB102" s="93" t="s">
        <v>876</v>
      </c>
      <c r="AC102" s="93" t="s">
        <v>934</v>
      </c>
      <c r="AD102" s="93" t="s">
        <v>938</v>
      </c>
      <c r="AE102" s="93" t="s">
        <v>940</v>
      </c>
      <c r="AF102" s="93" t="s">
        <v>935</v>
      </c>
      <c r="AG102" s="93" t="s">
        <v>940</v>
      </c>
      <c r="AH102" s="95" t="e">
        <f t="shared" ca="1" si="30"/>
        <v>#NAME?</v>
      </c>
      <c r="AI102" s="95" t="e">
        <f t="shared" ca="1" si="30"/>
        <v>#NAME?</v>
      </c>
      <c r="AJ102" s="95" t="e">
        <f t="shared" ca="1" si="30"/>
        <v>#NAME?</v>
      </c>
      <c r="AK102" s="95" t="e">
        <f t="shared" ca="1" si="30"/>
        <v>#NAME?</v>
      </c>
      <c r="AL102" s="95" t="e">
        <f t="shared" ca="1" si="30"/>
        <v>#NAME?</v>
      </c>
      <c r="AM102" s="95" t="e">
        <f t="shared" ca="1" si="30"/>
        <v>#NAME?</v>
      </c>
      <c r="AN102" s="66" t="str">
        <f t="shared" ref="AN102:AN109" ca="1" si="37">IF(SUM(AT102:AV102)&gt;0,"Y","")</f>
        <v/>
      </c>
      <c r="AO102" s="108" t="e" cm="1">
        <f t="array" aca="1" ref="AO102" ca="1">_xll.BDP($E102,"cur_mkt_cap")</f>
        <v>#NAME?</v>
      </c>
      <c r="AP102" s="108" t="e" cm="1">
        <f t="array" aca="1" ref="AP102" ca="1">_xll.BDP($E102,"crncy")</f>
        <v>#NAME?</v>
      </c>
      <c r="AQ102" s="109" t="e" cm="1">
        <f t="array" aca="1" ref="AQ102" ca="1">_xll.BDP("USD"&amp;AP102&amp;" curncy","px_last")</f>
        <v>#NAME?</v>
      </c>
      <c r="AR102" s="109" t="e">
        <f t="shared" ca="1" si="35"/>
        <v>#NAME?</v>
      </c>
      <c r="AT102" s="66" t="str">
        <f t="shared" ca="1" si="33"/>
        <v/>
      </c>
      <c r="AU102" s="66" t="str">
        <f t="shared" ca="1" si="33"/>
        <v/>
      </c>
      <c r="AV102" s="66" t="str">
        <f t="shared" ca="1" si="33"/>
        <v/>
      </c>
      <c r="AW102" s="73" t="str" cm="1">
        <f t="array" aca="1" ref="AW102" ca="1">IF(ISERROR(DATEVALUE(_xll.BDP($E102,AW$6))),"",DATEVALUE(_xll.BDP($E102,AW$6)))</f>
        <v/>
      </c>
      <c r="AX102" s="73" t="str" cm="1">
        <f t="array" aca="1" ref="AX102" ca="1">IF(ISERROR(DATEVALUE(_xll.BDP($E102,AX$2))),"",DATEVALUE(_xll.BDP($E102,AX$2)))</f>
        <v/>
      </c>
      <c r="AY102" s="73" t="str" cm="1">
        <f t="array" aca="1" ref="AY102" ca="1">IF(ISERROR(DATEVALUE(_xll.BDP($E102,AY$6))),"",DATEVALUE(_xll.BDP($E102,AY$6)))</f>
        <v/>
      </c>
      <c r="AZ102" s="110" t="e" cm="1">
        <f t="array" aca="1" ref="AZ102" ca="1">IF(_xll.BQL($E102, "last(matches(px_last(dates=range(-1w,0d)), dayofweek(px_last(dates=range(-1w,0d)).date)==6))")="#N/A","-",_xll.BQL($E102, "last(matches(px_last(dates=range(-1w,0d)), dayofweek(px_last(dates=range(-1w,0d)).date)==6))"))</f>
        <v>#NAME?</v>
      </c>
      <c r="BA102" s="109" t="e" cm="1">
        <f t="array" aca="1" ref="BA102" ca="1">IF(_xll.BQL(E102,"first(last(matches(px_last(dates=range(-1M,0D)),dayofweek(px_last(dates=range(-1M,0D)).date)==6),2),1)")="#N/A","-",_xll.BQL(E102,"first(last(matches(px_last(dates=range(-1M,0D)),dayofweek(px_last(dates=range(-1M,0D)).date)==6),2),1)"))</f>
        <v>#NAME?</v>
      </c>
      <c r="BB102" s="109" t="str">
        <f t="shared" ca="1" si="36"/>
        <v>-</v>
      </c>
    </row>
    <row r="103" spans="5:54" ht="16.5" customHeight="1" thickBot="1">
      <c r="E103" s="96" t="s">
        <v>1066</v>
      </c>
      <c r="F103" s="66" t="e">
        <f ca="1">_xll.BDP($E103,F$3)&amp;" BEST Curncy"</f>
        <v>#NAME?</v>
      </c>
      <c r="G103" s="97" t="e">
        <f t="shared" ca="1" si="17"/>
        <v>#NAME?</v>
      </c>
      <c r="H103" s="76"/>
      <c r="I103" s="633"/>
      <c r="J103" s="98" t="e">
        <f ca="1">_xll.BDP($E103,J$3)</f>
        <v>#NAME?</v>
      </c>
      <c r="K103" s="99" t="e">
        <f ca="1">_xll.BDP($E103,K$3)</f>
        <v>#NAME?</v>
      </c>
      <c r="L103" s="100" t="str">
        <f ca="1">IF(ISNUMBER(_xll.BDH($E103,"PX_LAST",TEXT($E$2,"YYYYMMDD"),TEXT($E$2,"YYYYMMDD"),"days=a","fill=p")),_xll.BDH($E103,"PX_LAST",TEXT($E$2,"YYYYMMDD"),TEXT($E$2,"YYYYMMDD"),"days=a","fill=p"),"-")</f>
        <v>-</v>
      </c>
      <c r="M103" s="100" t="str">
        <f ca="1">IF(ISNUMBER(_xll.BDH($E103,"PX_LAST",TEXT($E$2-7,"YYYYMMDD"),TEXT($E$2-7,"YYYYMMDD"),"days=a","fill=p")),_xll.BDH($E103,"PX_LAST",TEXT($E$2-7,"YYYYMMDD"),TEXT($E$2-7,"YYYYMMDD"),"days=a","fill=p"),"-")</f>
        <v>-</v>
      </c>
      <c r="N103" s="180" t="str">
        <f t="shared" ref="N103:N129" ca="1" si="38">IF(ISNUMBER(($L103-$M103)/$M103),($L103-$M103)/$M103,"-")</f>
        <v>-</v>
      </c>
      <c r="O103" s="101" t="e">
        <f ca="1">IF(OR(_xll.BDP($E103,O$3)="#N/A N/A",_xll.BDP($E103,O$3)="#N/A Invalid Security"), "-", _xll.BDP($E103,O$3))</f>
        <v>#NAME?</v>
      </c>
      <c r="P103" s="182" t="str">
        <f ca="1">IF(ISNUMBER(_xll.BDH($F103,"PX_LAST",TEXT($E$2,"YYYYMMDD"),TEXT($E$2,"YYYYMMDD"),"days=a","fill=p")),_xll.BDH($F103,"PX_LAST",TEXT($E$2,"YYYYMMDD"),TEXT($E$2,"YYYYMMDD"),"days=a","fill=p"),"-")</f>
        <v>-</v>
      </c>
      <c r="Q103" s="182" t="str">
        <f ca="1">IF(ISNUMBER(_xll.BDH($F103,"PX_LAST",TEXT($E$2-7,"YYYYMMDD"),TEXT($E$2-7,"YYYYMMDD"),"days=a","fill=p")),_xll.BDH($F103,"PX_LAST",TEXT($E$2-7,"YYYYMMDD"),TEXT($E$2-7,"YYYYMMDD"),"days=a","fill=p"),"-")</f>
        <v>-</v>
      </c>
      <c r="R103" s="102" t="str">
        <f t="shared" ref="R103:R129" ca="1" si="39">IF(ISNUMBER($P103-$Q103),$P103-$Q103,"-")</f>
        <v>-</v>
      </c>
      <c r="S103" s="103" t="str">
        <f ca="1">IF(ISNUMBER(_xll.BDP($F103,S$3)),_xll.BDP($F103,S$3),"-")</f>
        <v>-</v>
      </c>
      <c r="T103" s="104" t="e">
        <f t="shared" ca="1" si="34"/>
        <v>#NAME?</v>
      </c>
      <c r="U103" s="105" t="e">
        <f ca="1">IF(OR(_xll.BDP($E103,U$3)="#N/A N/A",_xll.BDP($E103,U$3)="#N/A Invalid Security"), "-", _xll.BDP($E103,U$3))</f>
        <v>#NAME?</v>
      </c>
      <c r="V103" s="105" t="e">
        <f ca="1">IF(OR(_xll.BDP($E103,V$2)="#N/A N/A",_xll.BDP($E103,V$2)="#N/A Invalid Security"), "-", _xll.BDP($E103,V$2))</f>
        <v>#NAME?</v>
      </c>
      <c r="W103" s="106" t="e">
        <f ca="1">IF(OR(_xll.BDP($E103,W$3)="#N/A N/A",_xll.BDP($E103,W$3)="#N/A Invalid Security"), "-", _xll.BDP($E103,W$3))</f>
        <v>#NAME?</v>
      </c>
      <c r="X103" s="105" t="e">
        <f ca="1">IF(OR(_xll.BDP($E103,X$3)="#N/A N/A",_xll.BDP($E103,X$3)="#N/A Invalid Security"), " ", _xll.BDP($E103,X$3))</f>
        <v>#NAME?</v>
      </c>
      <c r="Y103" s="105" t="e">
        <f ca="1">IF(OR(_xll.BDP($E103,Y$3)="#N/A N/A",_xll.BDP($E103,Y$3)="#N/A Invalid Security"), " ", _xll.BDP($E103,Y$3))</f>
        <v>#NAME?</v>
      </c>
      <c r="Z103" s="106" t="e">
        <f ca="1">IF(OR(_xll.BDP($E103,Z$3)="#N/A N/A",_xll.BDP($E103,Z$3)="#N/A Invalid Security"), " ", _xll.BDP($E103,Z$3))</f>
        <v>#NAME?</v>
      </c>
      <c r="AA103" s="107"/>
      <c r="AB103" s="93" t="s">
        <v>953</v>
      </c>
      <c r="AC103" s="93" t="s">
        <v>939</v>
      </c>
      <c r="AD103" s="93" t="s">
        <v>953</v>
      </c>
      <c r="AE103" s="93" t="s">
        <v>940</v>
      </c>
      <c r="AF103" s="93" t="s">
        <v>940</v>
      </c>
      <c r="AG103" s="93" t="s">
        <v>940</v>
      </c>
      <c r="AH103" s="95" t="e">
        <f t="shared" ca="1" si="30"/>
        <v>#NAME?</v>
      </c>
      <c r="AI103" s="95" t="e">
        <f t="shared" ca="1" si="30"/>
        <v>#NAME?</v>
      </c>
      <c r="AJ103" s="95" t="e">
        <f t="shared" ca="1" si="30"/>
        <v>#NAME?</v>
      </c>
      <c r="AK103" s="95" t="e">
        <f t="shared" ca="1" si="30"/>
        <v>#NAME?</v>
      </c>
      <c r="AL103" s="95" t="e">
        <f t="shared" ca="1" si="30"/>
        <v>#NAME?</v>
      </c>
      <c r="AM103" s="95" t="e">
        <f t="shared" ca="1" si="30"/>
        <v>#NAME?</v>
      </c>
      <c r="AN103" s="66" t="str">
        <f t="shared" ca="1" si="37"/>
        <v/>
      </c>
      <c r="AO103" s="108" t="e" cm="1">
        <f t="array" aca="1" ref="AO103" ca="1">_xll.BDP($E103,"cur_mkt_cap")</f>
        <v>#NAME?</v>
      </c>
      <c r="AP103" s="108" t="e" cm="1">
        <f t="array" aca="1" ref="AP103" ca="1">_xll.BDP($E103,"crncy")</f>
        <v>#NAME?</v>
      </c>
      <c r="AQ103" s="109" t="e" cm="1">
        <f t="array" aca="1" ref="AQ103" ca="1">_xll.BDP("USD"&amp;AP103&amp;" curncy","px_last")</f>
        <v>#NAME?</v>
      </c>
      <c r="AR103" s="109" t="e">
        <f t="shared" ca="1" si="35"/>
        <v>#NAME?</v>
      </c>
      <c r="AT103" s="66" t="str">
        <f t="shared" ca="1" si="33"/>
        <v/>
      </c>
      <c r="AU103" s="66" t="str">
        <f t="shared" ca="1" si="33"/>
        <v/>
      </c>
      <c r="AV103" s="66" t="str">
        <f t="shared" ca="1" si="33"/>
        <v/>
      </c>
      <c r="AW103" s="73" t="str" cm="1">
        <f t="array" aca="1" ref="AW103" ca="1">IF(ISERROR(DATEVALUE(_xll.BDP($E103,AW$6))),"",DATEVALUE(_xll.BDP($E103,AW$6)))</f>
        <v/>
      </c>
      <c r="AX103" s="73" t="str" cm="1">
        <f t="array" aca="1" ref="AX103" ca="1">IF(ISERROR(DATEVALUE(_xll.BDP($E103,AX$2))),"",DATEVALUE(_xll.BDP($E103,AX$2)))</f>
        <v/>
      </c>
      <c r="AY103" s="73" t="str" cm="1">
        <f t="array" aca="1" ref="AY103" ca="1">IF(ISERROR(DATEVALUE(_xll.BDP($E103,AY$6))),"",DATEVALUE(_xll.BDP($E103,AY$6)))</f>
        <v/>
      </c>
      <c r="AZ103" s="110" t="e" cm="1">
        <f t="array" aca="1" ref="AZ103" ca="1">IF(_xll.BQL($E103, "last(matches(px_last(dates=range(-1w,0d)), dayofweek(px_last(dates=range(-1w,0d)).date)==6))")="#N/A","-",_xll.BQL($E103, "last(matches(px_last(dates=range(-1w,0d)), dayofweek(px_last(dates=range(-1w,0d)).date)==6))"))</f>
        <v>#NAME?</v>
      </c>
      <c r="BA103" s="109" t="e" cm="1">
        <f t="array" aca="1" ref="BA103" ca="1">IF(_xll.BQL(E103,"first(last(matches(px_last(dates=range(-1M,0D)),dayofweek(px_last(dates=range(-1M,0D)).date)==6),2),1)")="#N/A","-",_xll.BQL(E103,"first(last(matches(px_last(dates=range(-1M,0D)),dayofweek(px_last(dates=range(-1M,0D)).date)==6),2),1)"))</f>
        <v>#NAME?</v>
      </c>
      <c r="BB103" s="109" t="str">
        <f t="shared" ca="1" si="36"/>
        <v>-</v>
      </c>
    </row>
    <row r="104" spans="5:54" ht="16.5" customHeight="1" thickBot="1">
      <c r="E104" s="96" t="s">
        <v>1067</v>
      </c>
      <c r="F104" s="66" t="e">
        <f ca="1">_xll.BDP($E104,F$3)&amp;" BEST Curncy"</f>
        <v>#NAME?</v>
      </c>
      <c r="G104" s="97" t="e">
        <f t="shared" ca="1" si="17"/>
        <v>#NAME?</v>
      </c>
      <c r="H104" s="76"/>
      <c r="I104" s="633"/>
      <c r="J104" s="98" t="e">
        <f ca="1">_xll.BDP($E104,J$3)</f>
        <v>#NAME?</v>
      </c>
      <c r="K104" s="99" t="e">
        <f ca="1">_xll.BDP($E104,K$3)</f>
        <v>#NAME?</v>
      </c>
      <c r="L104" s="100" t="str">
        <f ca="1">IF(ISNUMBER(_xll.BDH($E104,"PX_LAST",TEXT($E$2,"YYYYMMDD"),TEXT($E$2,"YYYYMMDD"),"days=a","fill=p")),_xll.BDH($E104,"PX_LAST",TEXT($E$2,"YYYYMMDD"),TEXT($E$2,"YYYYMMDD"),"days=a","fill=p"),"-")</f>
        <v>-</v>
      </c>
      <c r="M104" s="100" t="str">
        <f ca="1">IF(ISNUMBER(_xll.BDH($E104,"PX_LAST",TEXT($E$2-7,"YYYYMMDD"),TEXT($E$2-7,"YYYYMMDD"),"days=a","fill=p")),_xll.BDH($E104,"PX_LAST",TEXT($E$2-7,"YYYYMMDD"),TEXT($E$2-7,"YYYYMMDD"),"days=a","fill=p"),"-")</f>
        <v>-</v>
      </c>
      <c r="N104" s="180" t="str">
        <f t="shared" ca="1" si="38"/>
        <v>-</v>
      </c>
      <c r="O104" s="101" t="e">
        <f ca="1">IF(OR(_xll.BDP($E104,O$3)="#N/A N/A",_xll.BDP($E104,O$3)="#N/A Invalid Security"), "-", _xll.BDP($E104,O$3))</f>
        <v>#NAME?</v>
      </c>
      <c r="P104" s="182" t="str">
        <f ca="1">IF(ISNUMBER(_xll.BDH($F104,"PX_LAST",TEXT($E$2,"YYYYMMDD"),TEXT($E$2,"YYYYMMDD"),"days=a","fill=p")),_xll.BDH($F104,"PX_LAST",TEXT($E$2,"YYYYMMDD"),TEXT($E$2,"YYYYMMDD"),"days=a","fill=p"),"-")</f>
        <v>-</v>
      </c>
      <c r="Q104" s="182" t="str">
        <f ca="1">IF(ISNUMBER(_xll.BDH($F104,"PX_LAST",TEXT($E$2-7,"YYYYMMDD"),TEXT($E$2-7,"YYYYMMDD"),"days=a","fill=p")),_xll.BDH($F104,"PX_LAST",TEXT($E$2-7,"YYYYMMDD"),TEXT($E$2-7,"YYYYMMDD"),"days=a","fill=p"),"-")</f>
        <v>-</v>
      </c>
      <c r="R104" s="102" t="str">
        <f t="shared" ca="1" si="39"/>
        <v>-</v>
      </c>
      <c r="S104" s="103" t="str">
        <f ca="1">IF(ISNUMBER(_xll.BDP($F104,S$3)),_xll.BDP($F104,S$3),"-")</f>
        <v>-</v>
      </c>
      <c r="T104" s="104" t="e">
        <f t="shared" ca="1" si="34"/>
        <v>#NAME?</v>
      </c>
      <c r="U104" s="105" t="e">
        <f ca="1">IF(OR(_xll.BDP($E104,U$3)="#N/A N/A",_xll.BDP($E104,U$3)="#N/A Invalid Security"), "-", _xll.BDP($E104,U$3))</f>
        <v>#NAME?</v>
      </c>
      <c r="V104" s="105" t="e">
        <f ca="1">IF(OR(_xll.BDP($E104,V$2)="#N/A N/A",_xll.BDP($E104,V$2)="#N/A Invalid Security"), "-", _xll.BDP($E104,V$2))</f>
        <v>#NAME?</v>
      </c>
      <c r="W104" s="106" t="e">
        <f ca="1">IF(OR(_xll.BDP($E104,W$3)="#N/A N/A",_xll.BDP($E104,W$3)="#N/A Invalid Security"), "-", _xll.BDP($E104,W$3))</f>
        <v>#NAME?</v>
      </c>
      <c r="X104" s="105" t="e">
        <f ca="1">IF(OR(_xll.BDP($E104,X$3)="#N/A N/A",_xll.BDP($E104,X$3)="#N/A Invalid Security"), " ", _xll.BDP($E104,X$3))</f>
        <v>#NAME?</v>
      </c>
      <c r="Y104" s="105" t="e">
        <f ca="1">IF(OR(_xll.BDP($E104,Y$3)="#N/A N/A",_xll.BDP($E104,Y$3)="#N/A Invalid Security"), " ", _xll.BDP($E104,Y$3))</f>
        <v>#NAME?</v>
      </c>
      <c r="Z104" s="106" t="e">
        <f ca="1">IF(OR(_xll.BDP($E104,Z$3)="#N/A N/A",_xll.BDP($E104,Z$3)="#N/A Invalid Security"), " ", _xll.BDP($E104,Z$3))</f>
        <v>#NAME?</v>
      </c>
      <c r="AA104" s="107"/>
      <c r="AB104" s="93" t="s">
        <v>953</v>
      </c>
      <c r="AC104" s="93" t="s">
        <v>939</v>
      </c>
      <c r="AD104" s="93" t="s">
        <v>876</v>
      </c>
      <c r="AE104" s="93" t="s">
        <v>940</v>
      </c>
      <c r="AF104" s="93" t="s">
        <v>940</v>
      </c>
      <c r="AG104" s="93" t="s">
        <v>940</v>
      </c>
      <c r="AH104" s="95" t="e">
        <f t="shared" ca="1" si="30"/>
        <v>#NAME?</v>
      </c>
      <c r="AI104" s="95" t="e">
        <f t="shared" ca="1" si="30"/>
        <v>#NAME?</v>
      </c>
      <c r="AJ104" s="95" t="e">
        <f t="shared" ca="1" si="30"/>
        <v>#NAME?</v>
      </c>
      <c r="AK104" s="95" t="e">
        <f t="shared" ca="1" si="30"/>
        <v>#NAME?</v>
      </c>
      <c r="AL104" s="95" t="e">
        <f t="shared" ca="1" si="30"/>
        <v>#NAME?</v>
      </c>
      <c r="AM104" s="95" t="e">
        <f t="shared" ca="1" si="30"/>
        <v>#NAME?</v>
      </c>
      <c r="AN104" s="66" t="str">
        <f t="shared" ca="1" si="37"/>
        <v/>
      </c>
      <c r="AO104" s="108" t="e" cm="1">
        <f t="array" aca="1" ref="AO104" ca="1">_xll.BDP($E104,"cur_mkt_cap")</f>
        <v>#NAME?</v>
      </c>
      <c r="AP104" s="108" t="e" cm="1">
        <f t="array" aca="1" ref="AP104" ca="1">_xll.BDP($E104,"crncy")</f>
        <v>#NAME?</v>
      </c>
      <c r="AQ104" s="109" t="e" cm="1">
        <f t="array" aca="1" ref="AQ104" ca="1">_xll.BDP("USD"&amp;AP104&amp;" curncy","px_last")</f>
        <v>#NAME?</v>
      </c>
      <c r="AR104" s="109" t="e">
        <f t="shared" ca="1" si="35"/>
        <v>#NAME?</v>
      </c>
      <c r="AT104" s="66" t="str">
        <f t="shared" ca="1" si="33"/>
        <v/>
      </c>
      <c r="AU104" s="66" t="str">
        <f t="shared" ca="1" si="33"/>
        <v/>
      </c>
      <c r="AV104" s="66" t="str">
        <f t="shared" ca="1" si="33"/>
        <v/>
      </c>
      <c r="AW104" s="73" t="str" cm="1">
        <f t="array" aca="1" ref="AW104" ca="1">IF(ISERROR(DATEVALUE(_xll.BDP($E104,AW$6))),"",DATEVALUE(_xll.BDP($E104,AW$6)))</f>
        <v/>
      </c>
      <c r="AX104" s="73" t="str" cm="1">
        <f t="array" aca="1" ref="AX104" ca="1">IF(ISERROR(DATEVALUE(_xll.BDP($E104,AX$2))),"",DATEVALUE(_xll.BDP($E104,AX$2)))</f>
        <v/>
      </c>
      <c r="AY104" s="73" t="str" cm="1">
        <f t="array" aca="1" ref="AY104" ca="1">IF(ISERROR(DATEVALUE(_xll.BDP($E104,AY$6))),"",DATEVALUE(_xll.BDP($E104,AY$6)))</f>
        <v/>
      </c>
      <c r="AZ104" s="110" t="e" cm="1">
        <f t="array" aca="1" ref="AZ104" ca="1">IF(_xll.BQL($E104, "last(matches(px_last(dates=range(-1w,0d)), dayofweek(px_last(dates=range(-1w,0d)).date)==6))")="#N/A","-",_xll.BQL($E104, "last(matches(px_last(dates=range(-1w,0d)), dayofweek(px_last(dates=range(-1w,0d)).date)==6))"))</f>
        <v>#NAME?</v>
      </c>
      <c r="BA104" s="109" t="e" cm="1">
        <f t="array" aca="1" ref="BA104" ca="1">IF(_xll.BQL(E104,"first(last(matches(px_last(dates=range(-1M,0D)),dayofweek(px_last(dates=range(-1M,0D)).date)==6),2),1)")="#N/A","-",_xll.BQL(E104,"first(last(matches(px_last(dates=range(-1M,0D)),dayofweek(px_last(dates=range(-1M,0D)).date)==6),2),1)"))</f>
        <v>#NAME?</v>
      </c>
      <c r="BB104" s="109" t="str">
        <f t="shared" ca="1" si="36"/>
        <v>-</v>
      </c>
    </row>
    <row r="105" spans="5:54" ht="16.5" customHeight="1" thickBot="1">
      <c r="E105" s="96" t="s">
        <v>1068</v>
      </c>
      <c r="F105" s="66" t="e">
        <f ca="1">_xll.BDP($E105,F$3)&amp;" BEST Curncy"</f>
        <v>#NAME?</v>
      </c>
      <c r="G105" s="97" t="e">
        <f t="shared" ca="1" si="17"/>
        <v>#NAME?</v>
      </c>
      <c r="H105" s="76"/>
      <c r="I105" s="633"/>
      <c r="J105" s="98" t="e">
        <f ca="1">_xll.BDP($E105,J$3)</f>
        <v>#NAME?</v>
      </c>
      <c r="K105" s="99" t="e">
        <f ca="1">_xll.BDP($E105,K$3)</f>
        <v>#NAME?</v>
      </c>
      <c r="L105" s="100" t="str">
        <f ca="1">IF(ISNUMBER(_xll.BDH($E105,"PX_LAST",TEXT($E$2,"YYYYMMDD"),TEXT($E$2,"YYYYMMDD"),"days=a","fill=p")),_xll.BDH($E105,"PX_LAST",TEXT($E$2,"YYYYMMDD"),TEXT($E$2,"YYYYMMDD"),"days=a","fill=p"),"-")</f>
        <v>-</v>
      </c>
      <c r="M105" s="100" t="str">
        <f ca="1">IF(ISNUMBER(_xll.BDH($E105,"PX_LAST",TEXT($E$2-7,"YYYYMMDD"),TEXT($E$2-7,"YYYYMMDD"),"days=a","fill=p")),_xll.BDH($E105,"PX_LAST",TEXT($E$2-7,"YYYYMMDD"),TEXT($E$2-7,"YYYYMMDD"),"days=a","fill=p"),"-")</f>
        <v>-</v>
      </c>
      <c r="N105" s="180" t="str">
        <f t="shared" ca="1" si="38"/>
        <v>-</v>
      </c>
      <c r="O105" s="101" t="e">
        <f ca="1">IF(OR(_xll.BDP($E105,O$3)="#N/A N/A",_xll.BDP($E105,O$3)="#N/A Invalid Security"), "-", _xll.BDP($E105,O$3))</f>
        <v>#NAME?</v>
      </c>
      <c r="P105" s="182" t="str">
        <f ca="1">IF(ISNUMBER(_xll.BDH($F105,"PX_LAST",TEXT($E$2,"YYYYMMDD"),TEXT($E$2,"YYYYMMDD"),"days=a","fill=p")),_xll.BDH($F105,"PX_LAST",TEXT($E$2,"YYYYMMDD"),TEXT($E$2,"YYYYMMDD"),"days=a","fill=p"),"-")</f>
        <v>-</v>
      </c>
      <c r="Q105" s="182" t="str">
        <f ca="1">IF(ISNUMBER(_xll.BDH($F105,"PX_LAST",TEXT($E$2-7,"YYYYMMDD"),TEXT($E$2-7,"YYYYMMDD"),"days=a","fill=p")),_xll.BDH($F105,"PX_LAST",TEXT($E$2-7,"YYYYMMDD"),TEXT($E$2-7,"YYYYMMDD"),"days=a","fill=p"),"-")</f>
        <v>-</v>
      </c>
      <c r="R105" s="102" t="str">
        <f t="shared" ca="1" si="39"/>
        <v>-</v>
      </c>
      <c r="S105" s="103" t="str">
        <f ca="1">IF(ISNUMBER(_xll.BDP($F105,S$3)),_xll.BDP($F105,S$3),"-")</f>
        <v>-</v>
      </c>
      <c r="T105" s="104" t="e">
        <f t="shared" ca="1" si="34"/>
        <v>#NAME?</v>
      </c>
      <c r="U105" s="105" t="e">
        <f ca="1">IF(OR(_xll.BDP($E105,U$3)="#N/A N/A",_xll.BDP($E105,U$3)="#N/A Invalid Security"), "-", _xll.BDP($E105,U$3))</f>
        <v>#NAME?</v>
      </c>
      <c r="V105" s="105" t="e">
        <f ca="1">IF(OR(_xll.BDP($E105,V$2)="#N/A N/A",_xll.BDP($E105,V$2)="#N/A Invalid Security"), "-", _xll.BDP($E105,V$2))</f>
        <v>#NAME?</v>
      </c>
      <c r="W105" s="106" t="e">
        <f ca="1">IF(OR(_xll.BDP($E105,W$3)="#N/A N/A",_xll.BDP($E105,W$3)="#N/A Invalid Security"), "-", _xll.BDP($E105,W$3))</f>
        <v>#NAME?</v>
      </c>
      <c r="X105" s="105" t="e">
        <f ca="1">IF(OR(_xll.BDP($E105,X$3)="#N/A N/A",_xll.BDP($E105,X$3)="#N/A Invalid Security"), " ", _xll.BDP($E105,X$3))</f>
        <v>#NAME?</v>
      </c>
      <c r="Y105" s="105" t="e">
        <f ca="1">IF(OR(_xll.BDP($E105,Y$3)="#N/A N/A",_xll.BDP($E105,Y$3)="#N/A Invalid Security"), " ", _xll.BDP($E105,Y$3))</f>
        <v>#NAME?</v>
      </c>
      <c r="Z105" s="106" t="e">
        <f ca="1">IF(OR(_xll.BDP($E105,Z$3)="#N/A N/A",_xll.BDP($E105,Z$3)="#N/A Invalid Security"), " ", _xll.BDP($E105,Z$3))</f>
        <v>#NAME?</v>
      </c>
      <c r="AA105" s="107"/>
      <c r="AB105" s="93" t="s">
        <v>938</v>
      </c>
      <c r="AC105" s="93" t="s">
        <v>934</v>
      </c>
      <c r="AD105" s="93" t="s">
        <v>953</v>
      </c>
      <c r="AE105" s="93" t="s">
        <v>940</v>
      </c>
      <c r="AF105" s="93" t="s">
        <v>940</v>
      </c>
      <c r="AG105" s="93" t="s">
        <v>940</v>
      </c>
      <c r="AH105" s="95" t="e">
        <f t="shared" ca="1" si="30"/>
        <v>#NAME?</v>
      </c>
      <c r="AI105" s="95" t="e">
        <f t="shared" ca="1" si="30"/>
        <v>#NAME?</v>
      </c>
      <c r="AJ105" s="95" t="e">
        <f t="shared" ca="1" si="30"/>
        <v>#NAME?</v>
      </c>
      <c r="AK105" s="95" t="e">
        <f t="shared" ca="1" si="30"/>
        <v>#NAME?</v>
      </c>
      <c r="AL105" s="95" t="e">
        <f t="shared" ca="1" si="30"/>
        <v>#NAME?</v>
      </c>
      <c r="AM105" s="95" t="e">
        <f t="shared" ca="1" si="30"/>
        <v>#NAME?</v>
      </c>
      <c r="AN105" s="66" t="str">
        <f t="shared" ca="1" si="37"/>
        <v/>
      </c>
      <c r="AO105" s="108" t="e" cm="1">
        <f t="array" aca="1" ref="AO105" ca="1">_xll.BDP($E105,"cur_mkt_cap")</f>
        <v>#NAME?</v>
      </c>
      <c r="AP105" s="108" t="e" cm="1">
        <f t="array" aca="1" ref="AP105" ca="1">_xll.BDP($E105,"crncy")</f>
        <v>#NAME?</v>
      </c>
      <c r="AQ105" s="109" t="e" cm="1">
        <f t="array" aca="1" ref="AQ105" ca="1">_xll.BDP("USD"&amp;AP105&amp;" curncy","px_last")</f>
        <v>#NAME?</v>
      </c>
      <c r="AR105" s="109" t="e">
        <f t="shared" ca="1" si="35"/>
        <v>#NAME?</v>
      </c>
      <c r="AT105" s="66" t="str">
        <f t="shared" ca="1" si="33"/>
        <v/>
      </c>
      <c r="AU105" s="66" t="str">
        <f t="shared" ca="1" si="33"/>
        <v/>
      </c>
      <c r="AV105" s="66" t="str">
        <f t="shared" ca="1" si="33"/>
        <v/>
      </c>
      <c r="AW105" s="73" t="str" cm="1">
        <f t="array" aca="1" ref="AW105" ca="1">IF(ISERROR(DATEVALUE(_xll.BDP($E105,AW$6))),"",DATEVALUE(_xll.BDP($E105,AW$6)))</f>
        <v/>
      </c>
      <c r="AX105" s="73" t="str" cm="1">
        <f t="array" aca="1" ref="AX105" ca="1">IF(ISERROR(DATEVALUE(_xll.BDP($E105,AX$2))),"",DATEVALUE(_xll.BDP($E105,AX$2)))</f>
        <v/>
      </c>
      <c r="AY105" s="73" t="str" cm="1">
        <f t="array" aca="1" ref="AY105" ca="1">IF(ISERROR(DATEVALUE(_xll.BDP($E105,AY$6))),"",DATEVALUE(_xll.BDP($E105,AY$6)))</f>
        <v/>
      </c>
      <c r="AZ105" s="110" t="e" cm="1">
        <f t="array" aca="1" ref="AZ105" ca="1">IF(_xll.BQL($E105, "last(matches(px_last(dates=range(-1w,0d)), dayofweek(px_last(dates=range(-1w,0d)).date)==6))")="#N/A","-",_xll.BQL($E105, "last(matches(px_last(dates=range(-1w,0d)), dayofweek(px_last(dates=range(-1w,0d)).date)==6))"))</f>
        <v>#NAME?</v>
      </c>
      <c r="BA105" s="109" t="e" cm="1">
        <f t="array" aca="1" ref="BA105" ca="1">IF(_xll.BQL(E105,"first(last(matches(px_last(dates=range(-1M,0D)),dayofweek(px_last(dates=range(-1M,0D)).date)==6),2),1)")="#N/A","-",_xll.BQL(E105,"first(last(matches(px_last(dates=range(-1M,0D)),dayofweek(px_last(dates=range(-1M,0D)).date)==6),2),1)"))</f>
        <v>#NAME?</v>
      </c>
      <c r="BB105" s="109" t="str">
        <f t="shared" ca="1" si="36"/>
        <v>-</v>
      </c>
    </row>
    <row r="106" spans="5:54" ht="16.5" customHeight="1" thickBot="1">
      <c r="E106" s="96" t="s">
        <v>1069</v>
      </c>
      <c r="F106" s="66" t="e">
        <f ca="1">_xll.BDP($E106,F$3)&amp;" BEST Curncy"</f>
        <v>#NAME?</v>
      </c>
      <c r="G106" s="97" t="e">
        <f t="shared" ca="1" si="17"/>
        <v>#NAME?</v>
      </c>
      <c r="H106" s="76"/>
      <c r="I106" s="633"/>
      <c r="J106" s="98" t="e">
        <f ca="1">_xll.BDP($E106,J$3)</f>
        <v>#NAME?</v>
      </c>
      <c r="K106" s="99" t="e">
        <f ca="1">_xll.BDP($E106,K$3)</f>
        <v>#NAME?</v>
      </c>
      <c r="L106" s="100" t="str">
        <f ca="1">IF(ISNUMBER(_xll.BDH($E106,"PX_LAST",TEXT($E$2,"YYYYMMDD"),TEXT($E$2,"YYYYMMDD"),"days=a","fill=p")),_xll.BDH($E106,"PX_LAST",TEXT($E$2,"YYYYMMDD"),TEXT($E$2,"YYYYMMDD"),"days=a","fill=p"),"-")</f>
        <v>-</v>
      </c>
      <c r="M106" s="100" t="str">
        <f ca="1">IF(ISNUMBER(_xll.BDH($E106,"PX_LAST",TEXT($E$2-7,"YYYYMMDD"),TEXT($E$2-7,"YYYYMMDD"),"days=a","fill=p")),_xll.BDH($E106,"PX_LAST",TEXT($E$2-7,"YYYYMMDD"),TEXT($E$2-7,"YYYYMMDD"),"days=a","fill=p"),"-")</f>
        <v>-</v>
      </c>
      <c r="N106" s="180" t="str">
        <f t="shared" ca="1" si="38"/>
        <v>-</v>
      </c>
      <c r="O106" s="101" t="e">
        <f ca="1">IF(OR(_xll.BDP($E106,O$3)="#N/A N/A",_xll.BDP($E106,O$3)="#N/A Invalid Security"), "-", _xll.BDP($E106,O$3))</f>
        <v>#NAME?</v>
      </c>
      <c r="P106" s="182" t="str">
        <f ca="1">IF(ISNUMBER(_xll.BDH($F106,"PX_LAST",TEXT($E$2,"YYYYMMDD"),TEXT($E$2,"YYYYMMDD"),"days=a","fill=p")),_xll.BDH($F106,"PX_LAST",TEXT($E$2,"YYYYMMDD"),TEXT($E$2,"YYYYMMDD"),"days=a","fill=p"),"-")</f>
        <v>-</v>
      </c>
      <c r="Q106" s="182" t="str">
        <f ca="1">IF(ISNUMBER(_xll.BDH($F106,"PX_LAST",TEXT($E$2-7,"YYYYMMDD"),TEXT($E$2-7,"YYYYMMDD"),"days=a","fill=p")),_xll.BDH($F106,"PX_LAST",TEXT($E$2-7,"YYYYMMDD"),TEXT($E$2-7,"YYYYMMDD"),"days=a","fill=p"),"-")</f>
        <v>-</v>
      </c>
      <c r="R106" s="102" t="str">
        <f t="shared" ca="1" si="39"/>
        <v>-</v>
      </c>
      <c r="S106" s="103" t="str">
        <f ca="1">IF(ISNUMBER(_xll.BDP($F106,S$3)),_xll.BDP($F106,S$3),"-")</f>
        <v>-</v>
      </c>
      <c r="T106" s="104" t="e">
        <f t="shared" ca="1" si="34"/>
        <v>#NAME?</v>
      </c>
      <c r="U106" s="105" t="e">
        <f ca="1">IF(OR(_xll.BDP($E106,U$3)="#N/A N/A",_xll.BDP($E106,U$3)="#N/A Invalid Security"), "-", _xll.BDP($E106,U$3))</f>
        <v>#NAME?</v>
      </c>
      <c r="V106" s="105" t="e">
        <f ca="1">IF(OR(_xll.BDP($E106,V$2)="#N/A N/A",_xll.BDP($E106,V$2)="#N/A Invalid Security"), "-", _xll.BDP($E106,V$2))</f>
        <v>#NAME?</v>
      </c>
      <c r="W106" s="106" t="e">
        <f ca="1">IF(OR(_xll.BDP($E106,W$3)="#N/A N/A",_xll.BDP($E106,W$3)="#N/A Invalid Security"), "-", _xll.BDP($E106,W$3))</f>
        <v>#NAME?</v>
      </c>
      <c r="X106" s="105" t="e">
        <f ca="1">IF(OR(_xll.BDP($E106,X$3)="#N/A N/A",_xll.BDP($E106,X$3)="#N/A Invalid Security"), " ", _xll.BDP($E106,X$3))</f>
        <v>#NAME?</v>
      </c>
      <c r="Y106" s="105" t="e">
        <f ca="1">IF(OR(_xll.BDP($E106,Y$3)="#N/A N/A",_xll.BDP($E106,Y$3)="#N/A Invalid Security"), " ", _xll.BDP($E106,Y$3))</f>
        <v>#NAME?</v>
      </c>
      <c r="Z106" s="106" t="e">
        <f ca="1">IF(OR(_xll.BDP($E106,Z$3)="#N/A N/A",_xll.BDP($E106,Z$3)="#N/A Invalid Security"), " ", _xll.BDP($E106,Z$3))</f>
        <v>#NAME?</v>
      </c>
      <c r="AA106" s="107"/>
      <c r="AB106" s="93" t="s">
        <v>950</v>
      </c>
      <c r="AC106" s="93" t="s">
        <v>934</v>
      </c>
      <c r="AD106" s="93" t="s">
        <v>876</v>
      </c>
      <c r="AE106" s="93" t="s">
        <v>940</v>
      </c>
      <c r="AF106" s="93" t="s">
        <v>948</v>
      </c>
      <c r="AG106" s="93" t="s">
        <v>940</v>
      </c>
      <c r="AH106" s="95" t="e">
        <f t="shared" ca="1" si="30"/>
        <v>#NAME?</v>
      </c>
      <c r="AI106" s="95" t="e">
        <f t="shared" ca="1" si="30"/>
        <v>#NAME?</v>
      </c>
      <c r="AJ106" s="95" t="e">
        <f t="shared" ca="1" si="30"/>
        <v>#NAME?</v>
      </c>
      <c r="AK106" s="95" t="e">
        <f t="shared" ca="1" si="30"/>
        <v>#NAME?</v>
      </c>
      <c r="AL106" s="95" t="e">
        <f t="shared" ca="1" si="30"/>
        <v>#NAME?</v>
      </c>
      <c r="AM106" s="95" t="e">
        <f t="shared" ca="1" si="30"/>
        <v>#NAME?</v>
      </c>
      <c r="AN106" s="66" t="str">
        <f t="shared" ca="1" si="37"/>
        <v/>
      </c>
      <c r="AO106" s="108" t="e" cm="1">
        <f t="array" aca="1" ref="AO106" ca="1">_xll.BDP($E106,"cur_mkt_cap")</f>
        <v>#NAME?</v>
      </c>
      <c r="AP106" s="108" t="e" cm="1">
        <f t="array" aca="1" ref="AP106" ca="1">_xll.BDP($E106,"crncy")</f>
        <v>#NAME?</v>
      </c>
      <c r="AQ106" s="109" t="e" cm="1">
        <f t="array" aca="1" ref="AQ106" ca="1">_xll.BDP("USD"&amp;AP106&amp;" curncy","px_last")</f>
        <v>#NAME?</v>
      </c>
      <c r="AR106" s="109" t="e">
        <f t="shared" ca="1" si="35"/>
        <v>#NAME?</v>
      </c>
      <c r="AT106" s="66" t="str">
        <f t="shared" ca="1" si="33"/>
        <v/>
      </c>
      <c r="AU106" s="66" t="str">
        <f t="shared" ca="1" si="33"/>
        <v/>
      </c>
      <c r="AV106" s="66" t="str">
        <f t="shared" ca="1" si="33"/>
        <v/>
      </c>
      <c r="AW106" s="73" t="str" cm="1">
        <f t="array" aca="1" ref="AW106" ca="1">IF(ISERROR(DATEVALUE(_xll.BDP($E106,AW$6))),"",DATEVALUE(_xll.BDP($E106,AW$6)))</f>
        <v/>
      </c>
      <c r="AX106" s="73" t="str" cm="1">
        <f t="array" aca="1" ref="AX106" ca="1">IF(ISERROR(DATEVALUE(_xll.BDP($E106,AX$2))),"",DATEVALUE(_xll.BDP($E106,AX$2)))</f>
        <v/>
      </c>
      <c r="AY106" s="73" t="str" cm="1">
        <f t="array" aca="1" ref="AY106" ca="1">IF(ISERROR(DATEVALUE(_xll.BDP($E106,AY$6))),"",DATEVALUE(_xll.BDP($E106,AY$6)))</f>
        <v/>
      </c>
      <c r="AZ106" s="110" t="e" cm="1">
        <f t="array" aca="1" ref="AZ106" ca="1">IF(_xll.BQL($E106, "last(matches(px_last(dates=range(-1w,0d)), dayofweek(px_last(dates=range(-1w,0d)).date)==6))")="#N/A","-",_xll.BQL($E106, "last(matches(px_last(dates=range(-1w,0d)), dayofweek(px_last(dates=range(-1w,0d)).date)==6))"))</f>
        <v>#NAME?</v>
      </c>
      <c r="BA106" s="109" t="e" cm="1">
        <f t="array" aca="1" ref="BA106" ca="1">IF(_xll.BQL(E106,"first(last(matches(px_last(dates=range(-1M,0D)),dayofweek(px_last(dates=range(-1M,0D)).date)==6),2),1)")="#N/A","-",_xll.BQL(E106,"first(last(matches(px_last(dates=range(-1M,0D)),dayofweek(px_last(dates=range(-1M,0D)).date)==6),2),1)"))</f>
        <v>#NAME?</v>
      </c>
      <c r="BB106" s="109" t="str">
        <f t="shared" ca="1" si="36"/>
        <v>-</v>
      </c>
    </row>
    <row r="107" spans="5:54" ht="16.5" customHeight="1" thickBot="1">
      <c r="E107" s="96" t="s">
        <v>1070</v>
      </c>
      <c r="F107" s="66" t="e">
        <f ca="1">_xll.BDP($E107,F$3)&amp;" BEST Curncy"</f>
        <v>#NAME?</v>
      </c>
      <c r="G107" s="97" t="e">
        <f t="shared" ca="1" si="17"/>
        <v>#NAME?</v>
      </c>
      <c r="H107" s="76"/>
      <c r="I107" s="633"/>
      <c r="J107" s="98" t="e">
        <f ca="1">_xll.BDP($E107,J$3)</f>
        <v>#NAME?</v>
      </c>
      <c r="K107" s="99" t="e">
        <f ca="1">_xll.BDP($E107,K$3)</f>
        <v>#NAME?</v>
      </c>
      <c r="L107" s="100" t="str">
        <f ca="1">IF(ISNUMBER(_xll.BDH($E107,"PX_LAST",TEXT($E$2,"YYYYMMDD"),TEXT($E$2,"YYYYMMDD"),"days=a","fill=p")),_xll.BDH($E107,"PX_LAST",TEXT($E$2,"YYYYMMDD"),TEXT($E$2,"YYYYMMDD"),"days=a","fill=p"),"-")</f>
        <v>-</v>
      </c>
      <c r="M107" s="100" t="str">
        <f ca="1">IF(ISNUMBER(_xll.BDH($E107,"PX_LAST",TEXT($E$2-7,"YYYYMMDD"),TEXT($E$2-7,"YYYYMMDD"),"days=a","fill=p")),_xll.BDH($E107,"PX_LAST",TEXT($E$2-7,"YYYYMMDD"),TEXT($E$2-7,"YYYYMMDD"),"days=a","fill=p"),"-")</f>
        <v>-</v>
      </c>
      <c r="N107" s="180" t="str">
        <f t="shared" ca="1" si="38"/>
        <v>-</v>
      </c>
      <c r="O107" s="101" t="e">
        <f ca="1">IF(OR(_xll.BDP($E107,O$3)="#N/A N/A",_xll.BDP($E107,O$3)="#N/A Invalid Security"), "-", _xll.BDP($E107,O$3))</f>
        <v>#NAME?</v>
      </c>
      <c r="P107" s="182" t="str">
        <f ca="1">IF(ISNUMBER(_xll.BDH($F107,"PX_LAST",TEXT($E$2,"YYYYMMDD"),TEXT($E$2,"YYYYMMDD"),"days=a","fill=p")),_xll.BDH($F107,"PX_LAST",TEXT($E$2,"YYYYMMDD"),TEXT($E$2,"YYYYMMDD"),"days=a","fill=p"),"-")</f>
        <v>-</v>
      </c>
      <c r="Q107" s="182" t="str">
        <f ca="1">IF(ISNUMBER(_xll.BDH($F107,"PX_LAST",TEXT($E$2-7,"YYYYMMDD"),TEXT($E$2-7,"YYYYMMDD"),"days=a","fill=p")),_xll.BDH($F107,"PX_LAST",TEXT($E$2-7,"YYYYMMDD"),TEXT($E$2-7,"YYYYMMDD"),"days=a","fill=p"),"-")</f>
        <v>-</v>
      </c>
      <c r="R107" s="102" t="str">
        <f t="shared" ca="1" si="39"/>
        <v>-</v>
      </c>
      <c r="S107" s="103" t="str">
        <f ca="1">IF(ISNUMBER(_xll.BDP($F107,S$3)),_xll.BDP($F107,S$3),"-")</f>
        <v>-</v>
      </c>
      <c r="T107" s="104" t="e">
        <f t="shared" ca="1" si="34"/>
        <v>#NAME?</v>
      </c>
      <c r="U107" s="105" t="e">
        <f ca="1">IF(OR(_xll.BDP($E107,U$3)="#N/A N/A",_xll.BDP($E107,U$3)="#N/A Invalid Security"), "-", _xll.BDP($E107,U$3))</f>
        <v>#NAME?</v>
      </c>
      <c r="V107" s="105" t="e">
        <f ca="1">IF(OR(_xll.BDP($E107,V$2)="#N/A N/A",_xll.BDP($E107,V$2)="#N/A Invalid Security"), "-", _xll.BDP($E107,V$2))</f>
        <v>#NAME?</v>
      </c>
      <c r="W107" s="106" t="e">
        <f ca="1">IF(OR(_xll.BDP($E107,W$3)="#N/A N/A",_xll.BDP($E107,W$3)="#N/A Invalid Security"), "-", _xll.BDP($E107,W$3))</f>
        <v>#NAME?</v>
      </c>
      <c r="X107" s="105" t="e">
        <f ca="1">IF(OR(_xll.BDP($E107,X$3)="#N/A N/A",_xll.BDP($E107,X$3)="#N/A Invalid Security"), " ", _xll.BDP($E107,X$3))</f>
        <v>#NAME?</v>
      </c>
      <c r="Y107" s="105" t="e">
        <f ca="1">IF(OR(_xll.BDP($E107,Y$3)="#N/A N/A",_xll.BDP($E107,Y$3)="#N/A Invalid Security"), " ", _xll.BDP($E107,Y$3))</f>
        <v>#NAME?</v>
      </c>
      <c r="Z107" s="106" t="e">
        <f ca="1">IF(OR(_xll.BDP($E107,Z$3)="#N/A N/A",_xll.BDP($E107,Z$3)="#N/A Invalid Security"), " ", _xll.BDP($E107,Z$3))</f>
        <v>#NAME?</v>
      </c>
      <c r="AA107" s="107"/>
      <c r="AB107" s="93" t="s">
        <v>950</v>
      </c>
      <c r="AC107" s="93" t="s">
        <v>933</v>
      </c>
      <c r="AD107" s="93" t="s">
        <v>876</v>
      </c>
      <c r="AE107" s="93" t="s">
        <v>940</v>
      </c>
      <c r="AF107" s="93" t="s">
        <v>940</v>
      </c>
      <c r="AG107" s="93" t="s">
        <v>940</v>
      </c>
      <c r="AH107" s="95" t="e">
        <f t="shared" ca="1" si="30"/>
        <v>#NAME?</v>
      </c>
      <c r="AI107" s="95" t="e">
        <f t="shared" ca="1" si="30"/>
        <v>#NAME?</v>
      </c>
      <c r="AJ107" s="95" t="e">
        <f t="shared" ca="1" si="30"/>
        <v>#NAME?</v>
      </c>
      <c r="AK107" s="95" t="e">
        <f t="shared" ca="1" si="30"/>
        <v>#NAME?</v>
      </c>
      <c r="AL107" s="95" t="e">
        <f t="shared" ca="1" si="30"/>
        <v>#NAME?</v>
      </c>
      <c r="AM107" s="95" t="e">
        <f t="shared" ca="1" si="30"/>
        <v>#NAME?</v>
      </c>
      <c r="AN107" s="66" t="str">
        <f t="shared" ca="1" si="37"/>
        <v/>
      </c>
      <c r="AO107" s="108" t="e" cm="1">
        <f t="array" aca="1" ref="AO107" ca="1">_xll.BDP($E107,"cur_mkt_cap")</f>
        <v>#NAME?</v>
      </c>
      <c r="AP107" s="108" t="e" cm="1">
        <f t="array" aca="1" ref="AP107" ca="1">_xll.BDP($E107,"crncy")</f>
        <v>#NAME?</v>
      </c>
      <c r="AQ107" s="109" t="e" cm="1">
        <f t="array" aca="1" ref="AQ107" ca="1">_xll.BDP("USD"&amp;AP107&amp;" curncy","px_last")</f>
        <v>#NAME?</v>
      </c>
      <c r="AR107" s="109" t="e">
        <f t="shared" ca="1" si="35"/>
        <v>#NAME?</v>
      </c>
      <c r="AT107" s="66" t="str">
        <f t="shared" ca="1" si="33"/>
        <v/>
      </c>
      <c r="AU107" s="66" t="str">
        <f t="shared" ca="1" si="33"/>
        <v/>
      </c>
      <c r="AV107" s="66" t="str">
        <f t="shared" ca="1" si="33"/>
        <v/>
      </c>
      <c r="AW107" s="73" t="str" cm="1">
        <f t="array" aca="1" ref="AW107" ca="1">IF(ISERROR(DATEVALUE(_xll.BDP($E107,AW$6))),"",DATEVALUE(_xll.BDP($E107,AW$6)))</f>
        <v/>
      </c>
      <c r="AX107" s="73" t="str" cm="1">
        <f t="array" aca="1" ref="AX107" ca="1">IF(ISERROR(DATEVALUE(_xll.BDP($E107,AX$2))),"",DATEVALUE(_xll.BDP($E107,AX$2)))</f>
        <v/>
      </c>
      <c r="AY107" s="73" t="str" cm="1">
        <f t="array" aca="1" ref="AY107" ca="1">IF(ISERROR(DATEVALUE(_xll.BDP($E107,AY$6))),"",DATEVALUE(_xll.BDP($E107,AY$6)))</f>
        <v/>
      </c>
      <c r="AZ107" s="110" t="e" cm="1">
        <f t="array" aca="1" ref="AZ107" ca="1">IF(_xll.BQL($E107, "last(matches(px_last(dates=range(-1w,0d)), dayofweek(px_last(dates=range(-1w,0d)).date)==6))")="#N/A","-",_xll.BQL($E107, "last(matches(px_last(dates=range(-1w,0d)), dayofweek(px_last(dates=range(-1w,0d)).date)==6))"))</f>
        <v>#NAME?</v>
      </c>
      <c r="BA107" s="109" t="e" cm="1">
        <f t="array" aca="1" ref="BA107" ca="1">IF(_xll.BQL(E107,"first(last(matches(px_last(dates=range(-1M,0D)),dayofweek(px_last(dates=range(-1M,0D)).date)==6),2),1)")="#N/A","-",_xll.BQL(E107,"first(last(matches(px_last(dates=range(-1M,0D)),dayofweek(px_last(dates=range(-1M,0D)).date)==6),2),1)"))</f>
        <v>#NAME?</v>
      </c>
      <c r="BB107" s="109" t="str">
        <f t="shared" ca="1" si="36"/>
        <v>-</v>
      </c>
    </row>
    <row r="108" spans="5:54" ht="16.5" customHeight="1" thickBot="1">
      <c r="E108" s="96" t="s">
        <v>1071</v>
      </c>
      <c r="F108" s="66" t="e">
        <f ca="1">_xll.BDP($E108,F$3)&amp;" BEST Curncy"</f>
        <v>#NAME?</v>
      </c>
      <c r="G108" s="97" t="e">
        <f t="shared" ca="1" si="17"/>
        <v>#NAME?</v>
      </c>
      <c r="H108" s="76"/>
      <c r="I108" s="633"/>
      <c r="J108" s="98" t="e">
        <f ca="1">_xll.BDP($E108,J$3)</f>
        <v>#NAME?</v>
      </c>
      <c r="K108" s="99" t="e">
        <f ca="1">_xll.BDP($E108,K$3)</f>
        <v>#NAME?</v>
      </c>
      <c r="L108" s="100" t="str">
        <f ca="1">IF(ISNUMBER(_xll.BDH($E108,"PX_LAST",TEXT($E$2,"YYYYMMDD"),TEXT($E$2,"YYYYMMDD"),"days=a","fill=p")),_xll.BDH($E108,"PX_LAST",TEXT($E$2,"YYYYMMDD"),TEXT($E$2,"YYYYMMDD"),"days=a","fill=p"),"-")</f>
        <v>-</v>
      </c>
      <c r="M108" s="100" t="str">
        <f ca="1">IF(ISNUMBER(_xll.BDH($E108,"PX_LAST",TEXT($E$2-7,"YYYYMMDD"),TEXT($E$2-7,"YYYYMMDD"),"days=a","fill=p")),_xll.BDH($E108,"PX_LAST",TEXT($E$2-7,"YYYYMMDD"),TEXT($E$2-7,"YYYYMMDD"),"days=a","fill=p"),"-")</f>
        <v>-</v>
      </c>
      <c r="N108" s="180" t="str">
        <f t="shared" ca="1" si="38"/>
        <v>-</v>
      </c>
      <c r="O108" s="101" t="e">
        <f ca="1">IF(OR(_xll.BDP($E108,O$3)="#N/A N/A",_xll.BDP($E108,O$3)="#N/A Invalid Security"), "-", _xll.BDP($E108,O$3))</f>
        <v>#NAME?</v>
      </c>
      <c r="P108" s="182" t="str">
        <f ca="1">IF(ISNUMBER(_xll.BDH($F108,"PX_LAST",TEXT($E$2,"YYYYMMDD"),TEXT($E$2,"YYYYMMDD"),"days=a","fill=p")),_xll.BDH($F108,"PX_LAST",TEXT($E$2,"YYYYMMDD"),TEXT($E$2,"YYYYMMDD"),"days=a","fill=p"),"-")</f>
        <v>-</v>
      </c>
      <c r="Q108" s="182" t="str">
        <f ca="1">IF(ISNUMBER(_xll.BDH($F108,"PX_LAST",TEXT($E$2-7,"YYYYMMDD"),TEXT($E$2-7,"YYYYMMDD"),"days=a","fill=p")),_xll.BDH($F108,"PX_LAST",TEXT($E$2-7,"YYYYMMDD"),TEXT($E$2-7,"YYYYMMDD"),"days=a","fill=p"),"-")</f>
        <v>-</v>
      </c>
      <c r="R108" s="102" t="str">
        <f t="shared" ca="1" si="39"/>
        <v>-</v>
      </c>
      <c r="S108" s="103" t="str">
        <f ca="1">IF(ISNUMBER(_xll.BDP($F108,S$3)),_xll.BDP($F108,S$3),"-")</f>
        <v>-</v>
      </c>
      <c r="T108" s="104" t="e">
        <f t="shared" ca="1" si="34"/>
        <v>#NAME?</v>
      </c>
      <c r="U108" s="105" t="e">
        <f ca="1">IF(OR(_xll.BDP($E108,U$3)="#N/A N/A",_xll.BDP($E108,U$3)="#N/A Invalid Security"), "-", _xll.BDP($E108,U$3))</f>
        <v>#NAME?</v>
      </c>
      <c r="V108" s="105" t="e">
        <f ca="1">IF(OR(_xll.BDP($E108,V$2)="#N/A N/A",_xll.BDP($E108,V$2)="#N/A Invalid Security"), "-", _xll.BDP($E108,V$2))</f>
        <v>#NAME?</v>
      </c>
      <c r="W108" s="106" t="e">
        <f ca="1">IF(OR(_xll.BDP($E108,W$3)="#N/A N/A",_xll.BDP($E108,W$3)="#N/A Invalid Security"), "-", _xll.BDP($E108,W$3))</f>
        <v>#NAME?</v>
      </c>
      <c r="X108" s="105" t="e">
        <f ca="1">IF(OR(_xll.BDP($E108,X$3)="#N/A N/A",_xll.BDP($E108,X$3)="#N/A Invalid Security"), " ", _xll.BDP($E108,X$3))</f>
        <v>#NAME?</v>
      </c>
      <c r="Y108" s="105" t="e">
        <f ca="1">IF(OR(_xll.BDP($E108,Y$3)="#N/A N/A",_xll.BDP($E108,Y$3)="#N/A Invalid Security"), " ", _xll.BDP($E108,Y$3))</f>
        <v>#NAME?</v>
      </c>
      <c r="Z108" s="106" t="e">
        <f ca="1">IF(OR(_xll.BDP($E108,Z$3)="#N/A N/A",_xll.BDP($E108,Z$3)="#N/A Invalid Security"), " ", _xll.BDP($E108,Z$3))</f>
        <v>#NAME?</v>
      </c>
      <c r="AA108" s="107"/>
      <c r="AB108" s="93" t="s">
        <v>950</v>
      </c>
      <c r="AC108" s="93" t="s">
        <v>934</v>
      </c>
      <c r="AD108" s="93" t="s">
        <v>953</v>
      </c>
      <c r="AE108" s="93" t="s">
        <v>940</v>
      </c>
      <c r="AF108" s="93" t="s">
        <v>940</v>
      </c>
      <c r="AG108" s="93" t="s">
        <v>940</v>
      </c>
      <c r="AH108" s="95" t="e">
        <f t="shared" ca="1" si="30"/>
        <v>#NAME?</v>
      </c>
      <c r="AI108" s="95" t="e">
        <f t="shared" ca="1" si="30"/>
        <v>#NAME?</v>
      </c>
      <c r="AJ108" s="95" t="e">
        <f t="shared" ca="1" si="30"/>
        <v>#NAME?</v>
      </c>
      <c r="AK108" s="95" t="e">
        <f t="shared" ca="1" si="30"/>
        <v>#NAME?</v>
      </c>
      <c r="AL108" s="95" t="e">
        <f t="shared" ca="1" si="30"/>
        <v>#NAME?</v>
      </c>
      <c r="AM108" s="95" t="e">
        <f t="shared" ca="1" si="30"/>
        <v>#NAME?</v>
      </c>
      <c r="AN108" s="66" t="str">
        <f t="shared" ca="1" si="37"/>
        <v/>
      </c>
      <c r="AO108" s="108" t="e" cm="1">
        <f t="array" aca="1" ref="AO108" ca="1">_xll.BDP($E108,"cur_mkt_cap")</f>
        <v>#NAME?</v>
      </c>
      <c r="AP108" s="108" t="e" cm="1">
        <f t="array" aca="1" ref="AP108" ca="1">_xll.BDP($E108,"crncy")</f>
        <v>#NAME?</v>
      </c>
      <c r="AQ108" s="109" t="e" cm="1">
        <f t="array" aca="1" ref="AQ108" ca="1">_xll.BDP("USD"&amp;AP108&amp;" curncy","px_last")</f>
        <v>#NAME?</v>
      </c>
      <c r="AR108" s="109" t="e">
        <f t="shared" ca="1" si="35"/>
        <v>#NAME?</v>
      </c>
      <c r="AT108" s="66" t="str">
        <f t="shared" ca="1" si="33"/>
        <v/>
      </c>
      <c r="AU108" s="66" t="str">
        <f t="shared" ca="1" si="33"/>
        <v/>
      </c>
      <c r="AV108" s="66" t="str">
        <f t="shared" ca="1" si="33"/>
        <v/>
      </c>
      <c r="AW108" s="73" t="str" cm="1">
        <f t="array" aca="1" ref="AW108" ca="1">IF(ISERROR(DATEVALUE(_xll.BDP($E108,AW$6))),"",DATEVALUE(_xll.BDP($E108,AW$6)))</f>
        <v/>
      </c>
      <c r="AX108" s="73" t="str" cm="1">
        <f t="array" aca="1" ref="AX108" ca="1">IF(ISERROR(DATEVALUE(_xll.BDP($E108,AX$2))),"",DATEVALUE(_xll.BDP($E108,AX$2)))</f>
        <v/>
      </c>
      <c r="AY108" s="73" t="str" cm="1">
        <f t="array" aca="1" ref="AY108" ca="1">IF(ISERROR(DATEVALUE(_xll.BDP($E108,AY$6))),"",DATEVALUE(_xll.BDP($E108,AY$6)))</f>
        <v/>
      </c>
      <c r="AZ108" s="110" t="e" cm="1">
        <f t="array" aca="1" ref="AZ108" ca="1">IF(_xll.BQL($E108, "last(matches(px_last(dates=range(-1w,0d)), dayofweek(px_last(dates=range(-1w,0d)).date)==6))")="#N/A","-",_xll.BQL($E108, "last(matches(px_last(dates=range(-1w,0d)), dayofweek(px_last(dates=range(-1w,0d)).date)==6))"))</f>
        <v>#NAME?</v>
      </c>
      <c r="BA108" s="109" t="e" cm="1">
        <f t="array" aca="1" ref="BA108" ca="1">IF(_xll.BQL(E108,"first(last(matches(px_last(dates=range(-1M,0D)),dayofweek(px_last(dates=range(-1M,0D)).date)==6),2),1)")="#N/A","-",_xll.BQL(E108,"first(last(matches(px_last(dates=range(-1M,0D)),dayofweek(px_last(dates=range(-1M,0D)).date)==6),2),1)"))</f>
        <v>#NAME?</v>
      </c>
      <c r="BB108" s="109" t="str">
        <f t="shared" ca="1" si="36"/>
        <v>-</v>
      </c>
    </row>
    <row r="109" spans="5:54" ht="16.5" customHeight="1" thickBot="1">
      <c r="E109" s="96" t="s">
        <v>1072</v>
      </c>
      <c r="F109" s="66" t="e">
        <f ca="1">_xll.BDP($E109,F$3)&amp;" BEST Curncy"</f>
        <v>#NAME?</v>
      </c>
      <c r="G109" s="97" t="e">
        <f t="shared" ca="1" si="17"/>
        <v>#NAME?</v>
      </c>
      <c r="H109" s="76"/>
      <c r="I109" s="633"/>
      <c r="J109" s="98" t="e">
        <f ca="1">_xll.BDP($E109,J$3)</f>
        <v>#NAME?</v>
      </c>
      <c r="K109" s="99" t="e">
        <f ca="1">_xll.BDP($E109,K$3)</f>
        <v>#NAME?</v>
      </c>
      <c r="L109" s="100" t="str">
        <f ca="1">IF(ISNUMBER(_xll.BDH($E109,"PX_LAST",TEXT($E$2,"YYYYMMDD"),TEXT($E$2,"YYYYMMDD"),"days=a","fill=p")),_xll.BDH($E109,"PX_LAST",TEXT($E$2,"YYYYMMDD"),TEXT($E$2,"YYYYMMDD"),"days=a","fill=p"),"-")</f>
        <v>-</v>
      </c>
      <c r="M109" s="100" t="str">
        <f ca="1">IF(ISNUMBER(_xll.BDH($E109,"PX_LAST",TEXT($E$2-7,"YYYYMMDD"),TEXT($E$2-7,"YYYYMMDD"),"days=a","fill=p")),_xll.BDH($E109,"PX_LAST",TEXT($E$2-7,"YYYYMMDD"),TEXT($E$2-7,"YYYYMMDD"),"days=a","fill=p"),"-")</f>
        <v>-</v>
      </c>
      <c r="N109" s="180" t="str">
        <f t="shared" ca="1" si="38"/>
        <v>-</v>
      </c>
      <c r="O109" s="101" t="e">
        <f ca="1">IF(OR(_xll.BDP($E109,O$3)="#N/A N/A",_xll.BDP($E109,O$3)="#N/A Invalid Security"), "-", _xll.BDP($E109,O$3))</f>
        <v>#NAME?</v>
      </c>
      <c r="P109" s="182" t="str">
        <f ca="1">IF(ISNUMBER(_xll.BDH($F109,"PX_LAST",TEXT($E$2,"YYYYMMDD"),TEXT($E$2,"YYYYMMDD"),"days=a","fill=p")),_xll.BDH($F109,"PX_LAST",TEXT($E$2,"YYYYMMDD"),TEXT($E$2,"YYYYMMDD"),"days=a","fill=p"),"-")</f>
        <v>-</v>
      </c>
      <c r="Q109" s="182" t="str">
        <f ca="1">IF(ISNUMBER(_xll.BDH($F109,"PX_LAST",TEXT($E$2-7,"YYYYMMDD"),TEXT($E$2-7,"YYYYMMDD"),"days=a","fill=p")),_xll.BDH($F109,"PX_LAST",TEXT($E$2-7,"YYYYMMDD"),TEXT($E$2-7,"YYYYMMDD"),"days=a","fill=p"),"-")</f>
        <v>-</v>
      </c>
      <c r="R109" s="102" t="str">
        <f t="shared" ca="1" si="39"/>
        <v>-</v>
      </c>
      <c r="S109" s="103" t="str">
        <f ca="1">IF(ISNUMBER(_xll.BDP($F109,S$3)),_xll.BDP($F109,S$3),"-")</f>
        <v>-</v>
      </c>
      <c r="T109" s="104" t="e">
        <f t="shared" ca="1" si="34"/>
        <v>#NAME?</v>
      </c>
      <c r="U109" s="105" t="e">
        <f ca="1">IF(OR(_xll.BDP($E109,U$3)="#N/A N/A",_xll.BDP($E109,U$3)="#N/A Invalid Security"), "-", _xll.BDP($E109,U$3))</f>
        <v>#NAME?</v>
      </c>
      <c r="V109" s="105" t="e">
        <f ca="1">IF(OR(_xll.BDP($E109,V$2)="#N/A N/A",_xll.BDP($E109,V$2)="#N/A Invalid Security"), "-", _xll.BDP($E109,V$2))</f>
        <v>#NAME?</v>
      </c>
      <c r="W109" s="106" t="e">
        <f ca="1">IF(OR(_xll.BDP($E109,W$3)="#N/A N/A",_xll.BDP($E109,W$3)="#N/A Invalid Security"), "-", _xll.BDP($E109,W$3))</f>
        <v>#NAME?</v>
      </c>
      <c r="X109" s="105" t="e">
        <f ca="1">IF(OR(_xll.BDP($E109,X$3)="#N/A N/A",_xll.BDP($E109,X$3)="#N/A Invalid Security"), " ", _xll.BDP($E109,X$3))</f>
        <v>#NAME?</v>
      </c>
      <c r="Y109" s="105" t="e">
        <f ca="1">IF(OR(_xll.BDP($E109,Y$3)="#N/A N/A",_xll.BDP($E109,Y$3)="#N/A Invalid Security"), " ", _xll.BDP($E109,Y$3))</f>
        <v>#NAME?</v>
      </c>
      <c r="Z109" s="106" t="e">
        <f ca="1">IF(OR(_xll.BDP($E109,Z$3)="#N/A N/A",_xll.BDP($E109,Z$3)="#N/A Invalid Security"), " ", _xll.BDP($E109,Z$3))</f>
        <v>#NAME?</v>
      </c>
      <c r="AA109" s="107"/>
      <c r="AB109" s="93" t="s">
        <v>950</v>
      </c>
      <c r="AC109" s="93" t="s">
        <v>934</v>
      </c>
      <c r="AD109" s="93" t="s">
        <v>953</v>
      </c>
      <c r="AE109" s="93" t="s">
        <v>940</v>
      </c>
      <c r="AF109" s="93" t="s">
        <v>940</v>
      </c>
      <c r="AG109" s="93" t="s">
        <v>940</v>
      </c>
      <c r="AH109" s="95" t="e">
        <f t="shared" ca="1" si="30"/>
        <v>#NAME?</v>
      </c>
      <c r="AI109" s="95" t="e">
        <f t="shared" ca="1" si="30"/>
        <v>#NAME?</v>
      </c>
      <c r="AJ109" s="95" t="e">
        <f t="shared" ca="1" si="30"/>
        <v>#NAME?</v>
      </c>
      <c r="AK109" s="95" t="e">
        <f t="shared" ca="1" si="30"/>
        <v>#NAME?</v>
      </c>
      <c r="AL109" s="95" t="e">
        <f t="shared" ca="1" si="30"/>
        <v>#NAME?</v>
      </c>
      <c r="AM109" s="95" t="e">
        <f t="shared" ca="1" si="30"/>
        <v>#NAME?</v>
      </c>
      <c r="AN109" s="66" t="str">
        <f t="shared" ca="1" si="37"/>
        <v/>
      </c>
      <c r="AO109" s="108" t="e" cm="1">
        <f t="array" aca="1" ref="AO109" ca="1">_xll.BDP($E109,"cur_mkt_cap")</f>
        <v>#NAME?</v>
      </c>
      <c r="AP109" s="108" t="e" cm="1">
        <f t="array" aca="1" ref="AP109" ca="1">_xll.BDP($E109,"crncy")</f>
        <v>#NAME?</v>
      </c>
      <c r="AQ109" s="109" t="e" cm="1">
        <f t="array" aca="1" ref="AQ109" ca="1">_xll.BDP("USD"&amp;AP109&amp;" curncy","px_last")</f>
        <v>#NAME?</v>
      </c>
      <c r="AR109" s="109" t="e">
        <f t="shared" ca="1" si="35"/>
        <v>#NAME?</v>
      </c>
      <c r="AT109" s="66" t="str">
        <f t="shared" ca="1" si="33"/>
        <v/>
      </c>
      <c r="AU109" s="66" t="str">
        <f t="shared" ca="1" si="33"/>
        <v/>
      </c>
      <c r="AV109" s="66" t="str">
        <f t="shared" ca="1" si="33"/>
        <v/>
      </c>
      <c r="AW109" s="73" t="str" cm="1">
        <f t="array" aca="1" ref="AW109" ca="1">IF(ISERROR(DATEVALUE(_xll.BDP($E109,AW$6))),"",DATEVALUE(_xll.BDP($E109,AW$6)))</f>
        <v/>
      </c>
      <c r="AX109" s="73" t="str" cm="1">
        <f t="array" aca="1" ref="AX109" ca="1">IF(ISERROR(DATEVALUE(_xll.BDP($E109,AX$2))),"",DATEVALUE(_xll.BDP($E109,AX$2)))</f>
        <v/>
      </c>
      <c r="AY109" s="73" t="str" cm="1">
        <f t="array" aca="1" ref="AY109" ca="1">IF(ISERROR(DATEVALUE(_xll.BDP($E109,AY$6))),"",DATEVALUE(_xll.BDP($E109,AY$6)))</f>
        <v/>
      </c>
      <c r="AZ109" s="110" t="e" cm="1">
        <f t="array" aca="1" ref="AZ109" ca="1">IF(_xll.BQL($E109, "last(matches(px_last(dates=range(-1w,0d)), dayofweek(px_last(dates=range(-1w,0d)).date)==6))")="#N/A","-",_xll.BQL($E109, "last(matches(px_last(dates=range(-1w,0d)), dayofweek(px_last(dates=range(-1w,0d)).date)==6))"))</f>
        <v>#NAME?</v>
      </c>
      <c r="BA109" s="109" t="e" cm="1">
        <f t="array" aca="1" ref="BA109" ca="1">IF(_xll.BQL(E109,"first(last(matches(px_last(dates=range(-1M,0D)),dayofweek(px_last(dates=range(-1M,0D)).date)==6),2),1)")="#N/A","-",_xll.BQL(E109,"first(last(matches(px_last(dates=range(-1M,0D)),dayofweek(px_last(dates=range(-1M,0D)).date)==6),2),1)"))</f>
        <v>#NAME?</v>
      </c>
      <c r="BB109" s="109" t="str">
        <f t="shared" ca="1" si="36"/>
        <v>-</v>
      </c>
    </row>
    <row r="110" spans="5:54" ht="16.5" customHeight="1" thickBot="1">
      <c r="E110" s="96" t="s">
        <v>1073</v>
      </c>
      <c r="F110" s="66" t="e">
        <f ca="1">_xll.BDP($E110,F$3)&amp;" BEST Curncy"</f>
        <v>#NAME?</v>
      </c>
      <c r="G110" s="97" t="e">
        <f t="shared" ca="1" si="17"/>
        <v>#NAME?</v>
      </c>
      <c r="H110" s="76"/>
      <c r="I110" s="633"/>
      <c r="J110" s="98" t="e">
        <f ca="1">_xll.BDP($E110,J$3)</f>
        <v>#NAME?</v>
      </c>
      <c r="K110" s="99" t="e">
        <f ca="1">_xll.BDP($E110,K$3)</f>
        <v>#NAME?</v>
      </c>
      <c r="L110" s="100" t="str">
        <f ca="1">IF(ISNUMBER(_xll.BDH($E110,"PX_LAST",TEXT($E$2,"YYYYMMDD"),TEXT($E$2,"YYYYMMDD"),"days=a","fill=p")),_xll.BDH($E110,"PX_LAST",TEXT($E$2,"YYYYMMDD"),TEXT($E$2,"YYYYMMDD"),"days=a","fill=p"),"-")</f>
        <v>-</v>
      </c>
      <c r="M110" s="100" t="str">
        <f ca="1">IF(ISNUMBER(_xll.BDH($E110,"PX_LAST",TEXT($E$2-7,"YYYYMMDD"),TEXT($E$2-7,"YYYYMMDD"),"days=a","fill=p")),_xll.BDH($E110,"PX_LAST",TEXT($E$2-7,"YYYYMMDD"),TEXT($E$2-7,"YYYYMMDD"),"days=a","fill=p"),"-")</f>
        <v>-</v>
      </c>
      <c r="N110" s="180" t="str">
        <f t="shared" ca="1" si="38"/>
        <v>-</v>
      </c>
      <c r="O110" s="101" t="e">
        <f ca="1">IF(OR(_xll.BDP($E110,O$3)="#N/A N/A",_xll.BDP($E110,O$3)="#N/A Invalid Security"), "-", _xll.BDP($E110,O$3))</f>
        <v>#NAME?</v>
      </c>
      <c r="P110" s="182" t="str">
        <f ca="1">IF(ISNUMBER(_xll.BDH($F110,"PX_LAST",TEXT($E$2,"YYYYMMDD"),TEXT($E$2,"YYYYMMDD"),"days=a","fill=p")),_xll.BDH($F110,"PX_LAST",TEXT($E$2,"YYYYMMDD"),TEXT($E$2,"YYYYMMDD"),"days=a","fill=p"),"-")</f>
        <v>-</v>
      </c>
      <c r="Q110" s="182" t="str">
        <f ca="1">IF(ISNUMBER(_xll.BDH($F110,"PX_LAST",TEXT($E$2-7,"YYYYMMDD"),TEXT($E$2-7,"YYYYMMDD"),"days=a","fill=p")),_xll.BDH($F110,"PX_LAST",TEXT($E$2-7,"YYYYMMDD"),TEXT($E$2-7,"YYYYMMDD"),"days=a","fill=p"),"-")</f>
        <v>-</v>
      </c>
      <c r="R110" s="102" t="str">
        <f t="shared" ca="1" si="39"/>
        <v>-</v>
      </c>
      <c r="S110" s="103" t="str">
        <f ca="1">IF(ISNUMBER(_xll.BDP($F110,S$3)),_xll.BDP($F110,S$3),"-")</f>
        <v>-</v>
      </c>
      <c r="T110" s="104" t="e">
        <f t="shared" ca="1" si="34"/>
        <v>#NAME?</v>
      </c>
      <c r="U110" s="105" t="e">
        <f ca="1">IF(OR(_xll.BDP($E110,U$3)="#N/A N/A",_xll.BDP($E110,U$3)="#N/A Invalid Security"), "-", _xll.BDP($E110,U$3))</f>
        <v>#NAME?</v>
      </c>
      <c r="V110" s="105" t="e">
        <f ca="1">IF(OR(_xll.BDP($E110,V$2)="#N/A N/A",_xll.BDP($E110,V$2)="#N/A Invalid Security"), "-", _xll.BDP($E110,V$2))</f>
        <v>#NAME?</v>
      </c>
      <c r="W110" s="106" t="e">
        <f ca="1">IF(OR(_xll.BDP($E110,W$3)="#N/A N/A",_xll.BDP($E110,W$3)="#N/A Invalid Security"), "-", _xll.BDP($E110,W$3))</f>
        <v>#NAME?</v>
      </c>
      <c r="X110" s="105" t="e">
        <f ca="1">IF(OR(_xll.BDP($E110,X$3)="#N/A N/A",_xll.BDP($E110,X$3)="#N/A Invalid Security"), " ", _xll.BDP($E110,X$3))</f>
        <v>#NAME?</v>
      </c>
      <c r="Y110" s="105" t="e">
        <f ca="1">IF(OR(_xll.BDP($E110,Y$3)="#N/A N/A",_xll.BDP($E110,Y$3)="#N/A Invalid Security"), " ", _xll.BDP($E110,Y$3))</f>
        <v>#NAME?</v>
      </c>
      <c r="Z110" s="106" t="e">
        <f ca="1">IF(OR(_xll.BDP($E110,Z$3)="#N/A N/A",_xll.BDP($E110,Z$3)="#N/A Invalid Security"), " ", _xll.BDP($E110,Z$3))</f>
        <v>#NAME?</v>
      </c>
      <c r="AA110" s="107"/>
      <c r="AB110" s="93" t="s">
        <v>950</v>
      </c>
      <c r="AC110" s="93" t="s">
        <v>934</v>
      </c>
      <c r="AD110" s="93" t="s">
        <v>953</v>
      </c>
      <c r="AE110" s="93" t="s">
        <v>940</v>
      </c>
      <c r="AF110" s="93" t="s">
        <v>940</v>
      </c>
      <c r="AG110" s="93" t="s">
        <v>940</v>
      </c>
      <c r="AH110" s="95" t="e">
        <f t="shared" ca="1" si="30"/>
        <v>#NAME?</v>
      </c>
      <c r="AI110" s="95" t="e">
        <f t="shared" ca="1" si="30"/>
        <v>#NAME?</v>
      </c>
      <c r="AJ110" s="95" t="e">
        <f t="shared" ca="1" si="30"/>
        <v>#NAME?</v>
      </c>
      <c r="AK110" s="95" t="e">
        <f t="shared" ca="1" si="30"/>
        <v>#NAME?</v>
      </c>
      <c r="AL110" s="95" t="e">
        <f t="shared" ca="1" si="30"/>
        <v>#NAME?</v>
      </c>
      <c r="AM110" s="95" t="e">
        <f t="shared" ca="1" si="30"/>
        <v>#NAME?</v>
      </c>
      <c r="AN110" s="66" t="str">
        <f ca="1">IF(SUM(AT110:AV110)&gt;0,"Y","")</f>
        <v/>
      </c>
      <c r="AO110" s="108" t="e" cm="1">
        <f t="array" aca="1" ref="AO110" ca="1">_xll.BDP($E110,"cur_mkt_cap")</f>
        <v>#NAME?</v>
      </c>
      <c r="AP110" s="108" t="e" cm="1">
        <f t="array" aca="1" ref="AP110" ca="1">_xll.BDP($E110,"crncy")</f>
        <v>#NAME?</v>
      </c>
      <c r="AQ110" s="109" t="e" cm="1">
        <f t="array" aca="1" ref="AQ110" ca="1">_xll.BDP("USD"&amp;AP110&amp;" curncy","px_last")</f>
        <v>#NAME?</v>
      </c>
      <c r="AR110" s="109" t="e">
        <f t="shared" ca="1" si="35"/>
        <v>#NAME?</v>
      </c>
      <c r="AT110" s="66" t="str">
        <f t="shared" ca="1" si="33"/>
        <v/>
      </c>
      <c r="AU110" s="66" t="str">
        <f t="shared" ca="1" si="33"/>
        <v/>
      </c>
      <c r="AV110" s="66" t="str">
        <f t="shared" ca="1" si="33"/>
        <v/>
      </c>
      <c r="AW110" s="73" t="str" cm="1">
        <f t="array" aca="1" ref="AW110" ca="1">IF(ISERROR(DATEVALUE(_xll.BDP($E110,AW$6))),"",DATEVALUE(_xll.BDP($E110,AW$6)))</f>
        <v/>
      </c>
      <c r="AX110" s="73" t="str" cm="1">
        <f t="array" aca="1" ref="AX110" ca="1">IF(ISERROR(DATEVALUE(_xll.BDP($E110,AX$2))),"",DATEVALUE(_xll.BDP($E110,AX$2)))</f>
        <v/>
      </c>
      <c r="AY110" s="73" t="str" cm="1">
        <f t="array" aca="1" ref="AY110" ca="1">IF(ISERROR(DATEVALUE(_xll.BDP($E110,AY$6))),"",DATEVALUE(_xll.BDP($E110,AY$6)))</f>
        <v/>
      </c>
      <c r="AZ110" s="110" t="e" cm="1">
        <f t="array" aca="1" ref="AZ110" ca="1">IF(_xll.BQL($E110, "last(matches(px_last(dates=range(-1w,0d)), dayofweek(px_last(dates=range(-1w,0d)).date)==6))")="#N/A","-",_xll.BQL($E110, "last(matches(px_last(dates=range(-1w,0d)), dayofweek(px_last(dates=range(-1w,0d)).date)==6))"))</f>
        <v>#NAME?</v>
      </c>
      <c r="BA110" s="109" t="e" cm="1">
        <f t="array" aca="1" ref="BA110" ca="1">IF(_xll.BQL(E110,"first(last(matches(px_last(dates=range(-1M,0D)),dayofweek(px_last(dates=range(-1M,0D)).date)==6),2),1)")="#N/A","-",_xll.BQL(E110,"first(last(matches(px_last(dates=range(-1M,0D)),dayofweek(px_last(dates=range(-1M,0D)).date)==6),2),1)"))</f>
        <v>#NAME?</v>
      </c>
      <c r="BB110" s="109" t="str">
        <f t="shared" ca="1" si="36"/>
        <v>-</v>
      </c>
    </row>
    <row r="111" spans="5:54" ht="16.5" customHeight="1" thickBot="1">
      <c r="E111" s="96" t="s">
        <v>1074</v>
      </c>
      <c r="F111" s="66" t="e">
        <f ca="1">_xll.BDP($E111,F$3)&amp;" BEST Curncy"</f>
        <v>#NAME?</v>
      </c>
      <c r="G111" s="97" t="e">
        <f t="shared" ca="1" si="17"/>
        <v>#NAME?</v>
      </c>
      <c r="H111" s="76"/>
      <c r="I111" s="633"/>
      <c r="J111" s="98" t="e">
        <f ca="1">_xll.BDP($E111,J$3)</f>
        <v>#NAME?</v>
      </c>
      <c r="K111" s="99" t="e">
        <f ca="1">_xll.BDP($E111,K$3)</f>
        <v>#NAME?</v>
      </c>
      <c r="L111" s="100" t="str">
        <f ca="1">IF(ISNUMBER(_xll.BDH($E111,"PX_LAST",TEXT($E$2,"YYYYMMDD"),TEXT($E$2,"YYYYMMDD"),"days=a","fill=p")),_xll.BDH($E111,"PX_LAST",TEXT($E$2,"YYYYMMDD"),TEXT($E$2,"YYYYMMDD"),"days=a","fill=p"),"-")</f>
        <v>-</v>
      </c>
      <c r="M111" s="100" t="str">
        <f ca="1">IF(ISNUMBER(_xll.BDH($E111,"PX_LAST",TEXT($E$2-7,"YYYYMMDD"),TEXT($E$2-7,"YYYYMMDD"),"days=a","fill=p")),_xll.BDH($E111,"PX_LAST",TEXT($E$2-7,"YYYYMMDD"),TEXT($E$2-7,"YYYYMMDD"),"days=a","fill=p"),"-")</f>
        <v>-</v>
      </c>
      <c r="N111" s="180" t="str">
        <f t="shared" ca="1" si="38"/>
        <v>-</v>
      </c>
      <c r="O111" s="101" t="e">
        <f ca="1">IF(OR(_xll.BDP($E111,O$3)="#N/A N/A",_xll.BDP($E111,O$3)="#N/A Invalid Security"), "-", _xll.BDP($E111,O$3))</f>
        <v>#NAME?</v>
      </c>
      <c r="P111" s="182" t="str">
        <f ca="1">IF(ISNUMBER(_xll.BDH($F111,"PX_LAST",TEXT($E$2,"YYYYMMDD"),TEXT($E$2,"YYYYMMDD"),"days=a","fill=p")),_xll.BDH($F111,"PX_LAST",TEXT($E$2,"YYYYMMDD"),TEXT($E$2,"YYYYMMDD"),"days=a","fill=p"),"-")</f>
        <v>-</v>
      </c>
      <c r="Q111" s="182" t="str">
        <f ca="1">IF(ISNUMBER(_xll.BDH($F111,"PX_LAST",TEXT($E$2-7,"YYYYMMDD"),TEXT($E$2-7,"YYYYMMDD"),"days=a","fill=p")),_xll.BDH($F111,"PX_LAST",TEXT($E$2-7,"YYYYMMDD"),TEXT($E$2-7,"YYYYMMDD"),"days=a","fill=p"),"-")</f>
        <v>-</v>
      </c>
      <c r="R111" s="102" t="str">
        <f t="shared" ca="1" si="39"/>
        <v>-</v>
      </c>
      <c r="S111" s="103" t="str">
        <f ca="1">IF(ISNUMBER(_xll.BDP($F111,S$3)),_xll.BDP($F111,S$3),"-")</f>
        <v>-</v>
      </c>
      <c r="T111" s="104" t="e">
        <f t="shared" ca="1" si="34"/>
        <v>#NAME?</v>
      </c>
      <c r="U111" s="105" t="e">
        <f ca="1">IF(OR(_xll.BDP($E111,U$3)="#N/A N/A",_xll.BDP($E111,U$3)="#N/A Invalid Security"), "-", _xll.BDP($E111,U$3))</f>
        <v>#NAME?</v>
      </c>
      <c r="V111" s="105" t="e">
        <f ca="1">IF(OR(_xll.BDP($E111,V$2)="#N/A N/A",_xll.BDP($E111,V$2)="#N/A Invalid Security"), "-", _xll.BDP($E111,V$2))</f>
        <v>#NAME?</v>
      </c>
      <c r="W111" s="106" t="e">
        <f ca="1">IF(OR(_xll.BDP($E111,W$3)="#N/A N/A",_xll.BDP($E111,W$3)="#N/A Invalid Security"), "-", _xll.BDP($E111,W$3))</f>
        <v>#NAME?</v>
      </c>
      <c r="X111" s="105" t="e">
        <f ca="1">IF(OR(_xll.BDP($E111,X$3)="#N/A N/A",_xll.BDP($E111,X$3)="#N/A Invalid Security"), " ", _xll.BDP($E111,X$3))</f>
        <v>#NAME?</v>
      </c>
      <c r="Y111" s="105" t="e">
        <f ca="1">IF(OR(_xll.BDP($E111,Y$3)="#N/A N/A",_xll.BDP($E111,Y$3)="#N/A Invalid Security"), " ", _xll.BDP($E111,Y$3))</f>
        <v>#NAME?</v>
      </c>
      <c r="Z111" s="106" t="e">
        <f ca="1">IF(OR(_xll.BDP($E111,Z$3)="#N/A N/A",_xll.BDP($E111,Z$3)="#N/A Invalid Security"), " ", _xll.BDP($E111,Z$3))</f>
        <v>#NAME?</v>
      </c>
      <c r="AA111" s="107"/>
      <c r="AB111" s="93" t="s">
        <v>950</v>
      </c>
      <c r="AC111" s="93" t="s">
        <v>934</v>
      </c>
      <c r="AD111" s="93" t="s">
        <v>953</v>
      </c>
      <c r="AE111" s="93" t="s">
        <v>940</v>
      </c>
      <c r="AF111" s="93" t="s">
        <v>940</v>
      </c>
      <c r="AG111" s="93" t="s">
        <v>940</v>
      </c>
      <c r="AH111" s="95" t="e">
        <f t="shared" ca="1" si="30"/>
        <v>#NAME?</v>
      </c>
      <c r="AI111" s="95" t="e">
        <f t="shared" ca="1" si="30"/>
        <v>#NAME?</v>
      </c>
      <c r="AJ111" s="95" t="e">
        <f t="shared" ca="1" si="30"/>
        <v>#NAME?</v>
      </c>
      <c r="AK111" s="95" t="e">
        <f t="shared" ca="1" si="30"/>
        <v>#NAME?</v>
      </c>
      <c r="AL111" s="95" t="e">
        <f t="shared" ca="1" si="30"/>
        <v>#NAME?</v>
      </c>
      <c r="AM111" s="95" t="e">
        <f t="shared" ca="1" si="30"/>
        <v>#NAME?</v>
      </c>
      <c r="AN111" s="66" t="str">
        <f ca="1">IF(SUM(AT111:AV111)&gt;0,"Y","")</f>
        <v/>
      </c>
      <c r="AO111" s="108" t="e" cm="1">
        <f t="array" aca="1" ref="AO111" ca="1">_xll.BDP($E111,"cur_mkt_cap")</f>
        <v>#NAME?</v>
      </c>
      <c r="AP111" s="108" t="e" cm="1">
        <f t="array" aca="1" ref="AP111" ca="1">_xll.BDP($E111,"crncy")</f>
        <v>#NAME?</v>
      </c>
      <c r="AQ111" s="109" t="e" cm="1">
        <f t="array" aca="1" ref="AQ111" ca="1">_xll.BDP("USD"&amp;AP111&amp;" curncy","px_last")</f>
        <v>#NAME?</v>
      </c>
      <c r="AR111" s="109" t="e">
        <f t="shared" ca="1" si="35"/>
        <v>#NAME?</v>
      </c>
      <c r="AT111" s="66" t="str">
        <f t="shared" ca="1" si="33"/>
        <v/>
      </c>
      <c r="AU111" s="66" t="str">
        <f t="shared" ca="1" si="33"/>
        <v/>
      </c>
      <c r="AV111" s="66" t="str">
        <f t="shared" ca="1" si="33"/>
        <v/>
      </c>
      <c r="AW111" s="73" t="str" cm="1">
        <f t="array" aca="1" ref="AW111" ca="1">IF(ISERROR(DATEVALUE(_xll.BDP($E111,AW$6))),"",DATEVALUE(_xll.BDP($E111,AW$6)))</f>
        <v/>
      </c>
      <c r="AX111" s="73" t="str" cm="1">
        <f t="array" aca="1" ref="AX111" ca="1">IF(ISERROR(DATEVALUE(_xll.BDP($E111,AX$2))),"",DATEVALUE(_xll.BDP($E111,AX$2)))</f>
        <v/>
      </c>
      <c r="AY111" s="73" t="str" cm="1">
        <f t="array" aca="1" ref="AY111" ca="1">IF(ISERROR(DATEVALUE(_xll.BDP($E111,AY$6))),"",DATEVALUE(_xll.BDP($E111,AY$6)))</f>
        <v/>
      </c>
      <c r="AZ111" s="110" t="e" cm="1">
        <f t="array" aca="1" ref="AZ111" ca="1">IF(_xll.BQL($E111, "last(matches(px_last(dates=range(-1w,0d)), dayofweek(px_last(dates=range(-1w,0d)).date)==6))")="#N/A","-",_xll.BQL($E111, "last(matches(px_last(dates=range(-1w,0d)), dayofweek(px_last(dates=range(-1w,0d)).date)==6))"))</f>
        <v>#NAME?</v>
      </c>
      <c r="BA111" s="109" t="e" cm="1">
        <f t="array" aca="1" ref="BA111" ca="1">IF(_xll.BQL(E111,"first(last(matches(px_last(dates=range(-1M,0D)),dayofweek(px_last(dates=range(-1M,0D)).date)==6),2),1)")="#N/A","-",_xll.BQL(E111,"first(last(matches(px_last(dates=range(-1M,0D)),dayofweek(px_last(dates=range(-1M,0D)).date)==6),2),1)"))</f>
        <v>#NAME?</v>
      </c>
      <c r="BB111" s="109" t="str">
        <f t="shared" ca="1" si="36"/>
        <v>-</v>
      </c>
    </row>
    <row r="112" spans="5:54" ht="16.5" customHeight="1" thickBot="1">
      <c r="E112" s="159" t="s">
        <v>1075</v>
      </c>
      <c r="F112" s="66" t="e">
        <f ca="1">_xll.BDP($E112,F$3)&amp;" CBIN Curncy"</f>
        <v>#NAME?</v>
      </c>
      <c r="G112" s="97" t="e">
        <f t="shared" ca="1" si="17"/>
        <v>#NAME?</v>
      </c>
      <c r="I112" s="633"/>
      <c r="J112" s="98" t="e">
        <f ca="1">_xll.BDP($E112,J$3)</f>
        <v>#NAME?</v>
      </c>
      <c r="K112" s="99" t="e">
        <f ca="1">_xll.BDP($E112,K$3)</f>
        <v>#NAME?</v>
      </c>
      <c r="L112" s="100" t="str">
        <f ca="1">IF(ISNUMBER(_xll.BDH($E112,"PX_LAST",TEXT($E$2,"YYYYMMDD"),TEXT($E$2,"YYYYMMDD"),"days=a","fill=p")),_xll.BDH($E112,"PX_LAST",TEXT($E$2,"YYYYMMDD"),TEXT($E$2,"YYYYMMDD"),"days=a","fill=p"),"-")</f>
        <v>-</v>
      </c>
      <c r="M112" s="100" t="str">
        <f ca="1">IF(ISNUMBER(_xll.BDH($E112,"PX_LAST",TEXT($E$2-7,"YYYYMMDD"),TEXT($E$2-7,"YYYYMMDD"),"days=a","fill=p")),_xll.BDH($E112,"PX_LAST",TEXT($E$2-7,"YYYYMMDD"),TEXT($E$2-7,"YYYYMMDD"),"days=a","fill=p"),"-")</f>
        <v>-</v>
      </c>
      <c r="N112" s="180" t="str">
        <f t="shared" ca="1" si="38"/>
        <v>-</v>
      </c>
      <c r="O112" s="101" t="e">
        <f ca="1">IF(OR(_xll.BDP($E112,O$3)="#N/A N/A",_xll.BDP($E112,O$3)="#N/A Invalid Security"), "-", _xll.BDP($E112,O$3))</f>
        <v>#NAME?</v>
      </c>
      <c r="P112" s="182" t="str">
        <f ca="1">IF(ISNUMBER(_xll.BDH($F112,"PX_LAST",TEXT($E$2,"YYYYMMDD"),TEXT($E$2,"YYYYMMDD"),"days=a","fill=p")),_xll.BDH($F112,"PX_LAST",TEXT($E$2,"YYYYMMDD"),TEXT($E$2,"YYYYMMDD"),"days=a","fill=p"),"-")</f>
        <v>-</v>
      </c>
      <c r="Q112" s="182" t="str">
        <f ca="1">IF(ISNUMBER(_xll.BDH($F112,"PX_LAST",TEXT($E$2-7,"YYYYMMDD"),TEXT($E$2-7,"YYYYMMDD"),"days=a","fill=p")),_xll.BDH($F112,"PX_LAST",TEXT($E$2-7,"YYYYMMDD"),TEXT($E$2-7,"YYYYMMDD"),"days=a","fill=p"),"-")</f>
        <v>-</v>
      </c>
      <c r="R112" s="102" t="str">
        <f t="shared" ca="1" si="39"/>
        <v>-</v>
      </c>
      <c r="S112" s="103" t="str">
        <f ca="1">IF(ISNUMBER(_xll.BDP($F112,S$3)),_xll.BDP($F112,S$3),"-")</f>
        <v>-</v>
      </c>
      <c r="T112" s="104" t="e">
        <f t="shared" ca="1" si="34"/>
        <v>#NAME?</v>
      </c>
      <c r="U112" s="105" t="e">
        <f ca="1">IF(OR(_xll.BDP($E112,U$3)="#N/A N/A",_xll.BDP($E112,U$3)="#N/A Invalid Security"), "-", _xll.BDP($E112,U$3))</f>
        <v>#NAME?</v>
      </c>
      <c r="V112" s="105" t="e">
        <f ca="1">IF(OR(_xll.BDP($E112,V$2)="#N/A N/A",_xll.BDP($E112,V$2)="#N/A Invalid Security"), "-", _xll.BDP($E112,V$2))</f>
        <v>#NAME?</v>
      </c>
      <c r="W112" s="106" t="e">
        <f ca="1">IF(OR(_xll.BDP($E112,W$3)="#N/A N/A",_xll.BDP($E112,W$3)="#N/A Invalid Security"), "-", _xll.BDP($E112,W$3))</f>
        <v>#NAME?</v>
      </c>
      <c r="X112" s="105" t="e">
        <f ca="1">IF(OR(_xll.BDP($E112,X$3)="#N/A N/A",_xll.BDP($E112,X$3)="#N/A Invalid Security"), " ", _xll.BDP($E112,X$3))</f>
        <v>#NAME?</v>
      </c>
      <c r="Y112" s="105" t="e">
        <f ca="1">IF(OR(_xll.BDP($E112,Y$3)="#N/A N/A",_xll.BDP($E112,Y$3)="#N/A Invalid Security"), " ", _xll.BDP($E112,Y$3))</f>
        <v>#NAME?</v>
      </c>
      <c r="Z112" s="106" t="e">
        <f ca="1">IF(OR(_xll.BDP($E112,Z$3)="#N/A N/A",_xll.BDP($E112,Z$3)="#N/A Invalid Security"), " ", _xll.BDP($E112,Z$3))</f>
        <v>#NAME?</v>
      </c>
      <c r="AA112" s="107"/>
      <c r="AB112" s="93" t="s">
        <v>876</v>
      </c>
      <c r="AC112" s="93" t="s">
        <v>939</v>
      </c>
      <c r="AD112" s="93" t="s">
        <v>938</v>
      </c>
      <c r="AE112" s="93" t="s">
        <v>940</v>
      </c>
      <c r="AF112" s="93" t="s">
        <v>940</v>
      </c>
      <c r="AG112" s="93" t="s">
        <v>940</v>
      </c>
      <c r="AH112" s="95" t="e">
        <f t="shared" ca="1" si="30"/>
        <v>#NAME?</v>
      </c>
      <c r="AI112" s="95" t="e">
        <f t="shared" ca="1" si="30"/>
        <v>#NAME?</v>
      </c>
      <c r="AJ112" s="95" t="e">
        <f t="shared" ca="1" si="30"/>
        <v>#NAME?</v>
      </c>
      <c r="AK112" s="95" t="e">
        <f t="shared" ca="1" si="30"/>
        <v>#NAME?</v>
      </c>
      <c r="AL112" s="95" t="e">
        <f t="shared" ca="1" si="30"/>
        <v>#NAME?</v>
      </c>
      <c r="AM112" s="95" t="e">
        <f t="shared" ca="1" si="30"/>
        <v>#NAME?</v>
      </c>
      <c r="AN112" s="66" t="str">
        <f t="shared" ref="AN112:AN162" ca="1" si="40">IF(SUM(AT112:AV112)&gt;0,"Y","")</f>
        <v/>
      </c>
      <c r="AO112" s="108" t="e" cm="1">
        <f t="array" aca="1" ref="AO112" ca="1">_xll.BDP($E112,"cur_mkt_cap")</f>
        <v>#NAME?</v>
      </c>
      <c r="AP112" s="108" t="e" cm="1">
        <f t="array" aca="1" ref="AP112" ca="1">_xll.BDP($E112,"crncy")</f>
        <v>#NAME?</v>
      </c>
      <c r="AQ112" s="109" t="e" cm="1">
        <f t="array" aca="1" ref="AQ112" ca="1">_xll.BDP("USD"&amp;AP112&amp;" curncy","px_last")</f>
        <v>#NAME?</v>
      </c>
      <c r="AR112" s="109" t="e">
        <f t="shared" ca="1" si="35"/>
        <v>#NAME?</v>
      </c>
      <c r="AT112" s="66" t="str">
        <f t="shared" ca="1" si="33"/>
        <v/>
      </c>
      <c r="AU112" s="66" t="str">
        <f t="shared" ca="1" si="33"/>
        <v/>
      </c>
      <c r="AV112" s="66" t="str">
        <f t="shared" ca="1" si="33"/>
        <v/>
      </c>
      <c r="AW112" s="73" t="str" cm="1">
        <f t="array" aca="1" ref="AW112" ca="1">IF(ISERROR(DATEVALUE(_xll.BDP($E112,AW$6))),"",DATEVALUE(_xll.BDP($E112,AW$6)))</f>
        <v/>
      </c>
      <c r="AX112" s="73" t="str" cm="1">
        <f t="array" aca="1" ref="AX112" ca="1">IF(ISERROR(DATEVALUE(_xll.BDP($E112,AX$2))),"",DATEVALUE(_xll.BDP($E112,AX$2)))</f>
        <v/>
      </c>
      <c r="AY112" s="73" t="str" cm="1">
        <f t="array" aca="1" ref="AY112" ca="1">IF(ISERROR(DATEVALUE(_xll.BDP($E112,AY$6))),"",DATEVALUE(_xll.BDP($E112,AY$6)))</f>
        <v/>
      </c>
      <c r="AZ112" s="110" t="e" cm="1">
        <f t="array" aca="1" ref="AZ112" ca="1">IF(_xll.BQL($E112, "last(matches(px_last(dates=range(-1w,0d)), dayofweek(px_last(dates=range(-1w,0d)).date)==6))")="#N/A","-",_xll.BQL($E112, "last(matches(px_last(dates=range(-1w,0d)), dayofweek(px_last(dates=range(-1w,0d)).date)==6))"))</f>
        <v>#NAME?</v>
      </c>
      <c r="BA112" s="109" t="e" cm="1">
        <f t="array" aca="1" ref="BA112" ca="1">IF(_xll.BQL(E112,"first(last(matches(px_last(dates=range(-1M,0D)),dayofweek(px_last(dates=range(-1M,0D)).date)==6),2),1)")="#N/A","-",_xll.BQL(E112,"first(last(matches(px_last(dates=range(-1M,0D)),dayofweek(px_last(dates=range(-1M,0D)).date)==6),2),1)"))</f>
        <v>#NAME?</v>
      </c>
      <c r="BB112" s="109" t="str">
        <f t="shared" ca="1" si="36"/>
        <v>-</v>
      </c>
    </row>
    <row r="113" spans="5:54" ht="16.5" customHeight="1" thickBot="1">
      <c r="E113" s="159" t="s">
        <v>1076</v>
      </c>
      <c r="F113" s="66" t="e">
        <f ca="1">_xll.BDP($E113,F$3)&amp;" CBIN Curncy"</f>
        <v>#NAME?</v>
      </c>
      <c r="G113" s="97" t="e">
        <f t="shared" ca="1" si="17"/>
        <v>#NAME?</v>
      </c>
      <c r="I113" s="633"/>
      <c r="J113" s="98" t="e">
        <f ca="1">_xll.BDP($E113,J$3)</f>
        <v>#NAME?</v>
      </c>
      <c r="K113" s="99" t="e">
        <f ca="1">_xll.BDP($E113,K$3)</f>
        <v>#NAME?</v>
      </c>
      <c r="L113" s="100" t="str">
        <f ca="1">IF(ISNUMBER(_xll.BDH($E113,"PX_LAST",TEXT($E$2,"YYYYMMDD"),TEXT($E$2,"YYYYMMDD"),"days=a","fill=p")),_xll.BDH($E113,"PX_LAST",TEXT($E$2,"YYYYMMDD"),TEXT($E$2,"YYYYMMDD"),"days=a","fill=p"),"-")</f>
        <v>-</v>
      </c>
      <c r="M113" s="100" t="str">
        <f ca="1">IF(ISNUMBER(_xll.BDH($E113,"PX_LAST",TEXT($E$2-7,"YYYYMMDD"),TEXT($E$2-7,"YYYYMMDD"),"days=a","fill=p")),_xll.BDH($E113,"PX_LAST",TEXT($E$2-7,"YYYYMMDD"),TEXT($E$2-7,"YYYYMMDD"),"days=a","fill=p"),"-")</f>
        <v>-</v>
      </c>
      <c r="N113" s="180" t="str">
        <f t="shared" ca="1" si="38"/>
        <v>-</v>
      </c>
      <c r="O113" s="101" t="e">
        <f ca="1">IF(OR(_xll.BDP($E113,O$3)="#N/A N/A",_xll.BDP($E113,O$3)="#N/A Invalid Security"), "-", _xll.BDP($E113,O$3))</f>
        <v>#NAME?</v>
      </c>
      <c r="P113" s="182" t="str">
        <f ca="1">IF(ISNUMBER(_xll.BDH($F113,"PX_LAST",TEXT($E$2,"YYYYMMDD"),TEXT($E$2,"YYYYMMDD"),"days=a","fill=p")),_xll.BDH($F113,"PX_LAST",TEXT($E$2,"YYYYMMDD"),TEXT($E$2,"YYYYMMDD"),"days=a","fill=p"),"-")</f>
        <v>-</v>
      </c>
      <c r="Q113" s="182" t="str">
        <f ca="1">IF(ISNUMBER(_xll.BDH($F113,"PX_LAST",TEXT($E$2-7,"YYYYMMDD"),TEXT($E$2-7,"YYYYMMDD"),"days=a","fill=p")),_xll.BDH($F113,"PX_LAST",TEXT($E$2-7,"YYYYMMDD"),TEXT($E$2-7,"YYYYMMDD"),"days=a","fill=p"),"-")</f>
        <v>-</v>
      </c>
      <c r="R113" s="102" t="str">
        <f t="shared" ca="1" si="39"/>
        <v>-</v>
      </c>
      <c r="S113" s="103" t="str">
        <f ca="1">IF(ISNUMBER(_xll.BDP($F113,S$3)),_xll.BDP($F113,S$3),"-")</f>
        <v>-</v>
      </c>
      <c r="T113" s="104" t="e">
        <f t="shared" ca="1" si="34"/>
        <v>#NAME?</v>
      </c>
      <c r="U113" s="105" t="e">
        <f ca="1">IF(OR(_xll.BDP($E113,U$3)="#N/A N/A",_xll.BDP($E113,U$3)="#N/A Invalid Security"), "-", _xll.BDP($E113,U$3))</f>
        <v>#NAME?</v>
      </c>
      <c r="V113" s="105" t="e">
        <f ca="1">IF(OR(_xll.BDP($E113,V$2)="#N/A N/A",_xll.BDP($E113,V$2)="#N/A Invalid Security"), "-", _xll.BDP($E113,V$2))</f>
        <v>#NAME?</v>
      </c>
      <c r="W113" s="106" t="e">
        <f ca="1">IF(OR(_xll.BDP($E113,W$3)="#N/A N/A",_xll.BDP($E113,W$3)="#N/A Invalid Security"), "-", _xll.BDP($E113,W$3))</f>
        <v>#NAME?</v>
      </c>
      <c r="X113" s="105" t="e">
        <f ca="1">IF(OR(_xll.BDP($E113,X$3)="#N/A N/A",_xll.BDP($E113,X$3)="#N/A Invalid Security"), " ", _xll.BDP($E113,X$3))</f>
        <v>#NAME?</v>
      </c>
      <c r="Y113" s="105" t="e">
        <f ca="1">IF(OR(_xll.BDP($E113,Y$3)="#N/A N/A",_xll.BDP($E113,Y$3)="#N/A Invalid Security"), " ", _xll.BDP($E113,Y$3))</f>
        <v>#NAME?</v>
      </c>
      <c r="Z113" s="106" t="e">
        <f ca="1">IF(OR(_xll.BDP($E113,Z$3)="#N/A N/A",_xll.BDP($E113,Z$3)="#N/A Invalid Security"), " ", _xll.BDP($E113,Z$3))</f>
        <v>#NAME?</v>
      </c>
      <c r="AA113" s="107"/>
      <c r="AB113" s="93" t="s">
        <v>876</v>
      </c>
      <c r="AC113" s="93" t="s">
        <v>939</v>
      </c>
      <c r="AD113" s="93" t="s">
        <v>987</v>
      </c>
      <c r="AE113" s="93" t="s">
        <v>940</v>
      </c>
      <c r="AF113" s="93" t="s">
        <v>940</v>
      </c>
      <c r="AG113" s="93" t="s">
        <v>936</v>
      </c>
      <c r="AH113" s="95" t="e">
        <f t="shared" ca="1" si="30"/>
        <v>#NAME?</v>
      </c>
      <c r="AI113" s="95" t="e">
        <f t="shared" ca="1" si="30"/>
        <v>#NAME?</v>
      </c>
      <c r="AJ113" s="95" t="e">
        <f t="shared" ca="1" si="30"/>
        <v>#NAME?</v>
      </c>
      <c r="AK113" s="95" t="e">
        <f t="shared" ca="1" si="30"/>
        <v>#NAME?</v>
      </c>
      <c r="AL113" s="95" t="e">
        <f t="shared" ca="1" si="30"/>
        <v>#NAME?</v>
      </c>
      <c r="AM113" s="95" t="e">
        <f t="shared" ca="1" si="30"/>
        <v>#NAME?</v>
      </c>
      <c r="AN113" s="66" t="str">
        <f t="shared" ca="1" si="40"/>
        <v/>
      </c>
      <c r="AO113" s="108" t="e" cm="1">
        <f t="array" aca="1" ref="AO113" ca="1">_xll.BDP($E113,"cur_mkt_cap")</f>
        <v>#NAME?</v>
      </c>
      <c r="AP113" s="108" t="e" cm="1">
        <f t="array" aca="1" ref="AP113" ca="1">_xll.BDP($E113,"crncy")</f>
        <v>#NAME?</v>
      </c>
      <c r="AQ113" s="109" t="e" cm="1">
        <f t="array" aca="1" ref="AQ113" ca="1">_xll.BDP("USD"&amp;AP113&amp;" curncy","px_last")</f>
        <v>#NAME?</v>
      </c>
      <c r="AR113" s="109" t="e">
        <f t="shared" ca="1" si="35"/>
        <v>#NAME?</v>
      </c>
      <c r="AT113" s="66" t="str">
        <f t="shared" ca="1" si="33"/>
        <v/>
      </c>
      <c r="AU113" s="66" t="str">
        <f t="shared" ca="1" si="33"/>
        <v/>
      </c>
      <c r="AV113" s="66" t="str">
        <f t="shared" ca="1" si="33"/>
        <v/>
      </c>
      <c r="AW113" s="73" t="str" cm="1">
        <f t="array" aca="1" ref="AW113" ca="1">IF(ISERROR(DATEVALUE(_xll.BDP($E113,AW$6))),"",DATEVALUE(_xll.BDP($E113,AW$6)))</f>
        <v/>
      </c>
      <c r="AX113" s="73" t="str" cm="1">
        <f t="array" aca="1" ref="AX113" ca="1">IF(ISERROR(DATEVALUE(_xll.BDP($E113,AX$2))),"",DATEVALUE(_xll.BDP($E113,AX$2)))</f>
        <v/>
      </c>
      <c r="AY113" s="73" t="str" cm="1">
        <f t="array" aca="1" ref="AY113" ca="1">IF(ISERROR(DATEVALUE(_xll.BDP($E113,AY$6))),"",DATEVALUE(_xll.BDP($E113,AY$6)))</f>
        <v/>
      </c>
      <c r="AZ113" s="110" t="e" cm="1">
        <f t="array" aca="1" ref="AZ113" ca="1">IF(_xll.BQL($E113, "last(matches(px_last(dates=range(-1w,0d)), dayofweek(px_last(dates=range(-1w,0d)).date)==6))")="#N/A","-",_xll.BQL($E113, "last(matches(px_last(dates=range(-1w,0d)), dayofweek(px_last(dates=range(-1w,0d)).date)==6))"))</f>
        <v>#NAME?</v>
      </c>
      <c r="BA113" s="109" t="e" cm="1">
        <f t="array" aca="1" ref="BA113" ca="1">IF(_xll.BQL(E113,"first(last(matches(px_last(dates=range(-1M,0D)),dayofweek(px_last(dates=range(-1M,0D)).date)==6),2),1)")="#N/A","-",_xll.BQL(E113,"first(last(matches(px_last(dates=range(-1M,0D)),dayofweek(px_last(dates=range(-1M,0D)).date)==6),2),1)"))</f>
        <v>#NAME?</v>
      </c>
      <c r="BB113" s="109" t="str">
        <f t="shared" ca="1" si="36"/>
        <v>-</v>
      </c>
    </row>
    <row r="114" spans="5:54" ht="16.5" customHeight="1" thickBot="1">
      <c r="E114" s="159" t="s">
        <v>1077</v>
      </c>
      <c r="F114" s="66" t="e">
        <f ca="1">_xll.BDP($E114,F$3)&amp;" BEST Curncy"</f>
        <v>#NAME?</v>
      </c>
      <c r="G114" s="97" t="e">
        <f t="shared" ca="1" si="17"/>
        <v>#NAME?</v>
      </c>
      <c r="I114" s="633"/>
      <c r="J114" s="98" t="e">
        <f ca="1">_xll.BDP($E114,J$3)</f>
        <v>#NAME?</v>
      </c>
      <c r="K114" s="99" t="e">
        <f ca="1">_xll.BDP($E114,K$3)</f>
        <v>#NAME?</v>
      </c>
      <c r="L114" s="100" t="str">
        <f ca="1">IF(ISNUMBER(_xll.BDH($E114,"PX_LAST",TEXT($E$2,"YYYYMMDD"),TEXT($E$2,"YYYYMMDD"),"days=a","fill=p")),_xll.BDH($E114,"PX_LAST",TEXT($E$2,"YYYYMMDD"),TEXT($E$2,"YYYYMMDD"),"days=a","fill=p"),"-")</f>
        <v>-</v>
      </c>
      <c r="M114" s="100" t="str">
        <f ca="1">IF(ISNUMBER(_xll.BDH($E114,"PX_LAST",TEXT($E$2-7,"YYYYMMDD"),TEXT($E$2-7,"YYYYMMDD"),"days=a","fill=p")),_xll.BDH($E114,"PX_LAST",TEXT($E$2-7,"YYYYMMDD"),TEXT($E$2-7,"YYYYMMDD"),"days=a","fill=p"),"-")</f>
        <v>-</v>
      </c>
      <c r="N114" s="180" t="str">
        <f t="shared" ca="1" si="38"/>
        <v>-</v>
      </c>
      <c r="O114" s="101" t="e">
        <f ca="1">IF(OR(_xll.BDP($E114,O$3)="#N/A N/A",_xll.BDP($E114,O$3)="#N/A Invalid Security"), "-", _xll.BDP($E114,O$3))</f>
        <v>#NAME?</v>
      </c>
      <c r="P114" s="182" t="str">
        <f ca="1">IF(ISNUMBER(_xll.BDH($F114,"PX_LAST",TEXT($E$2,"YYYYMMDD"),TEXT($E$2,"YYYYMMDD"),"days=a","fill=p")),_xll.BDH($F114,"PX_LAST",TEXT($E$2,"YYYYMMDD"),TEXT($E$2,"YYYYMMDD"),"days=a","fill=p"),"-")</f>
        <v>-</v>
      </c>
      <c r="Q114" s="182" t="str">
        <f ca="1">IF(ISNUMBER(_xll.BDH($F114,"PX_LAST",TEXT($E$2-7,"YYYYMMDD"),TEXT($E$2-7,"YYYYMMDD"),"days=a","fill=p")),_xll.BDH($F114,"PX_LAST",TEXT($E$2-7,"YYYYMMDD"),TEXT($E$2-7,"YYYYMMDD"),"days=a","fill=p"),"-")</f>
        <v>-</v>
      </c>
      <c r="R114" s="102" t="str">
        <f t="shared" ca="1" si="39"/>
        <v>-</v>
      </c>
      <c r="S114" s="103" t="str">
        <f ca="1">IF(ISNUMBER(_xll.BDP($F114,S$3)),_xll.BDP($F114,S$3),"-")</f>
        <v>-</v>
      </c>
      <c r="T114" s="104" t="e">
        <f t="shared" ca="1" si="34"/>
        <v>#NAME?</v>
      </c>
      <c r="U114" s="105" t="e">
        <f ca="1">IF(OR(_xll.BDP($E114,U$3)="#N/A N/A",_xll.BDP($E114,U$3)="#N/A Invalid Security"), "-", _xll.BDP($E114,U$3))</f>
        <v>#NAME?</v>
      </c>
      <c r="V114" s="105" t="e">
        <f ca="1">IF(OR(_xll.BDP($E114,V$2)="#N/A N/A",_xll.BDP($E114,V$2)="#N/A Invalid Security"), "-", _xll.BDP($E114,V$2))</f>
        <v>#NAME?</v>
      </c>
      <c r="W114" s="106" t="e">
        <f ca="1">IF(OR(_xll.BDP($E114,W$3)="#N/A N/A",_xll.BDP($E114,W$3)="#N/A Invalid Security"), "-", _xll.BDP($E114,W$3))</f>
        <v>#NAME?</v>
      </c>
      <c r="X114" s="105" t="e">
        <f ca="1">IF(OR(_xll.BDP($E114,X$3)="#N/A N/A",_xll.BDP($E114,X$3)="#N/A Invalid Security"), " ", _xll.BDP($E114,X$3))</f>
        <v>#NAME?</v>
      </c>
      <c r="Y114" s="105" t="e">
        <f ca="1">IF(OR(_xll.BDP($E114,Y$3)="#N/A N/A",_xll.BDP($E114,Y$3)="#N/A Invalid Security"), " ", _xll.BDP($E114,Y$3))</f>
        <v>#NAME?</v>
      </c>
      <c r="Z114" s="106" t="e">
        <f ca="1">IF(OR(_xll.BDP($E114,Z$3)="#N/A N/A",_xll.BDP($E114,Z$3)="#N/A Invalid Security"), " ", _xll.BDP($E114,Z$3))</f>
        <v>#NAME?</v>
      </c>
      <c r="AA114" s="107"/>
      <c r="AB114" s="93" t="s">
        <v>938</v>
      </c>
      <c r="AC114" s="93" t="s">
        <v>934</v>
      </c>
      <c r="AD114" s="93" t="s">
        <v>953</v>
      </c>
      <c r="AE114" s="93" t="s">
        <v>940</v>
      </c>
      <c r="AF114" s="93" t="s">
        <v>940</v>
      </c>
      <c r="AG114" s="93" t="s">
        <v>940</v>
      </c>
      <c r="AH114" s="95" t="e">
        <f t="shared" ca="1" si="30"/>
        <v>#NAME?</v>
      </c>
      <c r="AI114" s="95" t="e">
        <f t="shared" ca="1" si="30"/>
        <v>#NAME?</v>
      </c>
      <c r="AJ114" s="95" t="e">
        <f t="shared" ca="1" si="30"/>
        <v>#NAME?</v>
      </c>
      <c r="AK114" s="95" t="e">
        <f t="shared" ca="1" si="30"/>
        <v>#NAME?</v>
      </c>
      <c r="AL114" s="95" t="e">
        <f t="shared" ca="1" si="30"/>
        <v>#NAME?</v>
      </c>
      <c r="AM114" s="95" t="e">
        <f t="shared" ca="1" si="30"/>
        <v>#NAME?</v>
      </c>
      <c r="AN114" s="66" t="str">
        <f t="shared" ca="1" si="40"/>
        <v/>
      </c>
      <c r="AO114" s="108" t="e" cm="1">
        <f t="array" aca="1" ref="AO114" ca="1">_xll.BDP($E114,"cur_mkt_cap")</f>
        <v>#NAME?</v>
      </c>
      <c r="AP114" s="108" t="e" cm="1">
        <f t="array" aca="1" ref="AP114" ca="1">_xll.BDP($E114,"crncy")</f>
        <v>#NAME?</v>
      </c>
      <c r="AQ114" s="109" t="e" cm="1">
        <f t="array" aca="1" ref="AQ114" ca="1">_xll.BDP("USD"&amp;AP114&amp;" curncy","px_last")</f>
        <v>#NAME?</v>
      </c>
      <c r="AR114" s="109" t="e">
        <f t="shared" ca="1" si="35"/>
        <v>#NAME?</v>
      </c>
      <c r="AT114" s="66" t="str">
        <f t="shared" ca="1" si="33"/>
        <v/>
      </c>
      <c r="AU114" s="66" t="str">
        <f t="shared" ca="1" si="33"/>
        <v/>
      </c>
      <c r="AV114" s="66" t="str">
        <f t="shared" ca="1" si="33"/>
        <v/>
      </c>
      <c r="AW114" s="73" t="str" cm="1">
        <f t="array" aca="1" ref="AW114" ca="1">IF(ISERROR(DATEVALUE(_xll.BDP($E114,AW$6))),"",DATEVALUE(_xll.BDP($E114,AW$6)))</f>
        <v/>
      </c>
      <c r="AX114" s="73" t="str" cm="1">
        <f t="array" aca="1" ref="AX114" ca="1">IF(ISERROR(DATEVALUE(_xll.BDP($E114,AX$2))),"",DATEVALUE(_xll.BDP($E114,AX$2)))</f>
        <v/>
      </c>
      <c r="AY114" s="73" t="str" cm="1">
        <f t="array" aca="1" ref="AY114" ca="1">IF(ISERROR(DATEVALUE(_xll.BDP($E114,AY$6))),"",DATEVALUE(_xll.BDP($E114,AY$6)))</f>
        <v/>
      </c>
      <c r="AZ114" s="110" t="e" cm="1">
        <f t="array" aca="1" ref="AZ114" ca="1">IF(_xll.BQL($E114, "last(matches(px_last(dates=range(-1w,0d)), dayofweek(px_last(dates=range(-1w,0d)).date)==6))")="#N/A","-",_xll.BQL($E114, "last(matches(px_last(dates=range(-1w,0d)), dayofweek(px_last(dates=range(-1w,0d)).date)==6))"))</f>
        <v>#NAME?</v>
      </c>
      <c r="BA114" s="109" t="e" cm="1">
        <f t="array" aca="1" ref="BA114" ca="1">IF(_xll.BQL(E114,"first(last(matches(px_last(dates=range(-1M,0D)),dayofweek(px_last(dates=range(-1M,0D)).date)==6),2),1)")="#N/A","-",_xll.BQL(E114,"first(last(matches(px_last(dates=range(-1M,0D)),dayofweek(px_last(dates=range(-1M,0D)).date)==6),2),1)"))</f>
        <v>#NAME?</v>
      </c>
      <c r="BB114" s="109" t="str">
        <f t="shared" ca="1" si="36"/>
        <v>-</v>
      </c>
    </row>
    <row r="115" spans="5:54" ht="16.5" customHeight="1" thickBot="1">
      <c r="E115" s="159" t="s">
        <v>1078</v>
      </c>
      <c r="F115" s="66" t="e">
        <f ca="1">_xll.BDP($E115,F$3)&amp;" BEST Curncy"</f>
        <v>#NAME?</v>
      </c>
      <c r="G115" s="97" t="e">
        <f t="shared" ca="1" si="17"/>
        <v>#NAME?</v>
      </c>
      <c r="I115" s="633"/>
      <c r="J115" s="98" t="e">
        <f ca="1">_xll.BDP($E115,J$3)</f>
        <v>#NAME?</v>
      </c>
      <c r="K115" s="99" t="e">
        <f ca="1">_xll.BDP($E115,K$3)</f>
        <v>#NAME?</v>
      </c>
      <c r="L115" s="100" t="str">
        <f ca="1">IF(ISNUMBER(_xll.BDH($E115,"PX_LAST",TEXT($E$2,"YYYYMMDD"),TEXT($E$2,"YYYYMMDD"),"days=a","fill=p")),_xll.BDH($E115,"PX_LAST",TEXT($E$2,"YYYYMMDD"),TEXT($E$2,"YYYYMMDD"),"days=a","fill=p"),"-")</f>
        <v>-</v>
      </c>
      <c r="M115" s="100" t="str">
        <f ca="1">IF(ISNUMBER(_xll.BDH($E115,"PX_LAST",TEXT($E$2-7,"YYYYMMDD"),TEXT($E$2-7,"YYYYMMDD"),"days=a","fill=p")),_xll.BDH($E115,"PX_LAST",TEXT($E$2-7,"YYYYMMDD"),TEXT($E$2-7,"YYYYMMDD"),"days=a","fill=p"),"-")</f>
        <v>-</v>
      </c>
      <c r="N115" s="180" t="str">
        <f t="shared" ca="1" si="38"/>
        <v>-</v>
      </c>
      <c r="O115" s="101" t="e">
        <f ca="1">IF(OR(_xll.BDP($E115,O$3)="#N/A N/A",_xll.BDP($E115,O$3)="#N/A Invalid Security"), "-", _xll.BDP($E115,O$3))</f>
        <v>#NAME?</v>
      </c>
      <c r="P115" s="182" t="str">
        <f ca="1">IF(ISNUMBER(_xll.BDH($F115,"PX_LAST",TEXT($E$2,"YYYYMMDD"),TEXT($E$2,"YYYYMMDD"),"days=a","fill=p")),_xll.BDH($F115,"PX_LAST",TEXT($E$2,"YYYYMMDD"),TEXT($E$2,"YYYYMMDD"),"days=a","fill=p"),"-")</f>
        <v>-</v>
      </c>
      <c r="Q115" s="182" t="str">
        <f ca="1">IF(ISNUMBER(_xll.BDH($F115,"PX_LAST",TEXT($E$2-7,"YYYYMMDD"),TEXT($E$2-7,"YYYYMMDD"),"days=a","fill=p")),_xll.BDH($F115,"PX_LAST",TEXT($E$2-7,"YYYYMMDD"),TEXT($E$2-7,"YYYYMMDD"),"days=a","fill=p"),"-")</f>
        <v>-</v>
      </c>
      <c r="R115" s="102" t="str">
        <f t="shared" ca="1" si="39"/>
        <v>-</v>
      </c>
      <c r="S115" s="103" t="str">
        <f ca="1">IF(ISNUMBER(_xll.BDP($F115,S$3)),_xll.BDP($F115,S$3),"-")</f>
        <v>-</v>
      </c>
      <c r="T115" s="104" t="e">
        <f t="shared" ca="1" si="34"/>
        <v>#NAME?</v>
      </c>
      <c r="U115" s="105" t="e">
        <f ca="1">IF(OR(_xll.BDP($E115,U$3)="#N/A N/A",_xll.BDP($E115,U$3)="#N/A Invalid Security"), "-", _xll.BDP($E115,U$3))</f>
        <v>#NAME?</v>
      </c>
      <c r="V115" s="105" t="e">
        <f ca="1">IF(OR(_xll.BDP($E115,V$2)="#N/A N/A",_xll.BDP($E115,V$2)="#N/A Invalid Security"), "-", _xll.BDP($E115,V$2))</f>
        <v>#NAME?</v>
      </c>
      <c r="W115" s="106" t="e">
        <f ca="1">IF(OR(_xll.BDP($E115,W$3)="#N/A N/A",_xll.BDP($E115,W$3)="#N/A Invalid Security"), "-", _xll.BDP($E115,W$3))</f>
        <v>#NAME?</v>
      </c>
      <c r="X115" s="105" t="e">
        <f ca="1">IF(OR(_xll.BDP($E115,X$3)="#N/A N/A",_xll.BDP($E115,X$3)="#N/A Invalid Security"), " ", _xll.BDP($E115,X$3))</f>
        <v>#NAME?</v>
      </c>
      <c r="Y115" s="105" t="e">
        <f ca="1">IF(OR(_xll.BDP($E115,Y$3)="#N/A N/A",_xll.BDP($E115,Y$3)="#N/A Invalid Security"), " ", _xll.BDP($E115,Y$3))</f>
        <v>#NAME?</v>
      </c>
      <c r="Z115" s="106" t="e">
        <f ca="1">IF(OR(_xll.BDP($E115,Z$3)="#N/A N/A",_xll.BDP($E115,Z$3)="#N/A Invalid Security"), " ", _xll.BDP($E115,Z$3))</f>
        <v>#NAME?</v>
      </c>
      <c r="AA115" s="107"/>
      <c r="AB115" s="93" t="s">
        <v>876</v>
      </c>
      <c r="AC115" s="93" t="s">
        <v>998</v>
      </c>
      <c r="AD115" s="93" t="s">
        <v>876</v>
      </c>
      <c r="AE115" s="93" t="s">
        <v>940</v>
      </c>
      <c r="AF115" s="93" t="s">
        <v>940</v>
      </c>
      <c r="AG115" s="93" t="s">
        <v>940</v>
      </c>
      <c r="AH115" s="95" t="e">
        <f t="shared" ca="1" si="30"/>
        <v>#NAME?</v>
      </c>
      <c r="AI115" s="95" t="e">
        <f t="shared" ca="1" si="30"/>
        <v>#NAME?</v>
      </c>
      <c r="AJ115" s="95" t="e">
        <f t="shared" ca="1" si="30"/>
        <v>#NAME?</v>
      </c>
      <c r="AK115" s="95" t="e">
        <f t="shared" ca="1" si="30"/>
        <v>#NAME?</v>
      </c>
      <c r="AL115" s="95" t="e">
        <f t="shared" ca="1" si="30"/>
        <v>#NAME?</v>
      </c>
      <c r="AM115" s="95" t="e">
        <f t="shared" ca="1" si="30"/>
        <v>#NAME?</v>
      </c>
      <c r="AN115" s="66" t="str">
        <f t="shared" ca="1" si="40"/>
        <v/>
      </c>
      <c r="AO115" s="108" t="e" cm="1">
        <f t="array" aca="1" ref="AO115" ca="1">_xll.BDP($E115,"cur_mkt_cap")</f>
        <v>#NAME?</v>
      </c>
      <c r="AP115" s="108" t="e" cm="1">
        <f t="array" aca="1" ref="AP115" ca="1">_xll.BDP($E115,"crncy")</f>
        <v>#NAME?</v>
      </c>
      <c r="AQ115" s="109" t="e" cm="1">
        <f t="array" aca="1" ref="AQ115" ca="1">_xll.BDP("USD"&amp;AP115&amp;" curncy","px_last")</f>
        <v>#NAME?</v>
      </c>
      <c r="AR115" s="109" t="e">
        <f t="shared" ca="1" si="35"/>
        <v>#NAME?</v>
      </c>
      <c r="AT115" s="66" t="str">
        <f t="shared" ca="1" si="33"/>
        <v/>
      </c>
      <c r="AU115" s="66" t="str">
        <f t="shared" ca="1" si="33"/>
        <v/>
      </c>
      <c r="AV115" s="66" t="str">
        <f t="shared" ca="1" si="33"/>
        <v/>
      </c>
      <c r="AW115" s="73" t="str" cm="1">
        <f t="array" aca="1" ref="AW115" ca="1">IF(ISERROR(DATEVALUE(_xll.BDP($E115,AW$6))),"",DATEVALUE(_xll.BDP($E115,AW$6)))</f>
        <v/>
      </c>
      <c r="AX115" s="73" t="str" cm="1">
        <f t="array" aca="1" ref="AX115" ca="1">IF(ISERROR(DATEVALUE(_xll.BDP($E115,AX$2))),"",DATEVALUE(_xll.BDP($E115,AX$2)))</f>
        <v/>
      </c>
      <c r="AY115" s="73" t="str" cm="1">
        <f t="array" aca="1" ref="AY115" ca="1">IF(ISERROR(DATEVALUE(_xll.BDP($E115,AY$6))),"",DATEVALUE(_xll.BDP($E115,AY$6)))</f>
        <v/>
      </c>
      <c r="AZ115" s="110" t="e" cm="1">
        <f t="array" aca="1" ref="AZ115" ca="1">IF(_xll.BQL($E115, "last(matches(px_last(dates=range(-1w,0d)), dayofweek(px_last(dates=range(-1w,0d)).date)==6))")="#N/A","-",_xll.BQL($E115, "last(matches(px_last(dates=range(-1w,0d)), dayofweek(px_last(dates=range(-1w,0d)).date)==6))"))</f>
        <v>#NAME?</v>
      </c>
      <c r="BA115" s="109" t="e" cm="1">
        <f t="array" aca="1" ref="BA115" ca="1">IF(_xll.BQL(E115,"first(last(matches(px_last(dates=range(-1M,0D)),dayofweek(px_last(dates=range(-1M,0D)).date)==6),2),1)")="#N/A","-",_xll.BQL(E115,"first(last(matches(px_last(dates=range(-1M,0D)),dayofweek(px_last(dates=range(-1M,0D)).date)==6),2),1)"))</f>
        <v>#NAME?</v>
      </c>
      <c r="BB115" s="109" t="str">
        <f t="shared" ca="1" si="36"/>
        <v>-</v>
      </c>
    </row>
    <row r="116" spans="5:54" ht="16.5" customHeight="1" thickBot="1">
      <c r="E116" s="159" t="s">
        <v>1079</v>
      </c>
      <c r="F116" s="66" t="e">
        <f ca="1">_xll.BDP($E116,F$3)&amp;" BEST Curncy"</f>
        <v>#NAME?</v>
      </c>
      <c r="G116" s="97" t="e">
        <f t="shared" ca="1" si="17"/>
        <v>#NAME?</v>
      </c>
      <c r="I116" s="633"/>
      <c r="J116" s="98" t="e">
        <f ca="1">_xll.BDP($E116,J$3)</f>
        <v>#NAME?</v>
      </c>
      <c r="K116" s="99" t="e">
        <f ca="1">_xll.BDP($E116,K$3)</f>
        <v>#NAME?</v>
      </c>
      <c r="L116" s="100" t="str">
        <f ca="1">IF(ISNUMBER(_xll.BDH($E116,"PX_LAST",TEXT($E$2,"YYYYMMDD"),TEXT($E$2,"YYYYMMDD"),"days=a","fill=p")),_xll.BDH($E116,"PX_LAST",TEXT($E$2,"YYYYMMDD"),TEXT($E$2,"YYYYMMDD"),"days=a","fill=p"),"-")</f>
        <v>-</v>
      </c>
      <c r="M116" s="100" t="str">
        <f ca="1">IF(ISNUMBER(_xll.BDH($E116,"PX_LAST",TEXT($E$2-7,"YYYYMMDD"),TEXT($E$2-7,"YYYYMMDD"),"days=a","fill=p")),_xll.BDH($E116,"PX_LAST",TEXT($E$2-7,"YYYYMMDD"),TEXT($E$2-7,"YYYYMMDD"),"days=a","fill=p"),"-")</f>
        <v>-</v>
      </c>
      <c r="N116" s="180" t="str">
        <f t="shared" ca="1" si="38"/>
        <v>-</v>
      </c>
      <c r="O116" s="101" t="e">
        <f ca="1">IF(OR(_xll.BDP($E116,O$3)="#N/A N/A",_xll.BDP($E116,O$3)="#N/A Invalid Security"), "-", _xll.BDP($E116,O$3))</f>
        <v>#NAME?</v>
      </c>
      <c r="P116" s="182" t="str">
        <f ca="1">IF(ISNUMBER(_xll.BDH($F116,"PX_LAST",TEXT($E$2,"YYYYMMDD"),TEXT($E$2,"YYYYMMDD"),"days=a","fill=p")),_xll.BDH($F116,"PX_LAST",TEXT($E$2,"YYYYMMDD"),TEXT($E$2,"YYYYMMDD"),"days=a","fill=p"),"-")</f>
        <v>-</v>
      </c>
      <c r="Q116" s="182" t="str">
        <f ca="1">IF(ISNUMBER(_xll.BDH($F116,"PX_LAST",TEXT($E$2-7,"YYYYMMDD"),TEXT($E$2-7,"YYYYMMDD"),"days=a","fill=p")),_xll.BDH($F116,"PX_LAST",TEXT($E$2-7,"YYYYMMDD"),TEXT($E$2-7,"YYYYMMDD"),"days=a","fill=p"),"-")</f>
        <v>-</v>
      </c>
      <c r="R116" s="102" t="str">
        <f t="shared" ca="1" si="39"/>
        <v>-</v>
      </c>
      <c r="S116" s="103" t="str">
        <f ca="1">IF(ISNUMBER(_xll.BDP($F116,S$3)),_xll.BDP($F116,S$3),"-")</f>
        <v>-</v>
      </c>
      <c r="T116" s="104" t="e">
        <f t="shared" ca="1" si="34"/>
        <v>#NAME?</v>
      </c>
      <c r="U116" s="105" t="e">
        <f ca="1">IF(OR(_xll.BDP($E116,U$3)="#N/A N/A",_xll.BDP($E116,U$3)="#N/A Invalid Security"), "-", _xll.BDP($E116,U$3))</f>
        <v>#NAME?</v>
      </c>
      <c r="V116" s="105" t="e">
        <f ca="1">IF(OR(_xll.BDP($E116,V$2)="#N/A N/A",_xll.BDP($E116,V$2)="#N/A Invalid Security"), "-", _xll.BDP($E116,V$2))</f>
        <v>#NAME?</v>
      </c>
      <c r="W116" s="106" t="e">
        <f ca="1">IF(OR(_xll.BDP($E116,W$3)="#N/A N/A",_xll.BDP($E116,W$3)="#N/A Invalid Security"), "-", _xll.BDP($E116,W$3))</f>
        <v>#NAME?</v>
      </c>
      <c r="X116" s="105" t="e">
        <f ca="1">IF(OR(_xll.BDP($E116,X$3)="#N/A N/A",_xll.BDP($E116,X$3)="#N/A Invalid Security"), " ", _xll.BDP($E116,X$3))</f>
        <v>#NAME?</v>
      </c>
      <c r="Y116" s="105" t="e">
        <f ca="1">IF(OR(_xll.BDP($E116,Y$3)="#N/A N/A",_xll.BDP($E116,Y$3)="#N/A Invalid Security"), " ", _xll.BDP($E116,Y$3))</f>
        <v>#NAME?</v>
      </c>
      <c r="Z116" s="106" t="e">
        <f ca="1">IF(OR(_xll.BDP($E116,Z$3)="#N/A N/A",_xll.BDP($E116,Z$3)="#N/A Invalid Security"), " ", _xll.BDP($E116,Z$3))</f>
        <v>#NAME?</v>
      </c>
      <c r="AA116" s="107"/>
      <c r="AB116" s="93" t="s">
        <v>953</v>
      </c>
      <c r="AC116" s="93" t="s">
        <v>1012</v>
      </c>
      <c r="AD116" s="93" t="s">
        <v>953</v>
      </c>
      <c r="AE116" s="93" t="s">
        <v>940</v>
      </c>
      <c r="AF116" s="93" t="s">
        <v>940</v>
      </c>
      <c r="AG116" s="93" t="s">
        <v>940</v>
      </c>
      <c r="AH116" s="95" t="e">
        <f t="shared" ca="1" si="30"/>
        <v>#NAME?</v>
      </c>
      <c r="AI116" s="95" t="e">
        <f t="shared" ca="1" si="30"/>
        <v>#NAME?</v>
      </c>
      <c r="AJ116" s="95" t="e">
        <f t="shared" ca="1" si="30"/>
        <v>#NAME?</v>
      </c>
      <c r="AK116" s="95" t="e">
        <f t="shared" ca="1" si="30"/>
        <v>#NAME?</v>
      </c>
      <c r="AL116" s="95" t="e">
        <f t="shared" ca="1" si="30"/>
        <v>#NAME?</v>
      </c>
      <c r="AM116" s="95" t="e">
        <f t="shared" ca="1" si="30"/>
        <v>#NAME?</v>
      </c>
      <c r="AN116" s="66" t="str">
        <f t="shared" ca="1" si="40"/>
        <v/>
      </c>
      <c r="AO116" s="108" t="e" cm="1">
        <f t="array" aca="1" ref="AO116" ca="1">_xll.BDP($E116,"cur_mkt_cap")</f>
        <v>#NAME?</v>
      </c>
      <c r="AP116" s="108" t="e" cm="1">
        <f t="array" aca="1" ref="AP116" ca="1">_xll.BDP($E116,"crncy")</f>
        <v>#NAME?</v>
      </c>
      <c r="AQ116" s="109" t="e" cm="1">
        <f t="array" aca="1" ref="AQ116" ca="1">_xll.BDP("USD"&amp;AP116&amp;" curncy","px_last")</f>
        <v>#NAME?</v>
      </c>
      <c r="AR116" s="109" t="e">
        <f t="shared" ca="1" si="35"/>
        <v>#NAME?</v>
      </c>
      <c r="AT116" s="66" t="str">
        <f t="shared" ca="1" si="33"/>
        <v/>
      </c>
      <c r="AU116" s="66" t="str">
        <f t="shared" ca="1" si="33"/>
        <v/>
      </c>
      <c r="AV116" s="66" t="str">
        <f t="shared" ca="1" si="33"/>
        <v/>
      </c>
      <c r="AW116" s="73" t="str" cm="1">
        <f t="array" aca="1" ref="AW116" ca="1">IF(ISERROR(DATEVALUE(_xll.BDP($E116,AW$6))),"",DATEVALUE(_xll.BDP($E116,AW$6)))</f>
        <v/>
      </c>
      <c r="AX116" s="73" t="str" cm="1">
        <f t="array" aca="1" ref="AX116" ca="1">IF(ISERROR(DATEVALUE(_xll.BDP($E116,AX$2))),"",DATEVALUE(_xll.BDP($E116,AX$2)))</f>
        <v/>
      </c>
      <c r="AY116" s="73" t="str" cm="1">
        <f t="array" aca="1" ref="AY116" ca="1">IF(ISERROR(DATEVALUE(_xll.BDP($E116,AY$6))),"",DATEVALUE(_xll.BDP($E116,AY$6)))</f>
        <v/>
      </c>
      <c r="AZ116" s="110" t="e" cm="1">
        <f t="array" aca="1" ref="AZ116" ca="1">IF(_xll.BQL($E116, "last(matches(px_last(dates=range(-1w,0d)), dayofweek(px_last(dates=range(-1w,0d)).date)==6))")="#N/A","-",_xll.BQL($E116, "last(matches(px_last(dates=range(-1w,0d)), dayofweek(px_last(dates=range(-1w,0d)).date)==6))"))</f>
        <v>#NAME?</v>
      </c>
      <c r="BA116" s="109" t="e" cm="1">
        <f t="array" aca="1" ref="BA116" ca="1">IF(_xll.BQL(E116,"first(last(matches(px_last(dates=range(-1M,0D)),dayofweek(px_last(dates=range(-1M,0D)).date)==6),2),1)")="#N/A","-",_xll.BQL(E116,"first(last(matches(px_last(dates=range(-1M,0D)),dayofweek(px_last(dates=range(-1M,0D)).date)==6),2),1)"))</f>
        <v>#NAME?</v>
      </c>
      <c r="BB116" s="109" t="str">
        <f t="shared" ca="1" si="36"/>
        <v>-</v>
      </c>
    </row>
    <row r="117" spans="5:54" ht="16.5" customHeight="1" thickBot="1">
      <c r="E117" s="96" t="s">
        <v>1080</v>
      </c>
      <c r="F117" s="66" t="e">
        <f ca="1">_xll.BDP($E117,F$3)&amp;" BEST Curncy"</f>
        <v>#NAME?</v>
      </c>
      <c r="G117" s="97" t="e">
        <f t="shared" ca="1" si="17"/>
        <v>#NAME?</v>
      </c>
      <c r="I117" s="633"/>
      <c r="J117" s="98" t="e">
        <f ca="1">_xll.BDP($E117,J$3)</f>
        <v>#NAME?</v>
      </c>
      <c r="K117" s="99" t="e">
        <f ca="1">_xll.BDP($E117,K$3)</f>
        <v>#NAME?</v>
      </c>
      <c r="L117" s="100" t="str">
        <f ca="1">IF(ISNUMBER(_xll.BDH($E117,"PX_LAST",TEXT($E$2,"YYYYMMDD"),TEXT($E$2,"YYYYMMDD"),"days=a","fill=p")),_xll.BDH($E117,"PX_LAST",TEXT($E$2,"YYYYMMDD"),TEXT($E$2,"YYYYMMDD"),"days=a","fill=p"),"-")</f>
        <v>-</v>
      </c>
      <c r="M117" s="100" t="str">
        <f ca="1">IF(ISNUMBER(_xll.BDH($E117,"PX_LAST",TEXT($E$2-7,"YYYYMMDD"),TEXT($E$2-7,"YYYYMMDD"),"days=a","fill=p")),_xll.BDH($E117,"PX_LAST",TEXT($E$2-7,"YYYYMMDD"),TEXT($E$2-7,"YYYYMMDD"),"days=a","fill=p"),"-")</f>
        <v>-</v>
      </c>
      <c r="N117" s="180" t="str">
        <f t="shared" ca="1" si="38"/>
        <v>-</v>
      </c>
      <c r="O117" s="101" t="e">
        <f ca="1">IF(OR(_xll.BDP($E117,O$3)="#N/A N/A",_xll.BDP($E117,O$3)="#N/A Invalid Security"), "-", _xll.BDP($E117,O$3))</f>
        <v>#NAME?</v>
      </c>
      <c r="P117" s="182" t="str">
        <f ca="1">IF(ISNUMBER(_xll.BDH($F117,"PX_LAST",TEXT($E$2,"YYYYMMDD"),TEXT($E$2,"YYYYMMDD"),"days=a","fill=p")),_xll.BDH($F117,"PX_LAST",TEXT($E$2,"YYYYMMDD"),TEXT($E$2,"YYYYMMDD"),"days=a","fill=p"),"-")</f>
        <v>-</v>
      </c>
      <c r="Q117" s="182" t="str">
        <f ca="1">IF(ISNUMBER(_xll.BDH($F117,"PX_LAST",TEXT($E$2-7,"YYYYMMDD"),TEXT($E$2-7,"YYYYMMDD"),"days=a","fill=p")),_xll.BDH($F117,"PX_LAST",TEXT($E$2-7,"YYYYMMDD"),TEXT($E$2-7,"YYYYMMDD"),"days=a","fill=p"),"-")</f>
        <v>-</v>
      </c>
      <c r="R117" s="102" t="str">
        <f t="shared" ca="1" si="39"/>
        <v>-</v>
      </c>
      <c r="S117" s="103" t="str">
        <f ca="1">IF(ISNUMBER(_xll.BDP($F117,S$3)),_xll.BDP($F117,S$3),"-")</f>
        <v>-</v>
      </c>
      <c r="T117" s="104" t="e">
        <f t="shared" ca="1" si="34"/>
        <v>#NAME?</v>
      </c>
      <c r="U117" s="105" t="e">
        <f ca="1">IF(OR(_xll.BDP($E117,U$3)="#N/A N/A",_xll.BDP($E117,U$3)="#N/A Invalid Security"), "-", _xll.BDP($E117,U$3))</f>
        <v>#NAME?</v>
      </c>
      <c r="V117" s="105" t="e">
        <f ca="1">IF(OR(_xll.BDP($E117,V$2)="#N/A N/A",_xll.BDP($E117,V$2)="#N/A Invalid Security"), "-", _xll.BDP($E117,V$2))</f>
        <v>#NAME?</v>
      </c>
      <c r="W117" s="106" t="e">
        <f ca="1">IF(OR(_xll.BDP($E117,W$3)="#N/A N/A",_xll.BDP($E117,W$3)="#N/A Invalid Security"), "-", _xll.BDP($E117,W$3))</f>
        <v>#NAME?</v>
      </c>
      <c r="X117" s="105" t="e">
        <f ca="1">IF(OR(_xll.BDP($E117,X$3)="#N/A N/A",_xll.BDP($E117,X$3)="#N/A Invalid Security"), " ", _xll.BDP($E117,X$3))</f>
        <v>#NAME?</v>
      </c>
      <c r="Y117" s="105" t="e">
        <f ca="1">IF(OR(_xll.BDP($E117,Y$3)="#N/A N/A",_xll.BDP($E117,Y$3)="#N/A Invalid Security"), " ", _xll.BDP($E117,Y$3))</f>
        <v>#NAME?</v>
      </c>
      <c r="Z117" s="106" t="e">
        <f ca="1">IF(OR(_xll.BDP($E117,Z$3)="#N/A N/A",_xll.BDP($E117,Z$3)="#N/A Invalid Security"), " ", _xll.BDP($E117,Z$3))</f>
        <v>#NAME?</v>
      </c>
      <c r="AA117" s="107"/>
      <c r="AB117" s="93" t="s">
        <v>938</v>
      </c>
      <c r="AC117" s="93" t="s">
        <v>934</v>
      </c>
      <c r="AD117" s="93" t="s">
        <v>876</v>
      </c>
      <c r="AE117" s="93" t="s">
        <v>940</v>
      </c>
      <c r="AF117" s="93" t="s">
        <v>940</v>
      </c>
      <c r="AG117" s="93" t="s">
        <v>948</v>
      </c>
      <c r="AH117" s="95" t="e">
        <f t="shared" ca="1" si="30"/>
        <v>#NAME?</v>
      </c>
      <c r="AI117" s="95" t="e">
        <f t="shared" ca="1" si="30"/>
        <v>#NAME?</v>
      </c>
      <c r="AJ117" s="95" t="e">
        <f t="shared" ca="1" si="30"/>
        <v>#NAME?</v>
      </c>
      <c r="AK117" s="95" t="e">
        <f t="shared" ca="1" si="30"/>
        <v>#NAME?</v>
      </c>
      <c r="AL117" s="95" t="e">
        <f t="shared" ca="1" si="30"/>
        <v>#NAME?</v>
      </c>
      <c r="AM117" s="95" t="e">
        <f t="shared" ca="1" si="30"/>
        <v>#NAME?</v>
      </c>
      <c r="AN117" s="66" t="str">
        <f t="shared" ca="1" si="40"/>
        <v/>
      </c>
      <c r="AO117" s="108" t="e" cm="1">
        <f t="array" aca="1" ref="AO117" ca="1">_xll.BDP($E117,"cur_mkt_cap")</f>
        <v>#NAME?</v>
      </c>
      <c r="AP117" s="108" t="e" cm="1">
        <f t="array" aca="1" ref="AP117" ca="1">_xll.BDP($E117,"crncy")</f>
        <v>#NAME?</v>
      </c>
      <c r="AQ117" s="109" t="e" cm="1">
        <f t="array" aca="1" ref="AQ117" ca="1">_xll.BDP("USD"&amp;AP117&amp;" curncy","px_last")</f>
        <v>#NAME?</v>
      </c>
      <c r="AR117" s="109" t="e">
        <f t="shared" ca="1" si="35"/>
        <v>#NAME?</v>
      </c>
      <c r="AT117" s="66" t="str">
        <f t="shared" ref="AT117:AV189" ca="1" si="41">IF(AND(AW117&lt;=$E$1,AW117&gt;=$F$1),1,"")</f>
        <v/>
      </c>
      <c r="AU117" s="66" t="str">
        <f t="shared" ca="1" si="41"/>
        <v/>
      </c>
      <c r="AV117" s="66" t="str">
        <f t="shared" ca="1" si="41"/>
        <v/>
      </c>
      <c r="AW117" s="73" t="str" cm="1">
        <f t="array" aca="1" ref="AW117" ca="1">IF(ISERROR(DATEVALUE(_xll.BDP($E117,AW$6))),"",DATEVALUE(_xll.BDP($E117,AW$6)))</f>
        <v/>
      </c>
      <c r="AX117" s="73" t="str" cm="1">
        <f t="array" aca="1" ref="AX117" ca="1">IF(ISERROR(DATEVALUE(_xll.BDP($E117,AX$2))),"",DATEVALUE(_xll.BDP($E117,AX$2)))</f>
        <v/>
      </c>
      <c r="AY117" s="73" t="str" cm="1">
        <f t="array" aca="1" ref="AY117" ca="1">IF(ISERROR(DATEVALUE(_xll.BDP($E117,AY$6))),"",DATEVALUE(_xll.BDP($E117,AY$6)))</f>
        <v/>
      </c>
      <c r="AZ117" s="110" t="e" cm="1">
        <f t="array" aca="1" ref="AZ117" ca="1">IF(_xll.BQL($E117, "last(matches(px_last(dates=range(-1w,0d)), dayofweek(px_last(dates=range(-1w,0d)).date)==6))")="#N/A","-",_xll.BQL($E117, "last(matches(px_last(dates=range(-1w,0d)), dayofweek(px_last(dates=range(-1w,0d)).date)==6))"))</f>
        <v>#NAME?</v>
      </c>
      <c r="BA117" s="109" t="e" cm="1">
        <f t="array" aca="1" ref="BA117" ca="1">IF(_xll.BQL(E117,"first(last(matches(px_last(dates=range(-1M,0D)),dayofweek(px_last(dates=range(-1M,0D)).date)==6),2),1)")="#N/A","-",_xll.BQL(E117,"first(last(matches(px_last(dates=range(-1M,0D)),dayofweek(px_last(dates=range(-1M,0D)).date)==6),2),1)"))</f>
        <v>#NAME?</v>
      </c>
      <c r="BB117" s="109" t="str">
        <f t="shared" ca="1" si="36"/>
        <v>-</v>
      </c>
    </row>
    <row r="118" spans="5:54" ht="16.5" customHeight="1" thickBot="1">
      <c r="E118" s="159" t="s">
        <v>1081</v>
      </c>
      <c r="F118" s="66" t="e">
        <f ca="1">_xll.BDP($E118,F$3)&amp;" CBIN Curncy"</f>
        <v>#NAME?</v>
      </c>
      <c r="G118" s="97" t="e">
        <f t="shared" ca="1" si="17"/>
        <v>#NAME?</v>
      </c>
      <c r="I118" s="633"/>
      <c r="J118" s="98" t="e">
        <f ca="1">_xll.BDP($E118,J$3)</f>
        <v>#NAME?</v>
      </c>
      <c r="K118" s="99" t="e">
        <f ca="1">_xll.BDP($E118,K$3)</f>
        <v>#NAME?</v>
      </c>
      <c r="L118" s="100" t="str">
        <f ca="1">IF(ISNUMBER(_xll.BDH($E118,"PX_LAST",TEXT($E$2,"YYYYMMDD"),TEXT($E$2,"YYYYMMDD"),"days=a","fill=p")),_xll.BDH($E118,"PX_LAST",TEXT($E$2,"YYYYMMDD"),TEXT($E$2,"YYYYMMDD"),"days=a","fill=p"),"-")</f>
        <v>-</v>
      </c>
      <c r="M118" s="100" t="str">
        <f ca="1">IF(ISNUMBER(_xll.BDH($E118,"PX_LAST",TEXT($E$2-7,"YYYYMMDD"),TEXT($E$2-7,"YYYYMMDD"),"days=a","fill=p")),_xll.BDH($E118,"PX_LAST",TEXT($E$2-7,"YYYYMMDD"),TEXT($E$2-7,"YYYYMMDD"),"days=a","fill=p"),"-")</f>
        <v>-</v>
      </c>
      <c r="N118" s="180" t="str">
        <f t="shared" ca="1" si="38"/>
        <v>-</v>
      </c>
      <c r="O118" s="101" t="e">
        <f ca="1">IF(OR(_xll.BDP($E118,O$3)="#N/A N/A",_xll.BDP($E118,O$3)="#N/A Invalid Security"), "-", _xll.BDP($E118,O$3))</f>
        <v>#NAME?</v>
      </c>
      <c r="P118" s="182" t="str">
        <f ca="1">IF(ISNUMBER(_xll.BDH($F118,"PX_LAST",TEXT($E$2,"YYYYMMDD"),TEXT($E$2,"YYYYMMDD"),"days=a","fill=p")),_xll.BDH($F118,"PX_LAST",TEXT($E$2,"YYYYMMDD"),TEXT($E$2,"YYYYMMDD"),"days=a","fill=p"),"-")</f>
        <v>-</v>
      </c>
      <c r="Q118" s="182" t="str">
        <f ca="1">IF(ISNUMBER(_xll.BDH($F118,"PX_LAST",TEXT($E$2-7,"YYYYMMDD"),TEXT($E$2-7,"YYYYMMDD"),"days=a","fill=p")),_xll.BDH($F118,"PX_LAST",TEXT($E$2-7,"YYYYMMDD"),TEXT($E$2-7,"YYYYMMDD"),"days=a","fill=p"),"-")</f>
        <v>-</v>
      </c>
      <c r="R118" s="102" t="str">
        <f t="shared" ca="1" si="39"/>
        <v>-</v>
      </c>
      <c r="S118" s="103" t="str">
        <f ca="1">IF(ISNUMBER(_xll.BDP($F118,S$3)),_xll.BDP($F118,S$3),"-")</f>
        <v>-</v>
      </c>
      <c r="T118" s="104" t="e">
        <f t="shared" ca="1" si="34"/>
        <v>#NAME?</v>
      </c>
      <c r="U118" s="105" t="e">
        <f ca="1">IF(OR(_xll.BDP($E118,U$3)="#N/A N/A",_xll.BDP($E118,U$3)="#N/A Invalid Security"), "-", _xll.BDP($E118,U$3))</f>
        <v>#NAME?</v>
      </c>
      <c r="V118" s="105" t="e">
        <f ca="1">IF(OR(_xll.BDP($E118,V$2)="#N/A N/A",_xll.BDP($E118,V$2)="#N/A Invalid Security"), "-", _xll.BDP($E118,V$2))</f>
        <v>#NAME?</v>
      </c>
      <c r="W118" s="106" t="e">
        <f ca="1">IF(OR(_xll.BDP($E118,W$3)="#N/A N/A",_xll.BDP($E118,W$3)="#N/A Invalid Security"), "-", _xll.BDP($E118,W$3))</f>
        <v>#NAME?</v>
      </c>
      <c r="X118" s="105" t="e">
        <f ca="1">IF(OR(_xll.BDP($E118,X$3)="#N/A N/A",_xll.BDP($E118,X$3)="#N/A Invalid Security"), " ", _xll.BDP($E118,X$3))</f>
        <v>#NAME?</v>
      </c>
      <c r="Y118" s="105" t="e">
        <f ca="1">IF(OR(_xll.BDP($E118,Y$3)="#N/A N/A",_xll.BDP($E118,Y$3)="#N/A Invalid Security"), " ", _xll.BDP($E118,Y$3))</f>
        <v>#NAME?</v>
      </c>
      <c r="Z118" s="106" t="e">
        <f ca="1">IF(OR(_xll.BDP($E118,Z$3)="#N/A N/A",_xll.BDP($E118,Z$3)="#N/A Invalid Security"), " ", _xll.BDP($E118,Z$3))</f>
        <v>#NAME?</v>
      </c>
      <c r="AA118" s="107"/>
      <c r="AB118" s="93" t="s">
        <v>953</v>
      </c>
      <c r="AC118" s="93" t="s">
        <v>874</v>
      </c>
      <c r="AD118" s="93" t="s">
        <v>876</v>
      </c>
      <c r="AE118" s="93" t="s">
        <v>940</v>
      </c>
      <c r="AF118" s="93" t="s">
        <v>948</v>
      </c>
      <c r="AG118" s="93" t="s">
        <v>940</v>
      </c>
      <c r="AH118" s="95" t="e">
        <f t="shared" ca="1" si="30"/>
        <v>#NAME?</v>
      </c>
      <c r="AI118" s="95" t="e">
        <f t="shared" ca="1" si="30"/>
        <v>#NAME?</v>
      </c>
      <c r="AJ118" s="95" t="e">
        <f t="shared" ca="1" si="30"/>
        <v>#NAME?</v>
      </c>
      <c r="AK118" s="95" t="e">
        <f t="shared" ca="1" si="30"/>
        <v>#NAME?</v>
      </c>
      <c r="AL118" s="95" t="e">
        <f t="shared" ca="1" si="30"/>
        <v>#NAME?</v>
      </c>
      <c r="AM118" s="95" t="e">
        <f t="shared" ca="1" si="30"/>
        <v>#NAME?</v>
      </c>
      <c r="AN118" s="66" t="str">
        <f t="shared" ca="1" si="40"/>
        <v/>
      </c>
      <c r="AO118" s="108" t="e" cm="1">
        <f t="array" aca="1" ref="AO118" ca="1">_xll.BDP($E118,"cur_mkt_cap")</f>
        <v>#NAME?</v>
      </c>
      <c r="AP118" s="108" t="e" cm="1">
        <f t="array" aca="1" ref="AP118" ca="1">_xll.BDP($E118,"crncy")</f>
        <v>#NAME?</v>
      </c>
      <c r="AQ118" s="109" t="e" cm="1">
        <f t="array" aca="1" ref="AQ118" ca="1">_xll.BDP("USD"&amp;AP118&amp;" curncy","px_last")</f>
        <v>#NAME?</v>
      </c>
      <c r="AR118" s="109" t="e">
        <f t="shared" ca="1" si="35"/>
        <v>#NAME?</v>
      </c>
      <c r="AT118" s="66" t="str">
        <f t="shared" ca="1" si="41"/>
        <v/>
      </c>
      <c r="AU118" s="66" t="str">
        <f t="shared" ca="1" si="41"/>
        <v/>
      </c>
      <c r="AV118" s="66" t="str">
        <f t="shared" ca="1" si="41"/>
        <v/>
      </c>
      <c r="AW118" s="73" t="str" cm="1">
        <f t="array" aca="1" ref="AW118" ca="1">IF(ISERROR(DATEVALUE(_xll.BDP($E118,AW$6))),"",DATEVALUE(_xll.BDP($E118,AW$6)))</f>
        <v/>
      </c>
      <c r="AX118" s="73" t="str" cm="1">
        <f t="array" aca="1" ref="AX118" ca="1">IF(ISERROR(DATEVALUE(_xll.BDP($E118,AX$2))),"",DATEVALUE(_xll.BDP($E118,AX$2)))</f>
        <v/>
      </c>
      <c r="AY118" s="73" t="str" cm="1">
        <f t="array" aca="1" ref="AY118" ca="1">IF(ISERROR(DATEVALUE(_xll.BDP($E118,AY$6))),"",DATEVALUE(_xll.BDP($E118,AY$6)))</f>
        <v/>
      </c>
      <c r="AZ118" s="110" t="e" cm="1">
        <f t="array" aca="1" ref="AZ118" ca="1">IF(_xll.BQL($E118, "last(matches(px_last(dates=range(-1w,0d)), dayofweek(px_last(dates=range(-1w,0d)).date)==6))")="#N/A","-",_xll.BQL($E118, "last(matches(px_last(dates=range(-1w,0d)), dayofweek(px_last(dates=range(-1w,0d)).date)==6))"))</f>
        <v>#NAME?</v>
      </c>
      <c r="BA118" s="109" t="e" cm="1">
        <f t="array" aca="1" ref="BA118" ca="1">IF(_xll.BQL(E118,"first(last(matches(px_last(dates=range(-1M,0D)),dayofweek(px_last(dates=range(-1M,0D)).date)==6),2),1)")="#N/A","-",_xll.BQL(E118,"first(last(matches(px_last(dates=range(-1M,0D)),dayofweek(px_last(dates=range(-1M,0D)).date)==6),2),1)"))</f>
        <v>#NAME?</v>
      </c>
      <c r="BB118" s="109" t="str">
        <f t="shared" ca="1" si="36"/>
        <v>-</v>
      </c>
    </row>
    <row r="119" spans="5:54" ht="16.5" customHeight="1" thickBot="1">
      <c r="E119" s="159" t="s">
        <v>1082</v>
      </c>
      <c r="F119" s="66" t="e">
        <f ca="1">_xll.BDP($E119,F$3)&amp;" CBIN Curncy"</f>
        <v>#NAME?</v>
      </c>
      <c r="G119" s="97" t="e">
        <f t="shared" ca="1" si="17"/>
        <v>#NAME?</v>
      </c>
      <c r="I119" s="633"/>
      <c r="J119" s="98" t="e">
        <f ca="1">_xll.BDP($E119,J$3)</f>
        <v>#NAME?</v>
      </c>
      <c r="K119" s="99" t="e">
        <f ca="1">_xll.BDP($E119,K$3)</f>
        <v>#NAME?</v>
      </c>
      <c r="L119" s="100" t="str">
        <f ca="1">IF(ISNUMBER(_xll.BDH($E119,"PX_LAST",TEXT($E$2,"YYYYMMDD"),TEXT($E$2,"YYYYMMDD"),"days=a","fill=p")),_xll.BDH($E119,"PX_LAST",TEXT($E$2,"YYYYMMDD"),TEXT($E$2,"YYYYMMDD"),"days=a","fill=p"),"-")</f>
        <v>-</v>
      </c>
      <c r="M119" s="100" t="str">
        <f ca="1">IF(ISNUMBER(_xll.BDH($E119,"PX_LAST",TEXT($E$2-7,"YYYYMMDD"),TEXT($E$2-7,"YYYYMMDD"),"days=a","fill=p")),_xll.BDH($E119,"PX_LAST",TEXT($E$2-7,"YYYYMMDD"),TEXT($E$2-7,"YYYYMMDD"),"days=a","fill=p"),"-")</f>
        <v>-</v>
      </c>
      <c r="N119" s="180" t="str">
        <f t="shared" ca="1" si="38"/>
        <v>-</v>
      </c>
      <c r="O119" s="101" t="e">
        <f ca="1">IF(OR(_xll.BDP($E119,O$3)="#N/A N/A",_xll.BDP($E119,O$3)="#N/A Invalid Security"), "-", _xll.BDP($E119,O$3))</f>
        <v>#NAME?</v>
      </c>
      <c r="P119" s="182" t="str">
        <f ca="1">IF(ISNUMBER(_xll.BDH($F119,"PX_LAST",TEXT($E$2,"YYYYMMDD"),TEXT($E$2,"YYYYMMDD"),"days=a","fill=p")),_xll.BDH($F119,"PX_LAST",TEXT($E$2,"YYYYMMDD"),TEXT($E$2,"YYYYMMDD"),"days=a","fill=p"),"-")</f>
        <v>-</v>
      </c>
      <c r="Q119" s="182" t="str">
        <f ca="1">IF(ISNUMBER(_xll.BDH($F119,"PX_LAST",TEXT($E$2-7,"YYYYMMDD"),TEXT($E$2-7,"YYYYMMDD"),"days=a","fill=p")),_xll.BDH($F119,"PX_LAST",TEXT($E$2-7,"YYYYMMDD"),TEXT($E$2-7,"YYYYMMDD"),"days=a","fill=p"),"-")</f>
        <v>-</v>
      </c>
      <c r="R119" s="102" t="str">
        <f t="shared" ca="1" si="39"/>
        <v>-</v>
      </c>
      <c r="S119" s="103" t="str">
        <f ca="1">IF(ISNUMBER(_xll.BDP($F119,S$3)),_xll.BDP($F119,S$3),"-")</f>
        <v>-</v>
      </c>
      <c r="T119" s="104" t="e">
        <f t="shared" ca="1" si="34"/>
        <v>#NAME?</v>
      </c>
      <c r="U119" s="105" t="e">
        <f ca="1">IF(OR(_xll.BDP($E119,U$3)="#N/A N/A",_xll.BDP($E119,U$3)="#N/A Invalid Security"), "-", _xll.BDP($E119,U$3))</f>
        <v>#NAME?</v>
      </c>
      <c r="V119" s="105" t="e">
        <f ca="1">IF(OR(_xll.BDP($E119,V$2)="#N/A N/A",_xll.BDP($E119,V$2)="#N/A Invalid Security"), "-", _xll.BDP($E119,V$2))</f>
        <v>#NAME?</v>
      </c>
      <c r="W119" s="106" t="e">
        <f ca="1">IF(OR(_xll.BDP($E119,W$3)="#N/A N/A",_xll.BDP($E119,W$3)="#N/A Invalid Security"), "-", _xll.BDP($E119,W$3))</f>
        <v>#NAME?</v>
      </c>
      <c r="X119" s="105" t="e">
        <f ca="1">IF(OR(_xll.BDP($E119,X$3)="#N/A N/A",_xll.BDP($E119,X$3)="#N/A Invalid Security"), " ", _xll.BDP($E119,X$3))</f>
        <v>#NAME?</v>
      </c>
      <c r="Y119" s="105" t="e">
        <f ca="1">IF(OR(_xll.BDP($E119,Y$3)="#N/A N/A",_xll.BDP($E119,Y$3)="#N/A Invalid Security"), " ", _xll.BDP($E119,Y$3))</f>
        <v>#NAME?</v>
      </c>
      <c r="Z119" s="106" t="e">
        <f ca="1">IF(OR(_xll.BDP($E119,Z$3)="#N/A N/A",_xll.BDP($E119,Z$3)="#N/A Invalid Security"), " ", _xll.BDP($E119,Z$3))</f>
        <v>#NAME?</v>
      </c>
      <c r="AA119" s="107"/>
      <c r="AB119" s="93" t="s">
        <v>876</v>
      </c>
      <c r="AC119" s="93" t="s">
        <v>1083</v>
      </c>
      <c r="AD119" s="93" t="s">
        <v>1084</v>
      </c>
      <c r="AE119" s="93" t="s">
        <v>940</v>
      </c>
      <c r="AF119" s="93" t="s">
        <v>936</v>
      </c>
      <c r="AG119" s="93" t="s">
        <v>936</v>
      </c>
      <c r="AH119" s="95" t="e">
        <f t="shared" ca="1" si="30"/>
        <v>#NAME?</v>
      </c>
      <c r="AI119" s="95" t="e">
        <f t="shared" ca="1" si="30"/>
        <v>#NAME?</v>
      </c>
      <c r="AJ119" s="95" t="e">
        <f t="shared" ca="1" si="30"/>
        <v>#NAME?</v>
      </c>
      <c r="AK119" s="95" t="e">
        <f t="shared" ca="1" si="30"/>
        <v>#NAME?</v>
      </c>
      <c r="AL119" s="95" t="e">
        <f t="shared" ca="1" si="30"/>
        <v>#NAME?</v>
      </c>
      <c r="AM119" s="95" t="e">
        <f t="shared" ca="1" si="30"/>
        <v>#NAME?</v>
      </c>
      <c r="AN119" s="66" t="str">
        <f t="shared" ca="1" si="40"/>
        <v/>
      </c>
      <c r="AO119" s="108" t="e" cm="1">
        <f t="array" aca="1" ref="AO119" ca="1">_xll.BDP($E119,"cur_mkt_cap")</f>
        <v>#NAME?</v>
      </c>
      <c r="AP119" s="108" t="e" cm="1">
        <f t="array" aca="1" ref="AP119" ca="1">_xll.BDP($E119,"crncy")</f>
        <v>#NAME?</v>
      </c>
      <c r="AQ119" s="109" t="e" cm="1">
        <f t="array" aca="1" ref="AQ119" ca="1">_xll.BDP("USD"&amp;AP119&amp;" curncy","px_last")</f>
        <v>#NAME?</v>
      </c>
      <c r="AR119" s="109" t="e">
        <f t="shared" ca="1" si="35"/>
        <v>#NAME?</v>
      </c>
      <c r="AT119" s="66" t="str">
        <f t="shared" ca="1" si="41"/>
        <v/>
      </c>
      <c r="AU119" s="66" t="str">
        <f t="shared" ca="1" si="41"/>
        <v/>
      </c>
      <c r="AV119" s="66" t="str">
        <f t="shared" ca="1" si="41"/>
        <v/>
      </c>
      <c r="AW119" s="73" t="str" cm="1">
        <f t="array" aca="1" ref="AW119" ca="1">IF(ISERROR(DATEVALUE(_xll.BDP($E119,AW$6))),"",DATEVALUE(_xll.BDP($E119,AW$6)))</f>
        <v/>
      </c>
      <c r="AX119" s="73" t="str" cm="1">
        <f t="array" aca="1" ref="AX119" ca="1">IF(ISERROR(DATEVALUE(_xll.BDP($E119,AX$2))),"",DATEVALUE(_xll.BDP($E119,AX$2)))</f>
        <v/>
      </c>
      <c r="AY119" s="73" t="str" cm="1">
        <f t="array" aca="1" ref="AY119" ca="1">IF(ISERROR(DATEVALUE(_xll.BDP($E119,AY$6))),"",DATEVALUE(_xll.BDP($E119,AY$6)))</f>
        <v/>
      </c>
      <c r="AZ119" s="110" t="e" cm="1">
        <f t="array" aca="1" ref="AZ119" ca="1">IF(_xll.BQL($E119, "last(matches(px_last(dates=range(-1w,0d)), dayofweek(px_last(dates=range(-1w,0d)).date)==6))")="#N/A","-",_xll.BQL($E119, "last(matches(px_last(dates=range(-1w,0d)), dayofweek(px_last(dates=range(-1w,0d)).date)==6))"))</f>
        <v>#NAME?</v>
      </c>
      <c r="BA119" s="109" t="e" cm="1">
        <f t="array" aca="1" ref="BA119" ca="1">IF(_xll.BQL(E119,"first(last(matches(px_last(dates=range(-1M,0D)),dayofweek(px_last(dates=range(-1M,0D)).date)==6),2),1)")="#N/A","-",_xll.BQL(E119,"first(last(matches(px_last(dates=range(-1M,0D)),dayofweek(px_last(dates=range(-1M,0D)).date)==6),2),1)"))</f>
        <v>#NAME?</v>
      </c>
      <c r="BB119" s="109" t="str">
        <f t="shared" ca="1" si="36"/>
        <v>-</v>
      </c>
    </row>
    <row r="120" spans="5:54" ht="16.5" customHeight="1" thickBot="1">
      <c r="E120" s="159" t="s">
        <v>1085</v>
      </c>
      <c r="F120" s="66" t="e">
        <f ca="1">_xll.BDP($E120,F$3)&amp;" CBIN Curncy"</f>
        <v>#NAME?</v>
      </c>
      <c r="G120" s="97" t="e">
        <f t="shared" ca="1" si="17"/>
        <v>#NAME?</v>
      </c>
      <c r="I120" s="633"/>
      <c r="J120" s="98" t="e">
        <f ca="1">_xll.BDP($E120,J$3)</f>
        <v>#NAME?</v>
      </c>
      <c r="K120" s="99" t="e">
        <f ca="1">_xll.BDP($E120,K$3)</f>
        <v>#NAME?</v>
      </c>
      <c r="L120" s="100" t="str">
        <f ca="1">IF(ISNUMBER(_xll.BDH($E120,"PX_LAST",TEXT($E$2,"YYYYMMDD"),TEXT($E$2,"YYYYMMDD"),"days=a","fill=p")),_xll.BDH($E120,"PX_LAST",TEXT($E$2,"YYYYMMDD"),TEXT($E$2,"YYYYMMDD"),"days=a","fill=p"),"-")</f>
        <v>-</v>
      </c>
      <c r="M120" s="100" t="str">
        <f ca="1">IF(ISNUMBER(_xll.BDH($E120,"PX_LAST",TEXT($E$2-7,"YYYYMMDD"),TEXT($E$2-7,"YYYYMMDD"),"days=a","fill=p")),_xll.BDH($E120,"PX_LAST",TEXT($E$2-7,"YYYYMMDD"),TEXT($E$2-7,"YYYYMMDD"),"days=a","fill=p"),"-")</f>
        <v>-</v>
      </c>
      <c r="N120" s="180" t="str">
        <f t="shared" ca="1" si="38"/>
        <v>-</v>
      </c>
      <c r="O120" s="101" t="e">
        <f ca="1">IF(OR(_xll.BDP($E120,O$3)="#N/A N/A",_xll.BDP($E120,O$3)="#N/A Invalid Security"), "-", _xll.BDP($E120,O$3))</f>
        <v>#NAME?</v>
      </c>
      <c r="P120" s="182" t="str">
        <f ca="1">IF(ISNUMBER(_xll.BDH($F120,"PX_LAST",TEXT($E$2,"YYYYMMDD"),TEXT($E$2,"YYYYMMDD"),"days=a","fill=p")),_xll.BDH($F120,"PX_LAST",TEXT($E$2,"YYYYMMDD"),TEXT($E$2,"YYYYMMDD"),"days=a","fill=p"),"-")</f>
        <v>-</v>
      </c>
      <c r="Q120" s="182" t="str">
        <f ca="1">IF(ISNUMBER(_xll.BDH($F120,"PX_LAST",TEXT($E$2-7,"YYYYMMDD"),TEXT($E$2-7,"YYYYMMDD"),"days=a","fill=p")),_xll.BDH($F120,"PX_LAST",TEXT($E$2-7,"YYYYMMDD"),TEXT($E$2-7,"YYYYMMDD"),"days=a","fill=p"),"-")</f>
        <v>-</v>
      </c>
      <c r="R120" s="102" t="str">
        <f t="shared" ca="1" si="39"/>
        <v>-</v>
      </c>
      <c r="S120" s="103" t="str">
        <f ca="1">IF(ISNUMBER(_xll.BDP($F120,S$3)),_xll.BDP($F120,S$3),"-")</f>
        <v>-</v>
      </c>
      <c r="T120" s="104" t="e">
        <f t="shared" ca="1" si="34"/>
        <v>#NAME?</v>
      </c>
      <c r="U120" s="105" t="e">
        <f ca="1">IF(OR(_xll.BDP($E120,U$3)="#N/A N/A",_xll.BDP($E120,U$3)="#N/A Invalid Security"), "-", _xll.BDP($E120,U$3))</f>
        <v>#NAME?</v>
      </c>
      <c r="V120" s="105" t="e">
        <f ca="1">IF(OR(_xll.BDP($E120,V$2)="#N/A N/A",_xll.BDP($E120,V$2)="#N/A Invalid Security"), "-", _xll.BDP($E120,V$2))</f>
        <v>#NAME?</v>
      </c>
      <c r="W120" s="106" t="e">
        <f ca="1">IF(OR(_xll.BDP($E120,W$3)="#N/A N/A",_xll.BDP($E120,W$3)="#N/A Invalid Security"), "-", _xll.BDP($E120,W$3))</f>
        <v>#NAME?</v>
      </c>
      <c r="X120" s="105" t="e">
        <f ca="1">IF(OR(_xll.BDP($E120,X$3)="#N/A N/A",_xll.BDP($E120,X$3)="#N/A Invalid Security"), " ", _xll.BDP($E120,X$3))</f>
        <v>#NAME?</v>
      </c>
      <c r="Y120" s="105" t="e">
        <f ca="1">IF(OR(_xll.BDP($E120,Y$3)="#N/A N/A",_xll.BDP($E120,Y$3)="#N/A Invalid Security"), " ", _xll.BDP($E120,Y$3))</f>
        <v>#NAME?</v>
      </c>
      <c r="Z120" s="106" t="e">
        <f ca="1">IF(OR(_xll.BDP($E120,Z$3)="#N/A N/A",_xll.BDP($E120,Z$3)="#N/A Invalid Security"), " ", _xll.BDP($E120,Z$3))</f>
        <v>#NAME?</v>
      </c>
      <c r="AA120" s="107"/>
      <c r="AB120" s="93" t="s">
        <v>950</v>
      </c>
      <c r="AC120" s="93" t="s">
        <v>934</v>
      </c>
      <c r="AD120" s="93" t="s">
        <v>950</v>
      </c>
      <c r="AE120" s="93" t="s">
        <v>948</v>
      </c>
      <c r="AF120" s="93" t="s">
        <v>948</v>
      </c>
      <c r="AG120" s="93" t="s">
        <v>948</v>
      </c>
      <c r="AH120" s="95" t="e">
        <f t="shared" ca="1" si="30"/>
        <v>#NAME?</v>
      </c>
      <c r="AI120" s="95" t="e">
        <f t="shared" ca="1" si="30"/>
        <v>#NAME?</v>
      </c>
      <c r="AJ120" s="95" t="e">
        <f t="shared" ca="1" si="30"/>
        <v>#NAME?</v>
      </c>
      <c r="AK120" s="95" t="e">
        <f t="shared" ca="1" si="30"/>
        <v>#NAME?</v>
      </c>
      <c r="AL120" s="95" t="e">
        <f t="shared" ca="1" si="30"/>
        <v>#NAME?</v>
      </c>
      <c r="AM120" s="95" t="e">
        <f t="shared" ca="1" si="30"/>
        <v>#NAME?</v>
      </c>
      <c r="AN120" s="66" t="str">
        <f t="shared" ca="1" si="40"/>
        <v/>
      </c>
      <c r="AO120" s="108" t="e" cm="1">
        <f t="array" aca="1" ref="AO120" ca="1">_xll.BDP($E120,"cur_mkt_cap")</f>
        <v>#NAME?</v>
      </c>
      <c r="AP120" s="108" t="e" cm="1">
        <f t="array" aca="1" ref="AP120" ca="1">_xll.BDP($E120,"crncy")</f>
        <v>#NAME?</v>
      </c>
      <c r="AQ120" s="109" t="e" cm="1">
        <f t="array" aca="1" ref="AQ120" ca="1">_xll.BDP("USD"&amp;AP120&amp;" curncy","px_last")</f>
        <v>#NAME?</v>
      </c>
      <c r="AR120" s="109" t="e">
        <f t="shared" ca="1" si="35"/>
        <v>#NAME?</v>
      </c>
      <c r="AT120" s="66" t="str">
        <f t="shared" ca="1" si="41"/>
        <v/>
      </c>
      <c r="AU120" s="66" t="str">
        <f t="shared" ca="1" si="41"/>
        <v/>
      </c>
      <c r="AV120" s="66" t="str">
        <f t="shared" ca="1" si="41"/>
        <v/>
      </c>
      <c r="AW120" s="73" t="str" cm="1">
        <f t="array" aca="1" ref="AW120" ca="1">IF(ISERROR(DATEVALUE(_xll.BDP($E120,AW$6))),"",DATEVALUE(_xll.BDP($E120,AW$6)))</f>
        <v/>
      </c>
      <c r="AX120" s="73" t="str" cm="1">
        <f t="array" aca="1" ref="AX120" ca="1">IF(ISERROR(DATEVALUE(_xll.BDP($E120,AX$2))),"",DATEVALUE(_xll.BDP($E120,AX$2)))</f>
        <v/>
      </c>
      <c r="AY120" s="73" t="str" cm="1">
        <f t="array" aca="1" ref="AY120" ca="1">IF(ISERROR(DATEVALUE(_xll.BDP($E120,AY$6))),"",DATEVALUE(_xll.BDP($E120,AY$6)))</f>
        <v/>
      </c>
      <c r="AZ120" s="110" t="e" cm="1">
        <f t="array" aca="1" ref="AZ120" ca="1">IF(_xll.BQL($E120, "last(matches(px_last(dates=range(-1w,0d)), dayofweek(px_last(dates=range(-1w,0d)).date)==6))")="#N/A","-",_xll.BQL($E120, "last(matches(px_last(dates=range(-1w,0d)), dayofweek(px_last(dates=range(-1w,0d)).date)==6))"))</f>
        <v>#NAME?</v>
      </c>
      <c r="BA120" s="109" t="e" cm="1">
        <f t="array" aca="1" ref="BA120" ca="1">IF(_xll.BQL(E120,"first(last(matches(px_last(dates=range(-1M,0D)),dayofweek(px_last(dates=range(-1M,0D)).date)==6),2),1)")="#N/A","-",_xll.BQL(E120,"first(last(matches(px_last(dates=range(-1M,0D)),dayofweek(px_last(dates=range(-1M,0D)).date)==6),2),1)"))</f>
        <v>#NAME?</v>
      </c>
      <c r="BB120" s="109" t="str">
        <f t="shared" ca="1" si="36"/>
        <v>-</v>
      </c>
    </row>
    <row r="121" spans="5:54" ht="16.5" customHeight="1" thickBot="1">
      <c r="E121" s="159" t="s">
        <v>1086</v>
      </c>
      <c r="F121" s="66" t="e">
        <f ca="1">_xll.BDP($E121,F$3)&amp;" CBIN Curncy"</f>
        <v>#NAME?</v>
      </c>
      <c r="G121" s="97" t="e">
        <f t="shared" ca="1" si="17"/>
        <v>#NAME?</v>
      </c>
      <c r="I121" s="633"/>
      <c r="J121" s="98" t="e">
        <f ca="1">_xll.BDP($E121,J$3)</f>
        <v>#NAME?</v>
      </c>
      <c r="K121" s="99" t="e">
        <f ca="1">_xll.BDP($E121,K$3)</f>
        <v>#NAME?</v>
      </c>
      <c r="L121" s="100" t="str">
        <f ca="1">IF(ISNUMBER(_xll.BDH($E121,"PX_LAST",TEXT($E$2,"YYYYMMDD"),TEXT($E$2,"YYYYMMDD"),"days=a","fill=p")),_xll.BDH($E121,"PX_LAST",TEXT($E$2,"YYYYMMDD"),TEXT($E$2,"YYYYMMDD"),"days=a","fill=p"),"-")</f>
        <v>-</v>
      </c>
      <c r="M121" s="100" t="str">
        <f ca="1">IF(ISNUMBER(_xll.BDH($E121,"PX_LAST",TEXT($E$2-7,"YYYYMMDD"),TEXT($E$2-7,"YYYYMMDD"),"days=a","fill=p")),_xll.BDH($E121,"PX_LAST",TEXT($E$2-7,"YYYYMMDD"),TEXT($E$2-7,"YYYYMMDD"),"days=a","fill=p"),"-")</f>
        <v>-</v>
      </c>
      <c r="N121" s="180" t="str">
        <f t="shared" ca="1" si="38"/>
        <v>-</v>
      </c>
      <c r="O121" s="101" t="e">
        <f ca="1">IF(OR(_xll.BDP($E121,O$3)="#N/A N/A",_xll.BDP($E121,O$3)="#N/A Invalid Security"), "-", _xll.BDP($E121,O$3))</f>
        <v>#NAME?</v>
      </c>
      <c r="P121" s="182" t="str">
        <f ca="1">IF(ISNUMBER(_xll.BDH($F121,"PX_LAST",TEXT($E$2,"YYYYMMDD"),TEXT($E$2,"YYYYMMDD"),"days=a","fill=p")),_xll.BDH($F121,"PX_LAST",TEXT($E$2,"YYYYMMDD"),TEXT($E$2,"YYYYMMDD"),"days=a","fill=p"),"-")</f>
        <v>-</v>
      </c>
      <c r="Q121" s="182" t="str">
        <f ca="1">IF(ISNUMBER(_xll.BDH($F121,"PX_LAST",TEXT($E$2-7,"YYYYMMDD"),TEXT($E$2-7,"YYYYMMDD"),"days=a","fill=p")),_xll.BDH($F121,"PX_LAST",TEXT($E$2-7,"YYYYMMDD"),TEXT($E$2-7,"YYYYMMDD"),"days=a","fill=p"),"-")</f>
        <v>-</v>
      </c>
      <c r="R121" s="102" t="str">
        <f t="shared" ca="1" si="39"/>
        <v>-</v>
      </c>
      <c r="S121" s="103" t="str">
        <f ca="1">IF(ISNUMBER(_xll.BDP($F121,S$3)),_xll.BDP($F121,S$3),"-")</f>
        <v>-</v>
      </c>
      <c r="T121" s="104" t="e">
        <f t="shared" ca="1" si="34"/>
        <v>#NAME?</v>
      </c>
      <c r="U121" s="105" t="e">
        <f ca="1">IF(OR(_xll.BDP($E121,U$3)="#N/A N/A",_xll.BDP($E121,U$3)="#N/A Invalid Security"), "-", _xll.BDP($E121,U$3))</f>
        <v>#NAME?</v>
      </c>
      <c r="V121" s="105" t="e">
        <f ca="1">IF(OR(_xll.BDP($E121,V$2)="#N/A N/A",_xll.BDP($E121,V$2)="#N/A Invalid Security"), "-", _xll.BDP($E121,V$2))</f>
        <v>#NAME?</v>
      </c>
      <c r="W121" s="106" t="e">
        <f ca="1">IF(OR(_xll.BDP($E121,W$3)="#N/A N/A",_xll.BDP($E121,W$3)="#N/A Invalid Security"), "-", _xll.BDP($E121,W$3))</f>
        <v>#NAME?</v>
      </c>
      <c r="X121" s="105" t="e">
        <f ca="1">IF(OR(_xll.BDP($E121,X$3)="#N/A N/A",_xll.BDP($E121,X$3)="#N/A Invalid Security"), " ", _xll.BDP($E121,X$3))</f>
        <v>#NAME?</v>
      </c>
      <c r="Y121" s="105" t="e">
        <f ca="1">IF(OR(_xll.BDP($E121,Y$3)="#N/A N/A",_xll.BDP($E121,Y$3)="#N/A Invalid Security"), " ", _xll.BDP($E121,Y$3))</f>
        <v>#NAME?</v>
      </c>
      <c r="Z121" s="106" t="e">
        <f ca="1">IF(OR(_xll.BDP($E121,Z$3)="#N/A N/A",_xll.BDP($E121,Z$3)="#N/A Invalid Security"), " ", _xll.BDP($E121,Z$3))</f>
        <v>#NAME?</v>
      </c>
      <c r="AA121" s="107"/>
      <c r="AB121" s="93" t="s">
        <v>950</v>
      </c>
      <c r="AC121" s="93" t="s">
        <v>933</v>
      </c>
      <c r="AD121" s="93" t="s">
        <v>932</v>
      </c>
      <c r="AE121" s="93" t="s">
        <v>940</v>
      </c>
      <c r="AF121" s="93" t="s">
        <v>948</v>
      </c>
      <c r="AG121" s="93" t="s">
        <v>948</v>
      </c>
      <c r="AH121" s="95" t="e">
        <f t="shared" ref="AH121:AM148" ca="1" si="42">IF(U121=AB121, 0,1)</f>
        <v>#NAME?</v>
      </c>
      <c r="AI121" s="95" t="e">
        <f t="shared" ca="1" si="42"/>
        <v>#NAME?</v>
      </c>
      <c r="AJ121" s="95" t="e">
        <f t="shared" ca="1" si="42"/>
        <v>#NAME?</v>
      </c>
      <c r="AK121" s="95" t="e">
        <f t="shared" ca="1" si="42"/>
        <v>#NAME?</v>
      </c>
      <c r="AL121" s="95" t="e">
        <f t="shared" ca="1" si="42"/>
        <v>#NAME?</v>
      </c>
      <c r="AM121" s="95" t="e">
        <f t="shared" ca="1" si="42"/>
        <v>#NAME?</v>
      </c>
      <c r="AN121" s="66" t="str">
        <f t="shared" ca="1" si="40"/>
        <v/>
      </c>
      <c r="AO121" s="108" t="e" cm="1">
        <f t="array" aca="1" ref="AO121" ca="1">_xll.BDP($E121,"cur_mkt_cap")</f>
        <v>#NAME?</v>
      </c>
      <c r="AP121" s="108" t="e" cm="1">
        <f t="array" aca="1" ref="AP121" ca="1">_xll.BDP($E121,"crncy")</f>
        <v>#NAME?</v>
      </c>
      <c r="AQ121" s="109" t="e" cm="1">
        <f t="array" aca="1" ref="AQ121" ca="1">_xll.BDP("USD"&amp;AP121&amp;" curncy","px_last")</f>
        <v>#NAME?</v>
      </c>
      <c r="AR121" s="109" t="e">
        <f t="shared" ca="1" si="35"/>
        <v>#NAME?</v>
      </c>
      <c r="AT121" s="66" t="str">
        <f t="shared" ca="1" si="41"/>
        <v/>
      </c>
      <c r="AU121" s="66" t="str">
        <f t="shared" ca="1" si="41"/>
        <v/>
      </c>
      <c r="AV121" s="66" t="str">
        <f t="shared" ca="1" si="41"/>
        <v/>
      </c>
      <c r="AW121" s="73" t="str" cm="1">
        <f t="array" aca="1" ref="AW121" ca="1">IF(ISERROR(DATEVALUE(_xll.BDP($E121,AW$6))),"",DATEVALUE(_xll.BDP($E121,AW$6)))</f>
        <v/>
      </c>
      <c r="AX121" s="73" t="str" cm="1">
        <f t="array" aca="1" ref="AX121" ca="1">IF(ISERROR(DATEVALUE(_xll.BDP($E121,AX$2))),"",DATEVALUE(_xll.BDP($E121,AX$2)))</f>
        <v/>
      </c>
      <c r="AY121" s="73" t="str" cm="1">
        <f t="array" aca="1" ref="AY121" ca="1">IF(ISERROR(DATEVALUE(_xll.BDP($E121,AY$6))),"",DATEVALUE(_xll.BDP($E121,AY$6)))</f>
        <v/>
      </c>
      <c r="AZ121" s="110" t="e" cm="1">
        <f t="array" aca="1" ref="AZ121" ca="1">IF(_xll.BQL($E121, "last(matches(px_last(dates=range(-1w,0d)), dayofweek(px_last(dates=range(-1w,0d)).date)==6))")="#N/A","-",_xll.BQL($E121, "last(matches(px_last(dates=range(-1w,0d)), dayofweek(px_last(dates=range(-1w,0d)).date)==6))"))</f>
        <v>#NAME?</v>
      </c>
      <c r="BA121" s="109" t="e" cm="1">
        <f t="array" aca="1" ref="BA121" ca="1">IF(_xll.BQL(E121,"first(last(matches(px_last(dates=range(-1M,0D)),dayofweek(px_last(dates=range(-1M,0D)).date)==6),2),1)")="#N/A","-",_xll.BQL(E121,"first(last(matches(px_last(dates=range(-1M,0D)),dayofweek(px_last(dates=range(-1M,0D)).date)==6),2),1)"))</f>
        <v>#NAME?</v>
      </c>
      <c r="BB121" s="109" t="str">
        <f t="shared" ca="1" si="36"/>
        <v>-</v>
      </c>
    </row>
    <row r="122" spans="5:54" ht="16.5" customHeight="1" thickBot="1">
      <c r="E122" s="96" t="s">
        <v>1087</v>
      </c>
      <c r="F122" s="66" t="e">
        <f ca="1">_xll.BDP($E122,F$3)&amp;" BEST Curncy"</f>
        <v>#NAME?</v>
      </c>
      <c r="G122" s="97" t="e">
        <f t="shared" ca="1" si="17"/>
        <v>#NAME?</v>
      </c>
      <c r="I122" s="633"/>
      <c r="J122" s="98" t="e">
        <f ca="1">_xll.BDP($E122,J$3)</f>
        <v>#NAME?</v>
      </c>
      <c r="K122" s="99" t="e">
        <f ca="1">_xll.BDP($E122,K$3)</f>
        <v>#NAME?</v>
      </c>
      <c r="L122" s="100" t="str">
        <f ca="1">IF(ISNUMBER(_xll.BDH($E122,"PX_LAST",TEXT($E$2,"YYYYMMDD"),TEXT($E$2,"YYYYMMDD"),"days=a","fill=p")),_xll.BDH($E122,"PX_LAST",TEXT($E$2,"YYYYMMDD"),TEXT($E$2,"YYYYMMDD"),"days=a","fill=p"),"-")</f>
        <v>-</v>
      </c>
      <c r="M122" s="100" t="str">
        <f ca="1">IF(ISNUMBER(_xll.BDH($E122,"PX_LAST",TEXT($E$2-7,"YYYYMMDD"),TEXT($E$2-7,"YYYYMMDD"),"days=a","fill=p")),_xll.BDH($E122,"PX_LAST",TEXT($E$2-7,"YYYYMMDD"),TEXT($E$2-7,"YYYYMMDD"),"days=a","fill=p"),"-")</f>
        <v>-</v>
      </c>
      <c r="N122" s="180" t="str">
        <f t="shared" ca="1" si="38"/>
        <v>-</v>
      </c>
      <c r="O122" s="101" t="e">
        <f ca="1">IF(OR(_xll.BDP($E122,O$3)="#N/A N/A",_xll.BDP($E122,O$3)="#N/A Invalid Security"), "-", _xll.BDP($E122,O$3))</f>
        <v>#NAME?</v>
      </c>
      <c r="P122" s="182" t="str">
        <f ca="1">IF(ISNUMBER(_xll.BDH($F122,"PX_LAST",TEXT($E$2,"YYYYMMDD"),TEXT($E$2,"YYYYMMDD"),"days=a","fill=p")),_xll.BDH($F122,"PX_LAST",TEXT($E$2,"YYYYMMDD"),TEXT($E$2,"YYYYMMDD"),"days=a","fill=p"),"-")</f>
        <v>-</v>
      </c>
      <c r="Q122" s="182" t="str">
        <f ca="1">IF(ISNUMBER(_xll.BDH($F122,"PX_LAST",TEXT($E$2-7,"YYYYMMDD"),TEXT($E$2-7,"YYYYMMDD"),"days=a","fill=p")),_xll.BDH($F122,"PX_LAST",TEXT($E$2-7,"YYYYMMDD"),TEXT($E$2-7,"YYYYMMDD"),"days=a","fill=p"),"-")</f>
        <v>-</v>
      </c>
      <c r="R122" s="102" t="str">
        <f t="shared" ca="1" si="39"/>
        <v>-</v>
      </c>
      <c r="S122" s="103" t="str">
        <f ca="1">IF(ISNUMBER(_xll.BDP($F122,S$3)),_xll.BDP($F122,S$3),"-")</f>
        <v>-</v>
      </c>
      <c r="T122" s="104" t="e">
        <f t="shared" ca="1" si="34"/>
        <v>#NAME?</v>
      </c>
      <c r="U122" s="105" t="e">
        <f ca="1">IF(OR(_xll.BDP($E122,U$3)="#N/A N/A",_xll.BDP($E122,U$3)="#N/A Invalid Security"), "-", _xll.BDP($E122,U$3))</f>
        <v>#NAME?</v>
      </c>
      <c r="V122" s="105" t="e">
        <f ca="1">IF(OR(_xll.BDP($E122,V$2)="#N/A N/A",_xll.BDP($E122,V$2)="#N/A Invalid Security"), "-", _xll.BDP($E122,V$2))</f>
        <v>#NAME?</v>
      </c>
      <c r="W122" s="106" t="e">
        <f ca="1">IF(OR(_xll.BDP($E122,W$3)="#N/A N/A",_xll.BDP($E122,W$3)="#N/A Invalid Security"), "-", _xll.BDP($E122,W$3))</f>
        <v>#NAME?</v>
      </c>
      <c r="X122" s="105" t="e">
        <f ca="1">IF(OR(_xll.BDP($E122,X$3)="#N/A N/A",_xll.BDP($E122,X$3)="#N/A Invalid Security"), " ", _xll.BDP($E122,X$3))</f>
        <v>#NAME?</v>
      </c>
      <c r="Y122" s="105" t="e">
        <f ca="1">IF(OR(_xll.BDP($E122,Y$3)="#N/A N/A",_xll.BDP($E122,Y$3)="#N/A Invalid Security"), " ", _xll.BDP($E122,Y$3))</f>
        <v>#NAME?</v>
      </c>
      <c r="Z122" s="106" t="e">
        <f ca="1">IF(OR(_xll.BDP($E122,Z$3)="#N/A N/A",_xll.BDP($E122,Z$3)="#N/A Invalid Security"), " ", _xll.BDP($E122,Z$3))</f>
        <v>#NAME?</v>
      </c>
      <c r="AA122" s="107"/>
      <c r="AB122" s="93" t="s">
        <v>934</v>
      </c>
      <c r="AC122" s="93" t="s">
        <v>934</v>
      </c>
      <c r="AD122" s="93" t="s">
        <v>934</v>
      </c>
      <c r="AE122" s="93" t="s">
        <v>936</v>
      </c>
      <c r="AF122" s="93" t="s">
        <v>936</v>
      </c>
      <c r="AG122" s="93" t="s">
        <v>936</v>
      </c>
      <c r="AH122" s="95" t="e">
        <f t="shared" ca="1" si="42"/>
        <v>#NAME?</v>
      </c>
      <c r="AI122" s="95" t="e">
        <f t="shared" ca="1" si="42"/>
        <v>#NAME?</v>
      </c>
      <c r="AJ122" s="95" t="e">
        <f t="shared" ca="1" si="42"/>
        <v>#NAME?</v>
      </c>
      <c r="AK122" s="95" t="e">
        <f t="shared" ca="1" si="42"/>
        <v>#NAME?</v>
      </c>
      <c r="AL122" s="95" t="e">
        <f t="shared" ca="1" si="42"/>
        <v>#NAME?</v>
      </c>
      <c r="AM122" s="95" t="e">
        <f t="shared" ca="1" si="42"/>
        <v>#NAME?</v>
      </c>
      <c r="AN122" s="66" t="str">
        <f t="shared" ca="1" si="40"/>
        <v/>
      </c>
      <c r="AO122" s="108" t="e" cm="1">
        <f t="array" aca="1" ref="AO122" ca="1">_xll.BDP($E122,"cur_mkt_cap")</f>
        <v>#NAME?</v>
      </c>
      <c r="AP122" s="108" t="e" cm="1">
        <f t="array" aca="1" ref="AP122" ca="1">_xll.BDP($E122,"crncy")</f>
        <v>#NAME?</v>
      </c>
      <c r="AQ122" s="109" t="e" cm="1">
        <f t="array" aca="1" ref="AQ122" ca="1">_xll.BDP("USD"&amp;AP122&amp;" curncy","px_last")</f>
        <v>#NAME?</v>
      </c>
      <c r="AR122" s="109" t="e">
        <f t="shared" ca="1" si="35"/>
        <v>#NAME?</v>
      </c>
      <c r="AT122" s="66" t="str">
        <f t="shared" ca="1" si="41"/>
        <v/>
      </c>
      <c r="AU122" s="66" t="str">
        <f t="shared" ca="1" si="41"/>
        <v/>
      </c>
      <c r="AV122" s="66" t="str">
        <f t="shared" ca="1" si="41"/>
        <v/>
      </c>
      <c r="AW122" s="73" t="str" cm="1">
        <f t="array" aca="1" ref="AW122" ca="1">IF(ISERROR(DATEVALUE(_xll.BDP($E122,AW$6))),"",DATEVALUE(_xll.BDP($E122,AW$6)))</f>
        <v/>
      </c>
      <c r="AX122" s="73" t="str" cm="1">
        <f t="array" aca="1" ref="AX122" ca="1">IF(ISERROR(DATEVALUE(_xll.BDP($E122,AX$2))),"",DATEVALUE(_xll.BDP($E122,AX$2)))</f>
        <v/>
      </c>
      <c r="AY122" s="73" t="str" cm="1">
        <f t="array" aca="1" ref="AY122" ca="1">IF(ISERROR(DATEVALUE(_xll.BDP($E122,AY$6))),"",DATEVALUE(_xll.BDP($E122,AY$6)))</f>
        <v/>
      </c>
      <c r="AZ122" s="110" t="e" cm="1">
        <f t="array" aca="1" ref="AZ122" ca="1">IF(_xll.BQL($E122, "last(matches(px_last(dates=range(-1w,0d)), dayofweek(px_last(dates=range(-1w,0d)).date)==6))")="#N/A","-",_xll.BQL($E122, "last(matches(px_last(dates=range(-1w,0d)), dayofweek(px_last(dates=range(-1w,0d)).date)==6))"))</f>
        <v>#NAME?</v>
      </c>
      <c r="BA122" s="109" t="e" cm="1">
        <f t="array" aca="1" ref="BA122" ca="1">IF(_xll.BQL(E122,"first(last(matches(px_last(dates=range(-1M,0D)),dayofweek(px_last(dates=range(-1M,0D)).date)==6),2),1)")="#N/A","-",_xll.BQL(E122,"first(last(matches(px_last(dates=range(-1M,0D)),dayofweek(px_last(dates=range(-1M,0D)).date)==6),2),1)"))</f>
        <v>#NAME?</v>
      </c>
      <c r="BB122" s="109" t="str">
        <f t="shared" ca="1" si="36"/>
        <v>-</v>
      </c>
    </row>
    <row r="123" spans="5:54" ht="16.5" customHeight="1" thickBot="1">
      <c r="E123" s="96" t="s">
        <v>1088</v>
      </c>
      <c r="F123" s="66" t="e">
        <f ca="1">_xll.BDP($E123,F$3)&amp;" BEST Curncy"</f>
        <v>#NAME?</v>
      </c>
      <c r="G123" s="97" t="e">
        <f t="shared" ref="G123:G148" ca="1" si="43">AR123</f>
        <v>#NAME?</v>
      </c>
      <c r="I123" s="633"/>
      <c r="J123" s="98" t="e">
        <f ca="1">_xll.BDP($E123,J$3)</f>
        <v>#NAME?</v>
      </c>
      <c r="K123" s="99" t="e">
        <f ca="1">_xll.BDP($E123,K$3)</f>
        <v>#NAME?</v>
      </c>
      <c r="L123" s="100" t="str">
        <f ca="1">IF(ISNUMBER(_xll.BDH($E123,"PX_LAST",TEXT($E$2,"YYYYMMDD"),TEXT($E$2,"YYYYMMDD"),"days=a","fill=p")),_xll.BDH($E123,"PX_LAST",TEXT($E$2,"YYYYMMDD"),TEXT($E$2,"YYYYMMDD"),"days=a","fill=p"),"-")</f>
        <v>-</v>
      </c>
      <c r="M123" s="100" t="str">
        <f ca="1">IF(ISNUMBER(_xll.BDH($E123,"PX_LAST",TEXT($E$2-7,"YYYYMMDD"),TEXT($E$2-7,"YYYYMMDD"),"days=a","fill=p")),_xll.BDH($E123,"PX_LAST",TEXT($E$2-7,"YYYYMMDD"),TEXT($E$2-7,"YYYYMMDD"),"days=a","fill=p"),"-")</f>
        <v>-</v>
      </c>
      <c r="N123" s="180" t="str">
        <f t="shared" ca="1" si="38"/>
        <v>-</v>
      </c>
      <c r="O123" s="101" t="e">
        <f ca="1">IF(OR(_xll.BDP($E123,O$3)="#N/A N/A",_xll.BDP($E123,O$3)="#N/A Invalid Security"), "-", _xll.BDP($E123,O$3))</f>
        <v>#NAME?</v>
      </c>
      <c r="P123" s="182" t="str">
        <f ca="1">IF(ISNUMBER(_xll.BDH($F123,"PX_LAST",TEXT($E$2,"YYYYMMDD"),TEXT($E$2,"YYYYMMDD"),"days=a","fill=p")),_xll.BDH($F123,"PX_LAST",TEXT($E$2,"YYYYMMDD"),TEXT($E$2,"YYYYMMDD"),"days=a","fill=p"),"-")</f>
        <v>-</v>
      </c>
      <c r="Q123" s="182" t="str">
        <f ca="1">IF(ISNUMBER(_xll.BDH($F123,"PX_LAST",TEXT($E$2-7,"YYYYMMDD"),TEXT($E$2-7,"YYYYMMDD"),"days=a","fill=p")),_xll.BDH($F123,"PX_LAST",TEXT($E$2-7,"YYYYMMDD"),TEXT($E$2-7,"YYYYMMDD"),"days=a","fill=p"),"-")</f>
        <v>-</v>
      </c>
      <c r="R123" s="102" t="str">
        <f t="shared" ca="1" si="39"/>
        <v>-</v>
      </c>
      <c r="S123" s="103" t="str">
        <f ca="1">IF(ISNUMBER(_xll.BDP($F123,S$3)),_xll.BDP($F123,S$3),"-")</f>
        <v>-</v>
      </c>
      <c r="T123" s="104" t="e">
        <f t="shared" ca="1" si="34"/>
        <v>#NAME?</v>
      </c>
      <c r="U123" s="105" t="e">
        <f ca="1">IF(OR(_xll.BDP($E123,U$3)="#N/A N/A",_xll.BDP($E123,U$3)="#N/A Invalid Security"), "-", _xll.BDP($E123,U$3))</f>
        <v>#NAME?</v>
      </c>
      <c r="V123" s="105" t="e">
        <f ca="1">IF(OR(_xll.BDP($E123,V$2)="#N/A N/A",_xll.BDP($E123,V$2)="#N/A Invalid Security"), "-", _xll.BDP($E123,V$2))</f>
        <v>#NAME?</v>
      </c>
      <c r="W123" s="106" t="e">
        <f ca="1">IF(OR(_xll.BDP($E123,W$3)="#N/A N/A",_xll.BDP($E123,W$3)="#N/A Invalid Security"), "-", _xll.BDP($E123,W$3))</f>
        <v>#NAME?</v>
      </c>
      <c r="X123" s="105" t="e">
        <f ca="1">IF(OR(_xll.BDP($E123,X$3)="#N/A N/A",_xll.BDP($E123,X$3)="#N/A Invalid Security"), " ", _xll.BDP($E123,X$3))</f>
        <v>#NAME?</v>
      </c>
      <c r="Y123" s="105" t="e">
        <f ca="1">IF(OR(_xll.BDP($E123,Y$3)="#N/A N/A",_xll.BDP($E123,Y$3)="#N/A Invalid Security"), " ", _xll.BDP($E123,Y$3))</f>
        <v>#NAME?</v>
      </c>
      <c r="Z123" s="106" t="e">
        <f ca="1">IF(OR(_xll.BDP($E123,Z$3)="#N/A N/A",_xll.BDP($E123,Z$3)="#N/A Invalid Security"), " ", _xll.BDP($E123,Z$3))</f>
        <v>#NAME?</v>
      </c>
      <c r="AA123" s="107"/>
      <c r="AB123" s="93" t="s">
        <v>997</v>
      </c>
      <c r="AC123" s="93" t="s">
        <v>934</v>
      </c>
      <c r="AD123" s="93" t="s">
        <v>997</v>
      </c>
      <c r="AE123" s="93" t="s">
        <v>940</v>
      </c>
      <c r="AF123" s="93" t="s">
        <v>940</v>
      </c>
      <c r="AG123" s="93" t="s">
        <v>948</v>
      </c>
      <c r="AH123" s="95" t="e">
        <f t="shared" ca="1" si="42"/>
        <v>#NAME?</v>
      </c>
      <c r="AI123" s="95" t="e">
        <f t="shared" ca="1" si="42"/>
        <v>#NAME?</v>
      </c>
      <c r="AJ123" s="95" t="e">
        <f t="shared" ca="1" si="42"/>
        <v>#NAME?</v>
      </c>
      <c r="AK123" s="95" t="e">
        <f t="shared" ca="1" si="42"/>
        <v>#NAME?</v>
      </c>
      <c r="AL123" s="95" t="e">
        <f t="shared" ca="1" si="42"/>
        <v>#NAME?</v>
      </c>
      <c r="AM123" s="95" t="e">
        <f t="shared" ca="1" si="42"/>
        <v>#NAME?</v>
      </c>
      <c r="AN123" s="66" t="str">
        <f t="shared" ca="1" si="40"/>
        <v/>
      </c>
      <c r="AO123" s="108" t="e" cm="1">
        <f t="array" aca="1" ref="AO123" ca="1">_xll.BDP($E123,"cur_mkt_cap")</f>
        <v>#NAME?</v>
      </c>
      <c r="AP123" s="108" t="e" cm="1">
        <f t="array" aca="1" ref="AP123" ca="1">_xll.BDP($E123,"crncy")</f>
        <v>#NAME?</v>
      </c>
      <c r="AQ123" s="109" t="e" cm="1">
        <f t="array" aca="1" ref="AQ123" ca="1">_xll.BDP("USD"&amp;AP123&amp;" curncy","px_last")</f>
        <v>#NAME?</v>
      </c>
      <c r="AR123" s="109" t="e">
        <f t="shared" ca="1" si="35"/>
        <v>#NAME?</v>
      </c>
      <c r="AT123" s="66" t="str">
        <f t="shared" ca="1" si="41"/>
        <v/>
      </c>
      <c r="AU123" s="66" t="str">
        <f t="shared" ca="1" si="41"/>
        <v/>
      </c>
      <c r="AV123" s="66" t="str">
        <f t="shared" ca="1" si="41"/>
        <v/>
      </c>
      <c r="AW123" s="73" t="str" cm="1">
        <f t="array" aca="1" ref="AW123" ca="1">IF(ISERROR(DATEVALUE(_xll.BDP($E123,AW$6))),"",DATEVALUE(_xll.BDP($E123,AW$6)))</f>
        <v/>
      </c>
      <c r="AX123" s="73" t="str" cm="1">
        <f t="array" aca="1" ref="AX123" ca="1">IF(ISERROR(DATEVALUE(_xll.BDP($E123,AX$2))),"",DATEVALUE(_xll.BDP($E123,AX$2)))</f>
        <v/>
      </c>
      <c r="AY123" s="73" t="str" cm="1">
        <f t="array" aca="1" ref="AY123" ca="1">IF(ISERROR(DATEVALUE(_xll.BDP($E123,AY$6))),"",DATEVALUE(_xll.BDP($E123,AY$6)))</f>
        <v/>
      </c>
      <c r="AZ123" s="110" t="e" cm="1">
        <f t="array" aca="1" ref="AZ123" ca="1">IF(_xll.BQL($E123, "last(matches(px_last(dates=range(-1w,0d)), dayofweek(px_last(dates=range(-1w,0d)).date)==6))")="#N/A","-",_xll.BQL($E123, "last(matches(px_last(dates=range(-1w,0d)), dayofweek(px_last(dates=range(-1w,0d)).date)==6))"))</f>
        <v>#NAME?</v>
      </c>
      <c r="BA123" s="109" t="e" cm="1">
        <f t="array" aca="1" ref="BA123" ca="1">IF(_xll.BQL(E123,"first(last(matches(px_last(dates=range(-1M,0D)),dayofweek(px_last(dates=range(-1M,0D)).date)==6),2),1)")="#N/A","-",_xll.BQL(E123,"first(last(matches(px_last(dates=range(-1M,0D)),dayofweek(px_last(dates=range(-1M,0D)).date)==6),2),1)"))</f>
        <v>#NAME?</v>
      </c>
      <c r="BB123" s="109" t="str">
        <f t="shared" ca="1" si="36"/>
        <v>-</v>
      </c>
    </row>
    <row r="124" spans="5:54" ht="16.5" customHeight="1" thickBot="1">
      <c r="E124" s="96" t="s">
        <v>1089</v>
      </c>
      <c r="F124" s="66" t="e">
        <f ca="1">_xll.BDP($E124,F$3)&amp;" BEST Curncy"</f>
        <v>#NAME?</v>
      </c>
      <c r="G124" s="97" t="e">
        <f t="shared" ca="1" si="43"/>
        <v>#NAME?</v>
      </c>
      <c r="I124" s="633"/>
      <c r="J124" s="98" t="e">
        <f ca="1">_xll.BDP($E124,J$3)</f>
        <v>#NAME?</v>
      </c>
      <c r="K124" s="99" t="e">
        <f ca="1">_xll.BDP($E124,K$3)</f>
        <v>#NAME?</v>
      </c>
      <c r="L124" s="100" t="str">
        <f ca="1">IF(ISNUMBER(_xll.BDH($E124,"PX_LAST",TEXT($E$2,"YYYYMMDD"),TEXT($E$2,"YYYYMMDD"),"days=a","fill=p")),_xll.BDH($E124,"PX_LAST",TEXT($E$2,"YYYYMMDD"),TEXT($E$2,"YYYYMMDD"),"days=a","fill=p"),"-")</f>
        <v>-</v>
      </c>
      <c r="M124" s="100" t="str">
        <f ca="1">IF(ISNUMBER(_xll.BDH($E124,"PX_LAST",TEXT($E$2-7,"YYYYMMDD"),TEXT($E$2-7,"YYYYMMDD"),"days=a","fill=p")),_xll.BDH($E124,"PX_LAST",TEXT($E$2-7,"YYYYMMDD"),TEXT($E$2-7,"YYYYMMDD"),"days=a","fill=p"),"-")</f>
        <v>-</v>
      </c>
      <c r="N124" s="180" t="str">
        <f ca="1">IF(ISNUMBER(($L124-$M124)/$M124),($L124-$M124)/$M124,"-")</f>
        <v>-</v>
      </c>
      <c r="O124" s="101" t="e">
        <f ca="1">IF(OR(_xll.BDP($E124,O$3)="#N/A N/A",_xll.BDP($E124,O$3)="#N/A Invalid Security"), "-", _xll.BDP($E124,O$3))</f>
        <v>#NAME?</v>
      </c>
      <c r="P124" s="182" t="str">
        <f ca="1">IF(ISNUMBER(_xll.BDH($F124,"PX_LAST",TEXT($E$2,"YYYYMMDD"),TEXT($E$2,"YYYYMMDD"),"days=a","fill=p")),_xll.BDH($F124,"PX_LAST",TEXT($E$2,"YYYYMMDD"),TEXT($E$2,"YYYYMMDD"),"days=a","fill=p"),"-")</f>
        <v>-</v>
      </c>
      <c r="Q124" s="182" t="str">
        <f ca="1">IF(ISNUMBER(_xll.BDH($F124,"PX_LAST",TEXT($E$2-7,"YYYYMMDD"),TEXT($E$2-7,"YYYYMMDD"),"days=a","fill=p")),_xll.BDH($F124,"PX_LAST",TEXT($E$2-7,"YYYYMMDD"),TEXT($E$2-7,"YYYYMMDD"),"days=a","fill=p"),"-")</f>
        <v>-</v>
      </c>
      <c r="R124" s="102" t="str">
        <f ca="1">IF(ISNUMBER($P124-$Q124),$P124-$Q124,"-")</f>
        <v>-</v>
      </c>
      <c r="S124" s="103" t="str">
        <f ca="1">IF(ISNUMBER(_xll.BDP($F124,S$3)),_xll.BDP($F124,S$3),"-")</f>
        <v>-</v>
      </c>
      <c r="T124" s="104" t="e">
        <f t="shared" ca="1" si="34"/>
        <v>#NAME?</v>
      </c>
      <c r="U124" s="105" t="e">
        <f ca="1">IF(OR(_xll.BDP($E124,U$3)="#N/A N/A",_xll.BDP($E124,U$3)="#N/A Invalid Security"), "-", _xll.BDP($E124,U$3))</f>
        <v>#NAME?</v>
      </c>
      <c r="V124" s="105" t="e">
        <f ca="1">IF(OR(_xll.BDP($E124,V$2)="#N/A N/A",_xll.BDP($E124,V$2)="#N/A Invalid Security"), "-", _xll.BDP($E124,V$2))</f>
        <v>#NAME?</v>
      </c>
      <c r="W124" s="106" t="e">
        <f ca="1">IF(OR(_xll.BDP($E124,W$3)="#N/A N/A",_xll.BDP($E124,W$3)="#N/A Invalid Security"), "-", _xll.BDP($E124,W$3))</f>
        <v>#NAME?</v>
      </c>
      <c r="X124" s="105" t="e">
        <f ca="1">IF(OR(_xll.BDP($E124,X$3)="#N/A N/A",_xll.BDP($E124,X$3)="#N/A Invalid Security"), " ", _xll.BDP($E124,X$3))</f>
        <v>#NAME?</v>
      </c>
      <c r="Y124" s="105" t="e">
        <f ca="1">IF(OR(_xll.BDP($E124,Y$3)="#N/A N/A",_xll.BDP($E124,Y$3)="#N/A Invalid Security"), " ", _xll.BDP($E124,Y$3))</f>
        <v>#NAME?</v>
      </c>
      <c r="Z124" s="106" t="e">
        <f ca="1">IF(OR(_xll.BDP($E124,Z$3)="#N/A N/A",_xll.BDP($E124,Z$3)="#N/A Invalid Security"), " ", _xll.BDP($E124,Z$3))</f>
        <v>#NAME?</v>
      </c>
      <c r="AA124" s="107"/>
      <c r="AB124" s="93" t="s">
        <v>997</v>
      </c>
      <c r="AC124" s="93" t="s">
        <v>934</v>
      </c>
      <c r="AD124" s="93" t="s">
        <v>997</v>
      </c>
      <c r="AE124" s="93" t="s">
        <v>940</v>
      </c>
      <c r="AF124" s="93" t="s">
        <v>940</v>
      </c>
      <c r="AG124" s="93" t="s">
        <v>940</v>
      </c>
      <c r="AH124" s="95" t="e">
        <f t="shared" ca="1" si="42"/>
        <v>#NAME?</v>
      </c>
      <c r="AI124" s="95" t="e">
        <f t="shared" ca="1" si="42"/>
        <v>#NAME?</v>
      </c>
      <c r="AJ124" s="95" t="e">
        <f t="shared" ca="1" si="42"/>
        <v>#NAME?</v>
      </c>
      <c r="AK124" s="95" t="e">
        <f t="shared" ca="1" si="42"/>
        <v>#NAME?</v>
      </c>
      <c r="AL124" s="95" t="e">
        <f t="shared" ca="1" si="42"/>
        <v>#NAME?</v>
      </c>
      <c r="AM124" s="95" t="e">
        <f t="shared" ca="1" si="42"/>
        <v>#NAME?</v>
      </c>
      <c r="AN124" s="66" t="str">
        <f t="shared" ca="1" si="40"/>
        <v/>
      </c>
      <c r="AO124" s="108" t="e" cm="1">
        <f t="array" aca="1" ref="AO124" ca="1">_xll.BDP($E124,"cur_mkt_cap")</f>
        <v>#NAME?</v>
      </c>
      <c r="AP124" s="108" t="e" cm="1">
        <f t="array" aca="1" ref="AP124" ca="1">_xll.BDP($E124,"crncy")</f>
        <v>#NAME?</v>
      </c>
      <c r="AQ124" s="109" t="e" cm="1">
        <f t="array" aca="1" ref="AQ124" ca="1">_xll.BDP("USD"&amp;AP124&amp;" curncy","px_last")</f>
        <v>#NAME?</v>
      </c>
      <c r="AR124" s="109" t="e">
        <f t="shared" ca="1" si="35"/>
        <v>#NAME?</v>
      </c>
      <c r="AT124" s="66" t="str">
        <f t="shared" ca="1" si="41"/>
        <v/>
      </c>
      <c r="AU124" s="66" t="str">
        <f t="shared" ca="1" si="41"/>
        <v/>
      </c>
      <c r="AV124" s="66" t="str">
        <f t="shared" ca="1" si="41"/>
        <v/>
      </c>
      <c r="AW124" s="73" t="str" cm="1">
        <f t="array" aca="1" ref="AW124" ca="1">IF(ISERROR(DATEVALUE(_xll.BDP($E124,AW$6))),"",DATEVALUE(_xll.BDP($E124,AW$6)))</f>
        <v/>
      </c>
      <c r="AX124" s="73" t="str" cm="1">
        <f t="array" aca="1" ref="AX124" ca="1">IF(ISERROR(DATEVALUE(_xll.BDP($E124,AX$2))),"",DATEVALUE(_xll.BDP($E124,AX$2)))</f>
        <v/>
      </c>
      <c r="AY124" s="73" t="str" cm="1">
        <f t="array" aca="1" ref="AY124" ca="1">IF(ISERROR(DATEVALUE(_xll.BDP($E124,AY$6))),"",DATEVALUE(_xll.BDP($E124,AY$6)))</f>
        <v/>
      </c>
      <c r="AZ124" s="110" t="e" cm="1">
        <f t="array" aca="1" ref="AZ124" ca="1">IF(_xll.BQL($E124, "last(matches(px_last(dates=range(-1w,0d)), dayofweek(px_last(dates=range(-1w,0d)).date)==6))")="#N/A","-",_xll.BQL($E124, "last(matches(px_last(dates=range(-1w,0d)), dayofweek(px_last(dates=range(-1w,0d)).date)==6))"))</f>
        <v>#NAME?</v>
      </c>
      <c r="BA124" s="109" t="e" cm="1">
        <f t="array" aca="1" ref="BA124" ca="1">IF(_xll.BQL(E124,"first(last(matches(px_last(dates=range(-1M,0D)),dayofweek(px_last(dates=range(-1M,0D)).date)==6),2),1)")="#N/A","-",_xll.BQL(E124,"first(last(matches(px_last(dates=range(-1M,0D)),dayofweek(px_last(dates=range(-1M,0D)).date)==6),2),1)"))</f>
        <v>#NAME?</v>
      </c>
      <c r="BB124" s="109" t="str">
        <f t="shared" ca="1" si="36"/>
        <v>-</v>
      </c>
    </row>
    <row r="125" spans="5:54" ht="16.5" customHeight="1" thickBot="1">
      <c r="E125" s="96" t="s">
        <v>1090</v>
      </c>
      <c r="F125" s="66" t="e">
        <f ca="1">_xll.BDP($E125,F$3)&amp;" BEST Curncy"</f>
        <v>#NAME?</v>
      </c>
      <c r="G125" s="97" t="e">
        <f t="shared" ca="1" si="43"/>
        <v>#NAME?</v>
      </c>
      <c r="I125" s="633"/>
      <c r="J125" s="98" t="e">
        <f ca="1">_xll.BDP($E125,J$3)</f>
        <v>#NAME?</v>
      </c>
      <c r="K125" s="99" t="e">
        <f ca="1">_xll.BDP($E125,K$3)</f>
        <v>#NAME?</v>
      </c>
      <c r="L125" s="100" t="str">
        <f ca="1">IF(ISNUMBER(_xll.BDH($E125,"PX_LAST",TEXT($E$2,"YYYYMMDD"),TEXT($E$2,"YYYYMMDD"),"days=a","fill=p")),_xll.BDH($E125,"PX_LAST",TEXT($E$2,"YYYYMMDD"),TEXT($E$2,"YYYYMMDD"),"days=a","fill=p"),"-")</f>
        <v>-</v>
      </c>
      <c r="M125" s="100" t="str">
        <f ca="1">IF(ISNUMBER(_xll.BDH($E125,"PX_LAST",TEXT($E$2-7,"YYYYMMDD"),TEXT($E$2-7,"YYYYMMDD"),"days=a","fill=p")),_xll.BDH($E125,"PX_LAST",TEXT($E$2-7,"YYYYMMDD"),TEXT($E$2-7,"YYYYMMDD"),"days=a","fill=p"),"-")</f>
        <v>-</v>
      </c>
      <c r="N125" s="180" t="str">
        <f t="shared" ca="1" si="38"/>
        <v>-</v>
      </c>
      <c r="O125" s="101" t="e">
        <f ca="1">IF(OR(_xll.BDP($E125,O$3)="#N/A N/A",_xll.BDP($E125,O$3)="#N/A Invalid Security"), "-", _xll.BDP($E125,O$3))</f>
        <v>#NAME?</v>
      </c>
      <c r="P125" s="182" t="str">
        <f ca="1">IF(ISNUMBER(_xll.BDH($F125,"PX_LAST",TEXT($E$2,"YYYYMMDD"),TEXT($E$2,"YYYYMMDD"),"days=a","fill=p")),_xll.BDH($F125,"PX_LAST",TEXT($E$2,"YYYYMMDD"),TEXT($E$2,"YYYYMMDD"),"days=a","fill=p"),"-")</f>
        <v>-</v>
      </c>
      <c r="Q125" s="182" t="str">
        <f ca="1">IF(ISNUMBER(_xll.BDH($F125,"PX_LAST",TEXT($E$2-7,"YYYYMMDD"),TEXT($E$2-7,"YYYYMMDD"),"days=a","fill=p")),_xll.BDH($F125,"PX_LAST",TEXT($E$2-7,"YYYYMMDD"),TEXT($E$2-7,"YYYYMMDD"),"days=a","fill=p"),"-")</f>
        <v>-</v>
      </c>
      <c r="R125" s="102" t="str">
        <f t="shared" ca="1" si="39"/>
        <v>-</v>
      </c>
      <c r="S125" s="103" t="str">
        <f ca="1">IF(ISNUMBER(_xll.BDP($F125,S$3)),_xll.BDP($F125,S$3),"-")</f>
        <v>-</v>
      </c>
      <c r="T125" s="104" t="e">
        <f t="shared" ca="1" si="34"/>
        <v>#NAME?</v>
      </c>
      <c r="U125" s="105" t="e">
        <f ca="1">IF(OR(_xll.BDP($E125,U$3)="#N/A N/A",_xll.BDP($E125,U$3)="#N/A Invalid Security"), "-", _xll.BDP($E125,U$3))</f>
        <v>#NAME?</v>
      </c>
      <c r="V125" s="105" t="e">
        <f ca="1">IF(OR(_xll.BDP($E125,V$2)="#N/A N/A",_xll.BDP($E125,V$2)="#N/A Invalid Security"), "-", _xll.BDP($E125,V$2))</f>
        <v>#NAME?</v>
      </c>
      <c r="W125" s="106" t="e">
        <f ca="1">IF(OR(_xll.BDP($E125,W$3)="#N/A N/A",_xll.BDP($E125,W$3)="#N/A Invalid Security"), "-", _xll.BDP($E125,W$3))</f>
        <v>#NAME?</v>
      </c>
      <c r="X125" s="105" t="e">
        <f ca="1">IF(OR(_xll.BDP($E125,X$3)="#N/A N/A",_xll.BDP($E125,X$3)="#N/A Invalid Security"), " ", _xll.BDP($E125,X$3))</f>
        <v>#NAME?</v>
      </c>
      <c r="Y125" s="105" t="e">
        <f ca="1">IF(OR(_xll.BDP($E125,Y$3)="#N/A N/A",_xll.BDP($E125,Y$3)="#N/A Invalid Security"), " ", _xll.BDP($E125,Y$3))</f>
        <v>#NAME?</v>
      </c>
      <c r="Z125" s="106" t="e">
        <f ca="1">IF(OR(_xll.BDP($E125,Z$3)="#N/A N/A",_xll.BDP($E125,Z$3)="#N/A Invalid Security"), " ", _xll.BDP($E125,Z$3))</f>
        <v>#NAME?</v>
      </c>
      <c r="AA125" s="107"/>
      <c r="AB125" s="93" t="s">
        <v>997</v>
      </c>
      <c r="AC125" s="93" t="s">
        <v>1012</v>
      </c>
      <c r="AD125" s="93" t="s">
        <v>997</v>
      </c>
      <c r="AE125" s="93" t="s">
        <v>940</v>
      </c>
      <c r="AF125" s="93" t="s">
        <v>940</v>
      </c>
      <c r="AG125" s="93" t="s">
        <v>940</v>
      </c>
      <c r="AH125" s="95" t="e">
        <f t="shared" ca="1" si="42"/>
        <v>#NAME?</v>
      </c>
      <c r="AI125" s="95" t="e">
        <f t="shared" ca="1" si="42"/>
        <v>#NAME?</v>
      </c>
      <c r="AJ125" s="95" t="e">
        <f t="shared" ca="1" si="42"/>
        <v>#NAME?</v>
      </c>
      <c r="AK125" s="95" t="e">
        <f t="shared" ca="1" si="42"/>
        <v>#NAME?</v>
      </c>
      <c r="AL125" s="95" t="e">
        <f t="shared" ca="1" si="42"/>
        <v>#NAME?</v>
      </c>
      <c r="AM125" s="95" t="e">
        <f t="shared" ca="1" si="42"/>
        <v>#NAME?</v>
      </c>
      <c r="AN125" s="66" t="str">
        <f t="shared" ca="1" si="40"/>
        <v/>
      </c>
      <c r="AO125" s="108" t="e" cm="1">
        <f t="array" aca="1" ref="AO125" ca="1">_xll.BDP($E125,"cur_mkt_cap")</f>
        <v>#NAME?</v>
      </c>
      <c r="AP125" s="108" t="e" cm="1">
        <f t="array" aca="1" ref="AP125" ca="1">_xll.BDP($E125,"crncy")</f>
        <v>#NAME?</v>
      </c>
      <c r="AQ125" s="109" t="e" cm="1">
        <f t="array" aca="1" ref="AQ125" ca="1">_xll.BDP("USD"&amp;AP125&amp;" curncy","px_last")</f>
        <v>#NAME?</v>
      </c>
      <c r="AR125" s="109" t="e">
        <f t="shared" ca="1" si="35"/>
        <v>#NAME?</v>
      </c>
      <c r="AT125" s="66" t="str">
        <f t="shared" ca="1" si="41"/>
        <v/>
      </c>
      <c r="AU125" s="66" t="str">
        <f t="shared" ca="1" si="41"/>
        <v/>
      </c>
      <c r="AV125" s="66" t="str">
        <f t="shared" ca="1" si="41"/>
        <v/>
      </c>
      <c r="AW125" s="73" t="str" cm="1">
        <f t="array" aca="1" ref="AW125" ca="1">IF(ISERROR(DATEVALUE(_xll.BDP($E125,AW$6))),"",DATEVALUE(_xll.BDP($E125,AW$6)))</f>
        <v/>
      </c>
      <c r="AX125" s="73" t="str" cm="1">
        <f t="array" aca="1" ref="AX125" ca="1">IF(ISERROR(DATEVALUE(_xll.BDP($E125,AX$2))),"",DATEVALUE(_xll.BDP($E125,AX$2)))</f>
        <v/>
      </c>
      <c r="AY125" s="73" t="str" cm="1">
        <f t="array" aca="1" ref="AY125" ca="1">IF(ISERROR(DATEVALUE(_xll.BDP($E125,AY$6))),"",DATEVALUE(_xll.BDP($E125,AY$6)))</f>
        <v/>
      </c>
      <c r="AZ125" s="110" t="e" cm="1">
        <f t="array" aca="1" ref="AZ125" ca="1">IF(_xll.BQL($E125, "last(matches(px_last(dates=range(-1w,0d)), dayofweek(px_last(dates=range(-1w,0d)).date)==6))")="#N/A","-",_xll.BQL($E125, "last(matches(px_last(dates=range(-1w,0d)), dayofweek(px_last(dates=range(-1w,0d)).date)==6))"))</f>
        <v>#NAME?</v>
      </c>
      <c r="BA125" s="109" t="e" cm="1">
        <f t="array" aca="1" ref="BA125" ca="1">IF(_xll.BQL(E125,"first(last(matches(px_last(dates=range(-1M,0D)),dayofweek(px_last(dates=range(-1M,0D)).date)==6),2),1)")="#N/A","-",_xll.BQL(E125,"first(last(matches(px_last(dates=range(-1M,0D)),dayofweek(px_last(dates=range(-1M,0D)).date)==6),2),1)"))</f>
        <v>#NAME?</v>
      </c>
      <c r="BB125" s="109" t="str">
        <f t="shared" ca="1" si="36"/>
        <v>-</v>
      </c>
    </row>
    <row r="126" spans="5:54" ht="16.5" customHeight="1" thickBot="1">
      <c r="E126" s="96" t="s">
        <v>1091</v>
      </c>
      <c r="F126" s="66" t="e">
        <f ca="1">_xll.BDP($E126,F$3)&amp;" BEST Curncy"</f>
        <v>#NAME?</v>
      </c>
      <c r="G126" s="97" t="e">
        <f t="shared" ca="1" si="43"/>
        <v>#NAME?</v>
      </c>
      <c r="I126" s="633"/>
      <c r="J126" s="98" t="e">
        <f ca="1">_xll.BDP($E126,J$3)</f>
        <v>#NAME?</v>
      </c>
      <c r="K126" s="99" t="e">
        <f ca="1">_xll.BDP($E126,K$3)</f>
        <v>#NAME?</v>
      </c>
      <c r="L126" s="100" t="str">
        <f ca="1">IF(ISNUMBER(_xll.BDH($E126,"PX_LAST",TEXT($E$2,"YYYYMMDD"),TEXT($E$2,"YYYYMMDD"),"days=a","fill=p")),_xll.BDH($E126,"PX_LAST",TEXT($E$2,"YYYYMMDD"),TEXT($E$2,"YYYYMMDD"),"days=a","fill=p"),"-")</f>
        <v>-</v>
      </c>
      <c r="M126" s="100" t="str">
        <f ca="1">IF(ISNUMBER(_xll.BDH($E126,"PX_LAST",TEXT($E$2-7,"YYYYMMDD"),TEXT($E$2-7,"YYYYMMDD"),"days=a","fill=p")),_xll.BDH($E126,"PX_LAST",TEXT($E$2-7,"YYYYMMDD"),TEXT($E$2-7,"YYYYMMDD"),"days=a","fill=p"),"-")</f>
        <v>-</v>
      </c>
      <c r="N126" s="180" t="str">
        <f t="shared" ca="1" si="38"/>
        <v>-</v>
      </c>
      <c r="O126" s="101" t="e">
        <f ca="1">IF(OR(_xll.BDP($E126,O$3)="#N/A N/A",_xll.BDP($E126,O$3)="#N/A Invalid Security"), "-", _xll.BDP($E126,O$3))</f>
        <v>#NAME?</v>
      </c>
      <c r="P126" s="182" t="str">
        <f ca="1">IF(ISNUMBER(_xll.BDH($F126,"PX_LAST",TEXT($E$2,"YYYYMMDD"),TEXT($E$2,"YYYYMMDD"),"days=a","fill=p")),_xll.BDH($F126,"PX_LAST",TEXT($E$2,"YYYYMMDD"),TEXT($E$2,"YYYYMMDD"),"days=a","fill=p"),"-")</f>
        <v>-</v>
      </c>
      <c r="Q126" s="182" t="str">
        <f ca="1">IF(ISNUMBER(_xll.BDH($F126,"PX_LAST",TEXT($E$2-7,"YYYYMMDD"),TEXT($E$2-7,"YYYYMMDD"),"days=a","fill=p")),_xll.BDH($F126,"PX_LAST",TEXT($E$2-7,"YYYYMMDD"),TEXT($E$2-7,"YYYYMMDD"),"days=a","fill=p"),"-")</f>
        <v>-</v>
      </c>
      <c r="R126" s="102" t="str">
        <f t="shared" ca="1" si="39"/>
        <v>-</v>
      </c>
      <c r="S126" s="103" t="str">
        <f ca="1">IF(ISNUMBER(_xll.BDP($F126,S$3)),_xll.BDP($F126,S$3),"-")</f>
        <v>-</v>
      </c>
      <c r="T126" s="104" t="e">
        <f t="shared" ca="1" si="34"/>
        <v>#NAME?</v>
      </c>
      <c r="U126" s="105" t="e">
        <f ca="1">IF(OR(_xll.BDP($E126,U$3)="#N/A N/A",_xll.BDP($E126,U$3)="#N/A Invalid Security"), "-", _xll.BDP($E126,U$3))</f>
        <v>#NAME?</v>
      </c>
      <c r="V126" s="105" t="e">
        <f ca="1">IF(OR(_xll.BDP($E126,V$2)="#N/A N/A",_xll.BDP($E126,V$2)="#N/A Invalid Security"), "-", _xll.BDP($E126,V$2))</f>
        <v>#NAME?</v>
      </c>
      <c r="W126" s="106" t="e">
        <f ca="1">IF(OR(_xll.BDP($E126,W$3)="#N/A N/A",_xll.BDP($E126,W$3)="#N/A Invalid Security"), "-", _xll.BDP($E126,W$3))</f>
        <v>#NAME?</v>
      </c>
      <c r="X126" s="105" t="e">
        <f ca="1">IF(OR(_xll.BDP($E126,X$3)="#N/A N/A",_xll.BDP($E126,X$3)="#N/A Invalid Security"), " ", _xll.BDP($E126,X$3))</f>
        <v>#NAME?</v>
      </c>
      <c r="Y126" s="105" t="e">
        <f ca="1">IF(OR(_xll.BDP($E126,Y$3)="#N/A N/A",_xll.BDP($E126,Y$3)="#N/A Invalid Security"), " ", _xll.BDP($E126,Y$3))</f>
        <v>#NAME?</v>
      </c>
      <c r="Z126" s="106" t="e">
        <f ca="1">IF(OR(_xll.BDP($E126,Z$3)="#N/A N/A",_xll.BDP($E126,Z$3)="#N/A Invalid Security"), " ", _xll.BDP($E126,Z$3))</f>
        <v>#NAME?</v>
      </c>
      <c r="AA126" s="107"/>
      <c r="AB126" s="93" t="s">
        <v>950</v>
      </c>
      <c r="AC126" s="93" t="s">
        <v>934</v>
      </c>
      <c r="AD126" s="93" t="s">
        <v>876</v>
      </c>
      <c r="AE126" s="93" t="s">
        <v>940</v>
      </c>
      <c r="AF126" s="93" t="s">
        <v>940</v>
      </c>
      <c r="AG126" s="93" t="s">
        <v>940</v>
      </c>
      <c r="AH126" s="95" t="e">
        <f t="shared" ca="1" si="42"/>
        <v>#NAME?</v>
      </c>
      <c r="AI126" s="95" t="e">
        <f t="shared" ca="1" si="42"/>
        <v>#NAME?</v>
      </c>
      <c r="AJ126" s="95" t="e">
        <f t="shared" ca="1" si="42"/>
        <v>#NAME?</v>
      </c>
      <c r="AK126" s="95" t="e">
        <f t="shared" ca="1" si="42"/>
        <v>#NAME?</v>
      </c>
      <c r="AL126" s="95" t="e">
        <f t="shared" ca="1" si="42"/>
        <v>#NAME?</v>
      </c>
      <c r="AM126" s="95" t="e">
        <f t="shared" ca="1" si="42"/>
        <v>#NAME?</v>
      </c>
      <c r="AN126" s="66" t="str">
        <f t="shared" ca="1" si="40"/>
        <v/>
      </c>
      <c r="AO126" s="108" t="e" cm="1">
        <f t="array" aca="1" ref="AO126" ca="1">_xll.BDP($E126,"cur_mkt_cap")</f>
        <v>#NAME?</v>
      </c>
      <c r="AP126" s="108" t="e" cm="1">
        <f t="array" aca="1" ref="AP126" ca="1">_xll.BDP($E126,"crncy")</f>
        <v>#NAME?</v>
      </c>
      <c r="AQ126" s="109" t="e" cm="1">
        <f t="array" aca="1" ref="AQ126" ca="1">_xll.BDP("USD"&amp;AP126&amp;" curncy","px_last")</f>
        <v>#NAME?</v>
      </c>
      <c r="AR126" s="109" t="e">
        <f t="shared" ca="1" si="35"/>
        <v>#NAME?</v>
      </c>
      <c r="AT126" s="66" t="str">
        <f t="shared" ca="1" si="41"/>
        <v/>
      </c>
      <c r="AU126" s="66" t="str">
        <f t="shared" ca="1" si="41"/>
        <v/>
      </c>
      <c r="AV126" s="66" t="str">
        <f t="shared" ca="1" si="41"/>
        <v/>
      </c>
      <c r="AW126" s="73" t="str" cm="1">
        <f t="array" aca="1" ref="AW126" ca="1">IF(ISERROR(DATEVALUE(_xll.BDP($E126,AW$6))),"",DATEVALUE(_xll.BDP($E126,AW$6)))</f>
        <v/>
      </c>
      <c r="AX126" s="73" t="str" cm="1">
        <f t="array" aca="1" ref="AX126" ca="1">IF(ISERROR(DATEVALUE(_xll.BDP($E126,AX$2))),"",DATEVALUE(_xll.BDP($E126,AX$2)))</f>
        <v/>
      </c>
      <c r="AY126" s="73" t="str" cm="1">
        <f t="array" aca="1" ref="AY126" ca="1">IF(ISERROR(DATEVALUE(_xll.BDP($E126,AY$6))),"",DATEVALUE(_xll.BDP($E126,AY$6)))</f>
        <v/>
      </c>
      <c r="AZ126" s="110" t="e" cm="1">
        <f t="array" aca="1" ref="AZ126" ca="1">IF(_xll.BQL($E126, "last(matches(px_last(dates=range(-1w,0d)), dayofweek(px_last(dates=range(-1w,0d)).date)==6))")="#N/A","-",_xll.BQL($E126, "last(matches(px_last(dates=range(-1w,0d)), dayofweek(px_last(dates=range(-1w,0d)).date)==6))"))</f>
        <v>#NAME?</v>
      </c>
      <c r="BA126" s="109" t="e" cm="1">
        <f t="array" aca="1" ref="BA126" ca="1">IF(_xll.BQL(E126,"first(last(matches(px_last(dates=range(-1M,0D)),dayofweek(px_last(dates=range(-1M,0D)).date)==6),2),1)")="#N/A","-",_xll.BQL(E126,"first(last(matches(px_last(dates=range(-1M,0D)),dayofweek(px_last(dates=range(-1M,0D)).date)==6),2),1)"))</f>
        <v>#NAME?</v>
      </c>
      <c r="BB126" s="109" t="str">
        <f t="shared" ca="1" si="36"/>
        <v>-</v>
      </c>
    </row>
    <row r="127" spans="5:54" ht="16.5" customHeight="1" thickBot="1">
      <c r="E127" s="96" t="s">
        <v>1092</v>
      </c>
      <c r="F127" s="66" t="e">
        <f ca="1">_xll.BDP($E127,F$3)&amp;" BEST Curncy"</f>
        <v>#NAME?</v>
      </c>
      <c r="G127" s="97" t="e">
        <f t="shared" ca="1" si="43"/>
        <v>#NAME?</v>
      </c>
      <c r="I127" s="633"/>
      <c r="J127" s="98" t="e">
        <f ca="1">_xll.BDP($E127,J$3)</f>
        <v>#NAME?</v>
      </c>
      <c r="K127" s="99" t="e">
        <f ca="1">_xll.BDP($E127,K$3)</f>
        <v>#NAME?</v>
      </c>
      <c r="L127" s="100" t="str">
        <f ca="1">IF(ISNUMBER(_xll.BDH($E127,"PX_LAST",TEXT($E$2,"YYYYMMDD"),TEXT($E$2,"YYYYMMDD"),"days=a","fill=p")),_xll.BDH($E127,"PX_LAST",TEXT($E$2,"YYYYMMDD"),TEXT($E$2,"YYYYMMDD"),"days=a","fill=p"),"-")</f>
        <v>-</v>
      </c>
      <c r="M127" s="100" t="str">
        <f ca="1">IF(ISNUMBER(_xll.BDH($E127,"PX_LAST",TEXT($E$2-7,"YYYYMMDD"),TEXT($E$2-7,"YYYYMMDD"),"days=a","fill=p")),_xll.BDH($E127,"PX_LAST",TEXT($E$2-7,"YYYYMMDD"),TEXT($E$2-7,"YYYYMMDD"),"days=a","fill=p"),"-")</f>
        <v>-</v>
      </c>
      <c r="N127" s="180" t="str">
        <f t="shared" ca="1" si="38"/>
        <v>-</v>
      </c>
      <c r="O127" s="101" t="e">
        <f ca="1">IF(OR(_xll.BDP($E127,O$3)="#N/A N/A",_xll.BDP($E127,O$3)="#N/A Invalid Security"), "-", _xll.BDP($E127,O$3))</f>
        <v>#NAME?</v>
      </c>
      <c r="P127" s="182" t="str">
        <f ca="1">IF(ISNUMBER(_xll.BDH($F127,"PX_LAST",TEXT($E$2,"YYYYMMDD"),TEXT($E$2,"YYYYMMDD"),"days=a","fill=p")),_xll.BDH($F127,"PX_LAST",TEXT($E$2,"YYYYMMDD"),TEXT($E$2,"YYYYMMDD"),"days=a","fill=p"),"-")</f>
        <v>-</v>
      </c>
      <c r="Q127" s="182" t="str">
        <f ca="1">IF(ISNUMBER(_xll.BDH($F127,"PX_LAST",TEXT($E$2-7,"YYYYMMDD"),TEXT($E$2-7,"YYYYMMDD"),"days=a","fill=p")),_xll.BDH($F127,"PX_LAST",TEXT($E$2-7,"YYYYMMDD"),TEXT($E$2-7,"YYYYMMDD"),"days=a","fill=p"),"-")</f>
        <v>-</v>
      </c>
      <c r="R127" s="102" t="str">
        <f t="shared" ca="1" si="39"/>
        <v>-</v>
      </c>
      <c r="S127" s="103" t="str">
        <f ca="1">IF(ISNUMBER(_xll.BDP($F127,S$3)),_xll.BDP($F127,S$3),"-")</f>
        <v>-</v>
      </c>
      <c r="T127" s="104" t="e">
        <f t="shared" ca="1" si="34"/>
        <v>#NAME?</v>
      </c>
      <c r="U127" s="105" t="e">
        <f ca="1">IF(OR(_xll.BDP($E127,U$3)="#N/A N/A",_xll.BDP($E127,U$3)="#N/A Invalid Security"), "-", _xll.BDP($E127,U$3))</f>
        <v>#NAME?</v>
      </c>
      <c r="V127" s="105" t="e">
        <f ca="1">IF(OR(_xll.BDP($E127,V$2)="#N/A N/A",_xll.BDP($E127,V$2)="#N/A Invalid Security"), "-", _xll.BDP($E127,V$2))</f>
        <v>#NAME?</v>
      </c>
      <c r="W127" s="106" t="e">
        <f ca="1">IF(OR(_xll.BDP($E127,W$3)="#N/A N/A",_xll.BDP($E127,W$3)="#N/A Invalid Security"), "-", _xll.BDP($E127,W$3))</f>
        <v>#NAME?</v>
      </c>
      <c r="X127" s="105" t="e">
        <f ca="1">IF(OR(_xll.BDP($E127,X$3)="#N/A N/A",_xll.BDP($E127,X$3)="#N/A Invalid Security"), " ", _xll.BDP($E127,X$3))</f>
        <v>#NAME?</v>
      </c>
      <c r="Y127" s="105" t="e">
        <f ca="1">IF(OR(_xll.BDP($E127,Y$3)="#N/A N/A",_xll.BDP($E127,Y$3)="#N/A Invalid Security"), " ", _xll.BDP($E127,Y$3))</f>
        <v>#NAME?</v>
      </c>
      <c r="Z127" s="106" t="e">
        <f ca="1">IF(OR(_xll.BDP($E127,Z$3)="#N/A N/A",_xll.BDP($E127,Z$3)="#N/A Invalid Security"), " ", _xll.BDP($E127,Z$3))</f>
        <v>#NAME?</v>
      </c>
      <c r="AA127" s="107"/>
      <c r="AB127" s="93" t="s">
        <v>997</v>
      </c>
      <c r="AC127" s="93" t="s">
        <v>939</v>
      </c>
      <c r="AD127" s="93" t="s">
        <v>997</v>
      </c>
      <c r="AE127" s="93" t="s">
        <v>940</v>
      </c>
      <c r="AF127" s="93" t="s">
        <v>940</v>
      </c>
      <c r="AG127" s="93" t="s">
        <v>940</v>
      </c>
      <c r="AH127" s="95" t="e">
        <f t="shared" ca="1" si="42"/>
        <v>#NAME?</v>
      </c>
      <c r="AI127" s="95" t="e">
        <f t="shared" ca="1" si="42"/>
        <v>#NAME?</v>
      </c>
      <c r="AJ127" s="95" t="e">
        <f t="shared" ca="1" si="42"/>
        <v>#NAME?</v>
      </c>
      <c r="AK127" s="95" t="e">
        <f t="shared" ca="1" si="42"/>
        <v>#NAME?</v>
      </c>
      <c r="AL127" s="95" t="e">
        <f t="shared" ca="1" si="42"/>
        <v>#NAME?</v>
      </c>
      <c r="AM127" s="95" t="e">
        <f t="shared" ca="1" si="42"/>
        <v>#NAME?</v>
      </c>
      <c r="AN127" s="66" t="str">
        <f t="shared" ca="1" si="40"/>
        <v/>
      </c>
      <c r="AO127" s="108" t="e" cm="1">
        <f t="array" aca="1" ref="AO127" ca="1">_xll.BDP($E127,"cur_mkt_cap")</f>
        <v>#NAME?</v>
      </c>
      <c r="AP127" s="108" t="e" cm="1">
        <f t="array" aca="1" ref="AP127" ca="1">_xll.BDP($E127,"crncy")</f>
        <v>#NAME?</v>
      </c>
      <c r="AQ127" s="109" t="e" cm="1">
        <f t="array" aca="1" ref="AQ127" ca="1">_xll.BDP("USD"&amp;AP127&amp;" curncy","px_last")</f>
        <v>#NAME?</v>
      </c>
      <c r="AR127" s="109" t="e">
        <f t="shared" ca="1" si="35"/>
        <v>#NAME?</v>
      </c>
      <c r="AT127" s="66" t="str">
        <f t="shared" ca="1" si="41"/>
        <v/>
      </c>
      <c r="AU127" s="66" t="str">
        <f t="shared" ca="1" si="41"/>
        <v/>
      </c>
      <c r="AV127" s="66" t="str">
        <f t="shared" ca="1" si="41"/>
        <v/>
      </c>
      <c r="AW127" s="73" t="str" cm="1">
        <f t="array" aca="1" ref="AW127" ca="1">IF(ISERROR(DATEVALUE(_xll.BDP($E127,AW$6))),"",DATEVALUE(_xll.BDP($E127,AW$6)))</f>
        <v/>
      </c>
      <c r="AX127" s="73" t="str" cm="1">
        <f t="array" aca="1" ref="AX127" ca="1">IF(ISERROR(DATEVALUE(_xll.BDP($E127,AX$2))),"",DATEVALUE(_xll.BDP($E127,AX$2)))</f>
        <v/>
      </c>
      <c r="AY127" s="73" t="str" cm="1">
        <f t="array" aca="1" ref="AY127" ca="1">IF(ISERROR(DATEVALUE(_xll.BDP($E127,AY$6))),"",DATEVALUE(_xll.BDP($E127,AY$6)))</f>
        <v/>
      </c>
      <c r="AZ127" s="110" t="e" cm="1">
        <f t="array" aca="1" ref="AZ127" ca="1">IF(_xll.BQL($E127, "last(matches(px_last(dates=range(-1w,0d)), dayofweek(px_last(dates=range(-1w,0d)).date)==6))")="#N/A","-",_xll.BQL($E127, "last(matches(px_last(dates=range(-1w,0d)), dayofweek(px_last(dates=range(-1w,0d)).date)==6))"))</f>
        <v>#NAME?</v>
      </c>
      <c r="BA127" s="109" t="e" cm="1">
        <f t="array" aca="1" ref="BA127" ca="1">IF(_xll.BQL(E127,"first(last(matches(px_last(dates=range(-1M,0D)),dayofweek(px_last(dates=range(-1M,0D)).date)==6),2),1)")="#N/A","-",_xll.BQL(E127,"first(last(matches(px_last(dates=range(-1M,0D)),dayofweek(px_last(dates=range(-1M,0D)).date)==6),2),1)"))</f>
        <v>#NAME?</v>
      </c>
      <c r="BB127" s="109" t="str">
        <f t="shared" ca="1" si="36"/>
        <v>-</v>
      </c>
    </row>
    <row r="128" spans="5:54" ht="16.5" customHeight="1" thickBot="1">
      <c r="E128" s="96" t="s">
        <v>1093</v>
      </c>
      <c r="F128" s="66" t="e">
        <f ca="1">_xll.BDP($E128,F$3)&amp;" BEST Curncy"</f>
        <v>#NAME?</v>
      </c>
      <c r="G128" s="97" t="e">
        <f t="shared" ca="1" si="43"/>
        <v>#NAME?</v>
      </c>
      <c r="I128" s="633"/>
      <c r="J128" s="98" t="e">
        <f ca="1">_xll.BDP($E128,J$3)</f>
        <v>#NAME?</v>
      </c>
      <c r="K128" s="99" t="e">
        <f ca="1">_xll.BDP($E128,K$3)</f>
        <v>#NAME?</v>
      </c>
      <c r="L128" s="100" t="str">
        <f ca="1">IF(ISNUMBER(_xll.BDH($E128,"PX_LAST",TEXT($E$2,"YYYYMMDD"),TEXT($E$2,"YYYYMMDD"),"days=a","fill=p")),_xll.BDH($E128,"PX_LAST",TEXT($E$2,"YYYYMMDD"),TEXT($E$2,"YYYYMMDD"),"days=a","fill=p"),"-")</f>
        <v>-</v>
      </c>
      <c r="M128" s="100" t="str">
        <f ca="1">IF(ISNUMBER(_xll.BDH($E128,"PX_LAST",TEXT($E$2-7,"YYYYMMDD"),TEXT($E$2-7,"YYYYMMDD"),"days=a","fill=p")),_xll.BDH($E128,"PX_LAST",TEXT($E$2-7,"YYYYMMDD"),TEXT($E$2-7,"YYYYMMDD"),"days=a","fill=p"),"-")</f>
        <v>-</v>
      </c>
      <c r="N128" s="180" t="str">
        <f t="shared" ca="1" si="38"/>
        <v>-</v>
      </c>
      <c r="O128" s="101" t="e">
        <f ca="1">IF(OR(_xll.BDP($E128,O$3)="#N/A N/A",_xll.BDP($E128,O$3)="#N/A Invalid Security"), "-", _xll.BDP($E128,O$3))</f>
        <v>#NAME?</v>
      </c>
      <c r="P128" s="182" t="str">
        <f ca="1">IF(ISNUMBER(_xll.BDH($F128,"PX_LAST",TEXT($E$2,"YYYYMMDD"),TEXT($E$2,"YYYYMMDD"),"days=a","fill=p")),_xll.BDH($F128,"PX_LAST",TEXT($E$2,"YYYYMMDD"),TEXT($E$2,"YYYYMMDD"),"days=a","fill=p"),"-")</f>
        <v>-</v>
      </c>
      <c r="Q128" s="182" t="str">
        <f ca="1">IF(ISNUMBER(_xll.BDH($F128,"PX_LAST",TEXT($E$2-7,"YYYYMMDD"),TEXT($E$2-7,"YYYYMMDD"),"days=a","fill=p")),_xll.BDH($F128,"PX_LAST",TEXT($E$2-7,"YYYYMMDD"),TEXT($E$2-7,"YYYYMMDD"),"days=a","fill=p"),"-")</f>
        <v>-</v>
      </c>
      <c r="R128" s="102" t="str">
        <f t="shared" ca="1" si="39"/>
        <v>-</v>
      </c>
      <c r="S128" s="103" t="str">
        <f ca="1">IF(ISNUMBER(_xll.BDP($F128,S$3)),_xll.BDP($F128,S$3),"-")</f>
        <v>-</v>
      </c>
      <c r="T128" s="104" t="e">
        <f t="shared" ca="1" si="34"/>
        <v>#NAME?</v>
      </c>
      <c r="U128" s="105" t="e">
        <f ca="1">IF(OR(_xll.BDP($E128,U$3)="#N/A N/A",_xll.BDP($E128,U$3)="#N/A Invalid Security"), "-", _xll.BDP($E128,U$3))</f>
        <v>#NAME?</v>
      </c>
      <c r="V128" s="105" t="e">
        <f ca="1">IF(OR(_xll.BDP($E128,V$2)="#N/A N/A",_xll.BDP($E128,V$2)="#N/A Invalid Security"), "-", _xll.BDP($E128,V$2))</f>
        <v>#NAME?</v>
      </c>
      <c r="W128" s="106" t="e">
        <f ca="1">IF(OR(_xll.BDP($E128,W$3)="#N/A N/A",_xll.BDP($E128,W$3)="#N/A Invalid Security"), "-", _xll.BDP($E128,W$3))</f>
        <v>#NAME?</v>
      </c>
      <c r="X128" s="105" t="e">
        <f ca="1">IF(OR(_xll.BDP($E128,X$3)="#N/A N/A",_xll.BDP($E128,X$3)="#N/A Invalid Security"), " ", _xll.BDP($E128,X$3))</f>
        <v>#NAME?</v>
      </c>
      <c r="Y128" s="105" t="e">
        <f ca="1">IF(OR(_xll.BDP($E128,Y$3)="#N/A N/A",_xll.BDP($E128,Y$3)="#N/A Invalid Security"), " ", _xll.BDP($E128,Y$3))</f>
        <v>#NAME?</v>
      </c>
      <c r="Z128" s="106" t="e">
        <f ca="1">IF(OR(_xll.BDP($E128,Z$3)="#N/A N/A",_xll.BDP($E128,Z$3)="#N/A Invalid Security"), " ", _xll.BDP($E128,Z$3))</f>
        <v>#NAME?</v>
      </c>
      <c r="AA128" s="107"/>
      <c r="AB128" s="93" t="s">
        <v>953</v>
      </c>
      <c r="AC128" s="93" t="s">
        <v>874</v>
      </c>
      <c r="AD128" s="93" t="s">
        <v>997</v>
      </c>
      <c r="AE128" s="93" t="s">
        <v>940</v>
      </c>
      <c r="AF128" s="93" t="s">
        <v>940</v>
      </c>
      <c r="AG128" s="93" t="s">
        <v>935</v>
      </c>
      <c r="AH128" s="95" t="e">
        <f t="shared" ca="1" si="42"/>
        <v>#NAME?</v>
      </c>
      <c r="AI128" s="95" t="e">
        <f t="shared" ca="1" si="42"/>
        <v>#NAME?</v>
      </c>
      <c r="AJ128" s="95" t="e">
        <f t="shared" ca="1" si="42"/>
        <v>#NAME?</v>
      </c>
      <c r="AK128" s="95" t="e">
        <f t="shared" ca="1" si="42"/>
        <v>#NAME?</v>
      </c>
      <c r="AL128" s="95" t="e">
        <f t="shared" ca="1" si="42"/>
        <v>#NAME?</v>
      </c>
      <c r="AM128" s="95" t="e">
        <f t="shared" ca="1" si="42"/>
        <v>#NAME?</v>
      </c>
      <c r="AN128" s="66" t="str">
        <f t="shared" ca="1" si="40"/>
        <v/>
      </c>
      <c r="AO128" s="108" t="e" cm="1">
        <f t="array" aca="1" ref="AO128" ca="1">_xll.BDP($E128,"cur_mkt_cap")</f>
        <v>#NAME?</v>
      </c>
      <c r="AP128" s="108" t="e" cm="1">
        <f t="array" aca="1" ref="AP128" ca="1">_xll.BDP($E128,"crncy")</f>
        <v>#NAME?</v>
      </c>
      <c r="AQ128" s="109" t="e" cm="1">
        <f t="array" aca="1" ref="AQ128" ca="1">_xll.BDP("USD"&amp;AP128&amp;" curncy","px_last")</f>
        <v>#NAME?</v>
      </c>
      <c r="AR128" s="109" t="e">
        <f t="shared" ca="1" si="35"/>
        <v>#NAME?</v>
      </c>
      <c r="AT128" s="66" t="str">
        <f t="shared" ca="1" si="41"/>
        <v/>
      </c>
      <c r="AU128" s="66" t="str">
        <f t="shared" ca="1" si="41"/>
        <v/>
      </c>
      <c r="AV128" s="66" t="str">
        <f t="shared" ca="1" si="41"/>
        <v/>
      </c>
      <c r="AW128" s="73" t="str" cm="1">
        <f t="array" aca="1" ref="AW128" ca="1">IF(ISERROR(DATEVALUE(_xll.BDP($E128,AW$6))),"",DATEVALUE(_xll.BDP($E128,AW$6)))</f>
        <v/>
      </c>
      <c r="AX128" s="73" t="str" cm="1">
        <f t="array" aca="1" ref="AX128" ca="1">IF(ISERROR(DATEVALUE(_xll.BDP($E128,AX$2))),"",DATEVALUE(_xll.BDP($E128,AX$2)))</f>
        <v/>
      </c>
      <c r="AY128" s="73" t="str" cm="1">
        <f t="array" aca="1" ref="AY128" ca="1">IF(ISERROR(DATEVALUE(_xll.BDP($E128,AY$6))),"",DATEVALUE(_xll.BDP($E128,AY$6)))</f>
        <v/>
      </c>
      <c r="AZ128" s="110" t="e" cm="1">
        <f t="array" aca="1" ref="AZ128" ca="1">IF(_xll.BQL($E128, "last(matches(px_last(dates=range(-1w,0d)), dayofweek(px_last(dates=range(-1w,0d)).date)==6))")="#N/A","-",_xll.BQL($E128, "last(matches(px_last(dates=range(-1w,0d)), dayofweek(px_last(dates=range(-1w,0d)).date)==6))"))</f>
        <v>#NAME?</v>
      </c>
      <c r="BA128" s="109" t="e" cm="1">
        <f t="array" aca="1" ref="BA128" ca="1">IF(_xll.BQL(E128,"first(last(matches(px_last(dates=range(-1M,0D)),dayofweek(px_last(dates=range(-1M,0D)).date)==6),2),1)")="#N/A","-",_xll.BQL(E128,"first(last(matches(px_last(dates=range(-1M,0D)),dayofweek(px_last(dates=range(-1M,0D)).date)==6),2),1)"))</f>
        <v>#NAME?</v>
      </c>
      <c r="BB128" s="109" t="str">
        <f t="shared" ca="1" si="36"/>
        <v>-</v>
      </c>
    </row>
    <row r="129" spans="5:54" ht="16.5" customHeight="1" thickBot="1">
      <c r="E129" s="96" t="s">
        <v>1094</v>
      </c>
      <c r="F129" s="66" t="e">
        <f ca="1">_xll.BDP($E129,F$3)&amp;" BEST Curncy"</f>
        <v>#NAME?</v>
      </c>
      <c r="G129" s="97" t="e">
        <f t="shared" ca="1" si="43"/>
        <v>#NAME?</v>
      </c>
      <c r="I129" s="633"/>
      <c r="J129" s="98" t="e">
        <f ca="1">_xll.BDP($E129,J$3)</f>
        <v>#NAME?</v>
      </c>
      <c r="K129" s="99" t="e">
        <f ca="1">_xll.BDP($E129,K$3)</f>
        <v>#NAME?</v>
      </c>
      <c r="L129" s="100" t="str">
        <f ca="1">IF(ISNUMBER(_xll.BDH($E129,"PX_LAST",TEXT($E$2,"YYYYMMDD"),TEXT($E$2,"YYYYMMDD"),"days=a","fill=p")),_xll.BDH($E129,"PX_LAST",TEXT($E$2,"YYYYMMDD"),TEXT($E$2,"YYYYMMDD"),"days=a","fill=p"),"-")</f>
        <v>-</v>
      </c>
      <c r="M129" s="100" t="str">
        <f ca="1">IF(ISNUMBER(_xll.BDH($E129,"PX_LAST",TEXT($E$2-7,"YYYYMMDD"),TEXT($E$2-7,"YYYYMMDD"),"days=a","fill=p")),_xll.BDH($E129,"PX_LAST",TEXT($E$2-7,"YYYYMMDD"),TEXT($E$2-7,"YYYYMMDD"),"days=a","fill=p"),"-")</f>
        <v>-</v>
      </c>
      <c r="N129" s="180" t="str">
        <f t="shared" ca="1" si="38"/>
        <v>-</v>
      </c>
      <c r="O129" s="101" t="e">
        <f ca="1">IF(OR(_xll.BDP($E129,O$3)="#N/A N/A",_xll.BDP($E129,O$3)="#N/A Invalid Security"), "-", _xll.BDP($E129,O$3))</f>
        <v>#NAME?</v>
      </c>
      <c r="P129" s="182" t="str">
        <f ca="1">IF(ISNUMBER(_xll.BDH($F129,"PX_LAST",TEXT($E$2,"YYYYMMDD"),TEXT($E$2,"YYYYMMDD"),"days=a","fill=p")),_xll.BDH($F129,"PX_LAST",TEXT($E$2,"YYYYMMDD"),TEXT($E$2,"YYYYMMDD"),"days=a","fill=p"),"-")</f>
        <v>-</v>
      </c>
      <c r="Q129" s="182" t="str">
        <f ca="1">IF(ISNUMBER(_xll.BDH($F129,"PX_LAST",TEXT($E$2-7,"YYYYMMDD"),TEXT($E$2-7,"YYYYMMDD"),"days=a","fill=p")),_xll.BDH($F129,"PX_LAST",TEXT($E$2-7,"YYYYMMDD"),TEXT($E$2-7,"YYYYMMDD"),"days=a","fill=p"),"-")</f>
        <v>-</v>
      </c>
      <c r="R129" s="102" t="str">
        <f t="shared" ca="1" si="39"/>
        <v>-</v>
      </c>
      <c r="S129" s="103" t="str">
        <f ca="1">IF(ISNUMBER(_xll.BDP($F129,S$3)),_xll.BDP($F129,S$3),"-")</f>
        <v>-</v>
      </c>
      <c r="T129" s="104" t="e">
        <f t="shared" ca="1" si="34"/>
        <v>#NAME?</v>
      </c>
      <c r="U129" s="105" t="e">
        <f ca="1">IF(OR(_xll.BDP($E129,U$3)="#N/A N/A",_xll.BDP($E129,U$3)="#N/A Invalid Security"), "-", _xll.BDP($E129,U$3))</f>
        <v>#NAME?</v>
      </c>
      <c r="V129" s="105" t="e">
        <f ca="1">IF(OR(_xll.BDP($E129,V$2)="#N/A N/A",_xll.BDP($E129,V$2)="#N/A Invalid Security"), "-", _xll.BDP($E129,V$2))</f>
        <v>#NAME?</v>
      </c>
      <c r="W129" s="106" t="e">
        <f ca="1">IF(OR(_xll.BDP($E129,W$3)="#N/A N/A",_xll.BDP($E129,W$3)="#N/A Invalid Security"), "-", _xll.BDP($E129,W$3))</f>
        <v>#NAME?</v>
      </c>
      <c r="X129" s="105" t="e">
        <f ca="1">IF(OR(_xll.BDP($E129,X$3)="#N/A N/A",_xll.BDP($E129,X$3)="#N/A Invalid Security"), " ", _xll.BDP($E129,X$3))</f>
        <v>#NAME?</v>
      </c>
      <c r="Y129" s="105" t="e">
        <f ca="1">IF(OR(_xll.BDP($E129,Y$3)="#N/A N/A",_xll.BDP($E129,Y$3)="#N/A Invalid Security"), " ", _xll.BDP($E129,Y$3))</f>
        <v>#NAME?</v>
      </c>
      <c r="Z129" s="106" t="e">
        <f ca="1">IF(OR(_xll.BDP($E129,Z$3)="#N/A N/A",_xll.BDP($E129,Z$3)="#N/A Invalid Security"), " ", _xll.BDP($E129,Z$3))</f>
        <v>#NAME?</v>
      </c>
      <c r="AA129" s="107"/>
      <c r="AB129" s="93" t="s">
        <v>938</v>
      </c>
      <c r="AC129" s="93" t="s">
        <v>934</v>
      </c>
      <c r="AD129" s="93" t="s">
        <v>938</v>
      </c>
      <c r="AE129" s="93" t="s">
        <v>940</v>
      </c>
      <c r="AF129" s="93" t="s">
        <v>940</v>
      </c>
      <c r="AG129" s="93" t="s">
        <v>940</v>
      </c>
      <c r="AH129" s="95" t="e">
        <f t="shared" ca="1" si="42"/>
        <v>#NAME?</v>
      </c>
      <c r="AI129" s="95" t="e">
        <f t="shared" ca="1" si="42"/>
        <v>#NAME?</v>
      </c>
      <c r="AJ129" s="95" t="e">
        <f t="shared" ca="1" si="42"/>
        <v>#NAME?</v>
      </c>
      <c r="AK129" s="95" t="e">
        <f t="shared" ca="1" si="42"/>
        <v>#NAME?</v>
      </c>
      <c r="AL129" s="95" t="e">
        <f t="shared" ca="1" si="42"/>
        <v>#NAME?</v>
      </c>
      <c r="AM129" s="95" t="e">
        <f t="shared" ca="1" si="42"/>
        <v>#NAME?</v>
      </c>
      <c r="AN129" s="66" t="str">
        <f t="shared" ca="1" si="40"/>
        <v/>
      </c>
      <c r="AO129" s="108" t="e" cm="1">
        <f t="array" aca="1" ref="AO129" ca="1">_xll.BDP($E129,"cur_mkt_cap")</f>
        <v>#NAME?</v>
      </c>
      <c r="AP129" s="108" t="e" cm="1">
        <f t="array" aca="1" ref="AP129" ca="1">_xll.BDP($E129,"crncy")</f>
        <v>#NAME?</v>
      </c>
      <c r="AQ129" s="109" t="e" cm="1">
        <f t="array" aca="1" ref="AQ129" ca="1">_xll.BDP("USD"&amp;AP129&amp;" curncy","px_last")</f>
        <v>#NAME?</v>
      </c>
      <c r="AR129" s="109" t="e">
        <f t="shared" ca="1" si="35"/>
        <v>#NAME?</v>
      </c>
      <c r="AT129" s="66" t="str">
        <f t="shared" ca="1" si="41"/>
        <v/>
      </c>
      <c r="AU129" s="66" t="str">
        <f t="shared" ca="1" si="41"/>
        <v/>
      </c>
      <c r="AV129" s="66" t="str">
        <f t="shared" ca="1" si="41"/>
        <v/>
      </c>
      <c r="AW129" s="73" t="str" cm="1">
        <f t="array" aca="1" ref="AW129" ca="1">IF(ISERROR(DATEVALUE(_xll.BDP($E129,AW$6))),"",DATEVALUE(_xll.BDP($E129,AW$6)))</f>
        <v/>
      </c>
      <c r="AX129" s="73" t="str" cm="1">
        <f t="array" aca="1" ref="AX129" ca="1">IF(ISERROR(DATEVALUE(_xll.BDP($E129,AX$2))),"",DATEVALUE(_xll.BDP($E129,AX$2)))</f>
        <v/>
      </c>
      <c r="AY129" s="73" t="str" cm="1">
        <f t="array" aca="1" ref="AY129" ca="1">IF(ISERROR(DATEVALUE(_xll.BDP($E129,AY$6))),"",DATEVALUE(_xll.BDP($E129,AY$6)))</f>
        <v/>
      </c>
      <c r="AZ129" s="110" t="e" cm="1">
        <f t="array" aca="1" ref="AZ129" ca="1">IF(_xll.BQL($E129, "last(matches(px_last(dates=range(-1w,0d)), dayofweek(px_last(dates=range(-1w,0d)).date)==6))")="#N/A","-",_xll.BQL($E129, "last(matches(px_last(dates=range(-1w,0d)), dayofweek(px_last(dates=range(-1w,0d)).date)==6))"))</f>
        <v>#NAME?</v>
      </c>
      <c r="BA129" s="109" t="e" cm="1">
        <f t="array" aca="1" ref="BA129" ca="1">IF(_xll.BQL(E129,"first(last(matches(px_last(dates=range(-1M,0D)),dayofweek(px_last(dates=range(-1M,0D)).date)==6),2),1)")="#N/A","-",_xll.BQL(E129,"first(last(matches(px_last(dates=range(-1M,0D)),dayofweek(px_last(dates=range(-1M,0D)).date)==6),2),1)"))</f>
        <v>#NAME?</v>
      </c>
      <c r="BB129" s="109" t="str">
        <f t="shared" ca="1" si="36"/>
        <v>-</v>
      </c>
    </row>
    <row r="130" spans="5:54" ht="16.5" customHeight="1" thickBot="1">
      <c r="E130" s="96" t="s">
        <v>1095</v>
      </c>
      <c r="F130" s="66" t="e">
        <f ca="1">_xll.BDP($E130,F$3)&amp;" BEST Curncy"</f>
        <v>#NAME?</v>
      </c>
      <c r="G130" s="97" t="e">
        <f t="shared" ca="1" si="43"/>
        <v>#NAME?</v>
      </c>
      <c r="I130" s="633"/>
      <c r="J130" s="98" t="e">
        <f ca="1">_xll.BDP($E130,J$3)</f>
        <v>#NAME?</v>
      </c>
      <c r="K130" s="99" t="e">
        <f ca="1">_xll.BDP($E130,K$3)</f>
        <v>#NAME?</v>
      </c>
      <c r="L130" s="100" t="str">
        <f ca="1">IF(ISNUMBER(_xll.BDH($E130,"PX_LAST",TEXT($E$2,"YYYYMMDD"),TEXT($E$2,"YYYYMMDD"),"days=a","fill=p")),_xll.BDH($E130,"PX_LAST",TEXT($E$2,"YYYYMMDD"),TEXT($E$2,"YYYYMMDD"),"days=a","fill=p"),"-")</f>
        <v>-</v>
      </c>
      <c r="M130" s="100" t="str">
        <f ca="1">IF(ISNUMBER(_xll.BDH($E130,"PX_LAST",TEXT($E$2-7,"YYYYMMDD"),TEXT($E$2-7,"YYYYMMDD"),"days=a","fill=p")),_xll.BDH($E130,"PX_LAST",TEXT($E$2-7,"YYYYMMDD"),TEXT($E$2-7,"YYYYMMDD"),"days=a","fill=p"),"-")</f>
        <v>-</v>
      </c>
      <c r="N130" s="180" t="str">
        <f ca="1">IF(ISNUMBER(($L130-$M130)/$M130),($L130-$M130)/$M130,"-")</f>
        <v>-</v>
      </c>
      <c r="O130" s="101" t="e">
        <f ca="1">IF(OR(_xll.BDP($E130,O$3)="#N/A N/A",_xll.BDP($E130,O$3)="#N/A Invalid Security"), "-", _xll.BDP($E130,O$3))</f>
        <v>#NAME?</v>
      </c>
      <c r="P130" s="182" t="str">
        <f ca="1">IF(ISNUMBER(_xll.BDH($F130,"PX_LAST",TEXT($E$2,"YYYYMMDD"),TEXT($E$2,"YYYYMMDD"),"days=a","fill=p")),_xll.BDH($F130,"PX_LAST",TEXT($E$2,"YYYYMMDD"),TEXT($E$2,"YYYYMMDD"),"days=a","fill=p"),"-")</f>
        <v>-</v>
      </c>
      <c r="Q130" s="182" t="str">
        <f ca="1">IF(ISNUMBER(_xll.BDH($F130,"PX_LAST",TEXT($E$2-7,"YYYYMMDD"),TEXT($E$2-7,"YYYYMMDD"),"days=a","fill=p")),_xll.BDH($F130,"PX_LAST",TEXT($E$2-7,"YYYYMMDD"),TEXT($E$2-7,"YYYYMMDD"),"days=a","fill=p"),"-")</f>
        <v>-</v>
      </c>
      <c r="R130" s="102" t="str">
        <f ca="1">IF(ISNUMBER($P130-$Q130),$P130-$Q130,"-")</f>
        <v>-</v>
      </c>
      <c r="S130" s="103" t="str">
        <f ca="1">IF(ISNUMBER(_xll.BDP($F130,S$3)),_xll.BDP($F130,S$3),"-")</f>
        <v>-</v>
      </c>
      <c r="T130" s="104" t="e">
        <f t="shared" ca="1" si="34"/>
        <v>#NAME?</v>
      </c>
      <c r="U130" s="105" t="e">
        <f ca="1">IF(OR(_xll.BDP($E130,U$3)="#N/A N/A",_xll.BDP($E130,U$3)="#N/A Invalid Security"), "-", _xll.BDP($E130,U$3))</f>
        <v>#NAME?</v>
      </c>
      <c r="V130" s="105" t="e">
        <f ca="1">IF(OR(_xll.BDP($E130,V$2)="#N/A N/A",_xll.BDP($E130,V$2)="#N/A Invalid Security"), "-", _xll.BDP($E130,V$2))</f>
        <v>#NAME?</v>
      </c>
      <c r="W130" s="106" t="e">
        <f ca="1">IF(OR(_xll.BDP($E130,W$3)="#N/A N/A",_xll.BDP($E130,W$3)="#N/A Invalid Security"), "-", _xll.BDP($E130,W$3))</f>
        <v>#NAME?</v>
      </c>
      <c r="X130" s="105" t="e">
        <f ca="1">IF(OR(_xll.BDP($E130,X$3)="#N/A N/A",_xll.BDP($E130,X$3)="#N/A Invalid Security"), " ", _xll.BDP($E130,X$3))</f>
        <v>#NAME?</v>
      </c>
      <c r="Y130" s="105" t="e">
        <f ca="1">IF(OR(_xll.BDP($E130,Y$3)="#N/A N/A",_xll.BDP($E130,Y$3)="#N/A Invalid Security"), " ", _xll.BDP($E130,Y$3))</f>
        <v>#NAME?</v>
      </c>
      <c r="Z130" s="106" t="e">
        <f ca="1">IF(OR(_xll.BDP($E130,Z$3)="#N/A N/A",_xll.BDP($E130,Z$3)="#N/A Invalid Security"), " ", _xll.BDP($E130,Z$3))</f>
        <v>#NAME?</v>
      </c>
      <c r="AA130" s="107"/>
      <c r="AB130" s="93" t="s">
        <v>938</v>
      </c>
      <c r="AC130" s="93" t="s">
        <v>934</v>
      </c>
      <c r="AD130" s="93" t="s">
        <v>938</v>
      </c>
      <c r="AE130" s="93" t="s">
        <v>940</v>
      </c>
      <c r="AF130" s="93" t="s">
        <v>940</v>
      </c>
      <c r="AG130" s="93" t="s">
        <v>940</v>
      </c>
      <c r="AH130" s="95" t="e">
        <f t="shared" ca="1" si="42"/>
        <v>#NAME?</v>
      </c>
      <c r="AI130" s="95" t="e">
        <f t="shared" ca="1" si="42"/>
        <v>#NAME?</v>
      </c>
      <c r="AJ130" s="95" t="e">
        <f t="shared" ca="1" si="42"/>
        <v>#NAME?</v>
      </c>
      <c r="AK130" s="95" t="e">
        <f t="shared" ca="1" si="42"/>
        <v>#NAME?</v>
      </c>
      <c r="AL130" s="95" t="e">
        <f t="shared" ca="1" si="42"/>
        <v>#NAME?</v>
      </c>
      <c r="AM130" s="95" t="e">
        <f t="shared" ca="1" si="42"/>
        <v>#NAME?</v>
      </c>
      <c r="AN130" s="66" t="str">
        <f t="shared" ca="1" si="40"/>
        <v/>
      </c>
      <c r="AO130" s="108" t="e" cm="1">
        <f t="array" aca="1" ref="AO130" ca="1">_xll.BDP($E130,"cur_mkt_cap")</f>
        <v>#NAME?</v>
      </c>
      <c r="AP130" s="108" t="e" cm="1">
        <f t="array" aca="1" ref="AP130" ca="1">_xll.BDP($E130,"crncy")</f>
        <v>#NAME?</v>
      </c>
      <c r="AQ130" s="109" t="e" cm="1">
        <f t="array" aca="1" ref="AQ130" ca="1">_xll.BDP("USD"&amp;AP130&amp;" curncy","px_last")</f>
        <v>#NAME?</v>
      </c>
      <c r="AR130" s="109" t="e">
        <f t="shared" ca="1" si="35"/>
        <v>#NAME?</v>
      </c>
      <c r="AT130" s="66" t="str">
        <f t="shared" ca="1" si="41"/>
        <v/>
      </c>
      <c r="AU130" s="66" t="str">
        <f t="shared" ca="1" si="41"/>
        <v/>
      </c>
      <c r="AV130" s="66" t="str">
        <f t="shared" ca="1" si="41"/>
        <v/>
      </c>
      <c r="AW130" s="73" t="str" cm="1">
        <f t="array" aca="1" ref="AW130" ca="1">IF(ISERROR(DATEVALUE(_xll.BDP($E130,AW$6))),"",DATEVALUE(_xll.BDP($E130,AW$6)))</f>
        <v/>
      </c>
      <c r="AX130" s="73" t="str" cm="1">
        <f t="array" aca="1" ref="AX130" ca="1">IF(ISERROR(DATEVALUE(_xll.BDP($E130,AX$2))),"",DATEVALUE(_xll.BDP($E130,AX$2)))</f>
        <v/>
      </c>
      <c r="AY130" s="73" t="str" cm="1">
        <f t="array" aca="1" ref="AY130" ca="1">IF(ISERROR(DATEVALUE(_xll.BDP($E130,AY$6))),"",DATEVALUE(_xll.BDP($E130,AY$6)))</f>
        <v/>
      </c>
      <c r="AZ130" s="110" t="e" cm="1">
        <f t="array" aca="1" ref="AZ130" ca="1">IF(_xll.BQL($E130, "last(matches(px_last(dates=range(-1w,0d)), dayofweek(px_last(dates=range(-1w,0d)).date)==6))")="#N/A","-",_xll.BQL($E130, "last(matches(px_last(dates=range(-1w,0d)), dayofweek(px_last(dates=range(-1w,0d)).date)==6))"))</f>
        <v>#NAME?</v>
      </c>
      <c r="BA130" s="109" t="e" cm="1">
        <f t="array" aca="1" ref="BA130" ca="1">IF(_xll.BQL(E130,"first(last(matches(px_last(dates=range(-1M,0D)),dayofweek(px_last(dates=range(-1M,0D)).date)==6),2),1)")="#N/A","-",_xll.BQL(E130,"first(last(matches(px_last(dates=range(-1M,0D)),dayofweek(px_last(dates=range(-1M,0D)).date)==6),2),1)"))</f>
        <v>#NAME?</v>
      </c>
      <c r="BB130" s="109" t="str">
        <f t="shared" ca="1" si="36"/>
        <v>-</v>
      </c>
    </row>
    <row r="131" spans="5:54" ht="16.5" customHeight="1" thickBot="1">
      <c r="E131" s="96" t="s">
        <v>1096</v>
      </c>
      <c r="F131" s="66" t="e">
        <f ca="1">_xll.BDP($E131,F$3)&amp;" BEST Curncy"</f>
        <v>#NAME?</v>
      </c>
      <c r="G131" s="97" t="e">
        <f t="shared" ca="1" si="43"/>
        <v>#NAME?</v>
      </c>
      <c r="I131" s="633"/>
      <c r="J131" s="98" t="e">
        <f ca="1">_xll.BDP($E131,J$3)</f>
        <v>#NAME?</v>
      </c>
      <c r="K131" s="99" t="e">
        <f ca="1">_xll.BDP($E131,K$3)</f>
        <v>#NAME?</v>
      </c>
      <c r="L131" s="100" t="str">
        <f ca="1">IF(ISNUMBER(_xll.BDH($E131,"PX_LAST",TEXT($E$2,"YYYYMMDD"),TEXT($E$2,"YYYYMMDD"),"days=a","fill=p")),_xll.BDH($E131,"PX_LAST",TEXT($E$2,"YYYYMMDD"),TEXT($E$2,"YYYYMMDD"),"days=a","fill=p"),"-")</f>
        <v>-</v>
      </c>
      <c r="M131" s="100" t="str">
        <f ca="1">IF(ISNUMBER(_xll.BDH($E131,"PX_LAST",TEXT($E$2-7,"YYYYMMDD"),TEXT($E$2-7,"YYYYMMDD"),"days=a","fill=p")),_xll.BDH($E131,"PX_LAST",TEXT($E$2-7,"YYYYMMDD"),TEXT($E$2-7,"YYYYMMDD"),"days=a","fill=p"),"-")</f>
        <v>-</v>
      </c>
      <c r="N131" s="180" t="str">
        <f t="shared" ref="N131:N151" ca="1" si="44">IF(ISNUMBER(($L131-$M131)/$M131),($L131-$M131)/$M131,"-")</f>
        <v>-</v>
      </c>
      <c r="O131" s="101" t="e">
        <f ca="1">IF(OR(_xll.BDP($E131,O$3)="#N/A N/A",_xll.BDP($E131,O$3)="#N/A Invalid Security"), "-", _xll.BDP($E131,O$3))</f>
        <v>#NAME?</v>
      </c>
      <c r="P131" s="182" t="str">
        <f ca="1">IF(ISNUMBER(_xll.BDH($F131,"PX_LAST",TEXT($E$2,"YYYYMMDD"),TEXT($E$2,"YYYYMMDD"),"days=a","fill=p")),_xll.BDH($F131,"PX_LAST",TEXT($E$2,"YYYYMMDD"),TEXT($E$2,"YYYYMMDD"),"days=a","fill=p"),"-")</f>
        <v>-</v>
      </c>
      <c r="Q131" s="182" t="str">
        <f ca="1">IF(ISNUMBER(_xll.BDH($F131,"PX_LAST",TEXT($E$2-7,"YYYYMMDD"),TEXT($E$2-7,"YYYYMMDD"),"days=a","fill=p")),_xll.BDH($F131,"PX_LAST",TEXT($E$2-7,"YYYYMMDD"),TEXT($E$2-7,"YYYYMMDD"),"days=a","fill=p"),"-")</f>
        <v>-</v>
      </c>
      <c r="R131" s="102" t="str">
        <f t="shared" ref="R131:R151" ca="1" si="45">IF(ISNUMBER($P131-$Q131),$P131-$Q131,"-")</f>
        <v>-</v>
      </c>
      <c r="S131" s="103" t="str">
        <f ca="1">IF(ISNUMBER(_xll.BDP($F131,S$3)),_xll.BDP($F131,S$3),"-")</f>
        <v>-</v>
      </c>
      <c r="T131" s="104" t="e">
        <f t="shared" ca="1" si="34"/>
        <v>#NAME?</v>
      </c>
      <c r="U131" s="105" t="e">
        <f ca="1">IF(OR(_xll.BDP($E131,U$3)="#N/A N/A",_xll.BDP($E131,U$3)="#N/A Invalid Security"), "-", _xll.BDP($E131,U$3))</f>
        <v>#NAME?</v>
      </c>
      <c r="V131" s="105" t="e">
        <f ca="1">IF(OR(_xll.BDP($E131,V$2)="#N/A N/A",_xll.BDP($E131,V$2)="#N/A Invalid Security"), "-", _xll.BDP($E131,V$2))</f>
        <v>#NAME?</v>
      </c>
      <c r="W131" s="106" t="e">
        <f ca="1">IF(OR(_xll.BDP($E131,W$3)="#N/A N/A",_xll.BDP($E131,W$3)="#N/A Invalid Security"), "-", _xll.BDP($E131,W$3))</f>
        <v>#NAME?</v>
      </c>
      <c r="X131" s="105" t="e">
        <f ca="1">IF(OR(_xll.BDP($E131,X$3)="#N/A N/A",_xll.BDP($E131,X$3)="#N/A Invalid Security"), " ", _xll.BDP($E131,X$3))</f>
        <v>#NAME?</v>
      </c>
      <c r="Y131" s="105" t="e">
        <f ca="1">IF(OR(_xll.BDP($E131,Y$3)="#N/A N/A",_xll.BDP($E131,Y$3)="#N/A Invalid Security"), " ", _xll.BDP($E131,Y$3))</f>
        <v>#NAME?</v>
      </c>
      <c r="Z131" s="106" t="e">
        <f ca="1">IF(OR(_xll.BDP($E131,Z$3)="#N/A N/A",_xll.BDP($E131,Z$3)="#N/A Invalid Security"), " ", _xll.BDP($E131,Z$3))</f>
        <v>#NAME?</v>
      </c>
      <c r="AA131" s="107"/>
      <c r="AB131" s="93" t="s">
        <v>938</v>
      </c>
      <c r="AC131" s="93" t="s">
        <v>934</v>
      </c>
      <c r="AD131" s="93" t="s">
        <v>938</v>
      </c>
      <c r="AE131" s="93" t="s">
        <v>940</v>
      </c>
      <c r="AF131" s="93" t="s">
        <v>940</v>
      </c>
      <c r="AG131" s="93" t="s">
        <v>940</v>
      </c>
      <c r="AH131" s="95" t="e">
        <f t="shared" ca="1" si="42"/>
        <v>#NAME?</v>
      </c>
      <c r="AI131" s="95" t="e">
        <f t="shared" ca="1" si="42"/>
        <v>#NAME?</v>
      </c>
      <c r="AJ131" s="95" t="e">
        <f t="shared" ca="1" si="42"/>
        <v>#NAME?</v>
      </c>
      <c r="AK131" s="95" t="e">
        <f t="shared" ca="1" si="42"/>
        <v>#NAME?</v>
      </c>
      <c r="AL131" s="95" t="e">
        <f t="shared" ca="1" si="42"/>
        <v>#NAME?</v>
      </c>
      <c r="AM131" s="95" t="e">
        <f t="shared" ca="1" si="42"/>
        <v>#NAME?</v>
      </c>
      <c r="AN131" s="66" t="str">
        <f t="shared" ca="1" si="40"/>
        <v/>
      </c>
      <c r="AO131" s="108" t="e" cm="1">
        <f t="array" aca="1" ref="AO131" ca="1">_xll.BDP($E131,"cur_mkt_cap")</f>
        <v>#NAME?</v>
      </c>
      <c r="AP131" s="108" t="e" cm="1">
        <f t="array" aca="1" ref="AP131" ca="1">_xll.BDP($E131,"crncy")</f>
        <v>#NAME?</v>
      </c>
      <c r="AQ131" s="109" t="e" cm="1">
        <f t="array" aca="1" ref="AQ131" ca="1">_xll.BDP("USD"&amp;AP131&amp;" curncy","px_last")</f>
        <v>#NAME?</v>
      </c>
      <c r="AR131" s="109" t="e">
        <f t="shared" ca="1" si="35"/>
        <v>#NAME?</v>
      </c>
      <c r="AT131" s="66" t="str">
        <f t="shared" ca="1" si="41"/>
        <v/>
      </c>
      <c r="AU131" s="66" t="str">
        <f t="shared" ca="1" si="41"/>
        <v/>
      </c>
      <c r="AV131" s="66" t="str">
        <f t="shared" ca="1" si="41"/>
        <v/>
      </c>
      <c r="AW131" s="73" t="str" cm="1">
        <f t="array" aca="1" ref="AW131" ca="1">IF(ISERROR(DATEVALUE(_xll.BDP($E131,AW$6))),"",DATEVALUE(_xll.BDP($E131,AW$6)))</f>
        <v/>
      </c>
      <c r="AX131" s="73" t="str" cm="1">
        <f t="array" aca="1" ref="AX131" ca="1">IF(ISERROR(DATEVALUE(_xll.BDP($E131,AX$2))),"",DATEVALUE(_xll.BDP($E131,AX$2)))</f>
        <v/>
      </c>
      <c r="AY131" s="73" t="str" cm="1">
        <f t="array" aca="1" ref="AY131" ca="1">IF(ISERROR(DATEVALUE(_xll.BDP($E131,AY$6))),"",DATEVALUE(_xll.BDP($E131,AY$6)))</f>
        <v/>
      </c>
      <c r="AZ131" s="110" t="e" cm="1">
        <f t="array" aca="1" ref="AZ131" ca="1">IF(_xll.BQL($E131, "last(matches(px_last(dates=range(-1w,0d)), dayofweek(px_last(dates=range(-1w,0d)).date)==6))")="#N/A","-",_xll.BQL($E131, "last(matches(px_last(dates=range(-1w,0d)), dayofweek(px_last(dates=range(-1w,0d)).date)==6))"))</f>
        <v>#NAME?</v>
      </c>
      <c r="BA131" s="109" t="e" cm="1">
        <f t="array" aca="1" ref="BA131" ca="1">IF(_xll.BQL(E131,"first(last(matches(px_last(dates=range(-1M,0D)),dayofweek(px_last(dates=range(-1M,0D)).date)==6),2),1)")="#N/A","-",_xll.BQL(E131,"first(last(matches(px_last(dates=range(-1M,0D)),dayofweek(px_last(dates=range(-1M,0D)).date)==6),2),1)"))</f>
        <v>#NAME?</v>
      </c>
      <c r="BB131" s="109" t="str">
        <f t="shared" ca="1" si="36"/>
        <v>-</v>
      </c>
    </row>
    <row r="132" spans="5:54" ht="16.5" customHeight="1" thickBot="1">
      <c r="E132" s="96" t="s">
        <v>1097</v>
      </c>
      <c r="F132" s="66" t="e">
        <f ca="1">_xll.BDP($E132,F$3)&amp;" BEST Curncy"</f>
        <v>#NAME?</v>
      </c>
      <c r="G132" s="97" t="e">
        <f t="shared" ca="1" si="43"/>
        <v>#NAME?</v>
      </c>
      <c r="I132" s="633"/>
      <c r="J132" s="98" t="e">
        <f ca="1">_xll.BDP($E132,J$3)</f>
        <v>#NAME?</v>
      </c>
      <c r="K132" s="99" t="e">
        <f ca="1">_xll.BDP($E132,K$3)</f>
        <v>#NAME?</v>
      </c>
      <c r="L132" s="100" t="str">
        <f ca="1">IF(ISNUMBER(_xll.BDH($E132,"PX_LAST",TEXT($E$2,"YYYYMMDD"),TEXT($E$2,"YYYYMMDD"),"days=a","fill=p")),_xll.BDH($E132,"PX_LAST",TEXT($E$2,"YYYYMMDD"),TEXT($E$2,"YYYYMMDD"),"days=a","fill=p"),"-")</f>
        <v>-</v>
      </c>
      <c r="M132" s="100" t="str">
        <f ca="1">IF(ISNUMBER(_xll.BDH($E132,"PX_LAST",TEXT($E$2-7,"YYYYMMDD"),TEXT($E$2-7,"YYYYMMDD"),"days=a","fill=p")),_xll.BDH($E132,"PX_LAST",TEXT($E$2-7,"YYYYMMDD"),TEXT($E$2-7,"YYYYMMDD"),"days=a","fill=p"),"-")</f>
        <v>-</v>
      </c>
      <c r="N132" s="180" t="str">
        <f t="shared" ca="1" si="44"/>
        <v>-</v>
      </c>
      <c r="O132" s="101" t="e">
        <f ca="1">IF(OR(_xll.BDP($E132,O$3)="#N/A N/A",_xll.BDP($E132,O$3)="#N/A Invalid Security"), "-", _xll.BDP($E132,O$3))</f>
        <v>#NAME?</v>
      </c>
      <c r="P132" s="182" t="str">
        <f ca="1">IF(ISNUMBER(_xll.BDH($F132,"PX_LAST",TEXT($E$2,"YYYYMMDD"),TEXT($E$2,"YYYYMMDD"),"days=a","fill=p")),_xll.BDH($F132,"PX_LAST",TEXT($E$2,"YYYYMMDD"),TEXT($E$2,"YYYYMMDD"),"days=a","fill=p"),"-")</f>
        <v>-</v>
      </c>
      <c r="Q132" s="182" t="str">
        <f ca="1">IF(ISNUMBER(_xll.BDH($F132,"PX_LAST",TEXT($E$2-7,"YYYYMMDD"),TEXT($E$2-7,"YYYYMMDD"),"days=a","fill=p")),_xll.BDH($F132,"PX_LAST",TEXT($E$2-7,"YYYYMMDD"),TEXT($E$2-7,"YYYYMMDD"),"days=a","fill=p"),"-")</f>
        <v>-</v>
      </c>
      <c r="R132" s="102" t="str">
        <f t="shared" ca="1" si="45"/>
        <v>-</v>
      </c>
      <c r="S132" s="103" t="str">
        <f ca="1">IF(ISNUMBER(_xll.BDP($F132,S$3)),_xll.BDP($F132,S$3),"-")</f>
        <v>-</v>
      </c>
      <c r="T132" s="104" t="e">
        <f t="shared" ca="1" si="34"/>
        <v>#NAME?</v>
      </c>
      <c r="U132" s="105" t="e">
        <f ca="1">IF(OR(_xll.BDP($E132,U$3)="#N/A N/A",_xll.BDP($E132,U$3)="#N/A Invalid Security"), "-", _xll.BDP($E132,U$3))</f>
        <v>#NAME?</v>
      </c>
      <c r="V132" s="105" t="e">
        <f ca="1">IF(OR(_xll.BDP($E132,V$2)="#N/A N/A",_xll.BDP($E132,V$2)="#N/A Invalid Security"), "-", _xll.BDP($E132,V$2))</f>
        <v>#NAME?</v>
      </c>
      <c r="W132" s="106" t="e">
        <f ca="1">IF(OR(_xll.BDP($E132,W$3)="#N/A N/A",_xll.BDP($E132,W$3)="#N/A Invalid Security"), "-", _xll.BDP($E132,W$3))</f>
        <v>#NAME?</v>
      </c>
      <c r="X132" s="105" t="e">
        <f ca="1">IF(OR(_xll.BDP($E132,X$3)="#N/A N/A",_xll.BDP($E132,X$3)="#N/A Invalid Security"), " ", _xll.BDP($E132,X$3))</f>
        <v>#NAME?</v>
      </c>
      <c r="Y132" s="105" t="e">
        <f ca="1">IF(OR(_xll.BDP($E132,Y$3)="#N/A N/A",_xll.BDP($E132,Y$3)="#N/A Invalid Security"), " ", _xll.BDP($E132,Y$3))</f>
        <v>#NAME?</v>
      </c>
      <c r="Z132" s="106" t="e">
        <f ca="1">IF(OR(_xll.BDP($E132,Z$3)="#N/A N/A",_xll.BDP($E132,Z$3)="#N/A Invalid Security"), " ", _xll.BDP($E132,Z$3))</f>
        <v>#NAME?</v>
      </c>
      <c r="AA132" s="107"/>
      <c r="AB132" s="93" t="s">
        <v>950</v>
      </c>
      <c r="AC132" s="93" t="s">
        <v>934</v>
      </c>
      <c r="AD132" s="93" t="s">
        <v>932</v>
      </c>
      <c r="AE132" s="93" t="s">
        <v>940</v>
      </c>
      <c r="AF132" s="93" t="s">
        <v>935</v>
      </c>
      <c r="AG132" s="93" t="s">
        <v>940</v>
      </c>
      <c r="AH132" s="95" t="e">
        <f t="shared" ca="1" si="42"/>
        <v>#NAME?</v>
      </c>
      <c r="AI132" s="95" t="e">
        <f t="shared" ca="1" si="42"/>
        <v>#NAME?</v>
      </c>
      <c r="AJ132" s="95" t="e">
        <f t="shared" ca="1" si="42"/>
        <v>#NAME?</v>
      </c>
      <c r="AK132" s="95" t="e">
        <f t="shared" ca="1" si="42"/>
        <v>#NAME?</v>
      </c>
      <c r="AL132" s="95" t="e">
        <f t="shared" ca="1" si="42"/>
        <v>#NAME?</v>
      </c>
      <c r="AM132" s="95" t="e">
        <f t="shared" ca="1" si="42"/>
        <v>#NAME?</v>
      </c>
      <c r="AN132" s="66" t="str">
        <f t="shared" ca="1" si="40"/>
        <v/>
      </c>
      <c r="AO132" s="108" t="e" cm="1">
        <f t="array" aca="1" ref="AO132" ca="1">_xll.BDP($E132,"cur_mkt_cap")</f>
        <v>#NAME?</v>
      </c>
      <c r="AP132" s="108" t="e" cm="1">
        <f t="array" aca="1" ref="AP132" ca="1">_xll.BDP($E132,"crncy")</f>
        <v>#NAME?</v>
      </c>
      <c r="AQ132" s="109" t="e" cm="1">
        <f t="array" aca="1" ref="AQ132" ca="1">_xll.BDP("USD"&amp;AP132&amp;" curncy","px_last")</f>
        <v>#NAME?</v>
      </c>
      <c r="AR132" s="109" t="e">
        <f t="shared" ca="1" si="35"/>
        <v>#NAME?</v>
      </c>
      <c r="AT132" s="66" t="str">
        <f t="shared" ca="1" si="41"/>
        <v/>
      </c>
      <c r="AU132" s="66" t="str">
        <f t="shared" ca="1" si="41"/>
        <v/>
      </c>
      <c r="AV132" s="66" t="str">
        <f t="shared" ca="1" si="41"/>
        <v/>
      </c>
      <c r="AW132" s="73" t="str" cm="1">
        <f t="array" aca="1" ref="AW132" ca="1">IF(ISERROR(DATEVALUE(_xll.BDP($E132,AW$6))),"",DATEVALUE(_xll.BDP($E132,AW$6)))</f>
        <v/>
      </c>
      <c r="AX132" s="73" t="str" cm="1">
        <f t="array" aca="1" ref="AX132" ca="1">IF(ISERROR(DATEVALUE(_xll.BDP($E132,AX$2))),"",DATEVALUE(_xll.BDP($E132,AX$2)))</f>
        <v/>
      </c>
      <c r="AY132" s="73" t="str" cm="1">
        <f t="array" aca="1" ref="AY132" ca="1">IF(ISERROR(DATEVALUE(_xll.BDP($E132,AY$6))),"",DATEVALUE(_xll.BDP($E132,AY$6)))</f>
        <v/>
      </c>
      <c r="AZ132" s="110" t="e" cm="1">
        <f t="array" aca="1" ref="AZ132" ca="1">IF(_xll.BQL($E132, "last(matches(px_last(dates=range(-1w,0d)), dayofweek(px_last(dates=range(-1w,0d)).date)==6))")="#N/A","-",_xll.BQL($E132, "last(matches(px_last(dates=range(-1w,0d)), dayofweek(px_last(dates=range(-1w,0d)).date)==6))"))</f>
        <v>#NAME?</v>
      </c>
      <c r="BA132" s="109" t="e" cm="1">
        <f t="array" aca="1" ref="BA132" ca="1">IF(_xll.BQL(E132,"first(last(matches(px_last(dates=range(-1M,0D)),dayofweek(px_last(dates=range(-1M,0D)).date)==6),2),1)")="#N/A","-",_xll.BQL(E132,"first(last(matches(px_last(dates=range(-1M,0D)),dayofweek(px_last(dates=range(-1M,0D)).date)==6),2),1)"))</f>
        <v>#NAME?</v>
      </c>
      <c r="BB132" s="109" t="str">
        <f t="shared" ca="1" si="36"/>
        <v>-</v>
      </c>
    </row>
    <row r="133" spans="5:54" ht="16.5" customHeight="1" thickBot="1">
      <c r="E133" s="96" t="s">
        <v>1098</v>
      </c>
      <c r="F133" s="66" t="e">
        <f ca="1">_xll.BDP($E133,F$3)&amp;" BEST Curncy"</f>
        <v>#NAME?</v>
      </c>
      <c r="G133" s="97" t="e">
        <f t="shared" ca="1" si="43"/>
        <v>#NAME?</v>
      </c>
      <c r="I133" s="633"/>
      <c r="J133" s="98" t="e">
        <f ca="1">_xll.BDP($E133,J$3)</f>
        <v>#NAME?</v>
      </c>
      <c r="K133" s="99" t="e">
        <f ca="1">_xll.BDP($E133,K$3)</f>
        <v>#NAME?</v>
      </c>
      <c r="L133" s="100" t="str">
        <f ca="1">IF(ISNUMBER(_xll.BDH($E133,"PX_LAST",TEXT($E$2,"YYYYMMDD"),TEXT($E$2,"YYYYMMDD"),"days=a","fill=p")),_xll.BDH($E133,"PX_LAST",TEXT($E$2,"YYYYMMDD"),TEXT($E$2,"YYYYMMDD"),"days=a","fill=p"),"-")</f>
        <v>-</v>
      </c>
      <c r="M133" s="100" t="str">
        <f ca="1">IF(ISNUMBER(_xll.BDH($E133,"PX_LAST",TEXT($E$2-7,"YYYYMMDD"),TEXT($E$2-7,"YYYYMMDD"),"days=a","fill=p")),_xll.BDH($E133,"PX_LAST",TEXT($E$2-7,"YYYYMMDD"),TEXT($E$2-7,"YYYYMMDD"),"days=a","fill=p"),"-")</f>
        <v>-</v>
      </c>
      <c r="N133" s="180" t="str">
        <f t="shared" ca="1" si="44"/>
        <v>-</v>
      </c>
      <c r="O133" s="101" t="e">
        <f ca="1">IF(OR(_xll.BDP($E133,O$3)="#N/A N/A",_xll.BDP($E133,O$3)="#N/A Invalid Security"), "-", _xll.BDP($E133,O$3))</f>
        <v>#NAME?</v>
      </c>
      <c r="P133" s="182" t="str">
        <f ca="1">IF(ISNUMBER(_xll.BDH($F133,"PX_LAST",TEXT($E$2,"YYYYMMDD"),TEXT($E$2,"YYYYMMDD"),"days=a","fill=p")),_xll.BDH($F133,"PX_LAST",TEXT($E$2,"YYYYMMDD"),TEXT($E$2,"YYYYMMDD"),"days=a","fill=p"),"-")</f>
        <v>-</v>
      </c>
      <c r="Q133" s="182" t="str">
        <f ca="1">IF(ISNUMBER(_xll.BDH($F133,"PX_LAST",TEXT($E$2-7,"YYYYMMDD"),TEXT($E$2-7,"YYYYMMDD"),"days=a","fill=p")),_xll.BDH($F133,"PX_LAST",TEXT($E$2-7,"YYYYMMDD"),TEXT($E$2-7,"YYYYMMDD"),"days=a","fill=p"),"-")</f>
        <v>-</v>
      </c>
      <c r="R133" s="102" t="str">
        <f t="shared" ca="1" si="45"/>
        <v>-</v>
      </c>
      <c r="S133" s="103" t="str">
        <f ca="1">IF(ISNUMBER(_xll.BDP($F133,S$3)),_xll.BDP($F133,S$3),"-")</f>
        <v>-</v>
      </c>
      <c r="T133" s="104" t="e">
        <f t="shared" ca="1" si="34"/>
        <v>#NAME?</v>
      </c>
      <c r="U133" s="105" t="e">
        <f ca="1">IF(OR(_xll.BDP($E133,U$3)="#N/A N/A",_xll.BDP($E133,U$3)="#N/A Invalid Security"), "-", _xll.BDP($E133,U$3))</f>
        <v>#NAME?</v>
      </c>
      <c r="V133" s="105" t="e">
        <f ca="1">IF(OR(_xll.BDP($E133,V$2)="#N/A N/A",_xll.BDP($E133,V$2)="#N/A Invalid Security"), "-", _xll.BDP($E133,V$2))</f>
        <v>#NAME?</v>
      </c>
      <c r="W133" s="106" t="e">
        <f ca="1">IF(OR(_xll.BDP($E133,W$3)="#N/A N/A",_xll.BDP($E133,W$3)="#N/A Invalid Security"), "-", _xll.BDP($E133,W$3))</f>
        <v>#NAME?</v>
      </c>
      <c r="X133" s="105" t="e">
        <f ca="1">IF(OR(_xll.BDP($E133,X$3)="#N/A N/A",_xll.BDP($E133,X$3)="#N/A Invalid Security"), " ", _xll.BDP($E133,X$3))</f>
        <v>#NAME?</v>
      </c>
      <c r="Y133" s="105" t="e">
        <f ca="1">IF(OR(_xll.BDP($E133,Y$3)="#N/A N/A",_xll.BDP($E133,Y$3)="#N/A Invalid Security"), " ", _xll.BDP($E133,Y$3))</f>
        <v>#NAME?</v>
      </c>
      <c r="Z133" s="106" t="e">
        <f ca="1">IF(OR(_xll.BDP($E133,Z$3)="#N/A N/A",_xll.BDP($E133,Z$3)="#N/A Invalid Security"), " ", _xll.BDP($E133,Z$3))</f>
        <v>#NAME?</v>
      </c>
      <c r="AA133" s="107"/>
      <c r="AB133" s="93" t="s">
        <v>934</v>
      </c>
      <c r="AC133" s="93" t="s">
        <v>934</v>
      </c>
      <c r="AD133" s="93" t="s">
        <v>953</v>
      </c>
      <c r="AE133" s="93" t="s">
        <v>936</v>
      </c>
      <c r="AF133" s="93" t="s">
        <v>940</v>
      </c>
      <c r="AG133" s="93" t="s">
        <v>940</v>
      </c>
      <c r="AH133" s="95" t="e">
        <f t="shared" ca="1" si="42"/>
        <v>#NAME?</v>
      </c>
      <c r="AI133" s="95" t="e">
        <f t="shared" ca="1" si="42"/>
        <v>#NAME?</v>
      </c>
      <c r="AJ133" s="95" t="e">
        <f t="shared" ca="1" si="42"/>
        <v>#NAME?</v>
      </c>
      <c r="AK133" s="95" t="e">
        <f t="shared" ca="1" si="42"/>
        <v>#NAME?</v>
      </c>
      <c r="AL133" s="95" t="e">
        <f t="shared" ca="1" si="42"/>
        <v>#NAME?</v>
      </c>
      <c r="AM133" s="95" t="e">
        <f t="shared" ca="1" si="42"/>
        <v>#NAME?</v>
      </c>
      <c r="AN133" s="66" t="str">
        <f t="shared" ca="1" si="40"/>
        <v/>
      </c>
      <c r="AO133" s="108" t="e" cm="1">
        <f t="array" aca="1" ref="AO133" ca="1">_xll.BDP($E133,"cur_mkt_cap")</f>
        <v>#NAME?</v>
      </c>
      <c r="AP133" s="108" t="e" cm="1">
        <f t="array" aca="1" ref="AP133" ca="1">_xll.BDP($E133,"crncy")</f>
        <v>#NAME?</v>
      </c>
      <c r="AQ133" s="109" t="e" cm="1">
        <f t="array" aca="1" ref="AQ133" ca="1">_xll.BDP("USD"&amp;AP133&amp;" curncy","px_last")</f>
        <v>#NAME?</v>
      </c>
      <c r="AR133" s="109" t="e">
        <f t="shared" ca="1" si="35"/>
        <v>#NAME?</v>
      </c>
      <c r="AT133" s="66" t="str">
        <f t="shared" ca="1" si="41"/>
        <v/>
      </c>
      <c r="AU133" s="66" t="str">
        <f t="shared" ca="1" si="41"/>
        <v/>
      </c>
      <c r="AV133" s="66" t="str">
        <f t="shared" ca="1" si="41"/>
        <v/>
      </c>
      <c r="AW133" s="73" t="str" cm="1">
        <f t="array" aca="1" ref="AW133" ca="1">IF(ISERROR(DATEVALUE(_xll.BDP($E133,AW$6))),"",DATEVALUE(_xll.BDP($E133,AW$6)))</f>
        <v/>
      </c>
      <c r="AX133" s="73" t="str" cm="1">
        <f t="array" aca="1" ref="AX133" ca="1">IF(ISERROR(DATEVALUE(_xll.BDP($E133,AX$2))),"",DATEVALUE(_xll.BDP($E133,AX$2)))</f>
        <v/>
      </c>
      <c r="AY133" s="73" t="str" cm="1">
        <f t="array" aca="1" ref="AY133" ca="1">IF(ISERROR(DATEVALUE(_xll.BDP($E133,AY$6))),"",DATEVALUE(_xll.BDP($E133,AY$6)))</f>
        <v/>
      </c>
      <c r="AZ133" s="110" t="e" cm="1">
        <f t="array" aca="1" ref="AZ133" ca="1">IF(_xll.BQL($E133, "last(matches(px_last(dates=range(-1w,0d)), dayofweek(px_last(dates=range(-1w,0d)).date)==6))")="#N/A","-",_xll.BQL($E133, "last(matches(px_last(dates=range(-1w,0d)), dayofweek(px_last(dates=range(-1w,0d)).date)==6))"))</f>
        <v>#NAME?</v>
      </c>
      <c r="BA133" s="109" t="e" cm="1">
        <f t="array" aca="1" ref="BA133" ca="1">IF(_xll.BQL(E133,"first(last(matches(px_last(dates=range(-1M,0D)),dayofweek(px_last(dates=range(-1M,0D)).date)==6),2),1)")="#N/A","-",_xll.BQL(E133,"first(last(matches(px_last(dates=range(-1M,0D)),dayofweek(px_last(dates=range(-1M,0D)).date)==6),2),1)"))</f>
        <v>#NAME?</v>
      </c>
      <c r="BB133" s="109" t="str">
        <f t="shared" ca="1" si="36"/>
        <v>-</v>
      </c>
    </row>
    <row r="134" spans="5:54" ht="16.5" customHeight="1" thickBot="1">
      <c r="E134" s="96" t="s">
        <v>1099</v>
      </c>
      <c r="F134" s="66" t="e">
        <f ca="1">_xll.BDP($E134,F$3)&amp;" BEST Curncy"</f>
        <v>#NAME?</v>
      </c>
      <c r="G134" s="97" t="e">
        <f t="shared" ca="1" si="43"/>
        <v>#NAME?</v>
      </c>
      <c r="I134" s="633"/>
      <c r="J134" s="98" t="e">
        <f ca="1">_xll.BDP($E134,J$3)</f>
        <v>#NAME?</v>
      </c>
      <c r="K134" s="99" t="e">
        <f ca="1">_xll.BDP($E134,K$3)</f>
        <v>#NAME?</v>
      </c>
      <c r="L134" s="100" t="str">
        <f ca="1">IF(ISNUMBER(_xll.BDH($E134,"PX_LAST",TEXT($E$2,"YYYYMMDD"),TEXT($E$2,"YYYYMMDD"),"days=a","fill=p")),_xll.BDH($E134,"PX_LAST",TEXT($E$2,"YYYYMMDD"),TEXT($E$2,"YYYYMMDD"),"days=a","fill=p"),"-")</f>
        <v>-</v>
      </c>
      <c r="M134" s="100" t="str">
        <f ca="1">IF(ISNUMBER(_xll.BDH($E134,"PX_LAST",TEXT($E$2-7,"YYYYMMDD"),TEXT($E$2-7,"YYYYMMDD"),"days=a","fill=p")),_xll.BDH($E134,"PX_LAST",TEXT($E$2-7,"YYYYMMDD"),TEXT($E$2-7,"YYYYMMDD"),"days=a","fill=p"),"-")</f>
        <v>-</v>
      </c>
      <c r="N134" s="180" t="str">
        <f t="shared" ca="1" si="44"/>
        <v>-</v>
      </c>
      <c r="O134" s="101" t="e">
        <f ca="1">IF(OR(_xll.BDP($E134,O$3)="#N/A N/A",_xll.BDP($E134,O$3)="#N/A Invalid Security"), "-", _xll.BDP($E134,O$3))</f>
        <v>#NAME?</v>
      </c>
      <c r="P134" s="182" t="str">
        <f ca="1">IF(ISNUMBER(_xll.BDH($F134,"PX_LAST",TEXT($E$2,"YYYYMMDD"),TEXT($E$2,"YYYYMMDD"),"days=a","fill=p")),_xll.BDH($F134,"PX_LAST",TEXT($E$2,"YYYYMMDD"),TEXT($E$2,"YYYYMMDD"),"days=a","fill=p"),"-")</f>
        <v>-</v>
      </c>
      <c r="Q134" s="182" t="str">
        <f ca="1">IF(ISNUMBER(_xll.BDH($F134,"PX_LAST",TEXT($E$2-7,"YYYYMMDD"),TEXT($E$2-7,"YYYYMMDD"),"days=a","fill=p")),_xll.BDH($F134,"PX_LAST",TEXT($E$2-7,"YYYYMMDD"),TEXT($E$2-7,"YYYYMMDD"),"days=a","fill=p"),"-")</f>
        <v>-</v>
      </c>
      <c r="R134" s="102" t="str">
        <f t="shared" ca="1" si="45"/>
        <v>-</v>
      </c>
      <c r="S134" s="103" t="str">
        <f ca="1">IF(ISNUMBER(_xll.BDP($F134,S$3)),_xll.BDP($F134,S$3),"-")</f>
        <v>-</v>
      </c>
      <c r="T134" s="104" t="e">
        <f t="shared" ca="1" si="34"/>
        <v>#NAME?</v>
      </c>
      <c r="U134" s="105" t="e">
        <f ca="1">IF(OR(_xll.BDP($E134,U$3)="#N/A N/A",_xll.BDP($E134,U$3)="#N/A Invalid Security"), "-", _xll.BDP($E134,U$3))</f>
        <v>#NAME?</v>
      </c>
      <c r="V134" s="105" t="e">
        <f ca="1">IF(OR(_xll.BDP($E134,V$2)="#N/A N/A",_xll.BDP($E134,V$2)="#N/A Invalid Security"), "-", _xll.BDP($E134,V$2))</f>
        <v>#NAME?</v>
      </c>
      <c r="W134" s="106" t="e">
        <f ca="1">IF(OR(_xll.BDP($E134,W$3)="#N/A N/A",_xll.BDP($E134,W$3)="#N/A Invalid Security"), "-", _xll.BDP($E134,W$3))</f>
        <v>#NAME?</v>
      </c>
      <c r="X134" s="105" t="e">
        <f ca="1">IF(OR(_xll.BDP($E134,X$3)="#N/A N/A",_xll.BDP($E134,X$3)="#N/A Invalid Security"), " ", _xll.BDP($E134,X$3))</f>
        <v>#NAME?</v>
      </c>
      <c r="Y134" s="105" t="e">
        <f ca="1">IF(OR(_xll.BDP($E134,Y$3)="#N/A N/A",_xll.BDP($E134,Y$3)="#N/A Invalid Security"), " ", _xll.BDP($E134,Y$3))</f>
        <v>#NAME?</v>
      </c>
      <c r="Z134" s="106" t="e">
        <f ca="1">IF(OR(_xll.BDP($E134,Z$3)="#N/A N/A",_xll.BDP($E134,Z$3)="#N/A Invalid Security"), " ", _xll.BDP($E134,Z$3))</f>
        <v>#NAME?</v>
      </c>
      <c r="AA134" s="107"/>
      <c r="AB134" s="93" t="s">
        <v>953</v>
      </c>
      <c r="AC134" s="93" t="s">
        <v>934</v>
      </c>
      <c r="AD134" s="93" t="s">
        <v>953</v>
      </c>
      <c r="AE134" s="93" t="s">
        <v>940</v>
      </c>
      <c r="AF134" s="93" t="s">
        <v>940</v>
      </c>
      <c r="AG134" s="93" t="s">
        <v>940</v>
      </c>
      <c r="AH134" s="95" t="e">
        <f t="shared" ca="1" si="42"/>
        <v>#NAME?</v>
      </c>
      <c r="AI134" s="95" t="e">
        <f t="shared" ca="1" si="42"/>
        <v>#NAME?</v>
      </c>
      <c r="AJ134" s="95" t="e">
        <f t="shared" ca="1" si="42"/>
        <v>#NAME?</v>
      </c>
      <c r="AK134" s="95" t="e">
        <f t="shared" ca="1" si="42"/>
        <v>#NAME?</v>
      </c>
      <c r="AL134" s="95" t="e">
        <f t="shared" ca="1" si="42"/>
        <v>#NAME?</v>
      </c>
      <c r="AM134" s="95" t="e">
        <f t="shared" ca="1" si="42"/>
        <v>#NAME?</v>
      </c>
      <c r="AN134" s="66" t="str">
        <f t="shared" ca="1" si="40"/>
        <v/>
      </c>
      <c r="AO134" s="108" t="e" cm="1">
        <f t="array" aca="1" ref="AO134" ca="1">_xll.BDP($E134,"cur_mkt_cap")</f>
        <v>#NAME?</v>
      </c>
      <c r="AP134" s="108" t="e" cm="1">
        <f t="array" aca="1" ref="AP134" ca="1">_xll.BDP($E134,"crncy")</f>
        <v>#NAME?</v>
      </c>
      <c r="AQ134" s="109" t="e" cm="1">
        <f t="array" aca="1" ref="AQ134" ca="1">_xll.BDP("USD"&amp;AP134&amp;" curncy","px_last")</f>
        <v>#NAME?</v>
      </c>
      <c r="AR134" s="109" t="e">
        <f t="shared" ca="1" si="35"/>
        <v>#NAME?</v>
      </c>
      <c r="AT134" s="66" t="str">
        <f t="shared" ca="1" si="41"/>
        <v/>
      </c>
      <c r="AU134" s="66" t="str">
        <f t="shared" ca="1" si="41"/>
        <v/>
      </c>
      <c r="AV134" s="66" t="str">
        <f t="shared" ca="1" si="41"/>
        <v/>
      </c>
      <c r="AW134" s="73" t="str" cm="1">
        <f t="array" aca="1" ref="AW134" ca="1">IF(ISERROR(DATEVALUE(_xll.BDP($E134,AW$6))),"",DATEVALUE(_xll.BDP($E134,AW$6)))</f>
        <v/>
      </c>
      <c r="AX134" s="73" t="str" cm="1">
        <f t="array" aca="1" ref="AX134" ca="1">IF(ISERROR(DATEVALUE(_xll.BDP($E134,AX$2))),"",DATEVALUE(_xll.BDP($E134,AX$2)))</f>
        <v/>
      </c>
      <c r="AY134" s="73" t="str" cm="1">
        <f t="array" aca="1" ref="AY134" ca="1">IF(ISERROR(DATEVALUE(_xll.BDP($E134,AY$6))),"",DATEVALUE(_xll.BDP($E134,AY$6)))</f>
        <v/>
      </c>
      <c r="AZ134" s="110" t="e" cm="1">
        <f t="array" aca="1" ref="AZ134" ca="1">IF(_xll.BQL($E134, "last(matches(px_last(dates=range(-1w,0d)), dayofweek(px_last(dates=range(-1w,0d)).date)==6))")="#N/A","-",_xll.BQL($E134, "last(matches(px_last(dates=range(-1w,0d)), dayofweek(px_last(dates=range(-1w,0d)).date)==6))"))</f>
        <v>#NAME?</v>
      </c>
      <c r="BA134" s="109" t="e" cm="1">
        <f t="array" aca="1" ref="BA134" ca="1">IF(_xll.BQL(E134,"first(last(matches(px_last(dates=range(-1M,0D)),dayofweek(px_last(dates=range(-1M,0D)).date)==6),2),1)")="#N/A","-",_xll.BQL(E134,"first(last(matches(px_last(dates=range(-1M,0D)),dayofweek(px_last(dates=range(-1M,0D)).date)==6),2),1)"))</f>
        <v>#NAME?</v>
      </c>
      <c r="BB134" s="109" t="str">
        <f t="shared" ca="1" si="36"/>
        <v>-</v>
      </c>
    </row>
    <row r="135" spans="5:54" ht="16.5" customHeight="1" thickBot="1">
      <c r="E135" s="96" t="s">
        <v>1100</v>
      </c>
      <c r="F135" s="66" t="e">
        <f ca="1">_xll.BDP($E135,F$3)&amp;" BEST Curncy"</f>
        <v>#NAME?</v>
      </c>
      <c r="G135" s="97" t="e">
        <f t="shared" ca="1" si="43"/>
        <v>#NAME?</v>
      </c>
      <c r="I135" s="633"/>
      <c r="J135" s="98" t="e">
        <f ca="1">_xll.BDP($E135,J$3)</f>
        <v>#NAME?</v>
      </c>
      <c r="K135" s="99" t="e">
        <f ca="1">_xll.BDP($E135,K$3)</f>
        <v>#NAME?</v>
      </c>
      <c r="L135" s="100" t="str">
        <f ca="1">IF(ISNUMBER(_xll.BDH($E135,"PX_LAST",TEXT($E$2,"YYYYMMDD"),TEXT($E$2,"YYYYMMDD"),"days=a","fill=p")),_xll.BDH($E135,"PX_LAST",TEXT($E$2,"YYYYMMDD"),TEXT($E$2,"YYYYMMDD"),"days=a","fill=p"),"-")</f>
        <v>-</v>
      </c>
      <c r="M135" s="100" t="str">
        <f ca="1">IF(ISNUMBER(_xll.BDH($E135,"PX_LAST",TEXT($E$2-7,"YYYYMMDD"),TEXT($E$2-7,"YYYYMMDD"),"days=a","fill=p")),_xll.BDH($E135,"PX_LAST",TEXT($E$2-7,"YYYYMMDD"),TEXT($E$2-7,"YYYYMMDD"),"days=a","fill=p"),"-")</f>
        <v>-</v>
      </c>
      <c r="N135" s="180" t="str">
        <f t="shared" ca="1" si="44"/>
        <v>-</v>
      </c>
      <c r="O135" s="101" t="e">
        <f ca="1">IF(OR(_xll.BDP($E135,O$3)="#N/A N/A",_xll.BDP($E135,O$3)="#N/A Invalid Security"), "-", _xll.BDP($E135,O$3))</f>
        <v>#NAME?</v>
      </c>
      <c r="P135" s="182" t="str">
        <f ca="1">IF(ISNUMBER(_xll.BDH($F135,"PX_LAST",TEXT($E$2,"YYYYMMDD"),TEXT($E$2,"YYYYMMDD"),"days=a","fill=p")),_xll.BDH($F135,"PX_LAST",TEXT($E$2,"YYYYMMDD"),TEXT($E$2,"YYYYMMDD"),"days=a","fill=p"),"-")</f>
        <v>-</v>
      </c>
      <c r="Q135" s="182" t="str">
        <f ca="1">IF(ISNUMBER(_xll.BDH($F135,"PX_LAST",TEXT($E$2-7,"YYYYMMDD"),TEXT($E$2-7,"YYYYMMDD"),"days=a","fill=p")),_xll.BDH($F135,"PX_LAST",TEXT($E$2-7,"YYYYMMDD"),TEXT($E$2-7,"YYYYMMDD"),"days=a","fill=p"),"-")</f>
        <v>-</v>
      </c>
      <c r="R135" s="102" t="str">
        <f t="shared" ca="1" si="45"/>
        <v>-</v>
      </c>
      <c r="S135" s="103" t="str">
        <f ca="1">IF(ISNUMBER(_xll.BDP($F135,S$3)),_xll.BDP($F135,S$3),"-")</f>
        <v>-</v>
      </c>
      <c r="T135" s="104" t="e">
        <f t="shared" ca="1" si="34"/>
        <v>#NAME?</v>
      </c>
      <c r="U135" s="105" t="e">
        <f ca="1">IF(OR(_xll.BDP($E135,U$3)="#N/A N/A",_xll.BDP($E135,U$3)="#N/A Invalid Security"), "-", _xll.BDP($E135,U$3))</f>
        <v>#NAME?</v>
      </c>
      <c r="V135" s="105" t="e">
        <f ca="1">IF(OR(_xll.BDP($E135,V$2)="#N/A N/A",_xll.BDP($E135,V$2)="#N/A Invalid Security"), "-", _xll.BDP($E135,V$2))</f>
        <v>#NAME?</v>
      </c>
      <c r="W135" s="106" t="e">
        <f ca="1">IF(OR(_xll.BDP($E135,W$3)="#N/A N/A",_xll.BDP($E135,W$3)="#N/A Invalid Security"), "-", _xll.BDP($E135,W$3))</f>
        <v>#NAME?</v>
      </c>
      <c r="X135" s="105" t="e">
        <f ca="1">IF(OR(_xll.BDP($E135,X$3)="#N/A N/A",_xll.BDP($E135,X$3)="#N/A Invalid Security"), " ", _xll.BDP($E135,X$3))</f>
        <v>#NAME?</v>
      </c>
      <c r="Y135" s="105" t="e">
        <f ca="1">IF(OR(_xll.BDP($E135,Y$3)="#N/A N/A",_xll.BDP($E135,Y$3)="#N/A Invalid Security"), " ", _xll.BDP($E135,Y$3))</f>
        <v>#NAME?</v>
      </c>
      <c r="Z135" s="106" t="e">
        <f ca="1">IF(OR(_xll.BDP($E135,Z$3)="#N/A N/A",_xll.BDP($E135,Z$3)="#N/A Invalid Security"), " ", _xll.BDP($E135,Z$3))</f>
        <v>#NAME?</v>
      </c>
      <c r="AA135" s="107"/>
      <c r="AB135" s="93" t="s">
        <v>997</v>
      </c>
      <c r="AC135" s="93" t="s">
        <v>934</v>
      </c>
      <c r="AD135" s="93" t="s">
        <v>997</v>
      </c>
      <c r="AE135" s="93" t="s">
        <v>940</v>
      </c>
      <c r="AF135" s="93" t="s">
        <v>940</v>
      </c>
      <c r="AG135" s="93" t="s">
        <v>940</v>
      </c>
      <c r="AH135" s="95" t="e">
        <f t="shared" ca="1" si="42"/>
        <v>#NAME?</v>
      </c>
      <c r="AI135" s="95" t="e">
        <f t="shared" ca="1" si="42"/>
        <v>#NAME?</v>
      </c>
      <c r="AJ135" s="95" t="e">
        <f t="shared" ca="1" si="42"/>
        <v>#NAME?</v>
      </c>
      <c r="AK135" s="95" t="e">
        <f t="shared" ca="1" si="42"/>
        <v>#NAME?</v>
      </c>
      <c r="AL135" s="95" t="e">
        <f t="shared" ca="1" si="42"/>
        <v>#NAME?</v>
      </c>
      <c r="AM135" s="95" t="e">
        <f t="shared" ca="1" si="42"/>
        <v>#NAME?</v>
      </c>
      <c r="AN135" s="66" t="str">
        <f t="shared" ca="1" si="40"/>
        <v/>
      </c>
      <c r="AO135" s="108" t="e" cm="1">
        <f t="array" aca="1" ref="AO135" ca="1">_xll.BDP($E135,"cur_mkt_cap")</f>
        <v>#NAME?</v>
      </c>
      <c r="AP135" s="108" t="e" cm="1">
        <f t="array" aca="1" ref="AP135" ca="1">_xll.BDP($E135,"crncy")</f>
        <v>#NAME?</v>
      </c>
      <c r="AQ135" s="109" t="e" cm="1">
        <f t="array" aca="1" ref="AQ135" ca="1">_xll.BDP("USD"&amp;AP135&amp;" curncy","px_last")</f>
        <v>#NAME?</v>
      </c>
      <c r="AR135" s="109" t="e">
        <f t="shared" ca="1" si="35"/>
        <v>#NAME?</v>
      </c>
      <c r="AT135" s="66" t="str">
        <f t="shared" ca="1" si="41"/>
        <v/>
      </c>
      <c r="AU135" s="66" t="str">
        <f t="shared" ca="1" si="41"/>
        <v/>
      </c>
      <c r="AV135" s="66" t="str">
        <f t="shared" ca="1" si="41"/>
        <v/>
      </c>
      <c r="AW135" s="73" t="str" cm="1">
        <f t="array" aca="1" ref="AW135" ca="1">IF(ISERROR(DATEVALUE(_xll.BDP($E135,AW$6))),"",DATEVALUE(_xll.BDP($E135,AW$6)))</f>
        <v/>
      </c>
      <c r="AX135" s="73" t="str" cm="1">
        <f t="array" aca="1" ref="AX135" ca="1">IF(ISERROR(DATEVALUE(_xll.BDP($E135,AX$2))),"",DATEVALUE(_xll.BDP($E135,AX$2)))</f>
        <v/>
      </c>
      <c r="AY135" s="73" t="str" cm="1">
        <f t="array" aca="1" ref="AY135" ca="1">IF(ISERROR(DATEVALUE(_xll.BDP($E135,AY$6))),"",DATEVALUE(_xll.BDP($E135,AY$6)))</f>
        <v/>
      </c>
      <c r="AZ135" s="110" t="e" cm="1">
        <f t="array" aca="1" ref="AZ135" ca="1">IF(_xll.BQL($E135, "last(matches(px_last(dates=range(-1w,0d)), dayofweek(px_last(dates=range(-1w,0d)).date)==6))")="#N/A","-",_xll.BQL($E135, "last(matches(px_last(dates=range(-1w,0d)), dayofweek(px_last(dates=range(-1w,0d)).date)==6))"))</f>
        <v>#NAME?</v>
      </c>
      <c r="BA135" s="109" t="e" cm="1">
        <f t="array" aca="1" ref="BA135" ca="1">IF(_xll.BQL(E135,"first(last(matches(px_last(dates=range(-1M,0D)),dayofweek(px_last(dates=range(-1M,0D)).date)==6),2),1)")="#N/A","-",_xll.BQL(E135,"first(last(matches(px_last(dates=range(-1M,0D)),dayofweek(px_last(dates=range(-1M,0D)).date)==6),2),1)"))</f>
        <v>#NAME?</v>
      </c>
      <c r="BB135" s="109" t="str">
        <f t="shared" ca="1" si="36"/>
        <v>-</v>
      </c>
    </row>
    <row r="136" spans="5:54" ht="16.5" customHeight="1" thickBot="1">
      <c r="E136" s="96" t="s">
        <v>1101</v>
      </c>
      <c r="F136" s="66" t="e">
        <f ca="1">_xll.BDP($E136,F$3)&amp;" BEST Curncy"</f>
        <v>#NAME?</v>
      </c>
      <c r="G136" s="97" t="e">
        <f t="shared" ca="1" si="43"/>
        <v>#NAME?</v>
      </c>
      <c r="I136" s="633"/>
      <c r="J136" s="98" t="e">
        <f ca="1">_xll.BDP($E136,J$3)</f>
        <v>#NAME?</v>
      </c>
      <c r="K136" s="99" t="e">
        <f ca="1">_xll.BDP($E136,K$3)</f>
        <v>#NAME?</v>
      </c>
      <c r="L136" s="100" t="str">
        <f ca="1">IF(ISNUMBER(_xll.BDH($E136,"PX_LAST",TEXT($E$2,"YYYYMMDD"),TEXT($E$2,"YYYYMMDD"),"days=a","fill=p")),_xll.BDH($E136,"PX_LAST",TEXT($E$2,"YYYYMMDD"),TEXT($E$2,"YYYYMMDD"),"days=a","fill=p"),"-")</f>
        <v>-</v>
      </c>
      <c r="M136" s="100" t="str">
        <f ca="1">IF(ISNUMBER(_xll.BDH($E136,"PX_LAST",TEXT($E$2-7,"YYYYMMDD"),TEXT($E$2-7,"YYYYMMDD"),"days=a","fill=p")),_xll.BDH($E136,"PX_LAST",TEXT($E$2-7,"YYYYMMDD"),TEXT($E$2-7,"YYYYMMDD"),"days=a","fill=p"),"-")</f>
        <v>-</v>
      </c>
      <c r="N136" s="180" t="str">
        <f t="shared" ca="1" si="44"/>
        <v>-</v>
      </c>
      <c r="O136" s="101" t="e">
        <f ca="1">IF(OR(_xll.BDP($E136,O$3)="#N/A N/A",_xll.BDP($E136,O$3)="#N/A Invalid Security"), "-", _xll.BDP($E136,O$3))</f>
        <v>#NAME?</v>
      </c>
      <c r="P136" s="182" t="str">
        <f ca="1">IF(ISNUMBER(_xll.BDH($F136,"PX_LAST",TEXT($E$2,"YYYYMMDD"),TEXT($E$2,"YYYYMMDD"),"days=a","fill=p")),_xll.BDH($F136,"PX_LAST",TEXT($E$2,"YYYYMMDD"),TEXT($E$2,"YYYYMMDD"),"days=a","fill=p"),"-")</f>
        <v>-</v>
      </c>
      <c r="Q136" s="182" t="str">
        <f ca="1">IF(ISNUMBER(_xll.BDH($F136,"PX_LAST",TEXT($E$2-7,"YYYYMMDD"),TEXT($E$2-7,"YYYYMMDD"),"days=a","fill=p")),_xll.BDH($F136,"PX_LAST",TEXT($E$2-7,"YYYYMMDD"),TEXT($E$2-7,"YYYYMMDD"),"days=a","fill=p"),"-")</f>
        <v>-</v>
      </c>
      <c r="R136" s="102" t="str">
        <f t="shared" ca="1" si="45"/>
        <v>-</v>
      </c>
      <c r="S136" s="103" t="str">
        <f ca="1">IF(ISNUMBER(_xll.BDP($F136,S$3)),_xll.BDP($F136,S$3),"-")</f>
        <v>-</v>
      </c>
      <c r="T136" s="104" t="e">
        <f t="shared" ca="1" si="34"/>
        <v>#NAME?</v>
      </c>
      <c r="U136" s="105" t="e">
        <f ca="1">IF(OR(_xll.BDP($E136,U$3)="#N/A N/A",_xll.BDP($E136,U$3)="#N/A Invalid Security"), "-", _xll.BDP($E136,U$3))</f>
        <v>#NAME?</v>
      </c>
      <c r="V136" s="105" t="e">
        <f ca="1">IF(OR(_xll.BDP($E136,V$2)="#N/A N/A",_xll.BDP($E136,V$2)="#N/A Invalid Security"), "-", _xll.BDP($E136,V$2))</f>
        <v>#NAME?</v>
      </c>
      <c r="W136" s="106" t="e">
        <f ca="1">IF(OR(_xll.BDP($E136,W$3)="#N/A N/A",_xll.BDP($E136,W$3)="#N/A Invalid Security"), "-", _xll.BDP($E136,W$3))</f>
        <v>#NAME?</v>
      </c>
      <c r="X136" s="105" t="e">
        <f ca="1">IF(OR(_xll.BDP($E136,X$3)="#N/A N/A",_xll.BDP($E136,X$3)="#N/A Invalid Security"), " ", _xll.BDP($E136,X$3))</f>
        <v>#NAME?</v>
      </c>
      <c r="Y136" s="105" t="e">
        <f ca="1">IF(OR(_xll.BDP($E136,Y$3)="#N/A N/A",_xll.BDP($E136,Y$3)="#N/A Invalid Security"), " ", _xll.BDP($E136,Y$3))</f>
        <v>#NAME?</v>
      </c>
      <c r="Z136" s="106" t="e">
        <f ca="1">IF(OR(_xll.BDP($E136,Z$3)="#N/A N/A",_xll.BDP($E136,Z$3)="#N/A Invalid Security"), " ", _xll.BDP($E136,Z$3))</f>
        <v>#NAME?</v>
      </c>
      <c r="AA136" s="107"/>
      <c r="AB136" s="93" t="s">
        <v>934</v>
      </c>
      <c r="AC136" s="93" t="s">
        <v>934</v>
      </c>
      <c r="AD136" s="93" t="s">
        <v>1036</v>
      </c>
      <c r="AE136" s="93" t="s">
        <v>936</v>
      </c>
      <c r="AF136" s="93" t="s">
        <v>948</v>
      </c>
      <c r="AG136" s="93" t="s">
        <v>940</v>
      </c>
      <c r="AH136" s="95" t="e">
        <f t="shared" ca="1" si="42"/>
        <v>#NAME?</v>
      </c>
      <c r="AI136" s="95" t="e">
        <f t="shared" ca="1" si="42"/>
        <v>#NAME?</v>
      </c>
      <c r="AJ136" s="95" t="e">
        <f t="shared" ca="1" si="42"/>
        <v>#NAME?</v>
      </c>
      <c r="AK136" s="95" t="e">
        <f t="shared" ca="1" si="42"/>
        <v>#NAME?</v>
      </c>
      <c r="AL136" s="95" t="e">
        <f t="shared" ca="1" si="42"/>
        <v>#NAME?</v>
      </c>
      <c r="AM136" s="95" t="e">
        <f t="shared" ca="1" si="42"/>
        <v>#NAME?</v>
      </c>
      <c r="AN136" s="66" t="str">
        <f t="shared" ca="1" si="40"/>
        <v/>
      </c>
      <c r="AO136" s="108" t="e" cm="1">
        <f t="array" aca="1" ref="AO136" ca="1">_xll.BDP($E136,"cur_mkt_cap")</f>
        <v>#NAME?</v>
      </c>
      <c r="AP136" s="108" t="e" cm="1">
        <f t="array" aca="1" ref="AP136" ca="1">_xll.BDP($E136,"crncy")</f>
        <v>#NAME?</v>
      </c>
      <c r="AQ136" s="109" t="e" cm="1">
        <f t="array" aca="1" ref="AQ136" ca="1">_xll.BDP("USD"&amp;AP136&amp;" curncy","px_last")</f>
        <v>#NAME?</v>
      </c>
      <c r="AR136" s="109" t="e">
        <f t="shared" ca="1" si="35"/>
        <v>#NAME?</v>
      </c>
      <c r="AT136" s="66" t="str">
        <f t="shared" ca="1" si="41"/>
        <v/>
      </c>
      <c r="AU136" s="66" t="str">
        <f t="shared" ca="1" si="41"/>
        <v/>
      </c>
      <c r="AV136" s="66" t="str">
        <f t="shared" ca="1" si="41"/>
        <v/>
      </c>
      <c r="AW136" s="73" t="str" cm="1">
        <f t="array" aca="1" ref="AW136" ca="1">IF(ISERROR(DATEVALUE(_xll.BDP($E136,AW$6))),"",DATEVALUE(_xll.BDP($E136,AW$6)))</f>
        <v/>
      </c>
      <c r="AX136" s="73" t="str" cm="1">
        <f t="array" aca="1" ref="AX136" ca="1">IF(ISERROR(DATEVALUE(_xll.BDP($E136,AX$2))),"",DATEVALUE(_xll.BDP($E136,AX$2)))</f>
        <v/>
      </c>
      <c r="AY136" s="73" t="str" cm="1">
        <f t="array" aca="1" ref="AY136" ca="1">IF(ISERROR(DATEVALUE(_xll.BDP($E136,AY$6))),"",DATEVALUE(_xll.BDP($E136,AY$6)))</f>
        <v/>
      </c>
      <c r="AZ136" s="110" t="e" cm="1">
        <f t="array" aca="1" ref="AZ136" ca="1">IF(_xll.BQL($E136, "last(matches(px_last(dates=range(-1w,0d)), dayofweek(px_last(dates=range(-1w,0d)).date)==6))")="#N/A","-",_xll.BQL($E136, "last(matches(px_last(dates=range(-1w,0d)), dayofweek(px_last(dates=range(-1w,0d)).date)==6))"))</f>
        <v>#NAME?</v>
      </c>
      <c r="BA136" s="109" t="e" cm="1">
        <f t="array" aca="1" ref="BA136" ca="1">IF(_xll.BQL(E136,"first(last(matches(px_last(dates=range(-1M,0D)),dayofweek(px_last(dates=range(-1M,0D)).date)==6),2),1)")="#N/A","-",_xll.BQL(E136,"first(last(matches(px_last(dates=range(-1M,0D)),dayofweek(px_last(dates=range(-1M,0D)).date)==6),2),1)"))</f>
        <v>#NAME?</v>
      </c>
      <c r="BB136" s="109" t="str">
        <f t="shared" ca="1" si="36"/>
        <v>-</v>
      </c>
    </row>
    <row r="137" spans="5:54" ht="16.5" customHeight="1" thickBot="1">
      <c r="E137" s="96" t="s">
        <v>1102</v>
      </c>
      <c r="F137" s="66" t="e">
        <f ca="1">_xll.BDP($E137,F$3)&amp;" BEST Curncy"</f>
        <v>#NAME?</v>
      </c>
      <c r="G137" s="97" t="e">
        <f t="shared" ca="1" si="43"/>
        <v>#NAME?</v>
      </c>
      <c r="I137" s="633"/>
      <c r="J137" s="98" t="e">
        <f ca="1">_xll.BDP($E137,J$3)</f>
        <v>#NAME?</v>
      </c>
      <c r="K137" s="99" t="e">
        <f ca="1">_xll.BDP($E137,K$3)</f>
        <v>#NAME?</v>
      </c>
      <c r="L137" s="100" t="str">
        <f ca="1">IF(ISNUMBER(_xll.BDH($E137,"PX_LAST",TEXT($E$2,"YYYYMMDD"),TEXT($E$2,"YYYYMMDD"),"days=a","fill=p")),_xll.BDH($E137,"PX_LAST",TEXT($E$2,"YYYYMMDD"),TEXT($E$2,"YYYYMMDD"),"days=a","fill=p"),"-")</f>
        <v>-</v>
      </c>
      <c r="M137" s="100" t="str">
        <f ca="1">IF(ISNUMBER(_xll.BDH($E137,"PX_LAST",TEXT($E$2-7,"YYYYMMDD"),TEXT($E$2-7,"YYYYMMDD"),"days=a","fill=p")),_xll.BDH($E137,"PX_LAST",TEXT($E$2-7,"YYYYMMDD"),TEXT($E$2-7,"YYYYMMDD"),"days=a","fill=p"),"-")</f>
        <v>-</v>
      </c>
      <c r="N137" s="180" t="str">
        <f t="shared" ca="1" si="44"/>
        <v>-</v>
      </c>
      <c r="O137" s="101" t="e">
        <f ca="1">IF(OR(_xll.BDP($E137,O$3)="#N/A N/A",_xll.BDP($E137,O$3)="#N/A Invalid Security"), "-", _xll.BDP($E137,O$3))</f>
        <v>#NAME?</v>
      </c>
      <c r="P137" s="182" t="str">
        <f ca="1">IF(ISNUMBER(_xll.BDH($F137,"PX_LAST",TEXT($E$2,"YYYYMMDD"),TEXT($E$2,"YYYYMMDD"),"days=a","fill=p")),_xll.BDH($F137,"PX_LAST",TEXT($E$2,"YYYYMMDD"),TEXT($E$2,"YYYYMMDD"),"days=a","fill=p"),"-")</f>
        <v>-</v>
      </c>
      <c r="Q137" s="182" t="str">
        <f ca="1">IF(ISNUMBER(_xll.BDH($F137,"PX_LAST",TEXT($E$2-7,"YYYYMMDD"),TEXT($E$2-7,"YYYYMMDD"),"days=a","fill=p")),_xll.BDH($F137,"PX_LAST",TEXT($E$2-7,"YYYYMMDD"),TEXT($E$2-7,"YYYYMMDD"),"days=a","fill=p"),"-")</f>
        <v>-</v>
      </c>
      <c r="R137" s="102" t="str">
        <f t="shared" ca="1" si="45"/>
        <v>-</v>
      </c>
      <c r="S137" s="103" t="str">
        <f ca="1">IF(ISNUMBER(_xll.BDP($F137,S$3)),_xll.BDP($F137,S$3),"-")</f>
        <v>-</v>
      </c>
      <c r="T137" s="104" t="e">
        <f t="shared" ca="1" si="34"/>
        <v>#NAME?</v>
      </c>
      <c r="U137" s="105" t="e">
        <f ca="1">IF(OR(_xll.BDP($E137,U$3)="#N/A N/A",_xll.BDP($E137,U$3)="#N/A Invalid Security"), "-", _xll.BDP($E137,U$3))</f>
        <v>#NAME?</v>
      </c>
      <c r="V137" s="105" t="e">
        <f ca="1">IF(OR(_xll.BDP($E137,V$2)="#N/A N/A",_xll.BDP($E137,V$2)="#N/A Invalid Security"), "-", _xll.BDP($E137,V$2))</f>
        <v>#NAME?</v>
      </c>
      <c r="W137" s="106" t="e">
        <f ca="1">IF(OR(_xll.BDP($E137,W$3)="#N/A N/A",_xll.BDP($E137,W$3)="#N/A Invalid Security"), "-", _xll.BDP($E137,W$3))</f>
        <v>#NAME?</v>
      </c>
      <c r="X137" s="105" t="e">
        <f ca="1">IF(OR(_xll.BDP($E137,X$3)="#N/A N/A",_xll.BDP($E137,X$3)="#N/A Invalid Security"), " ", _xll.BDP($E137,X$3))</f>
        <v>#NAME?</v>
      </c>
      <c r="Y137" s="105" t="e">
        <f ca="1">IF(OR(_xll.BDP($E137,Y$3)="#N/A N/A",_xll.BDP($E137,Y$3)="#N/A Invalid Security"), " ", _xll.BDP($E137,Y$3))</f>
        <v>#NAME?</v>
      </c>
      <c r="Z137" s="106" t="e">
        <f ca="1">IF(OR(_xll.BDP($E137,Z$3)="#N/A N/A",_xll.BDP($E137,Z$3)="#N/A Invalid Security"), " ", _xll.BDP($E137,Z$3))</f>
        <v>#NAME?</v>
      </c>
      <c r="AA137" s="107"/>
      <c r="AB137" s="93" t="s">
        <v>876</v>
      </c>
      <c r="AC137" s="93" t="s">
        <v>942</v>
      </c>
      <c r="AD137" s="93" t="s">
        <v>953</v>
      </c>
      <c r="AE137" s="93" t="s">
        <v>940</v>
      </c>
      <c r="AF137" s="93" t="s">
        <v>940</v>
      </c>
      <c r="AG137" s="93" t="s">
        <v>940</v>
      </c>
      <c r="AH137" s="95" t="e">
        <f t="shared" ca="1" si="42"/>
        <v>#NAME?</v>
      </c>
      <c r="AI137" s="95" t="e">
        <f t="shared" ca="1" si="42"/>
        <v>#NAME?</v>
      </c>
      <c r="AJ137" s="95" t="e">
        <f t="shared" ca="1" si="42"/>
        <v>#NAME?</v>
      </c>
      <c r="AK137" s="95" t="e">
        <f t="shared" ca="1" si="42"/>
        <v>#NAME?</v>
      </c>
      <c r="AL137" s="95" t="e">
        <f t="shared" ca="1" si="42"/>
        <v>#NAME?</v>
      </c>
      <c r="AM137" s="95" t="e">
        <f t="shared" ca="1" si="42"/>
        <v>#NAME?</v>
      </c>
      <c r="AN137" s="66" t="str">
        <f t="shared" ca="1" si="40"/>
        <v/>
      </c>
      <c r="AO137" s="108" t="e" cm="1">
        <f t="array" aca="1" ref="AO137" ca="1">_xll.BDP($E137,"cur_mkt_cap")</f>
        <v>#NAME?</v>
      </c>
      <c r="AP137" s="108" t="e" cm="1">
        <f t="array" aca="1" ref="AP137" ca="1">_xll.BDP($E137,"crncy")</f>
        <v>#NAME?</v>
      </c>
      <c r="AQ137" s="109" t="e" cm="1">
        <f t="array" aca="1" ref="AQ137" ca="1">_xll.BDP("USD"&amp;AP137&amp;" curncy","px_last")</f>
        <v>#NAME?</v>
      </c>
      <c r="AR137" s="109" t="e">
        <f t="shared" ca="1" si="35"/>
        <v>#NAME?</v>
      </c>
      <c r="AT137" s="66" t="str">
        <f t="shared" ca="1" si="41"/>
        <v/>
      </c>
      <c r="AU137" s="66" t="str">
        <f t="shared" ca="1" si="41"/>
        <v/>
      </c>
      <c r="AV137" s="66" t="str">
        <f t="shared" ca="1" si="41"/>
        <v/>
      </c>
      <c r="AW137" s="73" t="str" cm="1">
        <f t="array" aca="1" ref="AW137" ca="1">IF(ISERROR(DATEVALUE(_xll.BDP($E137,AW$6))),"",DATEVALUE(_xll.BDP($E137,AW$6)))</f>
        <v/>
      </c>
      <c r="AX137" s="73" t="str" cm="1">
        <f t="array" aca="1" ref="AX137" ca="1">IF(ISERROR(DATEVALUE(_xll.BDP($E137,AX$2))),"",DATEVALUE(_xll.BDP($E137,AX$2)))</f>
        <v/>
      </c>
      <c r="AY137" s="73" t="str" cm="1">
        <f t="array" aca="1" ref="AY137" ca="1">IF(ISERROR(DATEVALUE(_xll.BDP($E137,AY$6))),"",DATEVALUE(_xll.BDP($E137,AY$6)))</f>
        <v/>
      </c>
      <c r="AZ137" s="110" t="e" cm="1">
        <f t="array" aca="1" ref="AZ137" ca="1">IF(_xll.BQL($E137, "last(matches(px_last(dates=range(-1w,0d)), dayofweek(px_last(dates=range(-1w,0d)).date)==6))")="#N/A","-",_xll.BQL($E137, "last(matches(px_last(dates=range(-1w,0d)), dayofweek(px_last(dates=range(-1w,0d)).date)==6))"))</f>
        <v>#NAME?</v>
      </c>
      <c r="BA137" s="109" t="e" cm="1">
        <f t="array" aca="1" ref="BA137" ca="1">IF(_xll.BQL(E137,"first(last(matches(px_last(dates=range(-1M,0D)),dayofweek(px_last(dates=range(-1M,0D)).date)==6),2),1)")="#N/A","-",_xll.BQL(E137,"first(last(matches(px_last(dates=range(-1M,0D)),dayofweek(px_last(dates=range(-1M,0D)).date)==6),2),1)"))</f>
        <v>#NAME?</v>
      </c>
      <c r="BB137" s="109" t="str">
        <f t="shared" ca="1" si="36"/>
        <v>-</v>
      </c>
    </row>
    <row r="138" spans="5:54" ht="16.5" customHeight="1" thickBot="1">
      <c r="E138" s="96" t="s">
        <v>1103</v>
      </c>
      <c r="F138" s="66" t="e">
        <f ca="1">_xll.BDP($E138,F$3)&amp;" BEST Curncy"</f>
        <v>#NAME?</v>
      </c>
      <c r="G138" s="97" t="e">
        <f t="shared" ca="1" si="43"/>
        <v>#NAME?</v>
      </c>
      <c r="I138" s="633"/>
      <c r="J138" s="98" t="e">
        <f ca="1">_xll.BDP($E138,J$3)</f>
        <v>#NAME?</v>
      </c>
      <c r="K138" s="99" t="e">
        <f ca="1">_xll.BDP($E138,K$3)</f>
        <v>#NAME?</v>
      </c>
      <c r="L138" s="100" t="str">
        <f ca="1">IF(ISNUMBER(_xll.BDH($E138,"PX_LAST",TEXT($E$2,"YYYYMMDD"),TEXT($E$2,"YYYYMMDD"),"days=a","fill=p")),_xll.BDH($E138,"PX_LAST",TEXT($E$2,"YYYYMMDD"),TEXT($E$2,"YYYYMMDD"),"days=a","fill=p"),"-")</f>
        <v>-</v>
      </c>
      <c r="M138" s="100" t="str">
        <f ca="1">IF(ISNUMBER(_xll.BDH($E138,"PX_LAST",TEXT($E$2-7,"YYYYMMDD"),TEXT($E$2-7,"YYYYMMDD"),"days=a","fill=p")),_xll.BDH($E138,"PX_LAST",TEXT($E$2-7,"YYYYMMDD"),TEXT($E$2-7,"YYYYMMDD"),"days=a","fill=p"),"-")</f>
        <v>-</v>
      </c>
      <c r="N138" s="180" t="str">
        <f t="shared" ca="1" si="44"/>
        <v>-</v>
      </c>
      <c r="O138" s="101" t="e">
        <f ca="1">IF(OR(_xll.BDP($E138,O$3)="#N/A N/A",_xll.BDP($E138,O$3)="#N/A Invalid Security"), "-", _xll.BDP($E138,O$3))</f>
        <v>#NAME?</v>
      </c>
      <c r="P138" s="182" t="str">
        <f ca="1">IF(ISNUMBER(_xll.BDH($F138,"PX_LAST",TEXT($E$2,"YYYYMMDD"),TEXT($E$2,"YYYYMMDD"),"days=a","fill=p")),_xll.BDH($F138,"PX_LAST",TEXT($E$2,"YYYYMMDD"),TEXT($E$2,"YYYYMMDD"),"days=a","fill=p"),"-")</f>
        <v>-</v>
      </c>
      <c r="Q138" s="182" t="str">
        <f ca="1">IF(ISNUMBER(_xll.BDH($F138,"PX_LAST",TEXT($E$2-7,"YYYYMMDD"),TEXT($E$2-7,"YYYYMMDD"),"days=a","fill=p")),_xll.BDH($F138,"PX_LAST",TEXT($E$2-7,"YYYYMMDD"),TEXT($E$2-7,"YYYYMMDD"),"days=a","fill=p"),"-")</f>
        <v>-</v>
      </c>
      <c r="R138" s="102" t="str">
        <f t="shared" ca="1" si="45"/>
        <v>-</v>
      </c>
      <c r="S138" s="103" t="str">
        <f ca="1">IF(ISNUMBER(_xll.BDP($F138,S$3)),_xll.BDP($F138,S$3),"-")</f>
        <v>-</v>
      </c>
      <c r="T138" s="104" t="e">
        <f t="shared" ca="1" si="34"/>
        <v>#NAME?</v>
      </c>
      <c r="U138" s="105" t="e">
        <f ca="1">IF(OR(_xll.BDP($E138,U$3)="#N/A N/A",_xll.BDP($E138,U$3)="#N/A Invalid Security"), "-", _xll.BDP($E138,U$3))</f>
        <v>#NAME?</v>
      </c>
      <c r="V138" s="105" t="e">
        <f ca="1">IF(OR(_xll.BDP($E138,V$2)="#N/A N/A",_xll.BDP($E138,V$2)="#N/A Invalid Security"), "-", _xll.BDP($E138,V$2))</f>
        <v>#NAME?</v>
      </c>
      <c r="W138" s="106" t="e">
        <f ca="1">IF(OR(_xll.BDP($E138,W$3)="#N/A N/A",_xll.BDP($E138,W$3)="#N/A Invalid Security"), "-", _xll.BDP($E138,W$3))</f>
        <v>#NAME?</v>
      </c>
      <c r="X138" s="105" t="e">
        <f ca="1">IF(OR(_xll.BDP($E138,X$3)="#N/A N/A",_xll.BDP($E138,X$3)="#N/A Invalid Security"), " ", _xll.BDP($E138,X$3))</f>
        <v>#NAME?</v>
      </c>
      <c r="Y138" s="105" t="e">
        <f ca="1">IF(OR(_xll.BDP($E138,Y$3)="#N/A N/A",_xll.BDP($E138,Y$3)="#N/A Invalid Security"), " ", _xll.BDP($E138,Y$3))</f>
        <v>#NAME?</v>
      </c>
      <c r="Z138" s="106" t="e">
        <f ca="1">IF(OR(_xll.BDP($E138,Z$3)="#N/A N/A",_xll.BDP($E138,Z$3)="#N/A Invalid Security"), " ", _xll.BDP($E138,Z$3))</f>
        <v>#NAME?</v>
      </c>
      <c r="AA138" s="107"/>
      <c r="AB138" s="93" t="s">
        <v>876</v>
      </c>
      <c r="AC138" s="93" t="s">
        <v>874</v>
      </c>
      <c r="AD138" s="93" t="s">
        <v>876</v>
      </c>
      <c r="AE138" s="93" t="s">
        <v>940</v>
      </c>
      <c r="AF138" s="93" t="s">
        <v>940</v>
      </c>
      <c r="AG138" s="93" t="s">
        <v>940</v>
      </c>
      <c r="AH138" s="95" t="e">
        <f t="shared" ca="1" si="42"/>
        <v>#NAME?</v>
      </c>
      <c r="AI138" s="95" t="e">
        <f t="shared" ca="1" si="42"/>
        <v>#NAME?</v>
      </c>
      <c r="AJ138" s="95" t="e">
        <f t="shared" ca="1" si="42"/>
        <v>#NAME?</v>
      </c>
      <c r="AK138" s="95" t="e">
        <f t="shared" ca="1" si="42"/>
        <v>#NAME?</v>
      </c>
      <c r="AL138" s="95" t="e">
        <f t="shared" ca="1" si="42"/>
        <v>#NAME?</v>
      </c>
      <c r="AM138" s="95" t="e">
        <f t="shared" ca="1" si="42"/>
        <v>#NAME?</v>
      </c>
      <c r="AN138" s="66" t="str">
        <f t="shared" ca="1" si="40"/>
        <v/>
      </c>
      <c r="AO138" s="108" t="e" cm="1">
        <f t="array" aca="1" ref="AO138" ca="1">_xll.BDP($E138,"cur_mkt_cap")</f>
        <v>#NAME?</v>
      </c>
      <c r="AP138" s="108" t="e" cm="1">
        <f t="array" aca="1" ref="AP138" ca="1">_xll.BDP($E138,"crncy")</f>
        <v>#NAME?</v>
      </c>
      <c r="AQ138" s="109" t="e" cm="1">
        <f t="array" aca="1" ref="AQ138" ca="1">_xll.BDP("USD"&amp;AP138&amp;" curncy","px_last")</f>
        <v>#NAME?</v>
      </c>
      <c r="AR138" s="109" t="e">
        <f t="shared" ca="1" si="35"/>
        <v>#NAME?</v>
      </c>
      <c r="AT138" s="66" t="str">
        <f t="shared" ca="1" si="41"/>
        <v/>
      </c>
      <c r="AU138" s="66" t="str">
        <f t="shared" ca="1" si="41"/>
        <v/>
      </c>
      <c r="AV138" s="66" t="str">
        <f t="shared" ca="1" si="41"/>
        <v/>
      </c>
      <c r="AW138" s="73" t="str" cm="1">
        <f t="array" aca="1" ref="AW138" ca="1">IF(ISERROR(DATEVALUE(_xll.BDP($E138,AW$6))),"",DATEVALUE(_xll.BDP($E138,AW$6)))</f>
        <v/>
      </c>
      <c r="AX138" s="73" t="str" cm="1">
        <f t="array" aca="1" ref="AX138" ca="1">IF(ISERROR(DATEVALUE(_xll.BDP($E138,AX$2))),"",DATEVALUE(_xll.BDP($E138,AX$2)))</f>
        <v/>
      </c>
      <c r="AY138" s="73" t="str" cm="1">
        <f t="array" aca="1" ref="AY138" ca="1">IF(ISERROR(DATEVALUE(_xll.BDP($E138,AY$6))),"",DATEVALUE(_xll.BDP($E138,AY$6)))</f>
        <v/>
      </c>
      <c r="AZ138" s="110" t="e" cm="1">
        <f t="array" aca="1" ref="AZ138" ca="1">IF(_xll.BQL($E138, "last(matches(px_last(dates=range(-1w,0d)), dayofweek(px_last(dates=range(-1w,0d)).date)==6))")="#N/A","-",_xll.BQL($E138, "last(matches(px_last(dates=range(-1w,0d)), dayofweek(px_last(dates=range(-1w,0d)).date)==6))"))</f>
        <v>#NAME?</v>
      </c>
      <c r="BA138" s="109" t="e" cm="1">
        <f t="array" aca="1" ref="BA138" ca="1">IF(_xll.BQL(E138,"first(last(matches(px_last(dates=range(-1M,0D)),dayofweek(px_last(dates=range(-1M,0D)).date)==6),2),1)")="#N/A","-",_xll.BQL(E138,"first(last(matches(px_last(dates=range(-1M,0D)),dayofweek(px_last(dates=range(-1M,0D)).date)==6),2),1)"))</f>
        <v>#NAME?</v>
      </c>
      <c r="BB138" s="109" t="str">
        <f t="shared" ca="1" si="36"/>
        <v>-</v>
      </c>
    </row>
    <row r="139" spans="5:54" ht="16.5" customHeight="1" thickBot="1">
      <c r="E139" s="96" t="s">
        <v>1104</v>
      </c>
      <c r="F139" s="66" t="e">
        <f ca="1">_xll.BDP($E139,F$3)&amp;" BEST Curncy"</f>
        <v>#NAME?</v>
      </c>
      <c r="G139" s="97" t="e">
        <f t="shared" ca="1" si="43"/>
        <v>#NAME?</v>
      </c>
      <c r="I139" s="633"/>
      <c r="J139" s="98" t="e">
        <f ca="1">_xll.BDP($E139,J$3)</f>
        <v>#NAME?</v>
      </c>
      <c r="K139" s="99" t="e">
        <f ca="1">_xll.BDP($E139,K$3)</f>
        <v>#NAME?</v>
      </c>
      <c r="L139" s="100" t="str">
        <f ca="1">IF(ISNUMBER(_xll.BDH($E139,"PX_LAST",TEXT($E$2,"YYYYMMDD"),TEXT($E$2,"YYYYMMDD"),"days=a","fill=p")),_xll.BDH($E139,"PX_LAST",TEXT($E$2,"YYYYMMDD"),TEXT($E$2,"YYYYMMDD"),"days=a","fill=p"),"-")</f>
        <v>-</v>
      </c>
      <c r="M139" s="100" t="str">
        <f ca="1">IF(ISNUMBER(_xll.BDH($E139,"PX_LAST",TEXT($E$2-7,"YYYYMMDD"),TEXT($E$2-7,"YYYYMMDD"),"days=a","fill=p")),_xll.BDH($E139,"PX_LAST",TEXT($E$2-7,"YYYYMMDD"),TEXT($E$2-7,"YYYYMMDD"),"days=a","fill=p"),"-")</f>
        <v>-</v>
      </c>
      <c r="N139" s="180" t="str">
        <f t="shared" ca="1" si="44"/>
        <v>-</v>
      </c>
      <c r="O139" s="101" t="e">
        <f ca="1">IF(OR(_xll.BDP($E139,O$3)="#N/A N/A",_xll.BDP($E139,O$3)="#N/A Invalid Security"), "-", _xll.BDP($E139,O$3))</f>
        <v>#NAME?</v>
      </c>
      <c r="P139" s="182" t="str">
        <f ca="1">IF(ISNUMBER(_xll.BDH($F139,"PX_LAST",TEXT($E$2,"YYYYMMDD"),TEXT($E$2,"YYYYMMDD"),"days=a","fill=p")),_xll.BDH($F139,"PX_LAST",TEXT($E$2,"YYYYMMDD"),TEXT($E$2,"YYYYMMDD"),"days=a","fill=p"),"-")</f>
        <v>-</v>
      </c>
      <c r="Q139" s="182" t="str">
        <f ca="1">IF(ISNUMBER(_xll.BDH($F139,"PX_LAST",TEXT($E$2-7,"YYYYMMDD"),TEXT($E$2-7,"YYYYMMDD"),"days=a","fill=p")),_xll.BDH($F139,"PX_LAST",TEXT($E$2-7,"YYYYMMDD"),TEXT($E$2-7,"YYYYMMDD"),"days=a","fill=p"),"-")</f>
        <v>-</v>
      </c>
      <c r="R139" s="102" t="str">
        <f t="shared" ca="1" si="45"/>
        <v>-</v>
      </c>
      <c r="S139" s="103" t="str">
        <f ca="1">IF(ISNUMBER(_xll.BDP($F139,S$3)),_xll.BDP($F139,S$3),"-")</f>
        <v>-</v>
      </c>
      <c r="T139" s="104" t="e">
        <f t="shared" ca="1" si="34"/>
        <v>#NAME?</v>
      </c>
      <c r="U139" s="105" t="e">
        <f ca="1">IF(OR(_xll.BDP($E139,U$3)="#N/A N/A",_xll.BDP($E139,U$3)="#N/A Invalid Security"), "-", _xll.BDP($E139,U$3))</f>
        <v>#NAME?</v>
      </c>
      <c r="V139" s="105" t="e">
        <f ca="1">IF(OR(_xll.BDP($E139,V$2)="#N/A N/A",_xll.BDP($E139,V$2)="#N/A Invalid Security"), "-", _xll.BDP($E139,V$2))</f>
        <v>#NAME?</v>
      </c>
      <c r="W139" s="106" t="e">
        <f ca="1">IF(OR(_xll.BDP($E139,W$3)="#N/A N/A",_xll.BDP($E139,W$3)="#N/A Invalid Security"), "-", _xll.BDP($E139,W$3))</f>
        <v>#NAME?</v>
      </c>
      <c r="X139" s="105" t="e">
        <f ca="1">IF(OR(_xll.BDP($E139,X$3)="#N/A N/A",_xll.BDP($E139,X$3)="#N/A Invalid Security"), " ", _xll.BDP($E139,X$3))</f>
        <v>#NAME?</v>
      </c>
      <c r="Y139" s="105" t="e">
        <f ca="1">IF(OR(_xll.BDP($E139,Y$3)="#N/A N/A",_xll.BDP($E139,Y$3)="#N/A Invalid Security"), " ", _xll.BDP($E139,Y$3))</f>
        <v>#NAME?</v>
      </c>
      <c r="Z139" s="106" t="e">
        <f ca="1">IF(OR(_xll.BDP($E139,Z$3)="#N/A N/A",_xll.BDP($E139,Z$3)="#N/A Invalid Security"), " ", _xll.BDP($E139,Z$3))</f>
        <v>#NAME?</v>
      </c>
      <c r="AA139" s="107"/>
      <c r="AB139" s="93" t="s">
        <v>1004</v>
      </c>
      <c r="AC139" s="93" t="s">
        <v>942</v>
      </c>
      <c r="AD139" s="93" t="s">
        <v>876</v>
      </c>
      <c r="AE139" s="93" t="s">
        <v>940</v>
      </c>
      <c r="AF139" s="93" t="s">
        <v>940</v>
      </c>
      <c r="AG139" s="93" t="s">
        <v>940</v>
      </c>
      <c r="AH139" s="95" t="e">
        <f t="shared" ca="1" si="42"/>
        <v>#NAME?</v>
      </c>
      <c r="AI139" s="95" t="e">
        <f t="shared" ca="1" si="42"/>
        <v>#NAME?</v>
      </c>
      <c r="AJ139" s="95" t="e">
        <f t="shared" ca="1" si="42"/>
        <v>#NAME?</v>
      </c>
      <c r="AK139" s="95" t="e">
        <f t="shared" ca="1" si="42"/>
        <v>#NAME?</v>
      </c>
      <c r="AL139" s="95" t="e">
        <f t="shared" ca="1" si="42"/>
        <v>#NAME?</v>
      </c>
      <c r="AM139" s="95" t="e">
        <f t="shared" ca="1" si="42"/>
        <v>#NAME?</v>
      </c>
      <c r="AN139" s="66" t="str">
        <f t="shared" ca="1" si="40"/>
        <v/>
      </c>
      <c r="AO139" s="108" t="e" cm="1">
        <f t="array" aca="1" ref="AO139" ca="1">_xll.BDP($E139,"cur_mkt_cap")</f>
        <v>#NAME?</v>
      </c>
      <c r="AP139" s="108" t="e" cm="1">
        <f t="array" aca="1" ref="AP139" ca="1">_xll.BDP($E139,"crncy")</f>
        <v>#NAME?</v>
      </c>
      <c r="AQ139" s="109" t="e" cm="1">
        <f t="array" aca="1" ref="AQ139" ca="1">_xll.BDP("USD"&amp;AP139&amp;" curncy","px_last")</f>
        <v>#NAME?</v>
      </c>
      <c r="AR139" s="109" t="e">
        <f t="shared" ca="1" si="35"/>
        <v>#NAME?</v>
      </c>
      <c r="AT139" s="66" t="str">
        <f t="shared" ca="1" si="41"/>
        <v/>
      </c>
      <c r="AU139" s="66" t="str">
        <f t="shared" ca="1" si="41"/>
        <v/>
      </c>
      <c r="AV139" s="66" t="str">
        <f t="shared" ca="1" si="41"/>
        <v/>
      </c>
      <c r="AW139" s="73" t="str" cm="1">
        <f t="array" aca="1" ref="AW139" ca="1">IF(ISERROR(DATEVALUE(_xll.BDP($E139,AW$6))),"",DATEVALUE(_xll.BDP($E139,AW$6)))</f>
        <v/>
      </c>
      <c r="AX139" s="73" t="str" cm="1">
        <f t="array" aca="1" ref="AX139" ca="1">IF(ISERROR(DATEVALUE(_xll.BDP($E139,AX$2))),"",DATEVALUE(_xll.BDP($E139,AX$2)))</f>
        <v/>
      </c>
      <c r="AY139" s="73" t="str" cm="1">
        <f t="array" aca="1" ref="AY139" ca="1">IF(ISERROR(DATEVALUE(_xll.BDP($E139,AY$6))),"",DATEVALUE(_xll.BDP($E139,AY$6)))</f>
        <v/>
      </c>
      <c r="AZ139" s="110" t="e" cm="1">
        <f t="array" aca="1" ref="AZ139" ca="1">IF(_xll.BQL($E139, "last(matches(px_last(dates=range(-1w,0d)), dayofweek(px_last(dates=range(-1w,0d)).date)==6))")="#N/A","-",_xll.BQL($E139, "last(matches(px_last(dates=range(-1w,0d)), dayofweek(px_last(dates=range(-1w,0d)).date)==6))"))</f>
        <v>#NAME?</v>
      </c>
      <c r="BA139" s="109" t="e" cm="1">
        <f t="array" aca="1" ref="BA139" ca="1">IF(_xll.BQL(E139,"first(last(matches(px_last(dates=range(-1M,0D)),dayofweek(px_last(dates=range(-1M,0D)).date)==6),2),1)")="#N/A","-",_xll.BQL(E139,"first(last(matches(px_last(dates=range(-1M,0D)),dayofweek(px_last(dates=range(-1M,0D)).date)==6),2),1)"))</f>
        <v>#NAME?</v>
      </c>
      <c r="BB139" s="109" t="str">
        <f t="shared" ca="1" si="36"/>
        <v>-</v>
      </c>
    </row>
    <row r="140" spans="5:54" ht="16.5" customHeight="1" thickBot="1">
      <c r="E140" s="96" t="s">
        <v>1105</v>
      </c>
      <c r="F140" s="66" t="e">
        <f ca="1">_xll.BDP($E140,F$3)&amp;" BEST Curncy"</f>
        <v>#NAME?</v>
      </c>
      <c r="G140" s="97" t="e">
        <f t="shared" ca="1" si="43"/>
        <v>#NAME?</v>
      </c>
      <c r="I140" s="633"/>
      <c r="J140" s="98" t="e">
        <f ca="1">_xll.BDP($E140,J$3)</f>
        <v>#NAME?</v>
      </c>
      <c r="K140" s="99" t="e">
        <f ca="1">_xll.BDP($E140,K$3)</f>
        <v>#NAME?</v>
      </c>
      <c r="L140" s="100" t="str">
        <f ca="1">IF(ISNUMBER(_xll.BDH($E140,"PX_LAST",TEXT($E$2,"YYYYMMDD"),TEXT($E$2,"YYYYMMDD"),"days=a","fill=p")),_xll.BDH($E140,"PX_LAST",TEXT($E$2,"YYYYMMDD"),TEXT($E$2,"YYYYMMDD"),"days=a","fill=p"),"-")</f>
        <v>-</v>
      </c>
      <c r="M140" s="100" t="str">
        <f ca="1">IF(ISNUMBER(_xll.BDH($E140,"PX_LAST",TEXT($E$2-7,"YYYYMMDD"),TEXT($E$2-7,"YYYYMMDD"),"days=a","fill=p")),_xll.BDH($E140,"PX_LAST",TEXT($E$2-7,"YYYYMMDD"),TEXT($E$2-7,"YYYYMMDD"),"days=a","fill=p"),"-")</f>
        <v>-</v>
      </c>
      <c r="N140" s="180" t="str">
        <f t="shared" ca="1" si="44"/>
        <v>-</v>
      </c>
      <c r="O140" s="101" t="e">
        <f ca="1">IF(OR(_xll.BDP($E140,O$3)="#N/A N/A",_xll.BDP($E140,O$3)="#N/A Invalid Security"), "-", _xll.BDP($E140,O$3))</f>
        <v>#NAME?</v>
      </c>
      <c r="P140" s="182" t="str">
        <f ca="1">IF(ISNUMBER(_xll.BDH($F140,"PX_LAST",TEXT($E$2,"YYYYMMDD"),TEXT($E$2,"YYYYMMDD"),"days=a","fill=p")),_xll.BDH($F140,"PX_LAST",TEXT($E$2,"YYYYMMDD"),TEXT($E$2,"YYYYMMDD"),"days=a","fill=p"),"-")</f>
        <v>-</v>
      </c>
      <c r="Q140" s="182" t="str">
        <f ca="1">IF(ISNUMBER(_xll.BDH($F140,"PX_LAST",TEXT($E$2-7,"YYYYMMDD"),TEXT($E$2-7,"YYYYMMDD"),"days=a","fill=p")),_xll.BDH($F140,"PX_LAST",TEXT($E$2-7,"YYYYMMDD"),TEXT($E$2-7,"YYYYMMDD"),"days=a","fill=p"),"-")</f>
        <v>-</v>
      </c>
      <c r="R140" s="102" t="str">
        <f t="shared" ca="1" si="45"/>
        <v>-</v>
      </c>
      <c r="S140" s="103" t="str">
        <f ca="1">IF(ISNUMBER(_xll.BDP($F140,S$3)),_xll.BDP($F140,S$3),"-")</f>
        <v>-</v>
      </c>
      <c r="T140" s="104" t="e">
        <f t="shared" ca="1" si="34"/>
        <v>#NAME?</v>
      </c>
      <c r="U140" s="105" t="e">
        <f ca="1">IF(OR(_xll.BDP($E140,U$3)="#N/A N/A",_xll.BDP($E140,U$3)="#N/A Invalid Security"), "-", _xll.BDP($E140,U$3))</f>
        <v>#NAME?</v>
      </c>
      <c r="V140" s="105" t="e">
        <f ca="1">IF(OR(_xll.BDP($E140,V$2)="#N/A N/A",_xll.BDP($E140,V$2)="#N/A Invalid Security"), "-", _xll.BDP($E140,V$2))</f>
        <v>#NAME?</v>
      </c>
      <c r="W140" s="106" t="e">
        <f ca="1">IF(OR(_xll.BDP($E140,W$3)="#N/A N/A",_xll.BDP($E140,W$3)="#N/A Invalid Security"), "-", _xll.BDP($E140,W$3))</f>
        <v>#NAME?</v>
      </c>
      <c r="X140" s="105" t="e">
        <f ca="1">IF(OR(_xll.BDP($E140,X$3)="#N/A N/A",_xll.BDP($E140,X$3)="#N/A Invalid Security"), " ", _xll.BDP($E140,X$3))</f>
        <v>#NAME?</v>
      </c>
      <c r="Y140" s="105" t="e">
        <f ca="1">IF(OR(_xll.BDP($E140,Y$3)="#N/A N/A",_xll.BDP($E140,Y$3)="#N/A Invalid Security"), " ", _xll.BDP($E140,Y$3))</f>
        <v>#NAME?</v>
      </c>
      <c r="Z140" s="106" t="e">
        <f ca="1">IF(OR(_xll.BDP($E140,Z$3)="#N/A N/A",_xll.BDP($E140,Z$3)="#N/A Invalid Security"), " ", _xll.BDP($E140,Z$3))</f>
        <v>#NAME?</v>
      </c>
      <c r="AA140" s="107"/>
      <c r="AB140" s="93" t="s">
        <v>953</v>
      </c>
      <c r="AC140" s="93" t="s">
        <v>939</v>
      </c>
      <c r="AD140" s="93" t="s">
        <v>985</v>
      </c>
      <c r="AE140" s="93" t="s">
        <v>940</v>
      </c>
      <c r="AF140" s="93" t="s">
        <v>940</v>
      </c>
      <c r="AG140" s="93" t="s">
        <v>948</v>
      </c>
      <c r="AH140" s="95" t="e">
        <f t="shared" ca="1" si="42"/>
        <v>#NAME?</v>
      </c>
      <c r="AI140" s="95" t="e">
        <f t="shared" ca="1" si="42"/>
        <v>#NAME?</v>
      </c>
      <c r="AJ140" s="95" t="e">
        <f t="shared" ca="1" si="42"/>
        <v>#NAME?</v>
      </c>
      <c r="AK140" s="95" t="e">
        <f t="shared" ca="1" si="42"/>
        <v>#NAME?</v>
      </c>
      <c r="AL140" s="95" t="e">
        <f t="shared" ca="1" si="42"/>
        <v>#NAME?</v>
      </c>
      <c r="AM140" s="95" t="e">
        <f t="shared" ca="1" si="42"/>
        <v>#NAME?</v>
      </c>
      <c r="AN140" s="66" t="str">
        <f t="shared" ca="1" si="40"/>
        <v/>
      </c>
      <c r="AO140" s="108" t="e" cm="1">
        <f t="array" aca="1" ref="AO140" ca="1">_xll.BDP($E140,"cur_mkt_cap")</f>
        <v>#NAME?</v>
      </c>
      <c r="AP140" s="108" t="e" cm="1">
        <f t="array" aca="1" ref="AP140" ca="1">_xll.BDP($E140,"crncy")</f>
        <v>#NAME?</v>
      </c>
      <c r="AQ140" s="109" t="e" cm="1">
        <f t="array" aca="1" ref="AQ140" ca="1">_xll.BDP("USD"&amp;AP140&amp;" curncy","px_last")</f>
        <v>#NAME?</v>
      </c>
      <c r="AR140" s="109" t="e">
        <f t="shared" ca="1" si="35"/>
        <v>#NAME?</v>
      </c>
      <c r="AT140" s="66" t="str">
        <f t="shared" ca="1" si="41"/>
        <v/>
      </c>
      <c r="AU140" s="66" t="str">
        <f t="shared" ca="1" si="41"/>
        <v/>
      </c>
      <c r="AV140" s="66" t="str">
        <f t="shared" ca="1" si="41"/>
        <v/>
      </c>
      <c r="AW140" s="73" t="str" cm="1">
        <f t="array" aca="1" ref="AW140" ca="1">IF(ISERROR(DATEVALUE(_xll.BDP($E140,AW$6))),"",DATEVALUE(_xll.BDP($E140,AW$6)))</f>
        <v/>
      </c>
      <c r="AX140" s="73" t="str" cm="1">
        <f t="array" aca="1" ref="AX140" ca="1">IF(ISERROR(DATEVALUE(_xll.BDP($E140,AX$2))),"",DATEVALUE(_xll.BDP($E140,AX$2)))</f>
        <v/>
      </c>
      <c r="AY140" s="73" t="str" cm="1">
        <f t="array" aca="1" ref="AY140" ca="1">IF(ISERROR(DATEVALUE(_xll.BDP($E140,AY$6))),"",DATEVALUE(_xll.BDP($E140,AY$6)))</f>
        <v/>
      </c>
      <c r="AZ140" s="110" t="e" cm="1">
        <f t="array" aca="1" ref="AZ140" ca="1">IF(_xll.BQL($E140, "last(matches(px_last(dates=range(-1w,0d)), dayofweek(px_last(dates=range(-1w,0d)).date)==6))")="#N/A","-",_xll.BQL($E140, "last(matches(px_last(dates=range(-1w,0d)), dayofweek(px_last(dates=range(-1w,0d)).date)==6))"))</f>
        <v>#NAME?</v>
      </c>
      <c r="BA140" s="109" t="e" cm="1">
        <f t="array" aca="1" ref="BA140" ca="1">IF(_xll.BQL(E140,"first(last(matches(px_last(dates=range(-1M,0D)),dayofweek(px_last(dates=range(-1M,0D)).date)==6),2),1)")="#N/A","-",_xll.BQL(E140,"first(last(matches(px_last(dates=range(-1M,0D)),dayofweek(px_last(dates=range(-1M,0D)).date)==6),2),1)"))</f>
        <v>#NAME?</v>
      </c>
      <c r="BB140" s="109" t="str">
        <f t="shared" ca="1" si="36"/>
        <v>-</v>
      </c>
    </row>
    <row r="141" spans="5:54" ht="16.5" customHeight="1" thickBot="1">
      <c r="E141" s="96" t="s">
        <v>1106</v>
      </c>
      <c r="F141" s="66" t="e">
        <f ca="1">_xll.BDP($E141,F$3)&amp;" BEST Curncy"</f>
        <v>#NAME?</v>
      </c>
      <c r="G141" s="97" t="e">
        <f t="shared" ca="1" si="43"/>
        <v>#NAME?</v>
      </c>
      <c r="I141" s="633"/>
      <c r="J141" s="98" t="e">
        <f ca="1">_xll.BDP($E141,J$3)</f>
        <v>#NAME?</v>
      </c>
      <c r="K141" s="99" t="e">
        <f ca="1">_xll.BDP($E141,K$3)</f>
        <v>#NAME?</v>
      </c>
      <c r="L141" s="100" t="str">
        <f ca="1">IF(ISNUMBER(_xll.BDH($E141,"PX_LAST",TEXT($E$2,"YYYYMMDD"),TEXT($E$2,"YYYYMMDD"),"days=a","fill=p")),_xll.BDH($E141,"PX_LAST",TEXT($E$2,"YYYYMMDD"),TEXT($E$2,"YYYYMMDD"),"days=a","fill=p"),"-")</f>
        <v>-</v>
      </c>
      <c r="M141" s="100" t="str">
        <f ca="1">IF(ISNUMBER(_xll.BDH($E141,"PX_LAST",TEXT($E$2-7,"YYYYMMDD"),TEXT($E$2-7,"YYYYMMDD"),"days=a","fill=p")),_xll.BDH($E141,"PX_LAST",TEXT($E$2-7,"YYYYMMDD"),TEXT($E$2-7,"YYYYMMDD"),"days=a","fill=p"),"-")</f>
        <v>-</v>
      </c>
      <c r="N141" s="180" t="str">
        <f t="shared" ca="1" si="44"/>
        <v>-</v>
      </c>
      <c r="O141" s="101" t="e">
        <f ca="1">IF(OR(_xll.BDP($E141,O$3)="#N/A N/A",_xll.BDP($E141,O$3)="#N/A Invalid Security"), "-", _xll.BDP($E141,O$3))</f>
        <v>#NAME?</v>
      </c>
      <c r="P141" s="182" t="str">
        <f ca="1">IF(ISNUMBER(_xll.BDH($F141,"PX_LAST",TEXT($E$2,"YYYYMMDD"),TEXT($E$2,"YYYYMMDD"),"days=a","fill=p")),_xll.BDH($F141,"PX_LAST",TEXT($E$2,"YYYYMMDD"),TEXT($E$2,"YYYYMMDD"),"days=a","fill=p"),"-")</f>
        <v>-</v>
      </c>
      <c r="Q141" s="182" t="str">
        <f ca="1">IF(ISNUMBER(_xll.BDH($F141,"PX_LAST",TEXT($E$2-7,"YYYYMMDD"),TEXT($E$2-7,"YYYYMMDD"),"days=a","fill=p")),_xll.BDH($F141,"PX_LAST",TEXT($E$2-7,"YYYYMMDD"),TEXT($E$2-7,"YYYYMMDD"),"days=a","fill=p"),"-")</f>
        <v>-</v>
      </c>
      <c r="R141" s="102" t="str">
        <f t="shared" ca="1" si="45"/>
        <v>-</v>
      </c>
      <c r="S141" s="103" t="str">
        <f ca="1">IF(ISNUMBER(_xll.BDP($F141,S$3)),_xll.BDP($F141,S$3),"-")</f>
        <v>-</v>
      </c>
      <c r="T141" s="104" t="e">
        <f t="shared" ca="1" si="34"/>
        <v>#NAME?</v>
      </c>
      <c r="U141" s="105" t="e">
        <f ca="1">IF(OR(_xll.BDP($E141,U$3)="#N/A N/A",_xll.BDP($E141,U$3)="#N/A Invalid Security"), "-", _xll.BDP($E141,U$3))</f>
        <v>#NAME?</v>
      </c>
      <c r="V141" s="105" t="e">
        <f ca="1">IF(OR(_xll.BDP($E141,V$2)="#N/A N/A",_xll.BDP($E141,V$2)="#N/A Invalid Security"), "-", _xll.BDP($E141,V$2))</f>
        <v>#NAME?</v>
      </c>
      <c r="W141" s="106" t="e">
        <f ca="1">IF(OR(_xll.BDP($E141,W$3)="#N/A N/A",_xll.BDP($E141,W$3)="#N/A Invalid Security"), "-", _xll.BDP($E141,W$3))</f>
        <v>#NAME?</v>
      </c>
      <c r="X141" s="105" t="e">
        <f ca="1">IF(OR(_xll.BDP($E141,X$3)="#N/A N/A",_xll.BDP($E141,X$3)="#N/A Invalid Security"), " ", _xll.BDP($E141,X$3))</f>
        <v>#NAME?</v>
      </c>
      <c r="Y141" s="105" t="e">
        <f ca="1">IF(OR(_xll.BDP($E141,Y$3)="#N/A N/A",_xll.BDP($E141,Y$3)="#N/A Invalid Security"), " ", _xll.BDP($E141,Y$3))</f>
        <v>#NAME?</v>
      </c>
      <c r="Z141" s="106" t="e">
        <f ca="1">IF(OR(_xll.BDP($E141,Z$3)="#N/A N/A",_xll.BDP($E141,Z$3)="#N/A Invalid Security"), " ", _xll.BDP($E141,Z$3))</f>
        <v>#NAME?</v>
      </c>
      <c r="AA141" s="107"/>
      <c r="AB141" s="93" t="s">
        <v>953</v>
      </c>
      <c r="AC141" s="93" t="s">
        <v>939</v>
      </c>
      <c r="AD141" s="93" t="s">
        <v>997</v>
      </c>
      <c r="AE141" s="93" t="s">
        <v>948</v>
      </c>
      <c r="AF141" s="93" t="s">
        <v>940</v>
      </c>
      <c r="AG141" s="93" t="s">
        <v>940</v>
      </c>
      <c r="AH141" s="95" t="e">
        <f t="shared" ca="1" si="42"/>
        <v>#NAME?</v>
      </c>
      <c r="AI141" s="95" t="e">
        <f t="shared" ca="1" si="42"/>
        <v>#NAME?</v>
      </c>
      <c r="AJ141" s="95" t="e">
        <f t="shared" ca="1" si="42"/>
        <v>#NAME?</v>
      </c>
      <c r="AK141" s="95" t="e">
        <f t="shared" ca="1" si="42"/>
        <v>#NAME?</v>
      </c>
      <c r="AL141" s="95" t="e">
        <f t="shared" ca="1" si="42"/>
        <v>#NAME?</v>
      </c>
      <c r="AM141" s="95" t="e">
        <f t="shared" ca="1" si="42"/>
        <v>#NAME?</v>
      </c>
      <c r="AN141" s="66" t="str">
        <f t="shared" ca="1" si="40"/>
        <v/>
      </c>
      <c r="AO141" s="108" t="e" cm="1">
        <f t="array" aca="1" ref="AO141" ca="1">_xll.BDP($E141,"cur_mkt_cap")</f>
        <v>#NAME?</v>
      </c>
      <c r="AP141" s="108" t="e" cm="1">
        <f t="array" aca="1" ref="AP141" ca="1">_xll.BDP($E141,"crncy")</f>
        <v>#NAME?</v>
      </c>
      <c r="AQ141" s="109" t="e" cm="1">
        <f t="array" aca="1" ref="AQ141" ca="1">_xll.BDP("USD"&amp;AP141&amp;" curncy","px_last")</f>
        <v>#NAME?</v>
      </c>
      <c r="AR141" s="109" t="e">
        <f t="shared" ca="1" si="35"/>
        <v>#NAME?</v>
      </c>
      <c r="AT141" s="66" t="str">
        <f t="shared" ca="1" si="41"/>
        <v/>
      </c>
      <c r="AU141" s="66" t="str">
        <f t="shared" ca="1" si="41"/>
        <v/>
      </c>
      <c r="AV141" s="66" t="str">
        <f t="shared" ca="1" si="41"/>
        <v/>
      </c>
      <c r="AW141" s="73" t="str" cm="1">
        <f t="array" aca="1" ref="AW141" ca="1">IF(ISERROR(DATEVALUE(_xll.BDP($E141,AW$6))),"",DATEVALUE(_xll.BDP($E141,AW$6)))</f>
        <v/>
      </c>
      <c r="AX141" s="73" t="str" cm="1">
        <f t="array" aca="1" ref="AX141" ca="1">IF(ISERROR(DATEVALUE(_xll.BDP($E141,AX$2))),"",DATEVALUE(_xll.BDP($E141,AX$2)))</f>
        <v/>
      </c>
      <c r="AY141" s="73" t="str" cm="1">
        <f t="array" aca="1" ref="AY141" ca="1">IF(ISERROR(DATEVALUE(_xll.BDP($E141,AY$6))),"",DATEVALUE(_xll.BDP($E141,AY$6)))</f>
        <v/>
      </c>
      <c r="AZ141" s="110" t="e" cm="1">
        <f t="array" aca="1" ref="AZ141" ca="1">IF(_xll.BQL($E141, "last(matches(px_last(dates=range(-1w,0d)), dayofweek(px_last(dates=range(-1w,0d)).date)==6))")="#N/A","-",_xll.BQL($E141, "last(matches(px_last(dates=range(-1w,0d)), dayofweek(px_last(dates=range(-1w,0d)).date)==6))"))</f>
        <v>#NAME?</v>
      </c>
      <c r="BA141" s="109" t="e" cm="1">
        <f t="array" aca="1" ref="BA141" ca="1">IF(_xll.BQL(E141,"first(last(matches(px_last(dates=range(-1M,0D)),dayofweek(px_last(dates=range(-1M,0D)).date)==6),2),1)")="#N/A","-",_xll.BQL(E141,"first(last(matches(px_last(dates=range(-1M,0D)),dayofweek(px_last(dates=range(-1M,0D)).date)==6),2),1)"))</f>
        <v>#NAME?</v>
      </c>
      <c r="BB141" s="109" t="str">
        <f t="shared" ca="1" si="36"/>
        <v>-</v>
      </c>
    </row>
    <row r="142" spans="5:54" ht="16.5" customHeight="1" thickBot="1">
      <c r="E142" s="157" t="s">
        <v>1107</v>
      </c>
      <c r="F142" s="66" t="e">
        <f ca="1">_xll.BDP($E142,F$3)&amp;" BEST Curncy"</f>
        <v>#NAME?</v>
      </c>
      <c r="G142" s="97" t="e">
        <f t="shared" ca="1" si="43"/>
        <v>#NAME?</v>
      </c>
      <c r="I142" s="633"/>
      <c r="J142" s="98" t="e">
        <f ca="1">_xll.BDP($E142,J$3)</f>
        <v>#NAME?</v>
      </c>
      <c r="K142" s="99" t="e">
        <f ca="1">_xll.BDP($E142,K$3)</f>
        <v>#NAME?</v>
      </c>
      <c r="L142" s="100" t="str">
        <f ca="1">IF(ISNUMBER(_xll.BDH($E142,"PX_LAST",TEXT($E$2,"YYYYMMDD"),TEXT($E$2,"YYYYMMDD"),"days=a","fill=p")),_xll.BDH($E142,"PX_LAST",TEXT($E$2,"YYYYMMDD"),TEXT($E$2,"YYYYMMDD"),"days=a","fill=p"),"-")</f>
        <v>-</v>
      </c>
      <c r="M142" s="100" t="str">
        <f ca="1">IF(ISNUMBER(_xll.BDH($E142,"PX_LAST",TEXT($E$2-7,"YYYYMMDD"),TEXT($E$2-7,"YYYYMMDD"),"days=a","fill=p")),_xll.BDH($E142,"PX_LAST",TEXT($E$2-7,"YYYYMMDD"),TEXT($E$2-7,"YYYYMMDD"),"days=a","fill=p"),"-")</f>
        <v>-</v>
      </c>
      <c r="N142" s="180" t="str">
        <f t="shared" ca="1" si="44"/>
        <v>-</v>
      </c>
      <c r="O142" s="101" t="e">
        <f ca="1">IF(OR(_xll.BDP($E142,O$3)="#N/A N/A",_xll.BDP($E142,O$3)="#N/A Invalid Security"), "-", _xll.BDP($E142,O$3))</f>
        <v>#NAME?</v>
      </c>
      <c r="P142" s="182" t="str">
        <f ca="1">IF(ISNUMBER(_xll.BDH($F142,"PX_LAST",TEXT($E$2,"YYYYMMDD"),TEXT($E$2,"YYYYMMDD"),"days=a","fill=p")),_xll.BDH($F142,"PX_LAST",TEXT($E$2,"YYYYMMDD"),TEXT($E$2,"YYYYMMDD"),"days=a","fill=p"),"-")</f>
        <v>-</v>
      </c>
      <c r="Q142" s="182" t="str">
        <f ca="1">IF(ISNUMBER(_xll.BDH($F142,"PX_LAST",TEXT($E$2-7,"YYYYMMDD"),TEXT($E$2-7,"YYYYMMDD"),"days=a","fill=p")),_xll.BDH($F142,"PX_LAST",TEXT($E$2-7,"YYYYMMDD"),TEXT($E$2-7,"YYYYMMDD"),"days=a","fill=p"),"-")</f>
        <v>-</v>
      </c>
      <c r="R142" s="102" t="str">
        <f t="shared" ca="1" si="45"/>
        <v>-</v>
      </c>
      <c r="S142" s="103" t="str">
        <f ca="1">IF(ISNUMBER(_xll.BDP($F142,S$3)),_xll.BDP($F142,S$3),"-")</f>
        <v>-</v>
      </c>
      <c r="T142" s="104" t="e">
        <f t="shared" ca="1" si="34"/>
        <v>#NAME?</v>
      </c>
      <c r="U142" s="105" t="e">
        <f ca="1">IF(OR(_xll.BDP($E142,U$3)="#N/A N/A",_xll.BDP($E142,U$3)="#N/A Invalid Security"), "-", _xll.BDP($E142,U$3))</f>
        <v>#NAME?</v>
      </c>
      <c r="V142" s="105" t="e">
        <f ca="1">IF(OR(_xll.BDP($E142,V$2)="#N/A N/A",_xll.BDP($E142,V$2)="#N/A Invalid Security"), "-", _xll.BDP($E142,V$2))</f>
        <v>#NAME?</v>
      </c>
      <c r="W142" s="106" t="e">
        <f ca="1">IF(OR(_xll.BDP($E142,W$3)="#N/A N/A",_xll.BDP($E142,W$3)="#N/A Invalid Security"), "-", _xll.BDP($E142,W$3))</f>
        <v>#NAME?</v>
      </c>
      <c r="X142" s="105" t="e">
        <f ca="1">IF(OR(_xll.BDP($E142,X$3)="#N/A N/A",_xll.BDP($E142,X$3)="#N/A Invalid Security"), " ", _xll.BDP($E142,X$3))</f>
        <v>#NAME?</v>
      </c>
      <c r="Y142" s="105" t="e">
        <f ca="1">IF(OR(_xll.BDP($E142,Y$3)="#N/A N/A",_xll.BDP($E142,Y$3)="#N/A Invalid Security"), " ", _xll.BDP($E142,Y$3))</f>
        <v>#NAME?</v>
      </c>
      <c r="Z142" s="106" t="e">
        <f ca="1">IF(OR(_xll.BDP($E142,Z$3)="#N/A N/A",_xll.BDP($E142,Z$3)="#N/A Invalid Security"), " ", _xll.BDP($E142,Z$3))</f>
        <v>#NAME?</v>
      </c>
      <c r="AA142" s="107"/>
      <c r="AB142" s="93" t="s">
        <v>953</v>
      </c>
      <c r="AC142" s="93" t="s">
        <v>939</v>
      </c>
      <c r="AD142" s="93" t="s">
        <v>953</v>
      </c>
      <c r="AE142" s="93" t="s">
        <v>940</v>
      </c>
      <c r="AF142" s="93" t="s">
        <v>940</v>
      </c>
      <c r="AG142" s="93" t="s">
        <v>940</v>
      </c>
      <c r="AH142" s="95" t="e">
        <f t="shared" ca="1" si="42"/>
        <v>#NAME?</v>
      </c>
      <c r="AI142" s="95" t="e">
        <f t="shared" ca="1" si="42"/>
        <v>#NAME?</v>
      </c>
      <c r="AJ142" s="95" t="e">
        <f t="shared" ca="1" si="42"/>
        <v>#NAME?</v>
      </c>
      <c r="AK142" s="95" t="e">
        <f t="shared" ca="1" si="42"/>
        <v>#NAME?</v>
      </c>
      <c r="AL142" s="95" t="e">
        <f t="shared" ca="1" si="42"/>
        <v>#NAME?</v>
      </c>
      <c r="AM142" s="95" t="e">
        <f t="shared" ca="1" si="42"/>
        <v>#NAME?</v>
      </c>
      <c r="AN142" s="66" t="str">
        <f t="shared" ca="1" si="40"/>
        <v/>
      </c>
      <c r="AO142" s="108" t="e" cm="1">
        <f t="array" aca="1" ref="AO142" ca="1">_xll.BDP($E142,"cur_mkt_cap")</f>
        <v>#NAME?</v>
      </c>
      <c r="AP142" s="108" t="e" cm="1">
        <f t="array" aca="1" ref="AP142" ca="1">_xll.BDP($E142,"crncy")</f>
        <v>#NAME?</v>
      </c>
      <c r="AQ142" s="109" t="e" cm="1">
        <f t="array" aca="1" ref="AQ142" ca="1">_xll.BDP("USD"&amp;AP142&amp;" curncy","px_last")</f>
        <v>#NAME?</v>
      </c>
      <c r="AR142" s="109" t="e">
        <f t="shared" ca="1" si="35"/>
        <v>#NAME?</v>
      </c>
      <c r="AT142" s="66" t="str">
        <f t="shared" ca="1" si="41"/>
        <v/>
      </c>
      <c r="AU142" s="66" t="str">
        <f t="shared" ca="1" si="41"/>
        <v/>
      </c>
      <c r="AV142" s="66" t="str">
        <f t="shared" ca="1" si="41"/>
        <v/>
      </c>
      <c r="AW142" s="73" t="str" cm="1">
        <f t="array" aca="1" ref="AW142" ca="1">IF(ISERROR(DATEVALUE(_xll.BDP($E142,AW$6))),"",DATEVALUE(_xll.BDP($E142,AW$6)))</f>
        <v/>
      </c>
      <c r="AX142" s="73" t="str" cm="1">
        <f t="array" aca="1" ref="AX142" ca="1">IF(ISERROR(DATEVALUE(_xll.BDP($E142,AX$2))),"",DATEVALUE(_xll.BDP($E142,AX$2)))</f>
        <v/>
      </c>
      <c r="AY142" s="73" t="str" cm="1">
        <f t="array" aca="1" ref="AY142" ca="1">IF(ISERROR(DATEVALUE(_xll.BDP($E142,AY$6))),"",DATEVALUE(_xll.BDP($E142,AY$6)))</f>
        <v/>
      </c>
      <c r="AZ142" s="110" t="e" cm="1">
        <f t="array" aca="1" ref="AZ142" ca="1">IF(_xll.BQL($E142, "last(matches(px_last(dates=range(-1w,0d)), dayofweek(px_last(dates=range(-1w,0d)).date)==6))")="#N/A","-",_xll.BQL($E142, "last(matches(px_last(dates=range(-1w,0d)), dayofweek(px_last(dates=range(-1w,0d)).date)==6))"))</f>
        <v>#NAME?</v>
      </c>
      <c r="BA142" s="109" t="e" cm="1">
        <f t="array" aca="1" ref="BA142" ca="1">IF(_xll.BQL(E142,"first(last(matches(px_last(dates=range(-1M,0D)),dayofweek(px_last(dates=range(-1M,0D)).date)==6),2),1)")="#N/A","-",_xll.BQL(E142,"first(last(matches(px_last(dates=range(-1M,0D)),dayofweek(px_last(dates=range(-1M,0D)).date)==6),2),1)"))</f>
        <v>#NAME?</v>
      </c>
      <c r="BB142" s="109" t="str">
        <f t="shared" ca="1" si="36"/>
        <v>-</v>
      </c>
    </row>
    <row r="143" spans="5:54" ht="16.5" customHeight="1" thickBot="1">
      <c r="E143" s="157" t="s">
        <v>1108</v>
      </c>
      <c r="F143" s="66" t="e">
        <f ca="1">_xll.BDP($E143,F$3)&amp;" BEST Curncy"</f>
        <v>#NAME?</v>
      </c>
      <c r="G143" s="97" t="e">
        <f t="shared" ca="1" si="43"/>
        <v>#NAME?</v>
      </c>
      <c r="I143" s="633"/>
      <c r="J143" s="98" t="e">
        <f ca="1">_xll.BDP($E143,J$3)</f>
        <v>#NAME?</v>
      </c>
      <c r="K143" s="99" t="e">
        <f ca="1">_xll.BDP($E143,K$3)</f>
        <v>#NAME?</v>
      </c>
      <c r="L143" s="100" t="str">
        <f ca="1">IF(ISNUMBER(_xll.BDH($E143,"PX_LAST",TEXT($E$2,"YYYYMMDD"),TEXT($E$2,"YYYYMMDD"),"days=a","fill=p")),_xll.BDH($E143,"PX_LAST",TEXT($E$2,"YYYYMMDD"),TEXT($E$2,"YYYYMMDD"),"days=a","fill=p"),"-")</f>
        <v>-</v>
      </c>
      <c r="M143" s="100" t="str">
        <f ca="1">IF(ISNUMBER(_xll.BDH($E143,"PX_LAST",TEXT($E$2-7,"YYYYMMDD"),TEXT($E$2-7,"YYYYMMDD"),"days=a","fill=p")),_xll.BDH($E143,"PX_LAST",TEXT($E$2-7,"YYYYMMDD"),TEXT($E$2-7,"YYYYMMDD"),"days=a","fill=p"),"-")</f>
        <v>-</v>
      </c>
      <c r="N143" s="180" t="str">
        <f t="shared" ca="1" si="44"/>
        <v>-</v>
      </c>
      <c r="O143" s="101" t="e">
        <f ca="1">IF(OR(_xll.BDP($E143,O$3)="#N/A N/A",_xll.BDP($E143,O$3)="#N/A Invalid Security"), "-", _xll.BDP($E143,O$3))</f>
        <v>#NAME?</v>
      </c>
      <c r="P143" s="182" t="str">
        <f ca="1">IF(ISNUMBER(_xll.BDH($F143,"PX_LAST",TEXT($E$2,"YYYYMMDD"),TEXT($E$2,"YYYYMMDD"),"days=a","fill=p")),_xll.BDH($F143,"PX_LAST",TEXT($E$2,"YYYYMMDD"),TEXT($E$2,"YYYYMMDD"),"days=a","fill=p"),"-")</f>
        <v>-</v>
      </c>
      <c r="Q143" s="182" t="str">
        <f ca="1">IF(ISNUMBER(_xll.BDH($F143,"PX_LAST",TEXT($E$2-7,"YYYYMMDD"),TEXT($E$2-7,"YYYYMMDD"),"days=a","fill=p")),_xll.BDH($F143,"PX_LAST",TEXT($E$2-7,"YYYYMMDD"),TEXT($E$2-7,"YYYYMMDD"),"days=a","fill=p"),"-")</f>
        <v>-</v>
      </c>
      <c r="R143" s="102" t="str">
        <f t="shared" ca="1" si="45"/>
        <v>-</v>
      </c>
      <c r="S143" s="103" t="str">
        <f ca="1">IF(ISNUMBER(_xll.BDP($F143,S$3)),_xll.BDP($F143,S$3),"-")</f>
        <v>-</v>
      </c>
      <c r="T143" s="104" t="e">
        <f t="shared" ca="1" si="34"/>
        <v>#NAME?</v>
      </c>
      <c r="U143" s="105" t="e">
        <f ca="1">IF(OR(_xll.BDP($E143,U$3)="#N/A N/A",_xll.BDP($E143,U$3)="#N/A Invalid Security"), "-", _xll.BDP($E143,U$3))</f>
        <v>#NAME?</v>
      </c>
      <c r="V143" s="105" t="e">
        <f ca="1">IF(OR(_xll.BDP($E143,V$2)="#N/A N/A",_xll.BDP($E143,V$2)="#N/A Invalid Security"), "-", _xll.BDP($E143,V$2))</f>
        <v>#NAME?</v>
      </c>
      <c r="W143" s="106" t="e">
        <f ca="1">IF(OR(_xll.BDP($E143,W$3)="#N/A N/A",_xll.BDP($E143,W$3)="#N/A Invalid Security"), "-", _xll.BDP($E143,W$3))</f>
        <v>#NAME?</v>
      </c>
      <c r="X143" s="105" t="e">
        <f ca="1">IF(OR(_xll.BDP($E143,X$3)="#N/A N/A",_xll.BDP($E143,X$3)="#N/A Invalid Security"), " ", _xll.BDP($E143,X$3))</f>
        <v>#NAME?</v>
      </c>
      <c r="Y143" s="105" t="e">
        <f ca="1">IF(OR(_xll.BDP($E143,Y$3)="#N/A N/A",_xll.BDP($E143,Y$3)="#N/A Invalid Security"), " ", _xll.BDP($E143,Y$3))</f>
        <v>#NAME?</v>
      </c>
      <c r="Z143" s="106" t="e">
        <f ca="1">IF(OR(_xll.BDP($E143,Z$3)="#N/A N/A",_xll.BDP($E143,Z$3)="#N/A Invalid Security"), " ", _xll.BDP($E143,Z$3))</f>
        <v>#NAME?</v>
      </c>
      <c r="AA143" s="107"/>
      <c r="AB143" s="93" t="s">
        <v>932</v>
      </c>
      <c r="AC143" s="93" t="s">
        <v>875</v>
      </c>
      <c r="AD143" s="93" t="s">
        <v>934</v>
      </c>
      <c r="AE143" s="93" t="s">
        <v>940</v>
      </c>
      <c r="AF143" s="93" t="s">
        <v>940</v>
      </c>
      <c r="AG143" s="93" t="s">
        <v>936</v>
      </c>
      <c r="AH143" s="95" t="e">
        <f t="shared" ca="1" si="42"/>
        <v>#NAME?</v>
      </c>
      <c r="AI143" s="95" t="e">
        <f t="shared" ca="1" si="42"/>
        <v>#NAME?</v>
      </c>
      <c r="AJ143" s="95" t="e">
        <f t="shared" ca="1" si="42"/>
        <v>#NAME?</v>
      </c>
      <c r="AK143" s="95" t="e">
        <f t="shared" ca="1" si="42"/>
        <v>#NAME?</v>
      </c>
      <c r="AL143" s="95" t="e">
        <f t="shared" ca="1" si="42"/>
        <v>#NAME?</v>
      </c>
      <c r="AM143" s="95" t="e">
        <f t="shared" ca="1" si="42"/>
        <v>#NAME?</v>
      </c>
      <c r="AN143" s="66" t="str">
        <f t="shared" ca="1" si="40"/>
        <v/>
      </c>
      <c r="AO143" s="108" t="e" cm="1">
        <f t="array" aca="1" ref="AO143" ca="1">_xll.BDP($E143,"cur_mkt_cap")</f>
        <v>#NAME?</v>
      </c>
      <c r="AP143" s="108" t="e" cm="1">
        <f t="array" aca="1" ref="AP143" ca="1">_xll.BDP($E143,"crncy")</f>
        <v>#NAME?</v>
      </c>
      <c r="AQ143" s="109" t="e" cm="1">
        <f t="array" aca="1" ref="AQ143" ca="1">_xll.BDP("USD"&amp;AP143&amp;" curncy","px_last")</f>
        <v>#NAME?</v>
      </c>
      <c r="AR143" s="109" t="e">
        <f t="shared" ca="1" si="35"/>
        <v>#NAME?</v>
      </c>
      <c r="AT143" s="66" t="str">
        <f t="shared" ca="1" si="41"/>
        <v/>
      </c>
      <c r="AU143" s="66" t="str">
        <f t="shared" ca="1" si="41"/>
        <v/>
      </c>
      <c r="AV143" s="66" t="str">
        <f t="shared" ca="1" si="41"/>
        <v/>
      </c>
      <c r="AW143" s="73" t="str" cm="1">
        <f t="array" aca="1" ref="AW143" ca="1">IF(ISERROR(DATEVALUE(_xll.BDP($E143,AW$6))),"",DATEVALUE(_xll.BDP($E143,AW$6)))</f>
        <v/>
      </c>
      <c r="AX143" s="73" t="str" cm="1">
        <f t="array" aca="1" ref="AX143" ca="1">IF(ISERROR(DATEVALUE(_xll.BDP($E143,AX$2))),"",DATEVALUE(_xll.BDP($E143,AX$2)))</f>
        <v/>
      </c>
      <c r="AY143" s="73" t="str" cm="1">
        <f t="array" aca="1" ref="AY143" ca="1">IF(ISERROR(DATEVALUE(_xll.BDP($E143,AY$6))),"",DATEVALUE(_xll.BDP($E143,AY$6)))</f>
        <v/>
      </c>
      <c r="AZ143" s="110" t="e" cm="1">
        <f t="array" aca="1" ref="AZ143" ca="1">IF(_xll.BQL($E143, "last(matches(px_last(dates=range(-1w,0d)), dayofweek(px_last(dates=range(-1w,0d)).date)==6))")="#N/A","-",_xll.BQL($E143, "last(matches(px_last(dates=range(-1w,0d)), dayofweek(px_last(dates=range(-1w,0d)).date)==6))"))</f>
        <v>#NAME?</v>
      </c>
      <c r="BA143" s="109" t="e" cm="1">
        <f t="array" aca="1" ref="BA143" ca="1">IF(_xll.BQL(E143,"first(last(matches(px_last(dates=range(-1M,0D)),dayofweek(px_last(dates=range(-1M,0D)).date)==6),2),1)")="#N/A","-",_xll.BQL(E143,"first(last(matches(px_last(dates=range(-1M,0D)),dayofweek(px_last(dates=range(-1M,0D)).date)==6),2),1)"))</f>
        <v>#NAME?</v>
      </c>
      <c r="BB143" s="109" t="str">
        <f t="shared" ca="1" si="36"/>
        <v>-</v>
      </c>
    </row>
    <row r="144" spans="5:54" ht="16.5" customHeight="1" thickBot="1">
      <c r="E144" s="157" t="s">
        <v>1109</v>
      </c>
      <c r="F144" s="66" t="e">
        <f ca="1">_xll.BDP($E144,F$3)&amp;" BEST Curncy"</f>
        <v>#NAME?</v>
      </c>
      <c r="G144" s="97" t="e">
        <f t="shared" ca="1" si="43"/>
        <v>#NAME?</v>
      </c>
      <c r="I144" s="633"/>
      <c r="J144" s="98" t="e">
        <f ca="1">_xll.BDP($E144,J$3)</f>
        <v>#NAME?</v>
      </c>
      <c r="K144" s="99" t="e">
        <f ca="1">_xll.BDP($E144,K$3)</f>
        <v>#NAME?</v>
      </c>
      <c r="L144" s="100" t="str">
        <f ca="1">IF(ISNUMBER(_xll.BDH($E144,"PX_LAST",TEXT($E$2,"YYYYMMDD"),TEXT($E$2,"YYYYMMDD"),"days=a","fill=p")),_xll.BDH($E144,"PX_LAST",TEXT($E$2,"YYYYMMDD"),TEXT($E$2,"YYYYMMDD"),"days=a","fill=p"),"-")</f>
        <v>-</v>
      </c>
      <c r="M144" s="100" t="str">
        <f ca="1">IF(ISNUMBER(_xll.BDH($E144,"PX_LAST",TEXT($E$2-7,"YYYYMMDD"),TEXT($E$2-7,"YYYYMMDD"),"days=a","fill=p")),_xll.BDH($E144,"PX_LAST",TEXT($E$2-7,"YYYYMMDD"),TEXT($E$2-7,"YYYYMMDD"),"days=a","fill=p"),"-")</f>
        <v>-</v>
      </c>
      <c r="N144" s="180" t="str">
        <f t="shared" ca="1" si="44"/>
        <v>-</v>
      </c>
      <c r="O144" s="101" t="e">
        <f ca="1">IF(OR(_xll.BDP($E144,O$3)="#N/A N/A",_xll.BDP($E144,O$3)="#N/A Invalid Security"), "-", _xll.BDP($E144,O$3))</f>
        <v>#NAME?</v>
      </c>
      <c r="P144" s="182" t="str">
        <f ca="1">IF(ISNUMBER(_xll.BDH($F144,"PX_LAST",TEXT($E$2,"YYYYMMDD"),TEXT($E$2,"YYYYMMDD"),"days=a","fill=p")),_xll.BDH($F144,"PX_LAST",TEXT($E$2,"YYYYMMDD"),TEXT($E$2,"YYYYMMDD"),"days=a","fill=p"),"-")</f>
        <v>-</v>
      </c>
      <c r="Q144" s="182" t="str">
        <f ca="1">IF(ISNUMBER(_xll.BDH($F144,"PX_LAST",TEXT($E$2-7,"YYYYMMDD"),TEXT($E$2-7,"YYYYMMDD"),"days=a","fill=p")),_xll.BDH($F144,"PX_LAST",TEXT($E$2-7,"YYYYMMDD"),TEXT($E$2-7,"YYYYMMDD"),"days=a","fill=p"),"-")</f>
        <v>-</v>
      </c>
      <c r="R144" s="102" t="str">
        <f t="shared" ca="1" si="45"/>
        <v>-</v>
      </c>
      <c r="S144" s="103" t="str">
        <f ca="1">IF(ISNUMBER(_xll.BDP($F144,S$3)),_xll.BDP($F144,S$3),"-")</f>
        <v>-</v>
      </c>
      <c r="T144" s="104" t="e">
        <f t="shared" ca="1" si="34"/>
        <v>#NAME?</v>
      </c>
      <c r="U144" s="105" t="e">
        <f ca="1">IF(OR(_xll.BDP($E144,U$3)="#N/A N/A",_xll.BDP($E144,U$3)="#N/A Invalid Security"), "-", _xll.BDP($E144,U$3))</f>
        <v>#NAME?</v>
      </c>
      <c r="V144" s="105" t="e">
        <f ca="1">IF(OR(_xll.BDP($E144,V$2)="#N/A N/A",_xll.BDP($E144,V$2)="#N/A Invalid Security"), "-", _xll.BDP($E144,V$2))</f>
        <v>#NAME?</v>
      </c>
      <c r="W144" s="106" t="e">
        <f ca="1">IF(OR(_xll.BDP($E144,W$3)="#N/A N/A",_xll.BDP($E144,W$3)="#N/A Invalid Security"), "-", _xll.BDP($E144,W$3))</f>
        <v>#NAME?</v>
      </c>
      <c r="X144" s="105" t="e">
        <f ca="1">IF(OR(_xll.BDP($E144,X$3)="#N/A N/A",_xll.BDP($E144,X$3)="#N/A Invalid Security"), " ", _xll.BDP($E144,X$3))</f>
        <v>#NAME?</v>
      </c>
      <c r="Y144" s="105" t="e">
        <f ca="1">IF(OR(_xll.BDP($E144,Y$3)="#N/A N/A",_xll.BDP($E144,Y$3)="#N/A Invalid Security"), " ", _xll.BDP($E144,Y$3))</f>
        <v>#NAME?</v>
      </c>
      <c r="Z144" s="106" t="e">
        <f ca="1">IF(OR(_xll.BDP($E144,Z$3)="#N/A N/A",_xll.BDP($E144,Z$3)="#N/A Invalid Security"), " ", _xll.BDP($E144,Z$3))</f>
        <v>#NAME?</v>
      </c>
      <c r="AA144" s="107"/>
      <c r="AB144" s="93" t="s">
        <v>950</v>
      </c>
      <c r="AC144" s="93" t="s">
        <v>933</v>
      </c>
      <c r="AD144" s="93" t="s">
        <v>934</v>
      </c>
      <c r="AE144" s="93" t="s">
        <v>940</v>
      </c>
      <c r="AF144" s="93" t="s">
        <v>940</v>
      </c>
      <c r="AG144" s="93" t="s">
        <v>936</v>
      </c>
      <c r="AH144" s="95" t="e">
        <f t="shared" ca="1" si="42"/>
        <v>#NAME?</v>
      </c>
      <c r="AI144" s="95" t="e">
        <f t="shared" ca="1" si="42"/>
        <v>#NAME?</v>
      </c>
      <c r="AJ144" s="95" t="e">
        <f t="shared" ca="1" si="42"/>
        <v>#NAME?</v>
      </c>
      <c r="AK144" s="95" t="e">
        <f t="shared" ca="1" si="42"/>
        <v>#NAME?</v>
      </c>
      <c r="AL144" s="95" t="e">
        <f t="shared" ca="1" si="42"/>
        <v>#NAME?</v>
      </c>
      <c r="AM144" s="95" t="e">
        <f t="shared" ca="1" si="42"/>
        <v>#NAME?</v>
      </c>
      <c r="AN144" s="66" t="str">
        <f t="shared" ca="1" si="40"/>
        <v/>
      </c>
      <c r="AO144" s="108" t="e" cm="1">
        <f t="array" aca="1" ref="AO144" ca="1">_xll.BDP($E144,"cur_mkt_cap")</f>
        <v>#NAME?</v>
      </c>
      <c r="AP144" s="108" t="e" cm="1">
        <f t="array" aca="1" ref="AP144" ca="1">_xll.BDP($E144,"crncy")</f>
        <v>#NAME?</v>
      </c>
      <c r="AQ144" s="109" t="e" cm="1">
        <f t="array" aca="1" ref="AQ144" ca="1">_xll.BDP("USD"&amp;AP144&amp;" curncy","px_last")</f>
        <v>#NAME?</v>
      </c>
      <c r="AR144" s="109" t="e">
        <f t="shared" ca="1" si="35"/>
        <v>#NAME?</v>
      </c>
      <c r="AT144" s="66" t="str">
        <f t="shared" ca="1" si="41"/>
        <v/>
      </c>
      <c r="AU144" s="66" t="str">
        <f t="shared" ca="1" si="41"/>
        <v/>
      </c>
      <c r="AV144" s="66" t="str">
        <f t="shared" ca="1" si="41"/>
        <v/>
      </c>
      <c r="AW144" s="73" t="str" cm="1">
        <f t="array" aca="1" ref="AW144" ca="1">IF(ISERROR(DATEVALUE(_xll.BDP($E144,AW$6))),"",DATEVALUE(_xll.BDP($E144,AW$6)))</f>
        <v/>
      </c>
      <c r="AX144" s="73" t="str" cm="1">
        <f t="array" aca="1" ref="AX144" ca="1">IF(ISERROR(DATEVALUE(_xll.BDP($E144,AX$2))),"",DATEVALUE(_xll.BDP($E144,AX$2)))</f>
        <v/>
      </c>
      <c r="AY144" s="73" t="str" cm="1">
        <f t="array" aca="1" ref="AY144" ca="1">IF(ISERROR(DATEVALUE(_xll.BDP($E144,AY$6))),"",DATEVALUE(_xll.BDP($E144,AY$6)))</f>
        <v/>
      </c>
      <c r="AZ144" s="110" t="e" cm="1">
        <f t="array" aca="1" ref="AZ144" ca="1">IF(_xll.BQL($E144, "last(matches(px_last(dates=range(-1w,0d)), dayofweek(px_last(dates=range(-1w,0d)).date)==6))")="#N/A","-",_xll.BQL($E144, "last(matches(px_last(dates=range(-1w,0d)), dayofweek(px_last(dates=range(-1w,0d)).date)==6))"))</f>
        <v>#NAME?</v>
      </c>
      <c r="BA144" s="109" t="e" cm="1">
        <f t="array" aca="1" ref="BA144" ca="1">IF(_xll.BQL(E144,"first(last(matches(px_last(dates=range(-1M,0D)),dayofweek(px_last(dates=range(-1M,0D)).date)==6),2),1)")="#N/A","-",_xll.BQL(E144,"first(last(matches(px_last(dates=range(-1M,0D)),dayofweek(px_last(dates=range(-1M,0D)).date)==6),2),1)"))</f>
        <v>#NAME?</v>
      </c>
      <c r="BB144" s="109" t="str">
        <f t="shared" ca="1" si="36"/>
        <v>-</v>
      </c>
    </row>
    <row r="145" spans="5:54" ht="16.5" customHeight="1" thickBot="1">
      <c r="E145" s="157" t="s">
        <v>1110</v>
      </c>
      <c r="F145" s="66" t="e">
        <f ca="1">_xll.BDP($E145,F$3)&amp;" BEST Curncy"</f>
        <v>#NAME?</v>
      </c>
      <c r="G145" s="97" t="e">
        <f t="shared" ca="1" si="43"/>
        <v>#NAME?</v>
      </c>
      <c r="I145" s="633"/>
      <c r="J145" s="98" t="e">
        <f ca="1">_xll.BDP($E145,J$3)</f>
        <v>#NAME?</v>
      </c>
      <c r="K145" s="99" t="e">
        <f ca="1">_xll.BDP($E145,K$3)</f>
        <v>#NAME?</v>
      </c>
      <c r="L145" s="100" t="str">
        <f ca="1">IF(ISNUMBER(_xll.BDH($E145,"PX_LAST",TEXT($E$2,"YYYYMMDD"),TEXT($E$2,"YYYYMMDD"),"days=a","fill=p")),_xll.BDH($E145,"PX_LAST",TEXT($E$2,"YYYYMMDD"),TEXT($E$2,"YYYYMMDD"),"days=a","fill=p"),"-")</f>
        <v>-</v>
      </c>
      <c r="M145" s="100" t="str">
        <f ca="1">IF(ISNUMBER(_xll.BDH($E145,"PX_LAST",TEXT($E$2-7,"YYYYMMDD"),TEXT($E$2-7,"YYYYMMDD"),"days=a","fill=p")),_xll.BDH($E145,"PX_LAST",TEXT($E$2-7,"YYYYMMDD"),TEXT($E$2-7,"YYYYMMDD"),"days=a","fill=p"),"-")</f>
        <v>-</v>
      </c>
      <c r="N145" s="180" t="str">
        <f t="shared" ca="1" si="44"/>
        <v>-</v>
      </c>
      <c r="O145" s="101" t="e">
        <f ca="1">IF(OR(_xll.BDP($E145,O$3)="#N/A N/A",_xll.BDP($E145,O$3)="#N/A Invalid Security"), "-", _xll.BDP($E145,O$3))</f>
        <v>#NAME?</v>
      </c>
      <c r="P145" s="182" t="str">
        <f ca="1">IF(ISNUMBER(_xll.BDH($F145,"PX_LAST",TEXT($E$2,"YYYYMMDD"),TEXT($E$2,"YYYYMMDD"),"days=a","fill=p")),_xll.BDH($F145,"PX_LAST",TEXT($E$2,"YYYYMMDD"),TEXT($E$2,"YYYYMMDD"),"days=a","fill=p"),"-")</f>
        <v>-</v>
      </c>
      <c r="Q145" s="182" t="str">
        <f ca="1">IF(ISNUMBER(_xll.BDH($F145,"PX_LAST",TEXT($E$2-7,"YYYYMMDD"),TEXT($E$2-7,"YYYYMMDD"),"days=a","fill=p")),_xll.BDH($F145,"PX_LAST",TEXT($E$2-7,"YYYYMMDD"),TEXT($E$2-7,"YYYYMMDD"),"days=a","fill=p"),"-")</f>
        <v>-</v>
      </c>
      <c r="R145" s="102" t="str">
        <f t="shared" ca="1" si="45"/>
        <v>-</v>
      </c>
      <c r="S145" s="103" t="str">
        <f ca="1">IF(ISNUMBER(_xll.BDP($F145,S$3)),_xll.BDP($F145,S$3),"-")</f>
        <v>-</v>
      </c>
      <c r="T145" s="104" t="e">
        <f t="shared" ca="1" si="34"/>
        <v>#NAME?</v>
      </c>
      <c r="U145" s="105" t="e">
        <f ca="1">IF(OR(_xll.BDP($E145,U$3)="#N/A N/A",_xll.BDP($E145,U$3)="#N/A Invalid Security"), "-", _xll.BDP($E145,U$3))</f>
        <v>#NAME?</v>
      </c>
      <c r="V145" s="105" t="e">
        <f ca="1">IF(OR(_xll.BDP($E145,V$2)="#N/A N/A",_xll.BDP($E145,V$2)="#N/A Invalid Security"), "-", _xll.BDP($E145,V$2))</f>
        <v>#NAME?</v>
      </c>
      <c r="W145" s="106" t="e">
        <f ca="1">IF(OR(_xll.BDP($E145,W$3)="#N/A N/A",_xll.BDP($E145,W$3)="#N/A Invalid Security"), "-", _xll.BDP($E145,W$3))</f>
        <v>#NAME?</v>
      </c>
      <c r="X145" s="105" t="e">
        <f ca="1">IF(OR(_xll.BDP($E145,X$3)="#N/A N/A",_xll.BDP($E145,X$3)="#N/A Invalid Security"), " ", _xll.BDP($E145,X$3))</f>
        <v>#NAME?</v>
      </c>
      <c r="Y145" s="105" t="e">
        <f ca="1">IF(OR(_xll.BDP($E145,Y$3)="#N/A N/A",_xll.BDP($E145,Y$3)="#N/A Invalid Security"), " ", _xll.BDP($E145,Y$3))</f>
        <v>#NAME?</v>
      </c>
      <c r="Z145" s="106" t="e">
        <f ca="1">IF(OR(_xll.BDP($E145,Z$3)="#N/A N/A",_xll.BDP($E145,Z$3)="#N/A Invalid Security"), " ", _xll.BDP($E145,Z$3))</f>
        <v>#NAME?</v>
      </c>
      <c r="AA145" s="107"/>
      <c r="AB145" s="93" t="s">
        <v>1011</v>
      </c>
      <c r="AC145" s="93" t="s">
        <v>1012</v>
      </c>
      <c r="AD145" s="93" t="s">
        <v>1111</v>
      </c>
      <c r="AE145" s="93" t="s">
        <v>940</v>
      </c>
      <c r="AF145" s="93" t="s">
        <v>940</v>
      </c>
      <c r="AG145" s="93" t="s">
        <v>940</v>
      </c>
      <c r="AH145" s="95" t="e">
        <f t="shared" ca="1" si="42"/>
        <v>#NAME?</v>
      </c>
      <c r="AI145" s="95" t="e">
        <f t="shared" ca="1" si="42"/>
        <v>#NAME?</v>
      </c>
      <c r="AJ145" s="95" t="e">
        <f t="shared" ca="1" si="42"/>
        <v>#NAME?</v>
      </c>
      <c r="AK145" s="95" t="e">
        <f t="shared" ca="1" si="42"/>
        <v>#NAME?</v>
      </c>
      <c r="AL145" s="95" t="e">
        <f t="shared" ca="1" si="42"/>
        <v>#NAME?</v>
      </c>
      <c r="AM145" s="95" t="e">
        <f t="shared" ca="1" si="42"/>
        <v>#NAME?</v>
      </c>
      <c r="AN145" s="66" t="str">
        <f t="shared" ca="1" si="40"/>
        <v/>
      </c>
      <c r="AO145" s="108" t="e" cm="1">
        <f t="array" aca="1" ref="AO145" ca="1">_xll.BDP($E145,"cur_mkt_cap")</f>
        <v>#NAME?</v>
      </c>
      <c r="AP145" s="108" t="e" cm="1">
        <f t="array" aca="1" ref="AP145" ca="1">_xll.BDP($E145,"crncy")</f>
        <v>#NAME?</v>
      </c>
      <c r="AQ145" s="109" t="e" cm="1">
        <f t="array" aca="1" ref="AQ145" ca="1">_xll.BDP("USD"&amp;AP145&amp;" curncy","px_last")</f>
        <v>#NAME?</v>
      </c>
      <c r="AR145" s="109" t="e">
        <f t="shared" ca="1" si="35"/>
        <v>#NAME?</v>
      </c>
      <c r="AT145" s="66" t="str">
        <f t="shared" ca="1" si="41"/>
        <v/>
      </c>
      <c r="AU145" s="66" t="str">
        <f t="shared" ca="1" si="41"/>
        <v/>
      </c>
      <c r="AV145" s="66" t="str">
        <f t="shared" ca="1" si="41"/>
        <v/>
      </c>
      <c r="AW145" s="73" t="str" cm="1">
        <f t="array" aca="1" ref="AW145" ca="1">IF(ISERROR(DATEVALUE(_xll.BDP($E145,AW$6))),"",DATEVALUE(_xll.BDP($E145,AW$6)))</f>
        <v/>
      </c>
      <c r="AX145" s="73" t="str" cm="1">
        <f t="array" aca="1" ref="AX145" ca="1">IF(ISERROR(DATEVALUE(_xll.BDP($E145,AX$2))),"",DATEVALUE(_xll.BDP($E145,AX$2)))</f>
        <v/>
      </c>
      <c r="AY145" s="73" t="str" cm="1">
        <f t="array" aca="1" ref="AY145" ca="1">IF(ISERROR(DATEVALUE(_xll.BDP($E145,AY$6))),"",DATEVALUE(_xll.BDP($E145,AY$6)))</f>
        <v/>
      </c>
      <c r="AZ145" s="110" t="e" cm="1">
        <f t="array" aca="1" ref="AZ145" ca="1">IF(_xll.BQL($E145, "last(matches(px_last(dates=range(-1w,0d)), dayofweek(px_last(dates=range(-1w,0d)).date)==6))")="#N/A","-",_xll.BQL($E145, "last(matches(px_last(dates=range(-1w,0d)), dayofweek(px_last(dates=range(-1w,0d)).date)==6))"))</f>
        <v>#NAME?</v>
      </c>
      <c r="BA145" s="109" t="e" cm="1">
        <f t="array" aca="1" ref="BA145" ca="1">IF(_xll.BQL(E145,"first(last(matches(px_last(dates=range(-1M,0D)),dayofweek(px_last(dates=range(-1M,0D)).date)==6),2),1)")="#N/A","-",_xll.BQL(E145,"first(last(matches(px_last(dates=range(-1M,0D)),dayofweek(px_last(dates=range(-1M,0D)).date)==6),2),1)"))</f>
        <v>#NAME?</v>
      </c>
      <c r="BB145" s="109" t="str">
        <f t="shared" ca="1" si="36"/>
        <v>-</v>
      </c>
    </row>
    <row r="146" spans="5:54" ht="16.5" customHeight="1" thickBot="1">
      <c r="E146" s="157" t="s">
        <v>1112</v>
      </c>
      <c r="F146" s="66" t="e">
        <f ca="1">_xll.BDP($E146,F$3)&amp;" BEST Curncy"</f>
        <v>#NAME?</v>
      </c>
      <c r="G146" s="97" t="e">
        <f t="shared" ca="1" si="43"/>
        <v>#NAME?</v>
      </c>
      <c r="I146" s="633"/>
      <c r="J146" s="98" t="e">
        <f ca="1">_xll.BDP($E146,J$3)</f>
        <v>#NAME?</v>
      </c>
      <c r="K146" s="99" t="e">
        <f ca="1">_xll.BDP($E146,K$3)</f>
        <v>#NAME?</v>
      </c>
      <c r="L146" s="100" t="str">
        <f ca="1">IF(ISNUMBER(_xll.BDH($E146,"PX_LAST",TEXT($E$2,"YYYYMMDD"),TEXT($E$2,"YYYYMMDD"),"days=a","fill=p")),_xll.BDH($E146,"PX_LAST",TEXT($E$2,"YYYYMMDD"),TEXT($E$2,"YYYYMMDD"),"days=a","fill=p"),"-")</f>
        <v>-</v>
      </c>
      <c r="M146" s="100" t="str">
        <f ca="1">IF(ISNUMBER(_xll.BDH($E146,"PX_LAST",TEXT($E$2-7,"YYYYMMDD"),TEXT($E$2-7,"YYYYMMDD"),"days=a","fill=p")),_xll.BDH($E146,"PX_LAST",TEXT($E$2-7,"YYYYMMDD"),TEXT($E$2-7,"YYYYMMDD"),"days=a","fill=p"),"-")</f>
        <v>-</v>
      </c>
      <c r="N146" s="180" t="str">
        <f t="shared" ca="1" si="44"/>
        <v>-</v>
      </c>
      <c r="O146" s="101" t="e">
        <f ca="1">IF(OR(_xll.BDP($E146,O$3)="#N/A N/A",_xll.BDP($E146,O$3)="#N/A Invalid Security"), "-", _xll.BDP($E146,O$3))</f>
        <v>#NAME?</v>
      </c>
      <c r="P146" s="182" t="str">
        <f ca="1">IF(ISNUMBER(_xll.BDH($F146,"PX_LAST",TEXT($E$2,"YYYYMMDD"),TEXT($E$2,"YYYYMMDD"),"days=a","fill=p")),_xll.BDH($F146,"PX_LAST",TEXT($E$2,"YYYYMMDD"),TEXT($E$2,"YYYYMMDD"),"days=a","fill=p"),"-")</f>
        <v>-</v>
      </c>
      <c r="Q146" s="182" t="str">
        <f ca="1">IF(ISNUMBER(_xll.BDH($F146,"PX_LAST",TEXT($E$2-7,"YYYYMMDD"),TEXT($E$2-7,"YYYYMMDD"),"days=a","fill=p")),_xll.BDH($F146,"PX_LAST",TEXT($E$2-7,"YYYYMMDD"),TEXT($E$2-7,"YYYYMMDD"),"days=a","fill=p"),"-")</f>
        <v>-</v>
      </c>
      <c r="R146" s="102" t="str">
        <f t="shared" ca="1" si="45"/>
        <v>-</v>
      </c>
      <c r="S146" s="103" t="str">
        <f ca="1">IF(ISNUMBER(_xll.BDP($F146,S$3)),_xll.BDP($F146,S$3),"-")</f>
        <v>-</v>
      </c>
      <c r="T146" s="104" t="e">
        <f t="shared" ca="1" si="34"/>
        <v>#NAME?</v>
      </c>
      <c r="U146" s="105" t="e">
        <f ca="1">IF(OR(_xll.BDP($E146,U$3)="#N/A N/A",_xll.BDP($E146,U$3)="#N/A Invalid Security"), "-", _xll.BDP($E146,U$3))</f>
        <v>#NAME?</v>
      </c>
      <c r="V146" s="105" t="e">
        <f ca="1">IF(OR(_xll.BDP($E146,V$2)="#N/A N/A",_xll.BDP($E146,V$2)="#N/A Invalid Security"), "-", _xll.BDP($E146,V$2))</f>
        <v>#NAME?</v>
      </c>
      <c r="W146" s="106" t="e">
        <f ca="1">IF(OR(_xll.BDP($E146,W$3)="#N/A N/A",_xll.BDP($E146,W$3)="#N/A Invalid Security"), "-", _xll.BDP($E146,W$3))</f>
        <v>#NAME?</v>
      </c>
      <c r="X146" s="105" t="e">
        <f ca="1">IF(OR(_xll.BDP($E146,X$3)="#N/A N/A",_xll.BDP($E146,X$3)="#N/A Invalid Security"), " ", _xll.BDP($E146,X$3))</f>
        <v>#NAME?</v>
      </c>
      <c r="Y146" s="105" t="e">
        <f ca="1">IF(OR(_xll.BDP($E146,Y$3)="#N/A N/A",_xll.BDP($E146,Y$3)="#N/A Invalid Security"), " ", _xll.BDP($E146,Y$3))</f>
        <v>#NAME?</v>
      </c>
      <c r="Z146" s="106" t="e">
        <f ca="1">IF(OR(_xll.BDP($E146,Z$3)="#N/A N/A",_xll.BDP($E146,Z$3)="#N/A Invalid Security"), " ", _xll.BDP($E146,Z$3))</f>
        <v>#NAME?</v>
      </c>
      <c r="AA146" s="107"/>
      <c r="AB146" s="93" t="s">
        <v>876</v>
      </c>
      <c r="AC146" s="93" t="s">
        <v>1113</v>
      </c>
      <c r="AD146" s="93" t="s">
        <v>985</v>
      </c>
      <c r="AE146" s="93" t="s">
        <v>940</v>
      </c>
      <c r="AF146" s="93" t="s">
        <v>940</v>
      </c>
      <c r="AG146" s="93" t="s">
        <v>940</v>
      </c>
      <c r="AH146" s="95" t="e">
        <f t="shared" ca="1" si="42"/>
        <v>#NAME?</v>
      </c>
      <c r="AI146" s="95" t="e">
        <f t="shared" ca="1" si="42"/>
        <v>#NAME?</v>
      </c>
      <c r="AJ146" s="95" t="e">
        <f t="shared" ca="1" si="42"/>
        <v>#NAME?</v>
      </c>
      <c r="AK146" s="95" t="e">
        <f t="shared" ca="1" si="42"/>
        <v>#NAME?</v>
      </c>
      <c r="AL146" s="95" t="e">
        <f t="shared" ca="1" si="42"/>
        <v>#NAME?</v>
      </c>
      <c r="AM146" s="95" t="e">
        <f t="shared" ca="1" si="42"/>
        <v>#NAME?</v>
      </c>
      <c r="AN146" s="66" t="str">
        <f t="shared" ca="1" si="40"/>
        <v/>
      </c>
      <c r="AO146" s="108" t="e" cm="1">
        <f t="array" aca="1" ref="AO146" ca="1">_xll.BDP($E146,"cur_mkt_cap")</f>
        <v>#NAME?</v>
      </c>
      <c r="AP146" s="108" t="e" cm="1">
        <f t="array" aca="1" ref="AP146" ca="1">_xll.BDP($E146,"crncy")</f>
        <v>#NAME?</v>
      </c>
      <c r="AQ146" s="109" t="e" cm="1">
        <f t="array" aca="1" ref="AQ146" ca="1">_xll.BDP("USD"&amp;AP146&amp;" curncy","px_last")</f>
        <v>#NAME?</v>
      </c>
      <c r="AR146" s="109" t="e">
        <f t="shared" ca="1" si="35"/>
        <v>#NAME?</v>
      </c>
      <c r="AT146" s="66" t="str">
        <f t="shared" ca="1" si="41"/>
        <v/>
      </c>
      <c r="AU146" s="66" t="str">
        <f t="shared" ca="1" si="41"/>
        <v/>
      </c>
      <c r="AV146" s="66" t="str">
        <f t="shared" ca="1" si="41"/>
        <v/>
      </c>
      <c r="AW146" s="73" t="str" cm="1">
        <f t="array" aca="1" ref="AW146" ca="1">IF(ISERROR(DATEVALUE(_xll.BDP($E146,AW$6))),"",DATEVALUE(_xll.BDP($E146,AW$6)))</f>
        <v/>
      </c>
      <c r="AX146" s="73" t="str" cm="1">
        <f t="array" aca="1" ref="AX146" ca="1">IF(ISERROR(DATEVALUE(_xll.BDP($E146,AX$2))),"",DATEVALUE(_xll.BDP($E146,AX$2)))</f>
        <v/>
      </c>
      <c r="AY146" s="73" t="str" cm="1">
        <f t="array" aca="1" ref="AY146" ca="1">IF(ISERROR(DATEVALUE(_xll.BDP($E146,AY$6))),"",DATEVALUE(_xll.BDP($E146,AY$6)))</f>
        <v/>
      </c>
      <c r="AZ146" s="110" t="e" cm="1">
        <f t="array" aca="1" ref="AZ146" ca="1">IF(_xll.BQL($E146, "last(matches(px_last(dates=range(-1w,0d)), dayofweek(px_last(dates=range(-1w,0d)).date)==6))")="#N/A","-",_xll.BQL($E146, "last(matches(px_last(dates=range(-1w,0d)), dayofweek(px_last(dates=range(-1w,0d)).date)==6))"))</f>
        <v>#NAME?</v>
      </c>
      <c r="BA146" s="109" t="e" cm="1">
        <f t="array" aca="1" ref="BA146" ca="1">IF(_xll.BQL(E146,"first(last(matches(px_last(dates=range(-1M,0D)),dayofweek(px_last(dates=range(-1M,0D)).date)==6),2),1)")="#N/A","-",_xll.BQL(E146,"first(last(matches(px_last(dates=range(-1M,0D)),dayofweek(px_last(dates=range(-1M,0D)).date)==6),2),1)"))</f>
        <v>#NAME?</v>
      </c>
      <c r="BB146" s="109" t="str">
        <f t="shared" ca="1" si="36"/>
        <v>-</v>
      </c>
    </row>
    <row r="147" spans="5:54" ht="16.5" customHeight="1" thickBot="1">
      <c r="E147" s="157" t="s">
        <v>1114</v>
      </c>
      <c r="F147" s="66" t="e">
        <f ca="1">_xll.BDP($E147,F$3)&amp;" BEST Curncy"</f>
        <v>#NAME?</v>
      </c>
      <c r="G147" s="97" t="e">
        <f t="shared" ca="1" si="43"/>
        <v>#NAME?</v>
      </c>
      <c r="I147" s="633"/>
      <c r="J147" s="98" t="e">
        <f ca="1">_xll.BDP($E147,J$3)</f>
        <v>#NAME?</v>
      </c>
      <c r="K147" s="99" t="e">
        <f ca="1">_xll.BDP($E147,K$3)</f>
        <v>#NAME?</v>
      </c>
      <c r="L147" s="100" t="str">
        <f ca="1">IF(ISNUMBER(_xll.BDH($E147,"PX_LAST",TEXT($E$2,"YYYYMMDD"),TEXT($E$2,"YYYYMMDD"),"days=a","fill=p")),_xll.BDH($E147,"PX_LAST",TEXT($E$2,"YYYYMMDD"),TEXT($E$2,"YYYYMMDD"),"days=a","fill=p"),"-")</f>
        <v>-</v>
      </c>
      <c r="M147" s="100" t="str">
        <f ca="1">IF(ISNUMBER(_xll.BDH($E147,"PX_LAST",TEXT($E$2-7,"YYYYMMDD"),TEXT($E$2-7,"YYYYMMDD"),"days=a","fill=p")),_xll.BDH($E147,"PX_LAST",TEXT($E$2-7,"YYYYMMDD"),TEXT($E$2-7,"YYYYMMDD"),"days=a","fill=p"),"-")</f>
        <v>-</v>
      </c>
      <c r="N147" s="180" t="str">
        <f t="shared" ca="1" si="44"/>
        <v>-</v>
      </c>
      <c r="O147" s="101" t="e">
        <f ca="1">IF(OR(_xll.BDP($E147,O$3)="#N/A N/A",_xll.BDP($E147,O$3)="#N/A Invalid Security"), "-", _xll.BDP($E147,O$3))</f>
        <v>#NAME?</v>
      </c>
      <c r="P147" s="182" t="str">
        <f ca="1">IF(ISNUMBER(_xll.BDH($F147,"PX_LAST",TEXT($E$2,"YYYYMMDD"),TEXT($E$2,"YYYYMMDD"),"days=a","fill=p")),_xll.BDH($F147,"PX_LAST",TEXT($E$2,"YYYYMMDD"),TEXT($E$2,"YYYYMMDD"),"days=a","fill=p"),"-")</f>
        <v>-</v>
      </c>
      <c r="Q147" s="182" t="str">
        <f ca="1">IF(ISNUMBER(_xll.BDH($F147,"PX_LAST",TEXT($E$2-7,"YYYYMMDD"),TEXT($E$2-7,"YYYYMMDD"),"days=a","fill=p")),_xll.BDH($F147,"PX_LAST",TEXT($E$2-7,"YYYYMMDD"),TEXT($E$2-7,"YYYYMMDD"),"days=a","fill=p"),"-")</f>
        <v>-</v>
      </c>
      <c r="R147" s="102" t="str">
        <f t="shared" ca="1" si="45"/>
        <v>-</v>
      </c>
      <c r="S147" s="103" t="str">
        <f ca="1">IF(ISNUMBER(_xll.BDP($F147,S$3)),_xll.BDP($F147,S$3),"-")</f>
        <v>-</v>
      </c>
      <c r="T147" s="104" t="e">
        <f t="shared" ca="1" si="34"/>
        <v>#NAME?</v>
      </c>
      <c r="U147" s="105" t="e">
        <f ca="1">IF(OR(_xll.BDP($E147,U$3)="#N/A N/A",_xll.BDP($E147,U$3)="#N/A Invalid Security"), "-", _xll.BDP($E147,U$3))</f>
        <v>#NAME?</v>
      </c>
      <c r="V147" s="105" t="e">
        <f ca="1">IF(OR(_xll.BDP($E147,V$2)="#N/A N/A",_xll.BDP($E147,V$2)="#N/A Invalid Security"), "-", _xll.BDP($E147,V$2))</f>
        <v>#NAME?</v>
      </c>
      <c r="W147" s="106" t="e">
        <f ca="1">IF(OR(_xll.BDP($E147,W$3)="#N/A N/A",_xll.BDP($E147,W$3)="#N/A Invalid Security"), "-", _xll.BDP($E147,W$3))</f>
        <v>#NAME?</v>
      </c>
      <c r="X147" s="105" t="e">
        <f ca="1">IF(OR(_xll.BDP($E147,X$3)="#N/A N/A",_xll.BDP($E147,X$3)="#N/A Invalid Security"), " ", _xll.BDP($E147,X$3))</f>
        <v>#NAME?</v>
      </c>
      <c r="Y147" s="105" t="e">
        <f ca="1">IF(OR(_xll.BDP($E147,Y$3)="#N/A N/A",_xll.BDP($E147,Y$3)="#N/A Invalid Security"), " ", _xll.BDP($E147,Y$3))</f>
        <v>#NAME?</v>
      </c>
      <c r="Z147" s="106" t="e">
        <f ca="1">IF(OR(_xll.BDP($E147,Z$3)="#N/A N/A",_xll.BDP($E147,Z$3)="#N/A Invalid Security"), " ", _xll.BDP($E147,Z$3))</f>
        <v>#NAME?</v>
      </c>
      <c r="AA147" s="107"/>
      <c r="AB147" s="93" t="s">
        <v>953</v>
      </c>
      <c r="AC147" s="93" t="s">
        <v>998</v>
      </c>
      <c r="AD147" s="93" t="s">
        <v>997</v>
      </c>
      <c r="AE147" s="93" t="s">
        <v>948</v>
      </c>
      <c r="AF147" s="93" t="s">
        <v>948</v>
      </c>
      <c r="AG147" s="93" t="s">
        <v>940</v>
      </c>
      <c r="AH147" s="95" t="e">
        <f t="shared" ca="1" si="42"/>
        <v>#NAME?</v>
      </c>
      <c r="AI147" s="95" t="e">
        <f t="shared" ca="1" si="42"/>
        <v>#NAME?</v>
      </c>
      <c r="AJ147" s="95" t="e">
        <f t="shared" ca="1" si="42"/>
        <v>#NAME?</v>
      </c>
      <c r="AK147" s="95" t="e">
        <f t="shared" ca="1" si="42"/>
        <v>#NAME?</v>
      </c>
      <c r="AL147" s="95" t="e">
        <f t="shared" ca="1" si="42"/>
        <v>#NAME?</v>
      </c>
      <c r="AM147" s="95" t="e">
        <f t="shared" ca="1" si="42"/>
        <v>#NAME?</v>
      </c>
      <c r="AN147" s="66" t="str">
        <f t="shared" ca="1" si="40"/>
        <v/>
      </c>
      <c r="AO147" s="108" t="e" cm="1">
        <f t="array" aca="1" ref="AO147" ca="1">_xll.BDP($E147,"cur_mkt_cap")</f>
        <v>#NAME?</v>
      </c>
      <c r="AP147" s="108" t="e" cm="1">
        <f t="array" aca="1" ref="AP147" ca="1">_xll.BDP($E147,"crncy")</f>
        <v>#NAME?</v>
      </c>
      <c r="AQ147" s="109" t="e" cm="1">
        <f t="array" aca="1" ref="AQ147" ca="1">_xll.BDP("USD"&amp;AP147&amp;" curncy","px_last")</f>
        <v>#NAME?</v>
      </c>
      <c r="AR147" s="109" t="e">
        <f t="shared" ca="1" si="35"/>
        <v>#NAME?</v>
      </c>
      <c r="AT147" s="66" t="str">
        <f t="shared" ca="1" si="41"/>
        <v/>
      </c>
      <c r="AU147" s="66" t="str">
        <f t="shared" ca="1" si="41"/>
        <v/>
      </c>
      <c r="AV147" s="66" t="str">
        <f t="shared" ca="1" si="41"/>
        <v/>
      </c>
      <c r="AW147" s="73" t="str" cm="1">
        <f t="array" aca="1" ref="AW147" ca="1">IF(ISERROR(DATEVALUE(_xll.BDP($E147,AW$6))),"",DATEVALUE(_xll.BDP($E147,AW$6)))</f>
        <v/>
      </c>
      <c r="AX147" s="73" t="str" cm="1">
        <f t="array" aca="1" ref="AX147" ca="1">IF(ISERROR(DATEVALUE(_xll.BDP($E147,AX$2))),"",DATEVALUE(_xll.BDP($E147,AX$2)))</f>
        <v/>
      </c>
      <c r="AY147" s="73" t="str" cm="1">
        <f t="array" aca="1" ref="AY147" ca="1">IF(ISERROR(DATEVALUE(_xll.BDP($E147,AY$6))),"",DATEVALUE(_xll.BDP($E147,AY$6)))</f>
        <v/>
      </c>
      <c r="AZ147" s="110" t="e" cm="1">
        <f t="array" aca="1" ref="AZ147" ca="1">IF(_xll.BQL($E147, "last(matches(px_last(dates=range(-1w,0d)), dayofweek(px_last(dates=range(-1w,0d)).date)==6))")="#N/A","-",_xll.BQL($E147, "last(matches(px_last(dates=range(-1w,0d)), dayofweek(px_last(dates=range(-1w,0d)).date)==6))"))</f>
        <v>#NAME?</v>
      </c>
      <c r="BA147" s="109" t="e" cm="1">
        <f t="array" aca="1" ref="BA147" ca="1">IF(_xll.BQL(E147,"first(last(matches(px_last(dates=range(-1M,0D)),dayofweek(px_last(dates=range(-1M,0D)).date)==6),2),1)")="#N/A","-",_xll.BQL(E147,"first(last(matches(px_last(dates=range(-1M,0D)),dayofweek(px_last(dates=range(-1M,0D)).date)==6),2),1)"))</f>
        <v>#NAME?</v>
      </c>
      <c r="BB147" s="109" t="str">
        <f t="shared" ca="1" si="36"/>
        <v>-</v>
      </c>
    </row>
    <row r="148" spans="5:54" ht="16.5" customHeight="1" thickBot="1">
      <c r="E148" s="157" t="s">
        <v>1115</v>
      </c>
      <c r="F148" s="66" t="e">
        <f ca="1">_xll.BDP($E148,F$3)&amp;" BEST Curncy"</f>
        <v>#NAME?</v>
      </c>
      <c r="G148" s="97" t="e">
        <f t="shared" ca="1" si="43"/>
        <v>#NAME?</v>
      </c>
      <c r="I148" s="647"/>
      <c r="J148" s="98" t="e">
        <f ca="1">_xll.BDP($E148,J$3)</f>
        <v>#NAME?</v>
      </c>
      <c r="K148" s="99" t="e">
        <f ca="1">_xll.BDP($E148,K$3)</f>
        <v>#NAME?</v>
      </c>
      <c r="L148" s="100" t="str">
        <f ca="1">IF(ISNUMBER(_xll.BDH($E148,"PX_LAST",TEXT($E$2,"YYYYMMDD"),TEXT($E$2,"YYYYMMDD"),"days=a","fill=p")),_xll.BDH($E148,"PX_LAST",TEXT($E$2,"YYYYMMDD"),TEXT($E$2,"YYYYMMDD"),"days=a","fill=p"),"-")</f>
        <v>-</v>
      </c>
      <c r="M148" s="100" t="str">
        <f ca="1">IF(ISNUMBER(_xll.BDH($E148,"PX_LAST",TEXT($E$2-7,"YYYYMMDD"),TEXT($E$2-7,"YYYYMMDD"),"days=a","fill=p")),_xll.BDH($E148,"PX_LAST",TEXT($E$2-7,"YYYYMMDD"),TEXT($E$2-7,"YYYYMMDD"),"days=a","fill=p"),"-")</f>
        <v>-</v>
      </c>
      <c r="N148" s="180" t="str">
        <f t="shared" ca="1" si="44"/>
        <v>-</v>
      </c>
      <c r="O148" s="101" t="e">
        <f ca="1">IF(OR(_xll.BDP($E148,O$3)="#N/A N/A",_xll.BDP($E148,O$3)="#N/A Invalid Security"), "-", _xll.BDP($E148,O$3))</f>
        <v>#NAME?</v>
      </c>
      <c r="P148" s="182" t="str">
        <f ca="1">IF(ISNUMBER(_xll.BDH($F148,"PX_LAST",TEXT($E$2,"YYYYMMDD"),TEXT($E$2,"YYYYMMDD"),"days=a","fill=p")),_xll.BDH($F148,"PX_LAST",TEXT($E$2,"YYYYMMDD"),TEXT($E$2,"YYYYMMDD"),"days=a","fill=p"),"-")</f>
        <v>-</v>
      </c>
      <c r="Q148" s="182" t="str">
        <f ca="1">IF(ISNUMBER(_xll.BDH($F148,"PX_LAST",TEXT($E$2-7,"YYYYMMDD"),TEXT($E$2-7,"YYYYMMDD"),"days=a","fill=p")),_xll.BDH($F148,"PX_LAST",TEXT($E$2-7,"YYYYMMDD"),TEXT($E$2-7,"YYYYMMDD"),"days=a","fill=p"),"-")</f>
        <v>-</v>
      </c>
      <c r="R148" s="102" t="str">
        <f t="shared" ca="1" si="45"/>
        <v>-</v>
      </c>
      <c r="S148" s="103" t="str">
        <f ca="1">IF(ISNUMBER(_xll.BDP($F148,S$3)),_xll.BDP($F148,S$3),"-")</f>
        <v>-</v>
      </c>
      <c r="T148" s="104" t="e">
        <f t="shared" ca="1" si="34"/>
        <v>#NAME?</v>
      </c>
      <c r="U148" s="105" t="e">
        <f ca="1">IF(OR(_xll.BDP($E148,U$3)="#N/A N/A",_xll.BDP($E148,U$3)="#N/A Invalid Security"), "-", _xll.BDP($E148,U$3))</f>
        <v>#NAME?</v>
      </c>
      <c r="V148" s="105" t="e">
        <f ca="1">IF(OR(_xll.BDP($E148,V$2)="#N/A N/A",_xll.BDP($E148,V$2)="#N/A Invalid Security"), "-", _xll.BDP($E148,V$2))</f>
        <v>#NAME?</v>
      </c>
      <c r="W148" s="106" t="e">
        <f ca="1">IF(OR(_xll.BDP($E148,W$3)="#N/A N/A",_xll.BDP($E148,W$3)="#N/A Invalid Security"), "-", _xll.BDP($E148,W$3))</f>
        <v>#NAME?</v>
      </c>
      <c r="X148" s="105" t="e">
        <f ca="1">IF(OR(_xll.BDP($E148,X$3)="#N/A N/A",_xll.BDP($E148,X$3)="#N/A Invalid Security"), " ", _xll.BDP($E148,X$3))</f>
        <v>#NAME?</v>
      </c>
      <c r="Y148" s="105" t="e">
        <f ca="1">IF(OR(_xll.BDP($E148,Y$3)="#N/A N/A",_xll.BDP($E148,Y$3)="#N/A Invalid Security"), " ", _xll.BDP($E148,Y$3))</f>
        <v>#NAME?</v>
      </c>
      <c r="Z148" s="106" t="e">
        <f ca="1">IF(OR(_xll.BDP($E148,Z$3)="#N/A N/A",_xll.BDP($E148,Z$3)="#N/A Invalid Security"), " ", _xll.BDP($E148,Z$3))</f>
        <v>#NAME?</v>
      </c>
      <c r="AA148" s="107"/>
      <c r="AB148" s="93" t="s">
        <v>934</v>
      </c>
      <c r="AC148" s="93" t="s">
        <v>934</v>
      </c>
      <c r="AD148" s="93" t="s">
        <v>934</v>
      </c>
      <c r="AE148" s="93" t="s">
        <v>936</v>
      </c>
      <c r="AF148" s="93" t="s">
        <v>936</v>
      </c>
      <c r="AG148" s="93" t="s">
        <v>936</v>
      </c>
      <c r="AH148" s="95" t="e">
        <f t="shared" ca="1" si="42"/>
        <v>#NAME?</v>
      </c>
      <c r="AI148" s="95" t="e">
        <f t="shared" ca="1" si="42"/>
        <v>#NAME?</v>
      </c>
      <c r="AJ148" s="95" t="e">
        <f t="shared" ca="1" si="42"/>
        <v>#NAME?</v>
      </c>
      <c r="AK148" s="95" t="e">
        <f t="shared" ca="1" si="42"/>
        <v>#NAME?</v>
      </c>
      <c r="AL148" s="95" t="e">
        <f t="shared" ca="1" si="42"/>
        <v>#NAME?</v>
      </c>
      <c r="AM148" s="95" t="e">
        <f t="shared" ca="1" si="42"/>
        <v>#NAME?</v>
      </c>
      <c r="AN148" s="66" t="str">
        <f t="shared" ca="1" si="40"/>
        <v/>
      </c>
      <c r="AO148" s="108" t="e" cm="1">
        <f t="array" aca="1" ref="AO148" ca="1">_xll.BDP($E148,"cur_mkt_cap")</f>
        <v>#NAME?</v>
      </c>
      <c r="AP148" s="108" t="e" cm="1">
        <f t="array" aca="1" ref="AP148" ca="1">_xll.BDP($E148,"crncy")</f>
        <v>#NAME?</v>
      </c>
      <c r="AQ148" s="109" t="e" cm="1">
        <f t="array" aca="1" ref="AQ148" ca="1">_xll.BDP("USD"&amp;AP148&amp;" curncy","px_last")</f>
        <v>#NAME?</v>
      </c>
      <c r="AR148" s="109" t="e">
        <f t="shared" ca="1" si="35"/>
        <v>#NAME?</v>
      </c>
      <c r="AT148" s="66" t="str">
        <f t="shared" ca="1" si="41"/>
        <v/>
      </c>
      <c r="AU148" s="66" t="str">
        <f t="shared" ca="1" si="41"/>
        <v/>
      </c>
      <c r="AV148" s="66" t="str">
        <f t="shared" ca="1" si="41"/>
        <v/>
      </c>
      <c r="AW148" s="73" t="str" cm="1">
        <f t="array" aca="1" ref="AW148" ca="1">IF(ISERROR(DATEVALUE(_xll.BDP($E148,AW$6))),"",DATEVALUE(_xll.BDP($E148,AW$6)))</f>
        <v/>
      </c>
      <c r="AX148" s="73" t="str" cm="1">
        <f t="array" aca="1" ref="AX148" ca="1">IF(ISERROR(DATEVALUE(_xll.BDP($E148,AX$2))),"",DATEVALUE(_xll.BDP($E148,AX$2)))</f>
        <v/>
      </c>
      <c r="AY148" s="73" t="str" cm="1">
        <f t="array" aca="1" ref="AY148" ca="1">IF(ISERROR(DATEVALUE(_xll.BDP($E148,AY$6))),"",DATEVALUE(_xll.BDP($E148,AY$6)))</f>
        <v/>
      </c>
      <c r="AZ148" s="110" t="e" cm="1">
        <f t="array" aca="1" ref="AZ148" ca="1">IF(_xll.BQL($E148, "last(matches(px_last(dates=range(-1w,0d)), dayofweek(px_last(dates=range(-1w,0d)).date)==6))")="#N/A","-",_xll.BQL($E148, "last(matches(px_last(dates=range(-1w,0d)), dayofweek(px_last(dates=range(-1w,0d)).date)==6))"))</f>
        <v>#NAME?</v>
      </c>
      <c r="BA148" s="109" t="e" cm="1">
        <f t="array" aca="1" ref="BA148" ca="1">IF(_xll.BQL(E148,"first(last(matches(px_last(dates=range(-1M,0D)),dayofweek(px_last(dates=range(-1M,0D)).date)==6),2),1)")="#N/A","-",_xll.BQL(E148,"first(last(matches(px_last(dates=range(-1M,0D)),dayofweek(px_last(dates=range(-1M,0D)).date)==6),2),1)"))</f>
        <v>#NAME?</v>
      </c>
      <c r="BB148" s="109" t="str">
        <f t="shared" ca="1" si="36"/>
        <v>-</v>
      </c>
    </row>
    <row r="149" spans="5:54" ht="16.5" customHeight="1" thickBot="1">
      <c r="E149" s="157" t="s">
        <v>1849</v>
      </c>
      <c r="F149" s="66" t="e">
        <f ca="1">_xll.BDP($E149,F$3)&amp;" BEST Curncy"</f>
        <v>#NAME?</v>
      </c>
      <c r="G149" s="97" t="e">
        <f ca="1">AR149</f>
        <v>#NAME?</v>
      </c>
      <c r="I149" s="144"/>
      <c r="J149" s="98" t="e">
        <f ca="1">_xll.BDP($E149,J$3)</f>
        <v>#NAME?</v>
      </c>
      <c r="K149" s="99" t="e">
        <f ca="1">_xll.BDP($E149,K$3)</f>
        <v>#NAME?</v>
      </c>
      <c r="L149" s="100" t="str">
        <f ca="1">IF(ISNUMBER(_xll.BDH($E149,"PX_LAST",TEXT($E$2,"YYYYMMDD"),TEXT($E$2,"YYYYMMDD"),"days=a","fill=p")),_xll.BDH($E149,"PX_LAST",TEXT($E$2,"YYYYMMDD"),TEXT($E$2,"YYYYMMDD"),"days=a","fill=p"),"-")</f>
        <v>-</v>
      </c>
      <c r="M149" s="100" t="str">
        <f ca="1">IF(ISNUMBER(_xll.BDH($E149,"PX_LAST",TEXT($E$2-7,"YYYYMMDD"),TEXT($E$2-7,"YYYYMMDD"),"days=a","fill=p")),_xll.BDH($E149,"PX_LAST",TEXT($E$2-7,"YYYYMMDD"),TEXT($E$2-7,"YYYYMMDD"),"days=a","fill=p"),"-")</f>
        <v>-</v>
      </c>
      <c r="N149" s="180" t="str">
        <f t="shared" ca="1" si="44"/>
        <v>-</v>
      </c>
      <c r="O149" s="101" t="e">
        <f ca="1">IF(OR(_xll.BDP($E149,O$3)="#N/A N/A",_xll.BDP($E149,O$3)="#N/A Invalid Security"), "-", _xll.BDP($E149,O$3))</f>
        <v>#NAME?</v>
      </c>
      <c r="P149" s="182" t="str">
        <f ca="1">IF(ISNUMBER(_xll.BDH($F149,"PX_LAST",TEXT($E$2,"YYYYMMDD"),TEXT($E$2,"YYYYMMDD"),"days=a","fill=p")),_xll.BDH($F149,"PX_LAST",TEXT($E$2,"YYYYMMDD"),TEXT($E$2,"YYYYMMDD"),"days=a","fill=p"),"-")</f>
        <v>-</v>
      </c>
      <c r="Q149" s="182" t="str">
        <f ca="1">IF(ISNUMBER(_xll.BDH($F149,"PX_LAST",TEXT($E$2-7,"YYYYMMDD"),TEXT($E$2-7,"YYYYMMDD"),"days=a","fill=p")),_xll.BDH($F149,"PX_LAST",TEXT($E$2-7,"YYYYMMDD"),TEXT($E$2-7,"YYYYMMDD"),"days=a","fill=p"),"-")</f>
        <v>-</v>
      </c>
      <c r="R149" s="102" t="str">
        <f t="shared" ca="1" si="45"/>
        <v>-</v>
      </c>
      <c r="S149" s="103" t="str">
        <f ca="1">IF(ISNUMBER(_xll.BDP($F149,S$3)),_xll.BDP($F149,S$3),"-")</f>
        <v>-</v>
      </c>
      <c r="T149" s="104" t="str">
        <f t="shared" si="34"/>
        <v xml:space="preserve"> </v>
      </c>
      <c r="U149" s="105" t="e">
        <f ca="1">IF(OR(_xll.BDP($E149,U$3)="#N/A N/A",_xll.BDP($E149,U$3)="#N/A Invalid Security"), "-", _xll.BDP($E149,U$3))</f>
        <v>#NAME?</v>
      </c>
      <c r="V149" s="105" t="e">
        <f ca="1">IF(OR(_xll.BDP($E149,V$2)="#N/A N/A",_xll.BDP($E149,V$2)="#N/A Invalid Security"), "-", _xll.BDP($E149,V$2))</f>
        <v>#NAME?</v>
      </c>
      <c r="W149" s="106" t="e">
        <f ca="1">IF(OR(_xll.BDP($E149,W$3)="#N/A N/A",_xll.BDP($E149,W$3)="#N/A Invalid Security"), "-", _xll.BDP($E149,W$3))</f>
        <v>#NAME?</v>
      </c>
      <c r="X149" s="105" t="e">
        <f ca="1">IF(OR(_xll.BDP($E149,X$3)="#N/A N/A",_xll.BDP($E149,X$3)="#N/A Invalid Security"), " ", _xll.BDP($E149,X$3))</f>
        <v>#NAME?</v>
      </c>
      <c r="Y149" s="105" t="e">
        <f ca="1">IF(OR(_xll.BDP($E149,Y$3)="#N/A N/A",_xll.BDP($E149,Y$3)="#N/A Invalid Security"), " ", _xll.BDP($E149,Y$3))</f>
        <v>#NAME?</v>
      </c>
      <c r="Z149" s="106" t="e">
        <f ca="1">IF(OR(_xll.BDP($E149,Z$3)="#N/A N/A",_xll.BDP($E149,Z$3)="#N/A Invalid Security"), " ", _xll.BDP($E149,Z$3))</f>
        <v>#NAME?</v>
      </c>
      <c r="AA149" s="107"/>
      <c r="AB149" s="93"/>
      <c r="AC149" s="93"/>
      <c r="AD149" s="93"/>
      <c r="AE149" s="93"/>
      <c r="AF149" s="93"/>
      <c r="AG149" s="93"/>
      <c r="AH149" s="95"/>
      <c r="AI149" s="95"/>
      <c r="AJ149" s="95"/>
      <c r="AK149" s="95"/>
      <c r="AL149" s="95"/>
      <c r="AM149" s="95"/>
      <c r="AO149" s="108" t="e" cm="1">
        <f t="array" aca="1" ref="AO149" ca="1">_xll.BDP($E149,"cur_mkt_cap")</f>
        <v>#NAME?</v>
      </c>
      <c r="AP149" s="108" t="e" cm="1">
        <f t="array" aca="1" ref="AP149" ca="1">_xll.BDP($E149,"crncy")</f>
        <v>#NAME?</v>
      </c>
      <c r="AQ149" s="109" t="e" cm="1">
        <f t="array" aca="1" ref="AQ149" ca="1">_xll.BDP("USD"&amp;AP149&amp;" curncy","px_last")</f>
        <v>#NAME?</v>
      </c>
      <c r="AR149" s="109" t="e">
        <f ca="1">AO149/AQ149/1000000000</f>
        <v>#NAME?</v>
      </c>
      <c r="AW149" s="73" t="str" cm="1">
        <f t="array" aca="1" ref="AW149" ca="1">IF(ISERROR(DATEVALUE(_xll.BDP($E149,AW$6))),"",DATEVALUE(_xll.BDP($E149,AW$6)))</f>
        <v/>
      </c>
      <c r="AX149" s="73" t="str" cm="1">
        <f t="array" aca="1" ref="AX149" ca="1">IF(ISERROR(DATEVALUE(_xll.BDP($E149,AX$2))),"",DATEVALUE(_xll.BDP($E149,AX$2)))</f>
        <v/>
      </c>
      <c r="AY149" s="73" t="str" cm="1">
        <f t="array" aca="1" ref="AY149" ca="1">IF(ISERROR(DATEVALUE(_xll.BDP($E149,AY$6))),"",DATEVALUE(_xll.BDP($E149,AY$6)))</f>
        <v/>
      </c>
      <c r="AZ149" s="110" t="e" cm="1">
        <f t="array" aca="1" ref="AZ149" ca="1">IF(_xll.BQL($E149, "last(matches(px_last(dates=range(-1w,0d)), dayofweek(px_last(dates=range(-1w,0d)).date)==6))")="#N/A","-",_xll.BQL($E149, "last(matches(px_last(dates=range(-1w,0d)), dayofweek(px_last(dates=range(-1w,0d)).date)==6))"))</f>
        <v>#NAME?</v>
      </c>
      <c r="BA149" s="109" t="e" cm="1">
        <f t="array" aca="1" ref="BA149" ca="1">IF(_xll.BQL(E149,"first(last(matches(px_last(dates=range(-1M,0D)),dayofweek(px_last(dates=range(-1M,0D)).date)==6),2),1)")="#N/A","-",_xll.BQL(E149,"first(last(matches(px_last(dates=range(-1M,0D)),dayofweek(px_last(dates=range(-1M,0D)).date)==6),2),1)"))</f>
        <v>#NAME?</v>
      </c>
      <c r="BB149" s="109" t="str">
        <f t="shared" ca="1" si="36"/>
        <v>-</v>
      </c>
    </row>
    <row r="150" spans="5:54" ht="16.5" customHeight="1" thickBot="1">
      <c r="E150" s="96" t="s">
        <v>1116</v>
      </c>
      <c r="F150" s="66" t="e">
        <f ca="1">_xll.BDP($E150,F$3)&amp;" BEST Curncy"</f>
        <v>#NAME?</v>
      </c>
      <c r="G150" s="97" t="e">
        <f ca="1">AR150</f>
        <v>#NAME?</v>
      </c>
      <c r="H150" s="160" t="s">
        <v>1117</v>
      </c>
      <c r="I150" s="640" t="s">
        <v>1118</v>
      </c>
      <c r="J150" s="98" t="e">
        <f ca="1">_xll.BDP($E150,J$3)</f>
        <v>#NAME?</v>
      </c>
      <c r="K150" s="99" t="e">
        <f ca="1">_xll.BDP($E150,K$3)</f>
        <v>#NAME?</v>
      </c>
      <c r="L150" s="377" t="str">
        <f ca="1">IF(ISNUMBER(_xll.BDH($H150,"PX_LAST",TEXT($E$2,"YYYYMMDD"),TEXT($E$2,"YYYYMMDD"),"days=a","fill=p")),_xll.BDH($H150,"PX_LAST",TEXT($E$2,"YYYYMMDD"),TEXT($E$2,"YYYYMMDD"),"days=a","fill=p"),"-")</f>
        <v>-</v>
      </c>
      <c r="M150" s="377" t="str">
        <f ca="1">IF(ISNUMBER(_xll.BDH($H150,"PX_LAST",TEXT($E$2-7,"YYYYMMDD"),TEXT($E$2-7,"YYYYMMDD"),"days=a","fill=p")),_xll.BDH($H150,"PX_LAST",TEXT($E$2-7,"YYYYMMDD"),TEXT($E$2-7,"YYYYMMDD"),"days=a","fill=p"),"-")</f>
        <v>-</v>
      </c>
      <c r="N150" s="378" t="str">
        <f ca="1">IF(ISNUMBER(($L150-$M150)/$M150),($L150-$M150)/$M150,"-")</f>
        <v>-</v>
      </c>
      <c r="O150" s="379" t="e">
        <f ca="1">IF(OR(_xll.BDP($H150,O$3)="#N/A N/A",_xll.BDP($H150,O$3)="#N/A Invalid Security"), "-", _xll.BDP($H150,O$3))</f>
        <v>#NAME?</v>
      </c>
      <c r="P150" s="182" t="str">
        <f ca="1">IF(ISNUMBER(_xll.BDH($F150,"PX_LAST",TEXT($E$2,"YYYYMMDD"),TEXT($E$2,"YYYYMMDD"),"days=a","fill=p")),_xll.BDH($F150,"PX_LAST",TEXT($E$2,"YYYYMMDD"),TEXT($E$2,"YYYYMMDD"),"days=a","fill=p"),"-")</f>
        <v>-</v>
      </c>
      <c r="Q150" s="182" t="str">
        <f ca="1">IF(ISNUMBER(_xll.BDH($F150,"PX_LAST",TEXT($E$2-7,"YYYYMMDD"),TEXT($E$2-7,"YYYYMMDD"),"days=a","fill=p")),_xll.BDH($F150,"PX_LAST",TEXT($E$2-7,"YYYYMMDD"),TEXT($E$2-7,"YYYYMMDD"),"days=a","fill=p"),"-")</f>
        <v>-</v>
      </c>
      <c r="R150" s="102" t="str">
        <f t="shared" ca="1" si="45"/>
        <v>-</v>
      </c>
      <c r="S150" s="103" t="str">
        <f ca="1">IF(ISNUMBER(_xll.BDP($F150,S$3)),_xll.BDP($F150,S$3),"-")</f>
        <v>-</v>
      </c>
      <c r="T150" s="104" t="e">
        <f t="shared" ca="1" si="34"/>
        <v>#NAME?</v>
      </c>
      <c r="U150" s="105" t="e">
        <f ca="1">IF(OR(_xll.BDP($E150,U$3)="#N/A N/A",_xll.BDP($E150,U$3)="#N/A Invalid Security"), "-", _xll.BDP($E150,U$3))</f>
        <v>#NAME?</v>
      </c>
      <c r="V150" s="105" t="e">
        <f ca="1">IF(OR(_xll.BDP($E150,V$2)="#N/A N/A",_xll.BDP($E150,V$2)="#N/A Invalid Security"), "-", _xll.BDP($E150,V$2))</f>
        <v>#NAME?</v>
      </c>
      <c r="W150" s="106" t="e">
        <f ca="1">IF(OR(_xll.BDP($E150,W$3)="#N/A N/A",_xll.BDP($E150,W$3)="#N/A Invalid Security"), "-", _xll.BDP($E150,W$3))</f>
        <v>#NAME?</v>
      </c>
      <c r="X150" s="105" t="e">
        <f ca="1">IF(OR(_xll.BDP($E150,X$3)="#N/A N/A",_xll.BDP($E150,X$3)="#N/A Invalid Security"), " ", _xll.BDP($E150,X$3))</f>
        <v>#NAME?</v>
      </c>
      <c r="Y150" s="105" t="e">
        <f ca="1">IF(OR(_xll.BDP($E150,Y$3)="#N/A N/A",_xll.BDP($E150,Y$3)="#N/A Invalid Security"), " ", _xll.BDP($E150,Y$3))</f>
        <v>#NAME?</v>
      </c>
      <c r="Z150" s="106" t="e">
        <f ca="1">IF(OR(_xll.BDP($E150,Z$3)="#N/A N/A",_xll.BDP($E150,Z$3)="#N/A Invalid Security"), " ", _xll.BDP($E150,Z$3))</f>
        <v>#NAME?</v>
      </c>
      <c r="AA150" s="107"/>
      <c r="AB150" s="93" t="s">
        <v>932</v>
      </c>
      <c r="AC150" s="93" t="s">
        <v>875</v>
      </c>
      <c r="AD150" s="93" t="s">
        <v>932</v>
      </c>
      <c r="AE150" s="93" t="s">
        <v>940</v>
      </c>
      <c r="AF150" s="93" t="s">
        <v>940</v>
      </c>
      <c r="AG150" s="93" t="s">
        <v>940</v>
      </c>
      <c r="AH150" s="95" t="e">
        <f t="shared" ref="AH150:AM150" ca="1" si="46">IF(U150=AB150, 0,1)</f>
        <v>#NAME?</v>
      </c>
      <c r="AI150" s="95" t="e">
        <f t="shared" ca="1" si="46"/>
        <v>#NAME?</v>
      </c>
      <c r="AJ150" s="95" t="e">
        <f t="shared" ca="1" si="46"/>
        <v>#NAME?</v>
      </c>
      <c r="AK150" s="95" t="e">
        <f t="shared" ca="1" si="46"/>
        <v>#NAME?</v>
      </c>
      <c r="AL150" s="95" t="e">
        <f t="shared" ca="1" si="46"/>
        <v>#NAME?</v>
      </c>
      <c r="AM150" s="95" t="e">
        <f t="shared" ca="1" si="46"/>
        <v>#NAME?</v>
      </c>
      <c r="AN150" s="66" t="str">
        <f t="shared" ca="1" si="40"/>
        <v/>
      </c>
      <c r="AO150" s="108" t="e" cm="1">
        <f t="array" aca="1" ref="AO150" ca="1">_xll.BDP($E150,"cur_mkt_cap")</f>
        <v>#NAME?</v>
      </c>
      <c r="AP150" s="108" t="e" cm="1">
        <f t="array" aca="1" ref="AP150" ca="1">_xll.BDP($E150,"crncy")</f>
        <v>#NAME?</v>
      </c>
      <c r="AQ150" s="109" t="e" cm="1">
        <f t="array" aca="1" ref="AQ150" ca="1">_xll.BDP("USD"&amp;AP150&amp;" curncy","px_last")</f>
        <v>#NAME?</v>
      </c>
      <c r="AR150" s="109" t="e">
        <f ca="1">AO150/AQ150/1000000000</f>
        <v>#NAME?</v>
      </c>
      <c r="AT150" s="66" t="str">
        <f t="shared" ca="1" si="41"/>
        <v/>
      </c>
      <c r="AU150" s="66" t="str">
        <f t="shared" ca="1" si="41"/>
        <v/>
      </c>
      <c r="AV150" s="66" t="str">
        <f t="shared" ca="1" si="41"/>
        <v/>
      </c>
      <c r="AW150" s="73" t="str" cm="1">
        <f t="array" aca="1" ref="AW150" ca="1">IF(ISERROR(DATEVALUE(_xll.BDP($E150,AW$6))),"",DATEVALUE(_xll.BDP($E150,AW$6)))</f>
        <v/>
      </c>
      <c r="AX150" s="73" t="str" cm="1">
        <f t="array" aca="1" ref="AX150" ca="1">IF(ISERROR(DATEVALUE(_xll.BDP($E150,AX$2))),"",DATEVALUE(_xll.BDP($E150,AX$2)))</f>
        <v/>
      </c>
      <c r="AY150" s="73" t="str" cm="1">
        <f t="array" aca="1" ref="AY150" ca="1">IF(ISERROR(DATEVALUE(_xll.BDP($E150,AY$6))),"",DATEVALUE(_xll.BDP($E150,AY$6)))</f>
        <v/>
      </c>
      <c r="AZ150" s="110" t="e" cm="1">
        <f t="array" aca="1" ref="AZ150" ca="1">IF(_xll.BQL($E150, "last(matches(px_last(dates=range(-1w,0d)), dayofweek(px_last(dates=range(-1w,0d)).date)==6))")="#N/A","-",_xll.BQL($E150, "last(matches(px_last(dates=range(-1w,0d)), dayofweek(px_last(dates=range(-1w,0d)).date)==6))"))</f>
        <v>#NAME?</v>
      </c>
      <c r="BA150" s="109" t="e" cm="1">
        <f t="array" aca="1" ref="BA150" ca="1">IF(_xll.BQL(E150,"first(last(matches(px_last(dates=range(-1M,0D)),dayofweek(px_last(dates=range(-1M,0D)).date)==6),2),1)")="#N/A","-",_xll.BQL(E150,"first(last(matches(px_last(dates=range(-1M,0D)),dayofweek(px_last(dates=range(-1M,0D)).date)==6),2),1)"))</f>
        <v>#NAME?</v>
      </c>
      <c r="BB150" s="109" t="str">
        <f t="shared" ca="1" si="36"/>
        <v>-</v>
      </c>
    </row>
    <row r="151" spans="5:54" ht="16.5" customHeight="1" thickBot="1">
      <c r="E151" s="96" t="s">
        <v>1119</v>
      </c>
      <c r="F151" s="66" t="e">
        <f ca="1">_xll.BDP($E151,F$3)&amp;" BEST Curncy"</f>
        <v>#NAME?</v>
      </c>
      <c r="G151" s="97" t="e">
        <f t="shared" ref="G151:G194" ca="1" si="47">AR151</f>
        <v>#NAME?</v>
      </c>
      <c r="H151" s="160" t="s">
        <v>1120</v>
      </c>
      <c r="I151" s="641"/>
      <c r="J151" s="98" t="e">
        <f ca="1">_xll.BDP($E151,J$3)</f>
        <v>#NAME?</v>
      </c>
      <c r="K151" s="99" t="e">
        <f ca="1">_xll.BDP($E151,K$3)</f>
        <v>#NAME?</v>
      </c>
      <c r="L151" s="377" t="str">
        <f ca="1">IF(ISNUMBER(_xll.BDH($H151,"PX_LAST",TEXT($E$2,"YYYYMMDD"),TEXT($E$2,"YYYYMMDD"),"days=a","fill=p")),_xll.BDH($H151,"PX_LAST",TEXT($E$2,"YYYYMMDD"),TEXT($E$2,"YYYYMMDD"),"days=a","fill=p"),"-")</f>
        <v>-</v>
      </c>
      <c r="M151" s="377" t="str">
        <f ca="1">IF(ISNUMBER(_xll.BDH($H151,"PX_LAST",TEXT($E$2-7,"YYYYMMDD"),TEXT($E$2-7,"YYYYMMDD"),"days=a","fill=p")),_xll.BDH($H151,"PX_LAST",TEXT($E$2-7,"YYYYMMDD"),TEXT($E$2-7,"YYYYMMDD"),"days=a","fill=p"),"-")</f>
        <v>-</v>
      </c>
      <c r="N151" s="378" t="str">
        <f t="shared" ca="1" si="44"/>
        <v>-</v>
      </c>
      <c r="O151" s="379" t="e">
        <f ca="1">IF(OR(_xll.BDP($H151,O$3)="#N/A N/A",_xll.BDP($H151,O$3)="#N/A Invalid Security"), "-", _xll.BDP($H151,O$3))</f>
        <v>#NAME?</v>
      </c>
      <c r="P151" s="182" t="str">
        <f ca="1">IF(ISNUMBER(_xll.BDH($F151,"PX_LAST",TEXT($E$2,"YYYYMMDD"),TEXT($E$2,"YYYYMMDD"),"days=a","fill=p")),_xll.BDH($F151,"PX_LAST",TEXT($E$2,"YYYYMMDD"),TEXT($E$2,"YYYYMMDD"),"days=a","fill=p"),"-")</f>
        <v>-</v>
      </c>
      <c r="Q151" s="182" t="str">
        <f ca="1">IF(ISNUMBER(_xll.BDH($F151,"PX_LAST",TEXT($E$2-7,"YYYYMMDD"),TEXT($E$2-7,"YYYYMMDD"),"days=a","fill=p")),_xll.BDH($F151,"PX_LAST",TEXT($E$2-7,"YYYYMMDD"),TEXT($E$2-7,"YYYYMMDD"),"days=a","fill=p"),"-")</f>
        <v>-</v>
      </c>
      <c r="R151" s="102" t="str">
        <f t="shared" ca="1" si="45"/>
        <v>-</v>
      </c>
      <c r="S151" s="103" t="str">
        <f ca="1">IF(ISNUMBER(_xll.BDP($F151,S$3)),_xll.BDP($F151,S$3),"-")</f>
        <v>-</v>
      </c>
      <c r="T151" s="104" t="e">
        <f t="shared" ca="1" si="34"/>
        <v>#NAME?</v>
      </c>
      <c r="U151" s="105" t="e">
        <f ca="1">IF(OR(_xll.BDP($E151,U$3)="#N/A N/A",_xll.BDP($E151,U$3)="#N/A Invalid Security"), "-", _xll.BDP($E151,U$3))</f>
        <v>#NAME?</v>
      </c>
      <c r="V151" s="105" t="e">
        <f ca="1">IF(OR(_xll.BDP($E151,V$2)="#N/A N/A",_xll.BDP($E151,V$2)="#N/A Invalid Security"), "-", _xll.BDP($E151,V$2))</f>
        <v>#NAME?</v>
      </c>
      <c r="W151" s="106" t="e">
        <f ca="1">IF(OR(_xll.BDP($E151,W$3)="#N/A N/A",_xll.BDP($E151,W$3)="#N/A Invalid Security"), "-", _xll.BDP($E151,W$3))</f>
        <v>#NAME?</v>
      </c>
      <c r="X151" s="105" t="e">
        <f ca="1">IF(OR(_xll.BDP($E151,X$3)="#N/A N/A",_xll.BDP($E151,X$3)="#N/A Invalid Security"), " ", _xll.BDP($E151,X$3))</f>
        <v>#NAME?</v>
      </c>
      <c r="Y151" s="105" t="e">
        <f ca="1">IF(OR(_xll.BDP($E151,Y$3)="#N/A N/A",_xll.BDP($E151,Y$3)="#N/A Invalid Security"), " ", _xll.BDP($E151,Y$3))</f>
        <v>#NAME?</v>
      </c>
      <c r="Z151" s="106" t="e">
        <f ca="1">IF(OR(_xll.BDP($E151,Z$3)="#N/A N/A",_xll.BDP($E151,Z$3)="#N/A Invalid Security"), " ", _xll.BDP($E151,Z$3))</f>
        <v>#NAME?</v>
      </c>
      <c r="AA151" s="107"/>
      <c r="AB151" s="93" t="s">
        <v>999</v>
      </c>
      <c r="AC151" s="93" t="s">
        <v>939</v>
      </c>
      <c r="AD151" s="93" t="s">
        <v>985</v>
      </c>
      <c r="AE151" s="93" t="s">
        <v>940</v>
      </c>
      <c r="AF151" s="93" t="s">
        <v>940</v>
      </c>
      <c r="AG151" s="93" t="s">
        <v>940</v>
      </c>
      <c r="AH151" s="95" t="e">
        <f t="shared" ref="AH151:AM194" ca="1" si="48">IF(U151=AB151, 0,1)</f>
        <v>#NAME?</v>
      </c>
      <c r="AI151" s="95" t="e">
        <f t="shared" ca="1" si="48"/>
        <v>#NAME?</v>
      </c>
      <c r="AJ151" s="95" t="e">
        <f t="shared" ca="1" si="48"/>
        <v>#NAME?</v>
      </c>
      <c r="AK151" s="95" t="e">
        <f t="shared" ca="1" si="48"/>
        <v>#NAME?</v>
      </c>
      <c r="AL151" s="95" t="e">
        <f t="shared" ca="1" si="48"/>
        <v>#NAME?</v>
      </c>
      <c r="AM151" s="95" t="e">
        <f t="shared" ca="1" si="48"/>
        <v>#NAME?</v>
      </c>
      <c r="AN151" s="66" t="str">
        <f t="shared" ca="1" si="40"/>
        <v/>
      </c>
      <c r="AO151" s="108" t="e" cm="1">
        <f t="array" aca="1" ref="AO151" ca="1">_xll.BDP($E151,"cur_mkt_cap")</f>
        <v>#NAME?</v>
      </c>
      <c r="AP151" s="108" t="e" cm="1">
        <f t="array" aca="1" ref="AP151" ca="1">_xll.BDP($E151,"crncy")</f>
        <v>#NAME?</v>
      </c>
      <c r="AQ151" s="109" t="e" cm="1">
        <f t="array" aca="1" ref="AQ151" ca="1">_xll.BDP("USD"&amp;AP151&amp;" curncy","px_last")</f>
        <v>#NAME?</v>
      </c>
      <c r="AR151" s="109" t="e">
        <f t="shared" ref="AR151:AR176" ca="1" si="49">AO151/AQ151/1000000000</f>
        <v>#NAME?</v>
      </c>
      <c r="AT151" s="66" t="str">
        <f t="shared" ca="1" si="41"/>
        <v/>
      </c>
      <c r="AU151" s="66" t="str">
        <f t="shared" ca="1" si="41"/>
        <v/>
      </c>
      <c r="AV151" s="66" t="str">
        <f t="shared" ca="1" si="41"/>
        <v/>
      </c>
      <c r="AW151" s="73" t="str" cm="1">
        <f t="array" aca="1" ref="AW151" ca="1">IF(ISERROR(DATEVALUE(_xll.BDP($E151,AW$6))),"",DATEVALUE(_xll.BDP($E151,AW$6)))</f>
        <v/>
      </c>
      <c r="AX151" s="73" t="str" cm="1">
        <f t="array" aca="1" ref="AX151" ca="1">IF(ISERROR(DATEVALUE(_xll.BDP($E151,AX$2))),"",DATEVALUE(_xll.BDP($E151,AX$2)))</f>
        <v/>
      </c>
      <c r="AY151" s="73" t="str" cm="1">
        <f t="array" aca="1" ref="AY151" ca="1">IF(ISERROR(DATEVALUE(_xll.BDP($E151,AY$6))),"",DATEVALUE(_xll.BDP($E151,AY$6)))</f>
        <v/>
      </c>
      <c r="AZ151" s="110" t="e" cm="1">
        <f t="array" aca="1" ref="AZ151" ca="1">IF(_xll.BQL($E151, "last(matches(px_last(dates=range(-1w,0d)), dayofweek(px_last(dates=range(-1w,0d)).date)==6))")="#N/A","-",_xll.BQL($E151, "last(matches(px_last(dates=range(-1w,0d)), dayofweek(px_last(dates=range(-1w,0d)).date)==6))"))</f>
        <v>#NAME?</v>
      </c>
      <c r="BA151" s="109" t="e" cm="1">
        <f t="array" aca="1" ref="BA151" ca="1">IF(_xll.BQL(E151,"first(last(matches(px_last(dates=range(-1M,0D)),dayofweek(px_last(dates=range(-1M,0D)).date)==6),2),1)")="#N/A","-",_xll.BQL(E151,"first(last(matches(px_last(dates=range(-1M,0D)),dayofweek(px_last(dates=range(-1M,0D)).date)==6),2),1)"))</f>
        <v>#NAME?</v>
      </c>
      <c r="BB151" s="109" t="str">
        <f t="shared" ca="1" si="36"/>
        <v>-</v>
      </c>
    </row>
    <row r="152" spans="5:54" ht="16.5" customHeight="1" thickBot="1">
      <c r="E152" s="96" t="s">
        <v>1121</v>
      </c>
      <c r="F152" s="66" t="e">
        <f ca="1">_xll.BDP($E152,F$3)&amp;" BEST Curncy"</f>
        <v>#NAME?</v>
      </c>
      <c r="G152" s="97" t="e">
        <f t="shared" ca="1" si="47"/>
        <v>#NAME?</v>
      </c>
      <c r="H152" s="160" t="s">
        <v>1122</v>
      </c>
      <c r="I152" s="641"/>
      <c r="J152" s="98" t="e">
        <f ca="1">_xll.BDP($E152,J$3)</f>
        <v>#NAME?</v>
      </c>
      <c r="K152" s="99" t="e">
        <f ca="1">_xll.BDP($E152,K$3)</f>
        <v>#NAME?</v>
      </c>
      <c r="L152" s="377" t="str">
        <f ca="1">IF(ISNUMBER(_xll.BDH($H152,"PX_LAST",TEXT($E$2,"YYYYMMDD"),TEXT($E$2,"YYYYMMDD"),"days=a","fill=p")),_xll.BDH($H152,"PX_LAST",TEXT($E$2,"YYYYMMDD"),TEXT($E$2,"YYYYMMDD"),"days=a","fill=p"),"-")</f>
        <v>-</v>
      </c>
      <c r="M152" s="377" t="str">
        <f ca="1">IF(ISNUMBER(_xll.BDH($H152,"PX_LAST",TEXT($E$2-7,"YYYYMMDD"),TEXT($E$2-7,"YYYYMMDD"),"days=a","fill=p")),_xll.BDH($H152,"PX_LAST",TEXT($E$2-7,"YYYYMMDD"),TEXT($E$2-7,"YYYYMMDD"),"days=a","fill=p"),"-")</f>
        <v>-</v>
      </c>
      <c r="N152" s="378" t="str">
        <f ca="1">IF(ISNUMBER(($L152-$M152)/$M152),($L152-$M152)/$M152,"-")</f>
        <v>-</v>
      </c>
      <c r="O152" s="379" t="e">
        <f ca="1">IF(OR(_xll.BDP($H152,O$3)="#N/A N/A",_xll.BDP($H152,O$3)="#N/A Invalid Security"), "-", _xll.BDP($H152,O$3))</f>
        <v>#NAME?</v>
      </c>
      <c r="P152" s="182" t="str">
        <f ca="1">IF(ISNUMBER(_xll.BDH($F152,"PX_LAST",TEXT($E$2,"YYYYMMDD"),TEXT($E$2,"YYYYMMDD"),"days=a","fill=p")),_xll.BDH($F152,"PX_LAST",TEXT($E$2,"YYYYMMDD"),TEXT($E$2,"YYYYMMDD"),"days=a","fill=p"),"-")</f>
        <v>-</v>
      </c>
      <c r="Q152" s="182" t="str">
        <f ca="1">IF(ISNUMBER(_xll.BDH($F152,"PX_LAST",TEXT($E$2-7,"YYYYMMDD"),TEXT($E$2-7,"YYYYMMDD"),"days=a","fill=p")),_xll.BDH($F152,"PX_LAST",TEXT($E$2-7,"YYYYMMDD"),TEXT($E$2-7,"YYYYMMDD"),"days=a","fill=p"),"-")</f>
        <v>-</v>
      </c>
      <c r="R152" s="102" t="str">
        <f ca="1">IF(ISNUMBER($P152-$Q152),$P152-$Q152,"-")</f>
        <v>-</v>
      </c>
      <c r="S152" s="103" t="str">
        <f ca="1">IF(ISNUMBER(_xll.BDP($F152,S$3)),_xll.BDP($F152,S$3),"-")</f>
        <v>-</v>
      </c>
      <c r="T152" s="104" t="e">
        <f t="shared" ca="1" si="34"/>
        <v>#NAME?</v>
      </c>
      <c r="U152" s="105" t="e">
        <f ca="1">IF(OR(_xll.BDP($E152,U$3)="#N/A N/A",_xll.BDP($E152,U$3)="#N/A Invalid Security"), "-", _xll.BDP($E152,U$3))</f>
        <v>#NAME?</v>
      </c>
      <c r="V152" s="105" t="e">
        <f ca="1">IF(OR(_xll.BDP($E152,V$2)="#N/A N/A",_xll.BDP($E152,V$2)="#N/A Invalid Security"), "-", _xll.BDP($E152,V$2))</f>
        <v>#NAME?</v>
      </c>
      <c r="W152" s="106" t="e">
        <f ca="1">IF(OR(_xll.BDP($E152,W$3)="#N/A N/A",_xll.BDP($E152,W$3)="#N/A Invalid Security"), "-", _xll.BDP($E152,W$3))</f>
        <v>#NAME?</v>
      </c>
      <c r="X152" s="105" t="e">
        <f ca="1">IF(OR(_xll.BDP($E152,X$3)="#N/A N/A",_xll.BDP($E152,X$3)="#N/A Invalid Security"), " ", _xll.BDP($E152,X$3))</f>
        <v>#NAME?</v>
      </c>
      <c r="Y152" s="105" t="e">
        <f ca="1">IF(OR(_xll.BDP($E152,Y$3)="#N/A N/A",_xll.BDP($E152,Y$3)="#N/A Invalid Security"), " ", _xll.BDP($E152,Y$3))</f>
        <v>#NAME?</v>
      </c>
      <c r="Z152" s="106" t="e">
        <f ca="1">IF(OR(_xll.BDP($E152,Z$3)="#N/A N/A",_xll.BDP($E152,Z$3)="#N/A Invalid Security"), " ", _xll.BDP($E152,Z$3))</f>
        <v>#NAME?</v>
      </c>
      <c r="AA152" s="107"/>
      <c r="AB152" s="93" t="s">
        <v>876</v>
      </c>
      <c r="AC152" s="93" t="s">
        <v>874</v>
      </c>
      <c r="AD152" s="93" t="s">
        <v>938</v>
      </c>
      <c r="AE152" s="93" t="s">
        <v>940</v>
      </c>
      <c r="AF152" s="93" t="s">
        <v>940</v>
      </c>
      <c r="AG152" s="93" t="s">
        <v>940</v>
      </c>
      <c r="AH152" s="95" t="e">
        <f t="shared" ca="1" si="48"/>
        <v>#NAME?</v>
      </c>
      <c r="AI152" s="95" t="e">
        <f t="shared" ca="1" si="48"/>
        <v>#NAME?</v>
      </c>
      <c r="AJ152" s="95" t="e">
        <f t="shared" ca="1" si="48"/>
        <v>#NAME?</v>
      </c>
      <c r="AK152" s="95" t="e">
        <f t="shared" ca="1" si="48"/>
        <v>#NAME?</v>
      </c>
      <c r="AL152" s="95" t="e">
        <f t="shared" ca="1" si="48"/>
        <v>#NAME?</v>
      </c>
      <c r="AM152" s="95" t="e">
        <f t="shared" ca="1" si="48"/>
        <v>#NAME?</v>
      </c>
      <c r="AN152" s="66" t="str">
        <f t="shared" ca="1" si="40"/>
        <v/>
      </c>
      <c r="AO152" s="108" t="e" cm="1">
        <f t="array" aca="1" ref="AO152" ca="1">_xll.BDP($E152,"cur_mkt_cap")</f>
        <v>#NAME?</v>
      </c>
      <c r="AP152" s="108" t="e" cm="1">
        <f t="array" aca="1" ref="AP152" ca="1">_xll.BDP($E152,"crncy")</f>
        <v>#NAME?</v>
      </c>
      <c r="AQ152" s="109" t="e" cm="1">
        <f t="array" aca="1" ref="AQ152" ca="1">_xll.BDP("USD"&amp;AP152&amp;" curncy","px_last")</f>
        <v>#NAME?</v>
      </c>
      <c r="AR152" s="109" t="e">
        <f t="shared" ca="1" si="49"/>
        <v>#NAME?</v>
      </c>
      <c r="AT152" s="66" t="str">
        <f t="shared" ca="1" si="41"/>
        <v/>
      </c>
      <c r="AU152" s="66" t="str">
        <f t="shared" ca="1" si="41"/>
        <v/>
      </c>
      <c r="AV152" s="66" t="str">
        <f t="shared" ca="1" si="41"/>
        <v/>
      </c>
      <c r="AW152" s="73" t="str" cm="1">
        <f t="array" aca="1" ref="AW152" ca="1">IF(ISERROR(DATEVALUE(_xll.BDP($E152,AW$6))),"",DATEVALUE(_xll.BDP($E152,AW$6)))</f>
        <v/>
      </c>
      <c r="AX152" s="73" t="str" cm="1">
        <f t="array" aca="1" ref="AX152" ca="1">IF(ISERROR(DATEVALUE(_xll.BDP($E152,AX$2))),"",DATEVALUE(_xll.BDP($E152,AX$2)))</f>
        <v/>
      </c>
      <c r="AY152" s="73" t="str" cm="1">
        <f t="array" aca="1" ref="AY152" ca="1">IF(ISERROR(DATEVALUE(_xll.BDP($E152,AY$6))),"",DATEVALUE(_xll.BDP($E152,AY$6)))</f>
        <v/>
      </c>
      <c r="AZ152" s="110" t="e" cm="1">
        <f t="array" aca="1" ref="AZ152" ca="1">IF(_xll.BQL($E152, "last(matches(px_last(dates=range(-1w,0d)), dayofweek(px_last(dates=range(-1w,0d)).date)==6))")="#N/A","-",_xll.BQL($E152, "last(matches(px_last(dates=range(-1w,0d)), dayofweek(px_last(dates=range(-1w,0d)).date)==6))"))</f>
        <v>#NAME?</v>
      </c>
      <c r="BA152" s="109" t="e" cm="1">
        <f t="array" aca="1" ref="BA152" ca="1">IF(_xll.BQL(E152,"first(last(matches(px_last(dates=range(-1M,0D)),dayofweek(px_last(dates=range(-1M,0D)).date)==6),2),1)")="#N/A","-",_xll.BQL(E152,"first(last(matches(px_last(dates=range(-1M,0D)),dayofweek(px_last(dates=range(-1M,0D)).date)==6),2),1)"))</f>
        <v>#NAME?</v>
      </c>
      <c r="BB152" s="109" t="str">
        <f t="shared" ca="1" si="36"/>
        <v>-</v>
      </c>
    </row>
    <row r="153" spans="5:54" ht="16.5" customHeight="1" thickBot="1">
      <c r="E153" s="96" t="s">
        <v>1123</v>
      </c>
      <c r="F153" s="66" t="e">
        <f ca="1">_xll.BDP($E153,F$3)&amp;" BEST Curncy"</f>
        <v>#NAME?</v>
      </c>
      <c r="G153" s="97" t="e">
        <f t="shared" ca="1" si="47"/>
        <v>#NAME?</v>
      </c>
      <c r="H153" s="160" t="s">
        <v>1124</v>
      </c>
      <c r="I153" s="641"/>
      <c r="J153" s="98" t="e">
        <f ca="1">_xll.BDP($E153,J$3)</f>
        <v>#NAME?</v>
      </c>
      <c r="K153" s="99" t="e">
        <f ca="1">_xll.BDP($E153,K$3)</f>
        <v>#NAME?</v>
      </c>
      <c r="L153" s="377" t="str">
        <f ca="1">IF(ISNUMBER(_xll.BDH($H153,"PX_LAST",TEXT($E$2,"YYYYMMDD"),TEXT($E$2,"YYYYMMDD"),"days=a","fill=p")),_xll.BDH($H153,"PX_LAST",TEXT($E$2,"YYYYMMDD"),TEXT($E$2,"YYYYMMDD"),"days=a","fill=p"),"-")</f>
        <v>-</v>
      </c>
      <c r="M153" s="377" t="str">
        <f ca="1">IF(ISNUMBER(_xll.BDH($H153,"PX_LAST",TEXT($E$2-7,"YYYYMMDD"),TEXT($E$2-7,"YYYYMMDD"),"days=a","fill=p")),_xll.BDH($H153,"PX_LAST",TEXT($E$2-7,"YYYYMMDD"),TEXT($E$2-7,"YYYYMMDD"),"days=a","fill=p"),"-")</f>
        <v>-</v>
      </c>
      <c r="N153" s="378" t="str">
        <f t="shared" ref="N153:N178" ca="1" si="50">IF(ISNUMBER(($L153-$M153)/$M153),($L153-$M153)/$M153,"-")</f>
        <v>-</v>
      </c>
      <c r="O153" s="379" t="e">
        <f ca="1">IF(OR(_xll.BDP($H153,O$3)="#N/A N/A",_xll.BDP($H153,O$3)="#N/A Invalid Security"), "-", _xll.BDP($H153,O$3))</f>
        <v>#NAME?</v>
      </c>
      <c r="P153" s="182" t="str">
        <f ca="1">IF(ISNUMBER(_xll.BDH($F153,"PX_LAST",TEXT($E$2,"YYYYMMDD"),TEXT($E$2,"YYYYMMDD"),"days=a","fill=p")),_xll.BDH($F153,"PX_LAST",TEXT($E$2,"YYYYMMDD"),TEXT($E$2,"YYYYMMDD"),"days=a","fill=p"),"-")</f>
        <v>-</v>
      </c>
      <c r="Q153" s="182" t="str">
        <f ca="1">IF(ISNUMBER(_xll.BDH($F153,"PX_LAST",TEXT($E$2-7,"YYYYMMDD"),TEXT($E$2-7,"YYYYMMDD"),"days=a","fill=p")),_xll.BDH($F153,"PX_LAST",TEXT($E$2-7,"YYYYMMDD"),TEXT($E$2-7,"YYYYMMDD"),"days=a","fill=p"),"-")</f>
        <v>-</v>
      </c>
      <c r="R153" s="102" t="str">
        <f t="shared" ref="R153:R178" ca="1" si="51">IF(ISNUMBER($P153-$Q153),$P153-$Q153,"-")</f>
        <v>-</v>
      </c>
      <c r="S153" s="103" t="str">
        <f ca="1">IF(ISNUMBER(_xll.BDP($F153,S$3)),_xll.BDP($F153,S$3),"-")</f>
        <v>-</v>
      </c>
      <c r="T153" s="104" t="e">
        <f t="shared" ca="1" si="34"/>
        <v>#NAME?</v>
      </c>
      <c r="U153" s="105" t="e">
        <f ca="1">IF(OR(_xll.BDP($E153,U$3)="#N/A N/A",_xll.BDP($E153,U$3)="#N/A Invalid Security"), "-", _xll.BDP($E153,U$3))</f>
        <v>#NAME?</v>
      </c>
      <c r="V153" s="105" t="e">
        <f ca="1">IF(OR(_xll.BDP($E153,V$2)="#N/A N/A",_xll.BDP($E153,V$2)="#N/A Invalid Security"), "-", _xll.BDP($E153,V$2))</f>
        <v>#NAME?</v>
      </c>
      <c r="W153" s="106" t="e">
        <f ca="1">IF(OR(_xll.BDP($E153,W$3)="#N/A N/A",_xll.BDP($E153,W$3)="#N/A Invalid Security"), "-", _xll.BDP($E153,W$3))</f>
        <v>#NAME?</v>
      </c>
      <c r="X153" s="105" t="e">
        <f ca="1">IF(OR(_xll.BDP($E153,X$3)="#N/A N/A",_xll.BDP($E153,X$3)="#N/A Invalid Security"), " ", _xll.BDP($E153,X$3))</f>
        <v>#NAME?</v>
      </c>
      <c r="Y153" s="105" t="e">
        <f ca="1">IF(OR(_xll.BDP($E153,Y$3)="#N/A N/A",_xll.BDP($E153,Y$3)="#N/A Invalid Security"), " ", _xll.BDP($E153,Y$3))</f>
        <v>#NAME?</v>
      </c>
      <c r="Z153" s="106" t="e">
        <f ca="1">IF(OR(_xll.BDP($E153,Z$3)="#N/A N/A",_xll.BDP($E153,Z$3)="#N/A Invalid Security"), " ", _xll.BDP($E153,Z$3))</f>
        <v>#NAME?</v>
      </c>
      <c r="AA153" s="107"/>
      <c r="AB153" s="93" t="s">
        <v>932</v>
      </c>
      <c r="AC153" s="93" t="s">
        <v>875</v>
      </c>
      <c r="AD153" s="93" t="s">
        <v>877</v>
      </c>
      <c r="AE153" s="93" t="s">
        <v>940</v>
      </c>
      <c r="AF153" s="93" t="s">
        <v>935</v>
      </c>
      <c r="AG153" s="93" t="s">
        <v>940</v>
      </c>
      <c r="AH153" s="95" t="e">
        <f t="shared" ca="1" si="48"/>
        <v>#NAME?</v>
      </c>
      <c r="AI153" s="95" t="e">
        <f t="shared" ca="1" si="48"/>
        <v>#NAME?</v>
      </c>
      <c r="AJ153" s="95" t="e">
        <f t="shared" ca="1" si="48"/>
        <v>#NAME?</v>
      </c>
      <c r="AK153" s="95" t="e">
        <f t="shared" ca="1" si="48"/>
        <v>#NAME?</v>
      </c>
      <c r="AL153" s="95" t="e">
        <f t="shared" ca="1" si="48"/>
        <v>#NAME?</v>
      </c>
      <c r="AM153" s="95" t="e">
        <f t="shared" ca="1" si="48"/>
        <v>#NAME?</v>
      </c>
      <c r="AN153" s="66" t="str">
        <f t="shared" ca="1" si="40"/>
        <v/>
      </c>
      <c r="AO153" s="108" t="e" cm="1">
        <f t="array" aca="1" ref="AO153" ca="1">_xll.BDP($E153,"cur_mkt_cap")</f>
        <v>#NAME?</v>
      </c>
      <c r="AP153" s="108" t="e" cm="1">
        <f t="array" aca="1" ref="AP153" ca="1">_xll.BDP($E153,"crncy")</f>
        <v>#NAME?</v>
      </c>
      <c r="AQ153" s="109" t="e" cm="1">
        <f t="array" aca="1" ref="AQ153" ca="1">_xll.BDP("USD"&amp;AP153&amp;" curncy","px_last")</f>
        <v>#NAME?</v>
      </c>
      <c r="AR153" s="109" t="e">
        <f t="shared" ca="1" si="49"/>
        <v>#NAME?</v>
      </c>
      <c r="AT153" s="66" t="str">
        <f t="shared" ca="1" si="41"/>
        <v/>
      </c>
      <c r="AU153" s="66" t="str">
        <f t="shared" ca="1" si="41"/>
        <v/>
      </c>
      <c r="AV153" s="66" t="str">
        <f t="shared" ca="1" si="41"/>
        <v/>
      </c>
      <c r="AW153" s="73" t="str" cm="1">
        <f t="array" aca="1" ref="AW153" ca="1">IF(ISERROR(DATEVALUE(_xll.BDP($E153,AW$6))),"",DATEVALUE(_xll.BDP($E153,AW$6)))</f>
        <v/>
      </c>
      <c r="AX153" s="73" t="str" cm="1">
        <f t="array" aca="1" ref="AX153" ca="1">IF(ISERROR(DATEVALUE(_xll.BDP($E153,AX$2))),"",DATEVALUE(_xll.BDP($E153,AX$2)))</f>
        <v/>
      </c>
      <c r="AY153" s="73" t="str" cm="1">
        <f t="array" aca="1" ref="AY153" ca="1">IF(ISERROR(DATEVALUE(_xll.BDP($E153,AY$6))),"",DATEVALUE(_xll.BDP($E153,AY$6)))</f>
        <v/>
      </c>
      <c r="AZ153" s="110" t="e" cm="1">
        <f t="array" aca="1" ref="AZ153" ca="1">IF(_xll.BQL($E153, "last(matches(px_last(dates=range(-1w,0d)), dayofweek(px_last(dates=range(-1w,0d)).date)==6))")="#N/A","-",_xll.BQL($E153, "last(matches(px_last(dates=range(-1w,0d)), dayofweek(px_last(dates=range(-1w,0d)).date)==6))"))</f>
        <v>#NAME?</v>
      </c>
      <c r="BA153" s="109" t="e" cm="1">
        <f t="array" aca="1" ref="BA153" ca="1">IF(_xll.BQL(E153,"first(last(matches(px_last(dates=range(-1M,0D)),dayofweek(px_last(dates=range(-1M,0D)).date)==6),2),1)")="#N/A","-",_xll.BQL(E153,"first(last(matches(px_last(dates=range(-1M,0D)),dayofweek(px_last(dates=range(-1M,0D)).date)==6),2),1)"))</f>
        <v>#NAME?</v>
      </c>
      <c r="BB153" s="109" t="str">
        <f t="shared" ca="1" si="36"/>
        <v>-</v>
      </c>
    </row>
    <row r="154" spans="5:54" ht="16.5" customHeight="1" thickBot="1">
      <c r="E154" s="96" t="s">
        <v>1125</v>
      </c>
      <c r="F154" s="66" t="e">
        <f ca="1">_xll.BDP($E154,F$3)&amp;" BEST Curncy"</f>
        <v>#NAME?</v>
      </c>
      <c r="G154" s="97" t="e">
        <f t="shared" ca="1" si="47"/>
        <v>#NAME?</v>
      </c>
      <c r="H154" s="160" t="s">
        <v>1126</v>
      </c>
      <c r="I154" s="641"/>
      <c r="J154" s="98" t="e">
        <f ca="1">_xll.BDP($E154,J$3)</f>
        <v>#NAME?</v>
      </c>
      <c r="K154" s="99" t="e">
        <f ca="1">_xll.BDP($E154,K$3)</f>
        <v>#NAME?</v>
      </c>
      <c r="L154" s="377" t="str">
        <f ca="1">IF(ISNUMBER(_xll.BDH($H154,"PX_LAST",TEXT($E$2,"YYYYMMDD"),TEXT($E$2,"YYYYMMDD"),"days=a","fill=p")),_xll.BDH($H154,"PX_LAST",TEXT($E$2,"YYYYMMDD"),TEXT($E$2,"YYYYMMDD"),"days=a","fill=p"),"-")</f>
        <v>-</v>
      </c>
      <c r="M154" s="377" t="str">
        <f ca="1">IF(ISNUMBER(_xll.BDH($H154,"PX_LAST",TEXT($E$2-7,"YYYYMMDD"),TEXT($E$2-7,"YYYYMMDD"),"days=a","fill=p")),_xll.BDH($H154,"PX_LAST",TEXT($E$2-7,"YYYYMMDD"),TEXT($E$2-7,"YYYYMMDD"),"days=a","fill=p"),"-")</f>
        <v>-</v>
      </c>
      <c r="N154" s="378" t="str">
        <f t="shared" ca="1" si="50"/>
        <v>-</v>
      </c>
      <c r="O154" s="379" t="e">
        <f ca="1">IF(OR(_xll.BDP($H154,O$3)="#N/A N/A",_xll.BDP($H154,O$3)="#N/A Invalid Security"), "-", _xll.BDP($H154,O$3))</f>
        <v>#NAME?</v>
      </c>
      <c r="P154" s="182" t="str">
        <f ca="1">IF(ISNUMBER(_xll.BDH($F154,"PX_LAST",TEXT($E$2,"YYYYMMDD"),TEXT($E$2,"YYYYMMDD"),"days=a","fill=p")),_xll.BDH($F154,"PX_LAST",TEXT($E$2,"YYYYMMDD"),TEXT($E$2,"YYYYMMDD"),"days=a","fill=p"),"-")</f>
        <v>-</v>
      </c>
      <c r="Q154" s="182" t="str">
        <f ca="1">IF(ISNUMBER(_xll.BDH($F154,"PX_LAST",TEXT($E$2-7,"YYYYMMDD"),TEXT($E$2-7,"YYYYMMDD"),"days=a","fill=p")),_xll.BDH($F154,"PX_LAST",TEXT($E$2-7,"YYYYMMDD"),TEXT($E$2-7,"YYYYMMDD"),"days=a","fill=p"),"-")</f>
        <v>-</v>
      </c>
      <c r="R154" s="102" t="str">
        <f t="shared" ca="1" si="51"/>
        <v>-</v>
      </c>
      <c r="S154" s="103" t="str">
        <f ca="1">IF(ISNUMBER(_xll.BDP($F154,S$3)),_xll.BDP($F154,S$3),"-")</f>
        <v>-</v>
      </c>
      <c r="T154" s="104" t="e">
        <f t="shared" ca="1" si="34"/>
        <v>#NAME?</v>
      </c>
      <c r="U154" s="105" t="e">
        <f ca="1">IF(OR(_xll.BDP($E154,U$3)="#N/A N/A",_xll.BDP($E154,U$3)="#N/A Invalid Security"), "-", _xll.BDP($E154,U$3))</f>
        <v>#NAME?</v>
      </c>
      <c r="V154" s="105" t="e">
        <f ca="1">IF(OR(_xll.BDP($E154,V$2)="#N/A N/A",_xll.BDP($E154,V$2)="#N/A Invalid Security"), "-", _xll.BDP($E154,V$2))</f>
        <v>#NAME?</v>
      </c>
      <c r="W154" s="106" t="e">
        <f ca="1">IF(OR(_xll.BDP($E154,W$3)="#N/A N/A",_xll.BDP($E154,W$3)="#N/A Invalid Security"), "-", _xll.BDP($E154,W$3))</f>
        <v>#NAME?</v>
      </c>
      <c r="X154" s="105" t="e">
        <f ca="1">IF(OR(_xll.BDP($E154,X$3)="#N/A N/A",_xll.BDP($E154,X$3)="#N/A Invalid Security"), " ", _xll.BDP($E154,X$3))</f>
        <v>#NAME?</v>
      </c>
      <c r="Y154" s="105" t="e">
        <f ca="1">IF(OR(_xll.BDP($E154,Y$3)="#N/A N/A",_xll.BDP($E154,Y$3)="#N/A Invalid Security"), " ", _xll.BDP($E154,Y$3))</f>
        <v>#NAME?</v>
      </c>
      <c r="Z154" s="106" t="e">
        <f ca="1">IF(OR(_xll.BDP($E154,Z$3)="#N/A N/A",_xll.BDP($E154,Z$3)="#N/A Invalid Security"), " ", _xll.BDP($E154,Z$3))</f>
        <v>#NAME?</v>
      </c>
      <c r="AA154" s="107"/>
      <c r="AB154" s="93" t="s">
        <v>1011</v>
      </c>
      <c r="AC154" s="93" t="s">
        <v>1012</v>
      </c>
      <c r="AD154" s="93" t="s">
        <v>997</v>
      </c>
      <c r="AE154" s="93" t="s">
        <v>940</v>
      </c>
      <c r="AF154" s="93" t="s">
        <v>940</v>
      </c>
      <c r="AG154" s="93" t="s">
        <v>940</v>
      </c>
      <c r="AH154" s="95" t="e">
        <f t="shared" ca="1" si="48"/>
        <v>#NAME?</v>
      </c>
      <c r="AI154" s="95" t="e">
        <f t="shared" ca="1" si="48"/>
        <v>#NAME?</v>
      </c>
      <c r="AJ154" s="95" t="e">
        <f t="shared" ca="1" si="48"/>
        <v>#NAME?</v>
      </c>
      <c r="AK154" s="95" t="e">
        <f t="shared" ca="1" si="48"/>
        <v>#NAME?</v>
      </c>
      <c r="AL154" s="95" t="e">
        <f t="shared" ca="1" si="48"/>
        <v>#NAME?</v>
      </c>
      <c r="AM154" s="95" t="e">
        <f t="shared" ca="1" si="48"/>
        <v>#NAME?</v>
      </c>
      <c r="AN154" s="66" t="str">
        <f t="shared" ca="1" si="40"/>
        <v/>
      </c>
      <c r="AO154" s="108" t="e" cm="1">
        <f t="array" aca="1" ref="AO154" ca="1">_xll.BDP($E154,"cur_mkt_cap")</f>
        <v>#NAME?</v>
      </c>
      <c r="AP154" s="108" t="e" cm="1">
        <f t="array" aca="1" ref="AP154" ca="1">_xll.BDP($E154,"crncy")</f>
        <v>#NAME?</v>
      </c>
      <c r="AQ154" s="109" t="e" cm="1">
        <f t="array" aca="1" ref="AQ154" ca="1">_xll.BDP("USD"&amp;AP154&amp;" curncy","px_last")</f>
        <v>#NAME?</v>
      </c>
      <c r="AR154" s="109" t="e">
        <f t="shared" ca="1" si="49"/>
        <v>#NAME?</v>
      </c>
      <c r="AT154" s="66" t="str">
        <f t="shared" ca="1" si="41"/>
        <v/>
      </c>
      <c r="AU154" s="66" t="str">
        <f t="shared" ca="1" si="41"/>
        <v/>
      </c>
      <c r="AV154" s="66" t="str">
        <f t="shared" ca="1" si="41"/>
        <v/>
      </c>
      <c r="AW154" s="73" t="str" cm="1">
        <f t="array" aca="1" ref="AW154" ca="1">IF(ISERROR(DATEVALUE(_xll.BDP($E154,AW$6))),"",DATEVALUE(_xll.BDP($E154,AW$6)))</f>
        <v/>
      </c>
      <c r="AX154" s="73" t="str" cm="1">
        <f t="array" aca="1" ref="AX154" ca="1">IF(ISERROR(DATEVALUE(_xll.BDP($E154,AX$2))),"",DATEVALUE(_xll.BDP($E154,AX$2)))</f>
        <v/>
      </c>
      <c r="AY154" s="73" t="str" cm="1">
        <f t="array" aca="1" ref="AY154" ca="1">IF(ISERROR(DATEVALUE(_xll.BDP($E154,AY$6))),"",DATEVALUE(_xll.BDP($E154,AY$6)))</f>
        <v/>
      </c>
      <c r="AZ154" s="110" t="e" cm="1">
        <f t="array" aca="1" ref="AZ154" ca="1">IF(_xll.BQL($E154, "last(matches(px_last(dates=range(-1w,0d)), dayofweek(px_last(dates=range(-1w,0d)).date)==6))")="#N/A","-",_xll.BQL($E154, "last(matches(px_last(dates=range(-1w,0d)), dayofweek(px_last(dates=range(-1w,0d)).date)==6))"))</f>
        <v>#NAME?</v>
      </c>
      <c r="BA154" s="109" t="e" cm="1">
        <f t="array" aca="1" ref="BA154" ca="1">IF(_xll.BQL(E154,"first(last(matches(px_last(dates=range(-1M,0D)),dayofweek(px_last(dates=range(-1M,0D)).date)==6),2),1)")="#N/A","-",_xll.BQL(E154,"first(last(matches(px_last(dates=range(-1M,0D)),dayofweek(px_last(dates=range(-1M,0D)).date)==6),2),1)"))</f>
        <v>#NAME?</v>
      </c>
      <c r="BB154" s="109" t="str">
        <f t="shared" ca="1" si="36"/>
        <v>-</v>
      </c>
    </row>
    <row r="155" spans="5:54" ht="16.5" customHeight="1" thickBot="1">
      <c r="E155" s="96" t="s">
        <v>1127</v>
      </c>
      <c r="F155" s="66" t="e">
        <f ca="1">_xll.BDP($E155,F$3)&amp;" BEST Curncy"</f>
        <v>#NAME?</v>
      </c>
      <c r="G155" s="97" t="e">
        <f t="shared" ca="1" si="47"/>
        <v>#NAME?</v>
      </c>
      <c r="H155" s="160" t="s">
        <v>1128</v>
      </c>
      <c r="I155" s="641"/>
      <c r="J155" s="98" t="e">
        <f ca="1">_xll.BDP($E155,J$3)</f>
        <v>#NAME?</v>
      </c>
      <c r="K155" s="99" t="e">
        <f ca="1">_xll.BDP($E155,K$3)</f>
        <v>#NAME?</v>
      </c>
      <c r="L155" s="377" t="str">
        <f ca="1">IF(ISNUMBER(_xll.BDH($H155,"PX_LAST",TEXT($E$2,"YYYYMMDD"),TEXT($E$2,"YYYYMMDD"),"days=a","fill=p")),_xll.BDH($H155,"PX_LAST",TEXT($E$2,"YYYYMMDD"),TEXT($E$2,"YYYYMMDD"),"days=a","fill=p"),"-")</f>
        <v>-</v>
      </c>
      <c r="M155" s="377" t="str">
        <f ca="1">IF(ISNUMBER(_xll.BDH($H155,"PX_LAST",TEXT($E$2-7,"YYYYMMDD"),TEXT($E$2-7,"YYYYMMDD"),"days=a","fill=p")),_xll.BDH($H155,"PX_LAST",TEXT($E$2-7,"YYYYMMDD"),TEXT($E$2-7,"YYYYMMDD"),"days=a","fill=p"),"-")</f>
        <v>-</v>
      </c>
      <c r="N155" s="378" t="str">
        <f t="shared" ca="1" si="50"/>
        <v>-</v>
      </c>
      <c r="O155" s="379" t="e">
        <f ca="1">IF(OR(_xll.BDP($H155,O$3)="#N/A N/A",_xll.BDP($H155,O$3)="#N/A Invalid Security"), "-", _xll.BDP($H155,O$3))</f>
        <v>#NAME?</v>
      </c>
      <c r="P155" s="182" t="str">
        <f ca="1">IF(ISNUMBER(_xll.BDH($F155,"PX_LAST",TEXT($E$2,"YYYYMMDD"),TEXT($E$2,"YYYYMMDD"),"days=a","fill=p")),_xll.BDH($F155,"PX_LAST",TEXT($E$2,"YYYYMMDD"),TEXT($E$2,"YYYYMMDD"),"days=a","fill=p"),"-")</f>
        <v>-</v>
      </c>
      <c r="Q155" s="182" t="str">
        <f ca="1">IF(ISNUMBER(_xll.BDH($F155,"PX_LAST",TEXT($E$2-7,"YYYYMMDD"),TEXT($E$2-7,"YYYYMMDD"),"days=a","fill=p")),_xll.BDH($F155,"PX_LAST",TEXT($E$2-7,"YYYYMMDD"),TEXT($E$2-7,"YYYYMMDD"),"days=a","fill=p"),"-")</f>
        <v>-</v>
      </c>
      <c r="R155" s="102" t="str">
        <f t="shared" ca="1" si="51"/>
        <v>-</v>
      </c>
      <c r="S155" s="103" t="str">
        <f ca="1">IF(ISNUMBER(_xll.BDP($F155,S$3)),_xll.BDP($F155,S$3),"-")</f>
        <v>-</v>
      </c>
      <c r="T155" s="104" t="e">
        <f t="shared" ca="1" si="34"/>
        <v>#NAME?</v>
      </c>
      <c r="U155" s="105" t="e">
        <f ca="1">IF(OR(_xll.BDP($E155,U$3)="#N/A N/A",_xll.BDP($E155,U$3)="#N/A Invalid Security"), "-", _xll.BDP($E155,U$3))</f>
        <v>#NAME?</v>
      </c>
      <c r="V155" s="105" t="e">
        <f ca="1">IF(OR(_xll.BDP($E155,V$2)="#N/A N/A",_xll.BDP($E155,V$2)="#N/A Invalid Security"), "-", _xll.BDP($E155,V$2))</f>
        <v>#NAME?</v>
      </c>
      <c r="W155" s="106" t="e">
        <f ca="1">IF(OR(_xll.BDP($E155,W$3)="#N/A N/A",_xll.BDP($E155,W$3)="#N/A Invalid Security"), "-", _xll.BDP($E155,W$3))</f>
        <v>#NAME?</v>
      </c>
      <c r="X155" s="105" t="e">
        <f ca="1">IF(OR(_xll.BDP($E155,X$3)="#N/A N/A",_xll.BDP($E155,X$3)="#N/A Invalid Security"), " ", _xll.BDP($E155,X$3))</f>
        <v>#NAME?</v>
      </c>
      <c r="Y155" s="105" t="e">
        <f ca="1">IF(OR(_xll.BDP($E155,Y$3)="#N/A N/A",_xll.BDP($E155,Y$3)="#N/A Invalid Security"), " ", _xll.BDP($E155,Y$3))</f>
        <v>#NAME?</v>
      </c>
      <c r="Z155" s="106" t="e">
        <f ca="1">IF(OR(_xll.BDP($E155,Z$3)="#N/A N/A",_xll.BDP($E155,Z$3)="#N/A Invalid Security"), " ", _xll.BDP($E155,Z$3))</f>
        <v>#NAME?</v>
      </c>
      <c r="AA155" s="107"/>
      <c r="AB155" s="93" t="s">
        <v>999</v>
      </c>
      <c r="AC155" s="93" t="s">
        <v>998</v>
      </c>
      <c r="AD155" s="93" t="s">
        <v>953</v>
      </c>
      <c r="AE155" s="93" t="s">
        <v>940</v>
      </c>
      <c r="AF155" s="93" t="s">
        <v>940</v>
      </c>
      <c r="AG155" s="93" t="s">
        <v>940</v>
      </c>
      <c r="AH155" s="95" t="e">
        <f t="shared" ca="1" si="48"/>
        <v>#NAME?</v>
      </c>
      <c r="AI155" s="95" t="e">
        <f t="shared" ca="1" si="48"/>
        <v>#NAME?</v>
      </c>
      <c r="AJ155" s="95" t="e">
        <f t="shared" ca="1" si="48"/>
        <v>#NAME?</v>
      </c>
      <c r="AK155" s="95" t="e">
        <f t="shared" ca="1" si="48"/>
        <v>#NAME?</v>
      </c>
      <c r="AL155" s="95" t="e">
        <f t="shared" ca="1" si="48"/>
        <v>#NAME?</v>
      </c>
      <c r="AM155" s="95" t="e">
        <f t="shared" ca="1" si="48"/>
        <v>#NAME?</v>
      </c>
      <c r="AN155" s="66" t="str">
        <f t="shared" ca="1" si="40"/>
        <v/>
      </c>
      <c r="AO155" s="108" t="e" cm="1">
        <f t="array" aca="1" ref="AO155" ca="1">_xll.BDP($E155,"cur_mkt_cap")</f>
        <v>#NAME?</v>
      </c>
      <c r="AP155" s="108" t="e" cm="1">
        <f t="array" aca="1" ref="AP155" ca="1">_xll.BDP($E155,"crncy")</f>
        <v>#NAME?</v>
      </c>
      <c r="AQ155" s="109" t="e" cm="1">
        <f t="array" aca="1" ref="AQ155" ca="1">_xll.BDP("USD"&amp;AP155&amp;" curncy","px_last")</f>
        <v>#NAME?</v>
      </c>
      <c r="AR155" s="109" t="e">
        <f t="shared" ca="1" si="49"/>
        <v>#NAME?</v>
      </c>
      <c r="AT155" s="66" t="str">
        <f t="shared" ca="1" si="41"/>
        <v/>
      </c>
      <c r="AU155" s="66" t="str">
        <f t="shared" ca="1" si="41"/>
        <v/>
      </c>
      <c r="AV155" s="66" t="str">
        <f t="shared" ca="1" si="41"/>
        <v/>
      </c>
      <c r="AW155" s="73" t="str" cm="1">
        <f t="array" aca="1" ref="AW155" ca="1">IF(ISERROR(DATEVALUE(_xll.BDP($E155,AW$6))),"",DATEVALUE(_xll.BDP($E155,AW$6)))</f>
        <v/>
      </c>
      <c r="AX155" s="73" t="str" cm="1">
        <f t="array" aca="1" ref="AX155" ca="1">IF(ISERROR(DATEVALUE(_xll.BDP($E155,AX$2))),"",DATEVALUE(_xll.BDP($E155,AX$2)))</f>
        <v/>
      </c>
      <c r="AY155" s="73" t="str" cm="1">
        <f t="array" aca="1" ref="AY155" ca="1">IF(ISERROR(DATEVALUE(_xll.BDP($E155,AY$6))),"",DATEVALUE(_xll.BDP($E155,AY$6)))</f>
        <v/>
      </c>
      <c r="AZ155" s="110" t="e" cm="1">
        <f t="array" aca="1" ref="AZ155" ca="1">IF(_xll.BQL($E155, "last(matches(px_last(dates=range(-1w,0d)), dayofweek(px_last(dates=range(-1w,0d)).date)==6))")="#N/A","-",_xll.BQL($E155, "last(matches(px_last(dates=range(-1w,0d)), dayofweek(px_last(dates=range(-1w,0d)).date)==6))"))</f>
        <v>#NAME?</v>
      </c>
      <c r="BA155" s="109" t="e" cm="1">
        <f t="array" aca="1" ref="BA155" ca="1">IF(_xll.BQL(E155,"first(last(matches(px_last(dates=range(-1M,0D)),dayofweek(px_last(dates=range(-1M,0D)).date)==6),2),1)")="#N/A","-",_xll.BQL(E155,"first(last(matches(px_last(dates=range(-1M,0D)),dayofweek(px_last(dates=range(-1M,0D)).date)==6),2),1)"))</f>
        <v>#NAME?</v>
      </c>
      <c r="BB155" s="109" t="str">
        <f t="shared" ca="1" si="36"/>
        <v>-</v>
      </c>
    </row>
    <row r="156" spans="5:54" ht="16.5" customHeight="1" thickBot="1">
      <c r="E156" s="96" t="s">
        <v>1129</v>
      </c>
      <c r="F156" s="66" t="e">
        <f ca="1">_xll.BDP($E156,F$3)&amp;" BEST Curncy"</f>
        <v>#NAME?</v>
      </c>
      <c r="G156" s="97" t="e">
        <f t="shared" ca="1" si="47"/>
        <v>#NAME?</v>
      </c>
      <c r="H156" s="160" t="s">
        <v>1130</v>
      </c>
      <c r="I156" s="641"/>
      <c r="J156" s="98" t="e">
        <f ca="1">_xll.BDP($E156,J$3)</f>
        <v>#NAME?</v>
      </c>
      <c r="K156" s="99" t="e">
        <f ca="1">_xll.BDP($E156,K$3)</f>
        <v>#NAME?</v>
      </c>
      <c r="L156" s="377" t="str">
        <f ca="1">IF(ISNUMBER(_xll.BDH($H156,"PX_LAST",TEXT($E$2,"YYYYMMDD"),TEXT($E$2,"YYYYMMDD"),"days=a","fill=p")),_xll.BDH($H156,"PX_LAST",TEXT($E$2,"YYYYMMDD"),TEXT($E$2,"YYYYMMDD"),"days=a","fill=p"),"-")</f>
        <v>-</v>
      </c>
      <c r="M156" s="377" t="str">
        <f ca="1">IF(ISNUMBER(_xll.BDH($H156,"PX_LAST",TEXT($E$2-7,"YYYYMMDD"),TEXT($E$2-7,"YYYYMMDD"),"days=a","fill=p")),_xll.BDH($H156,"PX_LAST",TEXT($E$2-7,"YYYYMMDD"),TEXT($E$2-7,"YYYYMMDD"),"days=a","fill=p"),"-")</f>
        <v>-</v>
      </c>
      <c r="N156" s="378" t="str">
        <f t="shared" ca="1" si="50"/>
        <v>-</v>
      </c>
      <c r="O156" s="379" t="e">
        <f ca="1">IF(OR(_xll.BDP($H156,O$3)="#N/A N/A",_xll.BDP($H156,O$3)="#N/A Invalid Security"), "-", _xll.BDP($H156,O$3))</f>
        <v>#NAME?</v>
      </c>
      <c r="P156" s="182" t="str">
        <f ca="1">IF(ISNUMBER(_xll.BDH($F156,"PX_LAST",TEXT($E$2,"YYYYMMDD"),TEXT($E$2,"YYYYMMDD"),"days=a","fill=p")),_xll.BDH($F156,"PX_LAST",TEXT($E$2,"YYYYMMDD"),TEXT($E$2,"YYYYMMDD"),"days=a","fill=p"),"-")</f>
        <v>-</v>
      </c>
      <c r="Q156" s="182" t="str">
        <f ca="1">IF(ISNUMBER(_xll.BDH($F156,"PX_LAST",TEXT($E$2-7,"YYYYMMDD"),TEXT($E$2-7,"YYYYMMDD"),"days=a","fill=p")),_xll.BDH($F156,"PX_LAST",TEXT($E$2-7,"YYYYMMDD"),TEXT($E$2-7,"YYYYMMDD"),"days=a","fill=p"),"-")</f>
        <v>-</v>
      </c>
      <c r="R156" s="102" t="str">
        <f t="shared" ca="1" si="51"/>
        <v>-</v>
      </c>
      <c r="S156" s="103" t="str">
        <f ca="1">IF(ISNUMBER(_xll.BDP($F156,S$3)),_xll.BDP($F156,S$3),"-")</f>
        <v>-</v>
      </c>
      <c r="T156" s="104" t="e">
        <f t="shared" ca="1" si="34"/>
        <v>#NAME?</v>
      </c>
      <c r="U156" s="105" t="e">
        <f ca="1">IF(OR(_xll.BDP($E156,U$3)="#N/A N/A",_xll.BDP($E156,U$3)="#N/A Invalid Security"), "-", _xll.BDP($E156,U$3))</f>
        <v>#NAME?</v>
      </c>
      <c r="V156" s="105" t="e">
        <f ca="1">IF(OR(_xll.BDP($E156,V$2)="#N/A N/A",_xll.BDP($E156,V$2)="#N/A Invalid Security"), "-", _xll.BDP($E156,V$2))</f>
        <v>#NAME?</v>
      </c>
      <c r="W156" s="106" t="e">
        <f ca="1">IF(OR(_xll.BDP($E156,W$3)="#N/A N/A",_xll.BDP($E156,W$3)="#N/A Invalid Security"), "-", _xll.BDP($E156,W$3))</f>
        <v>#NAME?</v>
      </c>
      <c r="X156" s="105" t="e">
        <f ca="1">IF(OR(_xll.BDP($E156,X$3)="#N/A N/A",_xll.BDP($E156,X$3)="#N/A Invalid Security"), " ", _xll.BDP($E156,X$3))</f>
        <v>#NAME?</v>
      </c>
      <c r="Y156" s="105" t="e">
        <f ca="1">IF(OR(_xll.BDP($E156,Y$3)="#N/A N/A",_xll.BDP($E156,Y$3)="#N/A Invalid Security"), " ", _xll.BDP($E156,Y$3))</f>
        <v>#NAME?</v>
      </c>
      <c r="Z156" s="106" t="e">
        <f ca="1">IF(OR(_xll.BDP($E156,Z$3)="#N/A N/A",_xll.BDP($E156,Z$3)="#N/A Invalid Security"), " ", _xll.BDP($E156,Z$3))</f>
        <v>#NAME?</v>
      </c>
      <c r="AA156" s="107"/>
      <c r="AB156" s="93" t="s">
        <v>1131</v>
      </c>
      <c r="AC156" s="93" t="s">
        <v>1017</v>
      </c>
      <c r="AD156" s="93" t="s">
        <v>1131</v>
      </c>
      <c r="AE156" s="93" t="s">
        <v>940</v>
      </c>
      <c r="AF156" s="93" t="s">
        <v>940</v>
      </c>
      <c r="AG156" s="93" t="s">
        <v>940</v>
      </c>
      <c r="AH156" s="95" t="e">
        <f t="shared" ca="1" si="48"/>
        <v>#NAME?</v>
      </c>
      <c r="AI156" s="95" t="e">
        <f t="shared" ca="1" si="48"/>
        <v>#NAME?</v>
      </c>
      <c r="AJ156" s="95" t="e">
        <f t="shared" ca="1" si="48"/>
        <v>#NAME?</v>
      </c>
      <c r="AK156" s="95" t="e">
        <f t="shared" ca="1" si="48"/>
        <v>#NAME?</v>
      </c>
      <c r="AL156" s="95" t="e">
        <f t="shared" ca="1" si="48"/>
        <v>#NAME?</v>
      </c>
      <c r="AM156" s="95" t="e">
        <f t="shared" ca="1" si="48"/>
        <v>#NAME?</v>
      </c>
      <c r="AN156" s="66" t="str">
        <f t="shared" ca="1" si="40"/>
        <v/>
      </c>
      <c r="AO156" s="108" t="e" cm="1">
        <f t="array" aca="1" ref="AO156" ca="1">_xll.BDP($E156,"cur_mkt_cap")</f>
        <v>#NAME?</v>
      </c>
      <c r="AP156" s="108" t="e" cm="1">
        <f t="array" aca="1" ref="AP156" ca="1">_xll.BDP($E156,"crncy")</f>
        <v>#NAME?</v>
      </c>
      <c r="AQ156" s="109" t="e" cm="1">
        <f t="array" aca="1" ref="AQ156" ca="1">_xll.BDP("USD"&amp;AP156&amp;" curncy","px_last")</f>
        <v>#NAME?</v>
      </c>
      <c r="AR156" s="109" t="e">
        <f t="shared" ca="1" si="49"/>
        <v>#NAME?</v>
      </c>
      <c r="AT156" s="66" t="str">
        <f t="shared" ca="1" si="41"/>
        <v/>
      </c>
      <c r="AU156" s="66" t="str">
        <f t="shared" ca="1" si="41"/>
        <v/>
      </c>
      <c r="AV156" s="66" t="str">
        <f t="shared" ca="1" si="41"/>
        <v/>
      </c>
      <c r="AW156" s="73" t="str" cm="1">
        <f t="array" aca="1" ref="AW156" ca="1">IF(ISERROR(DATEVALUE(_xll.BDP($E156,AW$6))),"",DATEVALUE(_xll.BDP($E156,AW$6)))</f>
        <v/>
      </c>
      <c r="AX156" s="73" t="str" cm="1">
        <f t="array" aca="1" ref="AX156" ca="1">IF(ISERROR(DATEVALUE(_xll.BDP($E156,AX$2))),"",DATEVALUE(_xll.BDP($E156,AX$2)))</f>
        <v/>
      </c>
      <c r="AY156" s="73" t="str" cm="1">
        <f t="array" aca="1" ref="AY156" ca="1">IF(ISERROR(DATEVALUE(_xll.BDP($E156,AY$6))),"",DATEVALUE(_xll.BDP($E156,AY$6)))</f>
        <v/>
      </c>
      <c r="AZ156" s="110" t="e" cm="1">
        <f t="array" aca="1" ref="AZ156" ca="1">IF(_xll.BQL($E156, "last(matches(px_last(dates=range(-1w,0d)), dayofweek(px_last(dates=range(-1w,0d)).date)==6))")="#N/A","-",_xll.BQL($E156, "last(matches(px_last(dates=range(-1w,0d)), dayofweek(px_last(dates=range(-1w,0d)).date)==6))"))</f>
        <v>#NAME?</v>
      </c>
      <c r="BA156" s="109" t="e" cm="1">
        <f t="array" aca="1" ref="BA156" ca="1">IF(_xll.BQL(E156,"first(last(matches(px_last(dates=range(-1M,0D)),dayofweek(px_last(dates=range(-1M,0D)).date)==6),2),1)")="#N/A","-",_xll.BQL(E156,"first(last(matches(px_last(dates=range(-1M,0D)),dayofweek(px_last(dates=range(-1M,0D)).date)==6),2),1)"))</f>
        <v>#NAME?</v>
      </c>
      <c r="BB156" s="109" t="str">
        <f t="shared" ca="1" si="36"/>
        <v>-</v>
      </c>
    </row>
    <row r="157" spans="5:54" ht="16.5" customHeight="1" thickBot="1">
      <c r="E157" s="96" t="s">
        <v>1132</v>
      </c>
      <c r="F157" s="66" t="e">
        <f ca="1">_xll.BDP($E157,F$3)&amp;" BEST Curncy"</f>
        <v>#NAME?</v>
      </c>
      <c r="G157" s="97" t="e">
        <f t="shared" ca="1" si="47"/>
        <v>#NAME?</v>
      </c>
      <c r="H157" s="160" t="s">
        <v>1133</v>
      </c>
      <c r="I157" s="641"/>
      <c r="J157" s="98" t="e">
        <f ca="1">_xll.BDP($E157,J$3)</f>
        <v>#NAME?</v>
      </c>
      <c r="K157" s="99" t="e">
        <f ca="1">_xll.BDP($E157,K$3)</f>
        <v>#NAME?</v>
      </c>
      <c r="L157" s="377" t="str">
        <f ca="1">IF(ISNUMBER(_xll.BDH($H157,"PX_LAST",TEXT($E$2,"YYYYMMDD"),TEXT($E$2,"YYYYMMDD"),"days=a","fill=p")),_xll.BDH($H157,"PX_LAST",TEXT($E$2,"YYYYMMDD"),TEXT($E$2,"YYYYMMDD"),"days=a","fill=p"),"-")</f>
        <v>-</v>
      </c>
      <c r="M157" s="377" t="str">
        <f ca="1">IF(ISNUMBER(_xll.BDH($H157,"PX_LAST",TEXT($E$2-7,"YYYYMMDD"),TEXT($E$2-7,"YYYYMMDD"),"days=a","fill=p")),_xll.BDH($H157,"PX_LAST",TEXT($E$2-7,"YYYYMMDD"),TEXT($E$2-7,"YYYYMMDD"),"days=a","fill=p"),"-")</f>
        <v>-</v>
      </c>
      <c r="N157" s="378" t="str">
        <f t="shared" ca="1" si="50"/>
        <v>-</v>
      </c>
      <c r="O157" s="379" t="e">
        <f ca="1">IF(OR(_xll.BDP($H157,O$3)="#N/A N/A",_xll.BDP($H157,O$3)="#N/A Invalid Security"), "-", _xll.BDP($H157,O$3))</f>
        <v>#NAME?</v>
      </c>
      <c r="P157" s="182" t="str">
        <f ca="1">IF(ISNUMBER(_xll.BDH($F157,"PX_LAST",TEXT($E$2,"YYYYMMDD"),TEXT($E$2,"YYYYMMDD"),"days=a","fill=p")),_xll.BDH($F157,"PX_LAST",TEXT($E$2,"YYYYMMDD"),TEXT($E$2,"YYYYMMDD"),"days=a","fill=p"),"-")</f>
        <v>-</v>
      </c>
      <c r="Q157" s="182" t="str">
        <f ca="1">IF(ISNUMBER(_xll.BDH($F157,"PX_LAST",TEXT($E$2-7,"YYYYMMDD"),TEXT($E$2-7,"YYYYMMDD"),"days=a","fill=p")),_xll.BDH($F157,"PX_LAST",TEXT($E$2-7,"YYYYMMDD"),TEXT($E$2-7,"YYYYMMDD"),"days=a","fill=p"),"-")</f>
        <v>-</v>
      </c>
      <c r="R157" s="102" t="str">
        <f t="shared" ca="1" si="51"/>
        <v>-</v>
      </c>
      <c r="S157" s="103" t="str">
        <f ca="1">IF(ISNUMBER(_xll.BDP($F157,S$3)),_xll.BDP($F157,S$3),"-")</f>
        <v>-</v>
      </c>
      <c r="T157" s="104" t="e">
        <f t="shared" ca="1" si="34"/>
        <v>#NAME?</v>
      </c>
      <c r="U157" s="105" t="e">
        <f ca="1">IF(OR(_xll.BDP($E157,U$3)="#N/A N/A",_xll.BDP($E157,U$3)="#N/A Invalid Security"), "-", _xll.BDP($E157,U$3))</f>
        <v>#NAME?</v>
      </c>
      <c r="V157" s="105" t="e">
        <f ca="1">IF(OR(_xll.BDP($E157,V$2)="#N/A N/A",_xll.BDP($E157,V$2)="#N/A Invalid Security"), "-", _xll.BDP($E157,V$2))</f>
        <v>#NAME?</v>
      </c>
      <c r="W157" s="106" t="e">
        <f ca="1">IF(OR(_xll.BDP($E157,W$3)="#N/A N/A",_xll.BDP($E157,W$3)="#N/A Invalid Security"), "-", _xll.BDP($E157,W$3))</f>
        <v>#NAME?</v>
      </c>
      <c r="X157" s="105" t="e">
        <f ca="1">IF(OR(_xll.BDP($E157,X$3)="#N/A N/A",_xll.BDP($E157,X$3)="#N/A Invalid Security"), " ", _xll.BDP($E157,X$3))</f>
        <v>#NAME?</v>
      </c>
      <c r="Y157" s="105" t="e">
        <f ca="1">IF(OR(_xll.BDP($E157,Y$3)="#N/A N/A",_xll.BDP($E157,Y$3)="#N/A Invalid Security"), " ", _xll.BDP($E157,Y$3))</f>
        <v>#NAME?</v>
      </c>
      <c r="Z157" s="106" t="e">
        <f ca="1">IF(OR(_xll.BDP($E157,Z$3)="#N/A N/A",_xll.BDP($E157,Z$3)="#N/A Invalid Security"), " ", _xll.BDP($E157,Z$3))</f>
        <v>#NAME?</v>
      </c>
      <c r="AA157" s="107"/>
      <c r="AB157" s="93" t="s">
        <v>1134</v>
      </c>
      <c r="AC157" s="93" t="s">
        <v>1135</v>
      </c>
      <c r="AD157" s="93" t="s">
        <v>1134</v>
      </c>
      <c r="AE157" s="93" t="s">
        <v>948</v>
      </c>
      <c r="AF157" s="93" t="s">
        <v>940</v>
      </c>
      <c r="AG157" s="93" t="s">
        <v>940</v>
      </c>
      <c r="AH157" s="95" t="e">
        <f t="shared" ca="1" si="48"/>
        <v>#NAME?</v>
      </c>
      <c r="AI157" s="95" t="e">
        <f t="shared" ca="1" si="48"/>
        <v>#NAME?</v>
      </c>
      <c r="AJ157" s="95" t="e">
        <f t="shared" ca="1" si="48"/>
        <v>#NAME?</v>
      </c>
      <c r="AK157" s="95" t="e">
        <f t="shared" ca="1" si="48"/>
        <v>#NAME?</v>
      </c>
      <c r="AL157" s="95" t="e">
        <f t="shared" ca="1" si="48"/>
        <v>#NAME?</v>
      </c>
      <c r="AM157" s="95" t="e">
        <f t="shared" ca="1" si="48"/>
        <v>#NAME?</v>
      </c>
      <c r="AN157" s="66" t="str">
        <f t="shared" ca="1" si="40"/>
        <v/>
      </c>
      <c r="AO157" s="108" t="e" cm="1">
        <f t="array" aca="1" ref="AO157" ca="1">_xll.BDP($E157,"cur_mkt_cap")</f>
        <v>#NAME?</v>
      </c>
      <c r="AP157" s="108" t="e" cm="1">
        <f t="array" aca="1" ref="AP157" ca="1">_xll.BDP($E157,"crncy")</f>
        <v>#NAME?</v>
      </c>
      <c r="AQ157" s="109" t="e" cm="1">
        <f t="array" aca="1" ref="AQ157" ca="1">_xll.BDP("USD"&amp;AP157&amp;" curncy","px_last")</f>
        <v>#NAME?</v>
      </c>
      <c r="AR157" s="109" t="e">
        <f t="shared" ca="1" si="49"/>
        <v>#NAME?</v>
      </c>
      <c r="AT157" s="66" t="str">
        <f t="shared" ca="1" si="41"/>
        <v/>
      </c>
      <c r="AU157" s="66" t="str">
        <f t="shared" ca="1" si="41"/>
        <v/>
      </c>
      <c r="AV157" s="66" t="str">
        <f t="shared" ca="1" si="41"/>
        <v/>
      </c>
      <c r="AW157" s="73" t="str" cm="1">
        <f t="array" aca="1" ref="AW157" ca="1">IF(ISERROR(DATEVALUE(_xll.BDP($E157,AW$6))),"",DATEVALUE(_xll.BDP($E157,AW$6)))</f>
        <v/>
      </c>
      <c r="AX157" s="73" t="str" cm="1">
        <f t="array" aca="1" ref="AX157" ca="1">IF(ISERROR(DATEVALUE(_xll.BDP($E157,AX$2))),"",DATEVALUE(_xll.BDP($E157,AX$2)))</f>
        <v/>
      </c>
      <c r="AY157" s="73" t="str" cm="1">
        <f t="array" aca="1" ref="AY157" ca="1">IF(ISERROR(DATEVALUE(_xll.BDP($E157,AY$6))),"",DATEVALUE(_xll.BDP($E157,AY$6)))</f>
        <v/>
      </c>
      <c r="AZ157" s="110" t="e" cm="1">
        <f t="array" aca="1" ref="AZ157" ca="1">IF(_xll.BQL($E157, "last(matches(px_last(dates=range(-1w,0d)), dayofweek(px_last(dates=range(-1w,0d)).date)==6))")="#N/A","-",_xll.BQL($E157, "last(matches(px_last(dates=range(-1w,0d)), dayofweek(px_last(dates=range(-1w,0d)).date)==6))"))</f>
        <v>#NAME?</v>
      </c>
      <c r="BA157" s="109" t="e" cm="1">
        <f t="array" aca="1" ref="BA157" ca="1">IF(_xll.BQL(E157,"first(last(matches(px_last(dates=range(-1M,0D)),dayofweek(px_last(dates=range(-1M,0D)).date)==6),2),1)")="#N/A","-",_xll.BQL(E157,"first(last(matches(px_last(dates=range(-1M,0D)),dayofweek(px_last(dates=range(-1M,0D)).date)==6),2),1)"))</f>
        <v>#NAME?</v>
      </c>
      <c r="BB157" s="109" t="str">
        <f t="shared" ca="1" si="36"/>
        <v>-</v>
      </c>
    </row>
    <row r="158" spans="5:54" ht="16.5" customHeight="1" thickBot="1">
      <c r="E158" s="96" t="s">
        <v>1136</v>
      </c>
      <c r="F158" s="66" t="e">
        <f ca="1">_xll.BDP($E158,F$3)&amp;" BEST Curncy"</f>
        <v>#NAME?</v>
      </c>
      <c r="G158" s="97" t="e">
        <f t="shared" ca="1" si="47"/>
        <v>#NAME?</v>
      </c>
      <c r="H158" s="160" t="s">
        <v>1137</v>
      </c>
      <c r="I158" s="641"/>
      <c r="J158" s="98" t="e">
        <f ca="1">_xll.BDP($E158,J$3)</f>
        <v>#NAME?</v>
      </c>
      <c r="K158" s="99" t="e">
        <f ca="1">_xll.BDP($E158,K$3)</f>
        <v>#NAME?</v>
      </c>
      <c r="L158" s="377" t="str">
        <f ca="1">IF(ISNUMBER(_xll.BDH($H158,"PX_LAST",TEXT($E$2,"YYYYMMDD"),TEXT($E$2,"YYYYMMDD"),"days=a","fill=p")),_xll.BDH($H158,"PX_LAST",TEXT($E$2,"YYYYMMDD"),TEXT($E$2,"YYYYMMDD"),"days=a","fill=p"),"-")</f>
        <v>-</v>
      </c>
      <c r="M158" s="377" t="str">
        <f ca="1">IF(ISNUMBER(_xll.BDH($H158,"PX_LAST",TEXT($E$2-7,"YYYYMMDD"),TEXT($E$2-7,"YYYYMMDD"),"days=a","fill=p")),_xll.BDH($H158,"PX_LAST",TEXT($E$2-7,"YYYYMMDD"),TEXT($E$2-7,"YYYYMMDD"),"days=a","fill=p"),"-")</f>
        <v>-</v>
      </c>
      <c r="N158" s="378" t="str">
        <f t="shared" ca="1" si="50"/>
        <v>-</v>
      </c>
      <c r="O158" s="379" t="e">
        <f ca="1">IF(OR(_xll.BDP($H158,O$3)="#N/A N/A",_xll.BDP($H158,O$3)="#N/A Invalid Security"), "-", _xll.BDP($H158,O$3))</f>
        <v>#NAME?</v>
      </c>
      <c r="P158" s="182" t="str">
        <f ca="1">IF(ISNUMBER(_xll.BDH($F158,"PX_LAST",TEXT($E$2,"YYYYMMDD"),TEXT($E$2,"YYYYMMDD"),"days=a","fill=p")),_xll.BDH($F158,"PX_LAST",TEXT($E$2,"YYYYMMDD"),TEXT($E$2,"YYYYMMDD"),"days=a","fill=p"),"-")</f>
        <v>-</v>
      </c>
      <c r="Q158" s="182" t="str">
        <f ca="1">IF(ISNUMBER(_xll.BDH($F158,"PX_LAST",TEXT($E$2-7,"YYYYMMDD"),TEXT($E$2-7,"YYYYMMDD"),"days=a","fill=p")),_xll.BDH($F158,"PX_LAST",TEXT($E$2-7,"YYYYMMDD"),TEXT($E$2-7,"YYYYMMDD"),"days=a","fill=p"),"-")</f>
        <v>-</v>
      </c>
      <c r="R158" s="102" t="str">
        <f t="shared" ca="1" si="51"/>
        <v>-</v>
      </c>
      <c r="S158" s="103" t="str">
        <f ca="1">IF(ISNUMBER(_xll.BDP($F158,S$3)),_xll.BDP($F158,S$3),"-")</f>
        <v>-</v>
      </c>
      <c r="T158" s="104" t="e">
        <f t="shared" ref="T158:T194" ca="1" si="52">IF(OR(AH158&gt;0, AI158&gt;0, AJ158&gt;0, AK158&gt;0, AL158&gt;0, AM158&gt;0), "Y"," ")</f>
        <v>#NAME?</v>
      </c>
      <c r="U158" s="105" t="e">
        <f ca="1">IF(OR(_xll.BDP($E158,U$3)="#N/A N/A",_xll.BDP($E158,U$3)="#N/A Invalid Security"), "-", _xll.BDP($E158,U$3))</f>
        <v>#NAME?</v>
      </c>
      <c r="V158" s="105" t="e">
        <f ca="1">IF(OR(_xll.BDP($E158,V$2)="#N/A N/A",_xll.BDP($E158,V$2)="#N/A Invalid Security"), "-", _xll.BDP($E158,V$2))</f>
        <v>#NAME?</v>
      </c>
      <c r="W158" s="106" t="e">
        <f ca="1">IF(OR(_xll.BDP($E158,W$3)="#N/A N/A",_xll.BDP($E158,W$3)="#N/A Invalid Security"), "-", _xll.BDP($E158,W$3))</f>
        <v>#NAME?</v>
      </c>
      <c r="X158" s="105" t="e">
        <f ca="1">IF(OR(_xll.BDP($E158,X$3)="#N/A N/A",_xll.BDP($E158,X$3)="#N/A Invalid Security"), " ", _xll.BDP($E158,X$3))</f>
        <v>#NAME?</v>
      </c>
      <c r="Y158" s="105" t="e">
        <f ca="1">IF(OR(_xll.BDP($E158,Y$3)="#N/A N/A",_xll.BDP($E158,Y$3)="#N/A Invalid Security"), " ", _xll.BDP($E158,Y$3))</f>
        <v>#NAME?</v>
      </c>
      <c r="Z158" s="106" t="e">
        <f ca="1">IF(OR(_xll.BDP($E158,Z$3)="#N/A N/A",_xll.BDP($E158,Z$3)="#N/A Invalid Security"), " ", _xll.BDP($E158,Z$3))</f>
        <v>#NAME?</v>
      </c>
      <c r="AA158" s="107"/>
      <c r="AB158" s="93" t="s">
        <v>1011</v>
      </c>
      <c r="AC158" s="93" t="s">
        <v>1012</v>
      </c>
      <c r="AD158" s="93" t="s">
        <v>1011</v>
      </c>
      <c r="AE158" s="93" t="s">
        <v>940</v>
      </c>
      <c r="AF158" s="93" t="s">
        <v>940</v>
      </c>
      <c r="AG158" s="93" t="s">
        <v>940</v>
      </c>
      <c r="AH158" s="95" t="e">
        <f t="shared" ca="1" si="48"/>
        <v>#NAME?</v>
      </c>
      <c r="AI158" s="95" t="e">
        <f t="shared" ca="1" si="48"/>
        <v>#NAME?</v>
      </c>
      <c r="AJ158" s="95" t="e">
        <f t="shared" ca="1" si="48"/>
        <v>#NAME?</v>
      </c>
      <c r="AK158" s="95" t="e">
        <f t="shared" ca="1" si="48"/>
        <v>#NAME?</v>
      </c>
      <c r="AL158" s="95" t="e">
        <f t="shared" ca="1" si="48"/>
        <v>#NAME?</v>
      </c>
      <c r="AM158" s="95" t="e">
        <f t="shared" ca="1" si="48"/>
        <v>#NAME?</v>
      </c>
      <c r="AN158" s="66" t="str">
        <f t="shared" ca="1" si="40"/>
        <v/>
      </c>
      <c r="AO158" s="108" t="e" cm="1">
        <f t="array" aca="1" ref="AO158" ca="1">_xll.BDP($E158,"cur_mkt_cap")</f>
        <v>#NAME?</v>
      </c>
      <c r="AP158" s="108" t="e" cm="1">
        <f t="array" aca="1" ref="AP158" ca="1">_xll.BDP($E158,"crncy")</f>
        <v>#NAME?</v>
      </c>
      <c r="AQ158" s="109" t="e" cm="1">
        <f t="array" aca="1" ref="AQ158" ca="1">_xll.BDP("USD"&amp;AP158&amp;" curncy","px_last")</f>
        <v>#NAME?</v>
      </c>
      <c r="AR158" s="109" t="e">
        <f t="shared" ca="1" si="49"/>
        <v>#NAME?</v>
      </c>
      <c r="AT158" s="66" t="str">
        <f t="shared" ca="1" si="41"/>
        <v/>
      </c>
      <c r="AU158" s="66" t="str">
        <f t="shared" ca="1" si="41"/>
        <v/>
      </c>
      <c r="AV158" s="66" t="str">
        <f t="shared" ca="1" si="41"/>
        <v/>
      </c>
      <c r="AW158" s="73" t="str" cm="1">
        <f t="array" aca="1" ref="AW158" ca="1">IF(ISERROR(DATEVALUE(_xll.BDP($E158,AW$6))),"",DATEVALUE(_xll.BDP($E158,AW$6)))</f>
        <v/>
      </c>
      <c r="AX158" s="73" t="str" cm="1">
        <f t="array" aca="1" ref="AX158" ca="1">IF(ISERROR(DATEVALUE(_xll.BDP($E158,AX$2))),"",DATEVALUE(_xll.BDP($E158,AX$2)))</f>
        <v/>
      </c>
      <c r="AY158" s="73" t="str" cm="1">
        <f t="array" aca="1" ref="AY158" ca="1">IF(ISERROR(DATEVALUE(_xll.BDP($E158,AY$6))),"",DATEVALUE(_xll.BDP($E158,AY$6)))</f>
        <v/>
      </c>
      <c r="AZ158" s="110" t="e" cm="1">
        <f t="array" aca="1" ref="AZ158" ca="1">IF(_xll.BQL($E158, "last(matches(px_last(dates=range(-1w,0d)), dayofweek(px_last(dates=range(-1w,0d)).date)==6))")="#N/A","-",_xll.BQL($E158, "last(matches(px_last(dates=range(-1w,0d)), dayofweek(px_last(dates=range(-1w,0d)).date)==6))"))</f>
        <v>#NAME?</v>
      </c>
      <c r="BA158" s="109" t="e" cm="1">
        <f t="array" aca="1" ref="BA158" ca="1">IF(_xll.BQL(E158,"first(last(matches(px_last(dates=range(-1M,0D)),dayofweek(px_last(dates=range(-1M,0D)).date)==6),2),1)")="#N/A","-",_xll.BQL(E158,"first(last(matches(px_last(dates=range(-1M,0D)),dayofweek(px_last(dates=range(-1M,0D)).date)==6),2),1)"))</f>
        <v>#NAME?</v>
      </c>
      <c r="BB158" s="109" t="str">
        <f t="shared" ca="1" si="36"/>
        <v>-</v>
      </c>
    </row>
    <row r="159" spans="5:54" ht="16.5" customHeight="1" thickBot="1">
      <c r="E159" s="96" t="s">
        <v>1138</v>
      </c>
      <c r="F159" s="66" t="e">
        <f ca="1">_xll.BDP($E159,F$3)&amp;" BEST Curncy"</f>
        <v>#NAME?</v>
      </c>
      <c r="G159" s="97" t="e">
        <f t="shared" ca="1" si="47"/>
        <v>#NAME?</v>
      </c>
      <c r="H159" s="160" t="s">
        <v>1139</v>
      </c>
      <c r="I159" s="641"/>
      <c r="J159" s="98" t="e">
        <f ca="1">_xll.BDP($E159,J$3)</f>
        <v>#NAME?</v>
      </c>
      <c r="K159" s="99" t="e">
        <f ca="1">_xll.BDP($E159,K$3)</f>
        <v>#NAME?</v>
      </c>
      <c r="L159" s="377" t="str">
        <f ca="1">IF(ISNUMBER(_xll.BDH($H159,"PX_LAST",TEXT($E$2,"YYYYMMDD"),TEXT($E$2,"YYYYMMDD"),"days=a","fill=p")),_xll.BDH($H159,"PX_LAST",TEXT($E$2,"YYYYMMDD"),TEXT($E$2,"YYYYMMDD"),"days=a","fill=p"),"-")</f>
        <v>-</v>
      </c>
      <c r="M159" s="377" t="str">
        <f ca="1">IF(ISNUMBER(_xll.BDH($H159,"PX_LAST",TEXT($E$2-7,"YYYYMMDD"),TEXT($E$2-7,"YYYYMMDD"),"days=a","fill=p")),_xll.BDH($H159,"PX_LAST",TEXT($E$2-7,"YYYYMMDD"),TEXT($E$2-7,"YYYYMMDD"),"days=a","fill=p"),"-")</f>
        <v>-</v>
      </c>
      <c r="N159" s="378" t="str">
        <f t="shared" ca="1" si="50"/>
        <v>-</v>
      </c>
      <c r="O159" s="379" t="e">
        <f ca="1">IF(OR(_xll.BDP($H159,O$3)="#N/A N/A",_xll.BDP($H159,O$3)="#N/A Invalid Security"), "-", _xll.BDP($H159,O$3))</f>
        <v>#NAME?</v>
      </c>
      <c r="P159" s="182" t="str">
        <f ca="1">IF(ISNUMBER(_xll.BDH($F159,"PX_LAST",TEXT($E$2,"YYYYMMDD"),TEXT($E$2,"YYYYMMDD"),"days=a","fill=p")),_xll.BDH($F159,"PX_LAST",TEXT($E$2,"YYYYMMDD"),TEXT($E$2,"YYYYMMDD"),"days=a","fill=p"),"-")</f>
        <v>-</v>
      </c>
      <c r="Q159" s="182" t="str">
        <f ca="1">IF(ISNUMBER(_xll.BDH($F159,"PX_LAST",TEXT($E$2-7,"YYYYMMDD"),TEXT($E$2-7,"YYYYMMDD"),"days=a","fill=p")),_xll.BDH($F159,"PX_LAST",TEXT($E$2-7,"YYYYMMDD"),TEXT($E$2-7,"YYYYMMDD"),"days=a","fill=p"),"-")</f>
        <v>-</v>
      </c>
      <c r="R159" s="102" t="str">
        <f t="shared" ca="1" si="51"/>
        <v>-</v>
      </c>
      <c r="S159" s="103" t="str">
        <f ca="1">IF(ISNUMBER(_xll.BDP($F159,S$3)),_xll.BDP($F159,S$3),"-")</f>
        <v>-</v>
      </c>
      <c r="T159" s="104" t="e">
        <f t="shared" ca="1" si="52"/>
        <v>#NAME?</v>
      </c>
      <c r="U159" s="105" t="e">
        <f ca="1">IF(OR(_xll.BDP($E159,U$3)="#N/A N/A",_xll.BDP($E159,U$3)="#N/A Invalid Security"), "-", _xll.BDP($E159,U$3))</f>
        <v>#NAME?</v>
      </c>
      <c r="V159" s="105" t="e">
        <f ca="1">IF(OR(_xll.BDP($E159,V$2)="#N/A N/A",_xll.BDP($E159,V$2)="#N/A Invalid Security"), "-", _xll.BDP($E159,V$2))</f>
        <v>#NAME?</v>
      </c>
      <c r="W159" s="106" t="e">
        <f ca="1">IF(OR(_xll.BDP($E159,W$3)="#N/A N/A",_xll.BDP($E159,W$3)="#N/A Invalid Security"), "-", _xll.BDP($E159,W$3))</f>
        <v>#NAME?</v>
      </c>
      <c r="X159" s="105" t="e">
        <f ca="1">IF(OR(_xll.BDP($E159,X$3)="#N/A N/A",_xll.BDP($E159,X$3)="#N/A Invalid Security"), " ", _xll.BDP($E159,X$3))</f>
        <v>#NAME?</v>
      </c>
      <c r="Y159" s="105" t="e">
        <f ca="1">IF(OR(_xll.BDP($E159,Y$3)="#N/A N/A",_xll.BDP($E159,Y$3)="#N/A Invalid Security"), " ", _xll.BDP($E159,Y$3))</f>
        <v>#NAME?</v>
      </c>
      <c r="Z159" s="106" t="e">
        <f ca="1">IF(OR(_xll.BDP($E159,Z$3)="#N/A N/A",_xll.BDP($E159,Z$3)="#N/A Invalid Security"), " ", _xll.BDP($E159,Z$3))</f>
        <v>#NAME?</v>
      </c>
      <c r="AA159" s="107"/>
      <c r="AB159" s="93" t="s">
        <v>1140</v>
      </c>
      <c r="AC159" s="93" t="s">
        <v>1141</v>
      </c>
      <c r="AD159" s="93" t="s">
        <v>1140</v>
      </c>
      <c r="AE159" s="93" t="s">
        <v>940</v>
      </c>
      <c r="AF159" s="93" t="s">
        <v>940</v>
      </c>
      <c r="AG159" s="93" t="s">
        <v>940</v>
      </c>
      <c r="AH159" s="95" t="e">
        <f t="shared" ca="1" si="48"/>
        <v>#NAME?</v>
      </c>
      <c r="AI159" s="95" t="e">
        <f t="shared" ca="1" si="48"/>
        <v>#NAME?</v>
      </c>
      <c r="AJ159" s="95" t="e">
        <f t="shared" ca="1" si="48"/>
        <v>#NAME?</v>
      </c>
      <c r="AK159" s="95" t="e">
        <f t="shared" ca="1" si="48"/>
        <v>#NAME?</v>
      </c>
      <c r="AL159" s="95" t="e">
        <f t="shared" ca="1" si="48"/>
        <v>#NAME?</v>
      </c>
      <c r="AM159" s="95" t="e">
        <f t="shared" ca="1" si="48"/>
        <v>#NAME?</v>
      </c>
      <c r="AN159" s="66" t="str">
        <f t="shared" ca="1" si="40"/>
        <v/>
      </c>
      <c r="AO159" s="108" t="e" cm="1">
        <f t="array" aca="1" ref="AO159" ca="1">_xll.BDP($E159,"cur_mkt_cap")</f>
        <v>#NAME?</v>
      </c>
      <c r="AP159" s="108" t="e" cm="1">
        <f t="array" aca="1" ref="AP159" ca="1">_xll.BDP($E159,"crncy")</f>
        <v>#NAME?</v>
      </c>
      <c r="AQ159" s="109" t="e" cm="1">
        <f t="array" aca="1" ref="AQ159" ca="1">_xll.BDP("USD"&amp;AP159&amp;" curncy","px_last")</f>
        <v>#NAME?</v>
      </c>
      <c r="AR159" s="109" t="e">
        <f t="shared" ca="1" si="49"/>
        <v>#NAME?</v>
      </c>
      <c r="AT159" s="66" t="str">
        <f t="shared" ca="1" si="41"/>
        <v/>
      </c>
      <c r="AU159" s="66" t="str">
        <f t="shared" ca="1" si="41"/>
        <v/>
      </c>
      <c r="AV159" s="66" t="str">
        <f t="shared" ca="1" si="41"/>
        <v/>
      </c>
      <c r="AW159" s="73" t="str" cm="1">
        <f t="array" aca="1" ref="AW159" ca="1">IF(ISERROR(DATEVALUE(_xll.BDP($E159,AW$6))),"",DATEVALUE(_xll.BDP($E159,AW$6)))</f>
        <v/>
      </c>
      <c r="AX159" s="73" t="str" cm="1">
        <f t="array" aca="1" ref="AX159" ca="1">IF(ISERROR(DATEVALUE(_xll.BDP($E159,AX$2))),"",DATEVALUE(_xll.BDP($E159,AX$2)))</f>
        <v/>
      </c>
      <c r="AY159" s="73" t="str" cm="1">
        <f t="array" aca="1" ref="AY159" ca="1">IF(ISERROR(DATEVALUE(_xll.BDP($E159,AY$6))),"",DATEVALUE(_xll.BDP($E159,AY$6)))</f>
        <v/>
      </c>
      <c r="AZ159" s="110" t="e" cm="1">
        <f t="array" aca="1" ref="AZ159" ca="1">IF(_xll.BQL($E159, "last(matches(px_last(dates=range(-1w,0d)), dayofweek(px_last(dates=range(-1w,0d)).date)==6))")="#N/A","-",_xll.BQL($E159, "last(matches(px_last(dates=range(-1w,0d)), dayofweek(px_last(dates=range(-1w,0d)).date)==6))"))</f>
        <v>#NAME?</v>
      </c>
      <c r="BA159" s="109" t="e" cm="1">
        <f t="array" aca="1" ref="BA159" ca="1">IF(_xll.BQL(E159,"first(last(matches(px_last(dates=range(-1M,0D)),dayofweek(px_last(dates=range(-1M,0D)).date)==6),2),1)")="#N/A","-",_xll.BQL(E159,"first(last(matches(px_last(dates=range(-1M,0D)),dayofweek(px_last(dates=range(-1M,0D)).date)==6),2),1)"))</f>
        <v>#NAME?</v>
      </c>
      <c r="BB159" s="109" t="str">
        <f t="shared" ca="1" si="36"/>
        <v>-</v>
      </c>
    </row>
    <row r="160" spans="5:54" ht="16.5" customHeight="1" thickBot="1">
      <c r="E160" s="157" t="s">
        <v>1142</v>
      </c>
      <c r="F160" s="66" t="e">
        <f ca="1">_xll.BDP($E160,F$3)&amp;" BEST Curncy"</f>
        <v>#NAME?</v>
      </c>
      <c r="G160" s="97" t="e">
        <f t="shared" ca="1" si="47"/>
        <v>#NAME?</v>
      </c>
      <c r="H160" s="160" t="s">
        <v>1143</v>
      </c>
      <c r="I160" s="641"/>
      <c r="J160" s="98" t="e">
        <f ca="1">_xll.BDP($E160,J$3)</f>
        <v>#NAME?</v>
      </c>
      <c r="K160" s="99" t="e">
        <f ca="1">_xll.BDP($E160,K$3)</f>
        <v>#NAME?</v>
      </c>
      <c r="L160" s="377" t="str">
        <f ca="1">IF(ISNUMBER(_xll.BDH($H160,"PX_LAST",TEXT($E$2,"YYYYMMDD"),TEXT($E$2,"YYYYMMDD"),"days=a","fill=p")),_xll.BDH($H160,"PX_LAST",TEXT($E$2,"YYYYMMDD"),TEXT($E$2,"YYYYMMDD"),"days=a","fill=p"),"-")</f>
        <v>-</v>
      </c>
      <c r="M160" s="377" t="str">
        <f ca="1">IF(ISNUMBER(_xll.BDH($H160,"PX_LAST",TEXT($E$2-7,"YYYYMMDD"),TEXT($E$2-7,"YYYYMMDD"),"days=a","fill=p")),_xll.BDH($H160,"PX_LAST",TEXT($E$2-7,"YYYYMMDD"),TEXT($E$2-7,"YYYYMMDD"),"days=a","fill=p"),"-")</f>
        <v>-</v>
      </c>
      <c r="N160" s="378" t="str">
        <f t="shared" ca="1" si="50"/>
        <v>-</v>
      </c>
      <c r="O160" s="379" t="e">
        <f ca="1">IF(OR(_xll.BDP($H160,O$3)="#N/A N/A",_xll.BDP($H160,O$3)="#N/A Invalid Security"), "-", _xll.BDP($H160,O$3))</f>
        <v>#NAME?</v>
      </c>
      <c r="P160" s="182" t="str">
        <f ca="1">IF(ISNUMBER(_xll.BDH($F160,"PX_LAST",TEXT($E$2,"YYYYMMDD"),TEXT($E$2,"YYYYMMDD"),"days=a","fill=p")),_xll.BDH($F160,"PX_LAST",TEXT($E$2,"YYYYMMDD"),TEXT($E$2,"YYYYMMDD"),"days=a","fill=p"),"-")</f>
        <v>-</v>
      </c>
      <c r="Q160" s="182" t="str">
        <f ca="1">IF(ISNUMBER(_xll.BDH($F160,"PX_LAST",TEXT($E$2-7,"YYYYMMDD"),TEXT($E$2-7,"YYYYMMDD"),"days=a","fill=p")),_xll.BDH($F160,"PX_LAST",TEXT($E$2-7,"YYYYMMDD"),TEXT($E$2-7,"YYYYMMDD"),"days=a","fill=p"),"-")</f>
        <v>-</v>
      </c>
      <c r="R160" s="102" t="str">
        <f t="shared" ca="1" si="51"/>
        <v>-</v>
      </c>
      <c r="S160" s="103" t="str">
        <f ca="1">IF(ISNUMBER(_xll.BDP($F160,S$3)),_xll.BDP($F160,S$3),"-")</f>
        <v>-</v>
      </c>
      <c r="T160" s="104" t="e">
        <f t="shared" ca="1" si="52"/>
        <v>#NAME?</v>
      </c>
      <c r="U160" s="105" t="e">
        <f ca="1">IF(OR(_xll.BDP($E160,U$3)="#N/A N/A",_xll.BDP($E160,U$3)="#N/A Invalid Security"), "-", _xll.BDP($E160,U$3))</f>
        <v>#NAME?</v>
      </c>
      <c r="V160" s="105" t="e">
        <f ca="1">IF(OR(_xll.BDP($E160,V$2)="#N/A N/A",_xll.BDP($E160,V$2)="#N/A Invalid Security"), "-", _xll.BDP($E160,V$2))</f>
        <v>#NAME?</v>
      </c>
      <c r="W160" s="106" t="e">
        <f ca="1">IF(OR(_xll.BDP($E160,W$3)="#N/A N/A",_xll.BDP($E160,W$3)="#N/A Invalid Security"), "-", _xll.BDP($E160,W$3))</f>
        <v>#NAME?</v>
      </c>
      <c r="X160" s="105" t="e">
        <f ca="1">IF(OR(_xll.BDP($E160,X$3)="#N/A N/A",_xll.BDP($E160,X$3)="#N/A Invalid Security"), " ", _xll.BDP($E160,X$3))</f>
        <v>#NAME?</v>
      </c>
      <c r="Y160" s="105" t="e">
        <f ca="1">IF(OR(_xll.BDP($E160,Y$3)="#N/A N/A",_xll.BDP($E160,Y$3)="#N/A Invalid Security"), " ", _xll.BDP($E160,Y$3))</f>
        <v>#NAME?</v>
      </c>
      <c r="Z160" s="106" t="e">
        <f ca="1">IF(OR(_xll.BDP($E160,Z$3)="#N/A N/A",_xll.BDP($E160,Z$3)="#N/A Invalid Security"), " ", _xll.BDP($E160,Z$3))</f>
        <v>#NAME?</v>
      </c>
      <c r="AA160" s="107"/>
      <c r="AB160" s="93" t="s">
        <v>953</v>
      </c>
      <c r="AC160" s="93" t="s">
        <v>939</v>
      </c>
      <c r="AD160" s="93" t="s">
        <v>985</v>
      </c>
      <c r="AE160" s="93" t="s">
        <v>940</v>
      </c>
      <c r="AF160" s="93" t="s">
        <v>935</v>
      </c>
      <c r="AG160" s="93" t="s">
        <v>940</v>
      </c>
      <c r="AH160" s="95" t="e">
        <f t="shared" ca="1" si="48"/>
        <v>#NAME?</v>
      </c>
      <c r="AI160" s="95" t="e">
        <f t="shared" ca="1" si="48"/>
        <v>#NAME?</v>
      </c>
      <c r="AJ160" s="95" t="e">
        <f t="shared" ca="1" si="48"/>
        <v>#NAME?</v>
      </c>
      <c r="AK160" s="95" t="e">
        <f t="shared" ca="1" si="48"/>
        <v>#NAME?</v>
      </c>
      <c r="AL160" s="95" t="e">
        <f t="shared" ca="1" si="48"/>
        <v>#NAME?</v>
      </c>
      <c r="AM160" s="95" t="e">
        <f t="shared" ca="1" si="48"/>
        <v>#NAME?</v>
      </c>
      <c r="AN160" s="66" t="str">
        <f t="shared" ca="1" si="40"/>
        <v/>
      </c>
      <c r="AO160" s="108" t="e" cm="1">
        <f t="array" aca="1" ref="AO160" ca="1">_xll.BDP($E160,"cur_mkt_cap")</f>
        <v>#NAME?</v>
      </c>
      <c r="AP160" s="108" t="e" cm="1">
        <f t="array" aca="1" ref="AP160" ca="1">_xll.BDP($E160,"crncy")</f>
        <v>#NAME?</v>
      </c>
      <c r="AQ160" s="109" t="e" cm="1">
        <f t="array" aca="1" ref="AQ160" ca="1">_xll.BDP("USD"&amp;AP160&amp;" curncy","px_last")</f>
        <v>#NAME?</v>
      </c>
      <c r="AR160" s="109" t="e">
        <f t="shared" ca="1" si="49"/>
        <v>#NAME?</v>
      </c>
      <c r="AT160" s="66" t="str">
        <f t="shared" ca="1" si="41"/>
        <v/>
      </c>
      <c r="AU160" s="66" t="str">
        <f t="shared" ca="1" si="41"/>
        <v/>
      </c>
      <c r="AV160" s="66" t="str">
        <f t="shared" ca="1" si="41"/>
        <v/>
      </c>
      <c r="AW160" s="73" t="str" cm="1">
        <f t="array" aca="1" ref="AW160" ca="1">IF(ISERROR(DATEVALUE(_xll.BDP($E160,AW$6))),"",DATEVALUE(_xll.BDP($E160,AW$6)))</f>
        <v/>
      </c>
      <c r="AX160" s="73" t="str" cm="1">
        <f t="array" aca="1" ref="AX160" ca="1">IF(ISERROR(DATEVALUE(_xll.BDP($E160,AX$2))),"",DATEVALUE(_xll.BDP($E160,AX$2)))</f>
        <v/>
      </c>
      <c r="AY160" s="73" t="str" cm="1">
        <f t="array" aca="1" ref="AY160" ca="1">IF(ISERROR(DATEVALUE(_xll.BDP($E160,AY$6))),"",DATEVALUE(_xll.BDP($E160,AY$6)))</f>
        <v/>
      </c>
      <c r="AZ160" s="110" t="e" cm="1">
        <f t="array" aca="1" ref="AZ160" ca="1">IF(_xll.BQL($E160, "last(matches(px_last(dates=range(-1w,0d)), dayofweek(px_last(dates=range(-1w,0d)).date)==6))")="#N/A","-",_xll.BQL($E160, "last(matches(px_last(dates=range(-1w,0d)), dayofweek(px_last(dates=range(-1w,0d)).date)==6))"))</f>
        <v>#NAME?</v>
      </c>
      <c r="BA160" s="109" t="e" cm="1">
        <f t="array" aca="1" ref="BA160" ca="1">IF(_xll.BQL(E160,"first(last(matches(px_last(dates=range(-1M,0D)),dayofweek(px_last(dates=range(-1M,0D)).date)==6),2),1)")="#N/A","-",_xll.BQL(E160,"first(last(matches(px_last(dates=range(-1M,0D)),dayofweek(px_last(dates=range(-1M,0D)).date)==6),2),1)"))</f>
        <v>#NAME?</v>
      </c>
      <c r="BB160" s="109" t="str">
        <f t="shared" ca="1" si="36"/>
        <v>-</v>
      </c>
    </row>
    <row r="161" spans="5:54" ht="16.5" customHeight="1" thickBot="1">
      <c r="E161" s="157" t="s">
        <v>1144</v>
      </c>
      <c r="F161" s="66" t="e">
        <f ca="1">_xll.BDP($E161,F$3)&amp;" BEST Curncy"</f>
        <v>#NAME?</v>
      </c>
      <c r="G161" s="97" t="e">
        <f t="shared" ca="1" si="47"/>
        <v>#NAME?</v>
      </c>
      <c r="H161" s="160" t="s">
        <v>1145</v>
      </c>
      <c r="I161" s="642"/>
      <c r="J161" s="98" t="e">
        <f ca="1">_xll.BDP($E161,J$3)</f>
        <v>#NAME?</v>
      </c>
      <c r="K161" s="99" t="e">
        <f ca="1">_xll.BDP($E161,K$3)</f>
        <v>#NAME?</v>
      </c>
      <c r="L161" s="377" t="str">
        <f ca="1">IF(ISNUMBER(_xll.BDH($H161,"PX_LAST",TEXT($E$2,"YYYYMMDD"),TEXT($E$2,"YYYYMMDD"),"days=a","fill=p")),_xll.BDH($H161,"PX_LAST",TEXT($E$2,"YYYYMMDD"),TEXT($E$2,"YYYYMMDD"),"days=a","fill=p"),"-")</f>
        <v>-</v>
      </c>
      <c r="M161" s="377" t="str">
        <f ca="1">IF(ISNUMBER(_xll.BDH($H161,"PX_LAST",TEXT($E$2-7,"YYYYMMDD"),TEXT($E$2-7,"YYYYMMDD"),"days=a","fill=p")),_xll.BDH($H161,"PX_LAST",TEXT($E$2-7,"YYYYMMDD"),TEXT($E$2-7,"YYYYMMDD"),"days=a","fill=p"),"-")</f>
        <v>-</v>
      </c>
      <c r="N161" s="378" t="str">
        <f t="shared" ca="1" si="50"/>
        <v>-</v>
      </c>
      <c r="O161" s="379" t="e">
        <f ca="1">IF(OR(_xll.BDP($H161,O$3)="#N/A N/A",_xll.BDP($H161,O$3)="#N/A Invalid Security"), "-", _xll.BDP($H161,O$3))</f>
        <v>#NAME?</v>
      </c>
      <c r="P161" s="182" t="str">
        <f ca="1">IF(ISNUMBER(_xll.BDH($F161,"PX_LAST",TEXT($E$2,"YYYYMMDD"),TEXT($E$2,"YYYYMMDD"),"days=a","fill=p")),_xll.BDH($F161,"PX_LAST",TEXT($E$2,"YYYYMMDD"),TEXT($E$2,"YYYYMMDD"),"days=a","fill=p"),"-")</f>
        <v>-</v>
      </c>
      <c r="Q161" s="182" t="str">
        <f ca="1">IF(ISNUMBER(_xll.BDH($F161,"PX_LAST",TEXT($E$2-7,"YYYYMMDD"),TEXT($E$2-7,"YYYYMMDD"),"days=a","fill=p")),_xll.BDH($F161,"PX_LAST",TEXT($E$2-7,"YYYYMMDD"),TEXT($E$2-7,"YYYYMMDD"),"days=a","fill=p"),"-")</f>
        <v>-</v>
      </c>
      <c r="R161" s="102" t="str">
        <f t="shared" ca="1" si="51"/>
        <v>-</v>
      </c>
      <c r="S161" s="103" t="str">
        <f ca="1">IF(ISNUMBER(_xll.BDP($F161,S$3)),_xll.BDP($F161,S$3),"-")</f>
        <v>-</v>
      </c>
      <c r="T161" s="104" t="e">
        <f t="shared" ca="1" si="52"/>
        <v>#NAME?</v>
      </c>
      <c r="U161" s="105" t="e">
        <f ca="1">IF(OR(_xll.BDP($E161,U$3)="#N/A N/A",_xll.BDP($E161,U$3)="#N/A Invalid Security"), "-", _xll.BDP($E161,U$3))</f>
        <v>#NAME?</v>
      </c>
      <c r="V161" s="105" t="e">
        <f ca="1">IF(OR(_xll.BDP($E161,V$2)="#N/A N/A",_xll.BDP($E161,V$2)="#N/A Invalid Security"), "-", _xll.BDP($E161,V$2))</f>
        <v>#NAME?</v>
      </c>
      <c r="W161" s="106" t="e">
        <f ca="1">IF(OR(_xll.BDP($E161,W$3)="#N/A N/A",_xll.BDP($E161,W$3)="#N/A Invalid Security"), "-", _xll.BDP($E161,W$3))</f>
        <v>#NAME?</v>
      </c>
      <c r="X161" s="105" t="e">
        <f ca="1">IF(OR(_xll.BDP($E161,X$3)="#N/A N/A",_xll.BDP($E161,X$3)="#N/A Invalid Security"), " ", _xll.BDP($E161,X$3))</f>
        <v>#NAME?</v>
      </c>
      <c r="Y161" s="105" t="e">
        <f ca="1">IF(OR(_xll.BDP($E161,Y$3)="#N/A N/A",_xll.BDP($E161,Y$3)="#N/A Invalid Security"), " ", _xll.BDP($E161,Y$3))</f>
        <v>#NAME?</v>
      </c>
      <c r="Z161" s="106" t="e">
        <f ca="1">IF(OR(_xll.BDP($E161,Z$3)="#N/A N/A",_xll.BDP($E161,Z$3)="#N/A Invalid Security"), " ", _xll.BDP($E161,Z$3))</f>
        <v>#NAME?</v>
      </c>
      <c r="AA161" s="107"/>
      <c r="AB161" s="93" t="s">
        <v>1146</v>
      </c>
      <c r="AC161" s="93" t="s">
        <v>998</v>
      </c>
      <c r="AD161" s="93" t="s">
        <v>1111</v>
      </c>
      <c r="AE161" s="93" t="s">
        <v>940</v>
      </c>
      <c r="AF161" s="93" t="s">
        <v>940</v>
      </c>
      <c r="AG161" s="93" t="s">
        <v>940</v>
      </c>
      <c r="AH161" s="95" t="e">
        <f t="shared" ca="1" si="48"/>
        <v>#NAME?</v>
      </c>
      <c r="AI161" s="95" t="e">
        <f t="shared" ca="1" si="48"/>
        <v>#NAME?</v>
      </c>
      <c r="AJ161" s="95" t="e">
        <f t="shared" ca="1" si="48"/>
        <v>#NAME?</v>
      </c>
      <c r="AK161" s="95" t="e">
        <f t="shared" ca="1" si="48"/>
        <v>#NAME?</v>
      </c>
      <c r="AL161" s="95" t="e">
        <f t="shared" ca="1" si="48"/>
        <v>#NAME?</v>
      </c>
      <c r="AM161" s="95" t="e">
        <f t="shared" ca="1" si="48"/>
        <v>#NAME?</v>
      </c>
      <c r="AN161" s="66" t="str">
        <f t="shared" ca="1" si="40"/>
        <v/>
      </c>
      <c r="AO161" s="108" t="e" cm="1">
        <f t="array" aca="1" ref="AO161" ca="1">_xll.BDP($E161,"cur_mkt_cap")</f>
        <v>#NAME?</v>
      </c>
      <c r="AP161" s="108" t="e" cm="1">
        <f t="array" aca="1" ref="AP161" ca="1">_xll.BDP($E161,"crncy")</f>
        <v>#NAME?</v>
      </c>
      <c r="AQ161" s="109" t="e" cm="1">
        <f t="array" aca="1" ref="AQ161" ca="1">_xll.BDP("USD"&amp;AP161&amp;" curncy","px_last")</f>
        <v>#NAME?</v>
      </c>
      <c r="AR161" s="109" t="e">
        <f t="shared" ca="1" si="49"/>
        <v>#NAME?</v>
      </c>
      <c r="AT161" s="66" t="str">
        <f t="shared" ca="1" si="41"/>
        <v/>
      </c>
      <c r="AU161" s="66" t="str">
        <f t="shared" ca="1" si="41"/>
        <v/>
      </c>
      <c r="AV161" s="66" t="str">
        <f t="shared" ca="1" si="41"/>
        <v/>
      </c>
      <c r="AW161" s="73" t="str" cm="1">
        <f t="array" aca="1" ref="AW161" ca="1">IF(ISERROR(DATEVALUE(_xll.BDP($E161,AW$6))),"",DATEVALUE(_xll.BDP($E161,AW$6)))</f>
        <v/>
      </c>
      <c r="AX161" s="73" t="str" cm="1">
        <f t="array" aca="1" ref="AX161" ca="1">IF(ISERROR(DATEVALUE(_xll.BDP($E161,AX$2))),"",DATEVALUE(_xll.BDP($E161,AX$2)))</f>
        <v/>
      </c>
      <c r="AY161" s="73" t="str" cm="1">
        <f t="array" aca="1" ref="AY161" ca="1">IF(ISERROR(DATEVALUE(_xll.BDP($E161,AY$6))),"",DATEVALUE(_xll.BDP($E161,AY$6)))</f>
        <v/>
      </c>
      <c r="AZ161" s="110" t="e" cm="1">
        <f t="array" aca="1" ref="AZ161" ca="1">IF(_xll.BQL($E161, "last(matches(px_last(dates=range(-1w,0d)), dayofweek(px_last(dates=range(-1w,0d)).date)==6))")="#N/A","-",_xll.BQL($E161, "last(matches(px_last(dates=range(-1w,0d)), dayofweek(px_last(dates=range(-1w,0d)).date)==6))"))</f>
        <v>#NAME?</v>
      </c>
      <c r="BA161" s="109" t="e" cm="1">
        <f t="array" aca="1" ref="BA161" ca="1">IF(_xll.BQL(E161,"first(last(matches(px_last(dates=range(-1M,0D)),dayofweek(px_last(dates=range(-1M,0D)).date)==6),2),1)")="#N/A","-",_xll.BQL(E161,"first(last(matches(px_last(dates=range(-1M,0D)),dayofweek(px_last(dates=range(-1M,0D)).date)==6),2),1)"))</f>
        <v>#NAME?</v>
      </c>
      <c r="BB161" s="109" t="str">
        <f t="shared" ca="1" si="36"/>
        <v>-</v>
      </c>
    </row>
    <row r="162" spans="5:54" s="121" customFormat="1" ht="16.5" customHeight="1" thickBot="1">
      <c r="E162" s="120" t="s">
        <v>1147</v>
      </c>
      <c r="F162" s="66" t="e">
        <f ca="1">_xll.BDP($E162,F$3)&amp;" BEST Curncy"</f>
        <v>#NAME?</v>
      </c>
      <c r="G162" s="97" t="e">
        <f t="shared" ca="1" si="47"/>
        <v>#NAME?</v>
      </c>
      <c r="I162" s="648" t="s">
        <v>1148</v>
      </c>
      <c r="J162" s="98" t="e">
        <f ca="1">_xll.BDP($E162,J$3)</f>
        <v>#NAME?</v>
      </c>
      <c r="K162" s="99" t="e">
        <f ca="1">_xll.BDP($E162,K$3)</f>
        <v>#NAME?</v>
      </c>
      <c r="L162" s="100" t="str">
        <f ca="1">IF(ISNUMBER(_xll.BDH($E162,"PX_LAST",TEXT($E$2,"YYYYMMDD"),TEXT($E$2,"YYYYMMDD"),"days=a","fill=p")),_xll.BDH($E162,"PX_LAST",TEXT($E$2,"YYYYMMDD"),TEXT($E$2,"YYYYMMDD"),"days=a","fill=p"),"-")</f>
        <v>-</v>
      </c>
      <c r="M162" s="100" t="str">
        <f ca="1">IF(ISNUMBER(_xll.BDH($E162,"PX_LAST",TEXT($E$2-7,"YYYYMMDD"),TEXT($E$2-7,"YYYYMMDD"),"days=a","fill=p")),_xll.BDH($E162,"PX_LAST",TEXT($E$2-7,"YYYYMMDD"),TEXT($E$2-7,"YYYYMMDD"),"days=a","fill=p"),"-")</f>
        <v>-</v>
      </c>
      <c r="N162" s="180" t="str">
        <f t="shared" ca="1" si="50"/>
        <v>-</v>
      </c>
      <c r="O162" s="101" t="e">
        <f ca="1">IF(OR(_xll.BDP($E162,O$3)="#N/A N/A",_xll.BDP($E162,O$3)="#N/A Invalid Security"), "-", _xll.BDP($E162,O$3))</f>
        <v>#NAME?</v>
      </c>
      <c r="P162" s="182" t="str">
        <f ca="1">IF(ISNUMBER(_xll.BDH($F162,"PX_LAST",TEXT($E$2,"YYYYMMDD"),TEXT($E$2,"YYYYMMDD"),"days=a","fill=p")),_xll.BDH($F162,"PX_LAST",TEXT($E$2,"YYYYMMDD"),TEXT($E$2,"YYYYMMDD"),"days=a","fill=p"),"-")</f>
        <v>-</v>
      </c>
      <c r="Q162" s="182" t="str">
        <f ca="1">IF(ISNUMBER(_xll.BDH($F162,"PX_LAST",TEXT($E$2-7,"YYYYMMDD"),TEXT($E$2-7,"YYYYMMDD"),"days=a","fill=p")),_xll.BDH($F162,"PX_LAST",TEXT($E$2-7,"YYYYMMDD"),TEXT($E$2-7,"YYYYMMDD"),"days=a","fill=p"),"-")</f>
        <v>-</v>
      </c>
      <c r="R162" s="102" t="str">
        <f t="shared" ca="1" si="51"/>
        <v>-</v>
      </c>
      <c r="S162" s="103" t="str">
        <f ca="1">IF(ISNUMBER(_xll.BDP($F162,S$3)),_xll.BDP($F162,S$3),"-")</f>
        <v>-</v>
      </c>
      <c r="T162" s="104" t="e">
        <f t="shared" ca="1" si="52"/>
        <v>#NAME?</v>
      </c>
      <c r="U162" s="105" t="e">
        <f ca="1">IF(OR(_xll.BDP($E162,U$3)="#N/A N/A",_xll.BDP($E162,U$3)="#N/A Invalid Security"), "-", _xll.BDP($E162,U$3))</f>
        <v>#NAME?</v>
      </c>
      <c r="V162" s="105" t="e">
        <f ca="1">IF(OR(_xll.BDP($E162,V$2)="#N/A N/A",_xll.BDP($E162,V$2)="#N/A Invalid Security"), "-", _xll.BDP($E162,V$2))</f>
        <v>#NAME?</v>
      </c>
      <c r="W162" s="106" t="e">
        <f ca="1">IF(OR(_xll.BDP($E162,W$3)="#N/A N/A",_xll.BDP($E162,W$3)="#N/A Invalid Security"), "-", _xll.BDP($E162,W$3))</f>
        <v>#NAME?</v>
      </c>
      <c r="X162" s="105" t="e">
        <f ca="1">IF(OR(_xll.BDP($E162,X$3)="#N/A N/A",_xll.BDP($E162,X$3)="#N/A Invalid Security"), " ", _xll.BDP($E162,X$3))</f>
        <v>#NAME?</v>
      </c>
      <c r="Y162" s="105" t="e">
        <f ca="1">IF(OR(_xll.BDP($E162,Y$3)="#N/A N/A",_xll.BDP($E162,Y$3)="#N/A Invalid Security"), " ", _xll.BDP($E162,Y$3))</f>
        <v>#NAME?</v>
      </c>
      <c r="Z162" s="106" t="e">
        <f ca="1">IF(OR(_xll.BDP($E162,Z$3)="#N/A N/A",_xll.BDP($E162,Z$3)="#N/A Invalid Security"), " ", _xll.BDP($E162,Z$3))</f>
        <v>#NAME?</v>
      </c>
      <c r="AA162" s="123"/>
      <c r="AB162" s="124" t="s">
        <v>932</v>
      </c>
      <c r="AC162" s="124" t="s">
        <v>934</v>
      </c>
      <c r="AD162" s="124" t="s">
        <v>932</v>
      </c>
      <c r="AE162" s="124" t="s">
        <v>940</v>
      </c>
      <c r="AF162" s="124" t="s">
        <v>936</v>
      </c>
      <c r="AG162" s="124" t="s">
        <v>948</v>
      </c>
      <c r="AH162" s="95" t="e">
        <f t="shared" ca="1" si="48"/>
        <v>#NAME?</v>
      </c>
      <c r="AI162" s="95" t="e">
        <f t="shared" ca="1" si="48"/>
        <v>#NAME?</v>
      </c>
      <c r="AJ162" s="95" t="e">
        <f t="shared" ca="1" si="48"/>
        <v>#NAME?</v>
      </c>
      <c r="AK162" s="95" t="e">
        <f t="shared" ca="1" si="48"/>
        <v>#NAME?</v>
      </c>
      <c r="AL162" s="95" t="e">
        <f t="shared" ca="1" si="48"/>
        <v>#NAME?</v>
      </c>
      <c r="AM162" s="95" t="e">
        <f t="shared" ca="1" si="48"/>
        <v>#NAME?</v>
      </c>
      <c r="AN162" s="121" t="str">
        <f t="shared" ca="1" si="40"/>
        <v/>
      </c>
      <c r="AO162" s="108" t="e" cm="1">
        <f t="array" aca="1" ref="AO162" ca="1">_xll.BDP($E162,"cur_mkt_cap")</f>
        <v>#NAME?</v>
      </c>
      <c r="AP162" s="108" t="e" cm="1">
        <f t="array" aca="1" ref="AP162" ca="1">_xll.BDP($E162,"crncy")</f>
        <v>#NAME?</v>
      </c>
      <c r="AQ162" s="109" t="e" cm="1">
        <f t="array" aca="1" ref="AQ162" ca="1">_xll.BDP("USD"&amp;AP162&amp;" curncy","px_last")</f>
        <v>#NAME?</v>
      </c>
      <c r="AR162" s="109" t="e">
        <f t="shared" ca="1" si="49"/>
        <v>#NAME?</v>
      </c>
      <c r="AT162" s="121" t="str">
        <f t="shared" ca="1" si="41"/>
        <v/>
      </c>
      <c r="AU162" s="121" t="str">
        <f t="shared" ca="1" si="41"/>
        <v/>
      </c>
      <c r="AV162" s="121" t="str">
        <f t="shared" ca="1" si="41"/>
        <v/>
      </c>
      <c r="AW162" s="73" t="str" cm="1">
        <f t="array" aca="1" ref="AW162" ca="1">IF(ISERROR(DATEVALUE(_xll.BDP($E162,AW$6))),"",DATEVALUE(_xll.BDP($E162,AW$6)))</f>
        <v/>
      </c>
      <c r="AX162" s="73" t="str" cm="1">
        <f t="array" aca="1" ref="AX162" ca="1">IF(ISERROR(DATEVALUE(_xll.BDP($E162,AX$2))),"",DATEVALUE(_xll.BDP($E162,AX$2)))</f>
        <v/>
      </c>
      <c r="AY162" s="73" t="str" cm="1">
        <f t="array" aca="1" ref="AY162" ca="1">IF(ISERROR(DATEVALUE(_xll.BDP($E162,AY$6))),"",DATEVALUE(_xll.BDP($E162,AY$6)))</f>
        <v/>
      </c>
      <c r="AZ162" s="110" t="e" cm="1">
        <f t="array" aca="1" ref="AZ162" ca="1">IF(_xll.BQL($E162, "last(matches(px_last(dates=range(-1w,0d)), dayofweek(px_last(dates=range(-1w,0d)).date)==6))")="#N/A","-",_xll.BQL($E162, "last(matches(px_last(dates=range(-1w,0d)), dayofweek(px_last(dates=range(-1w,0d)).date)==6))"))</f>
        <v>#NAME?</v>
      </c>
      <c r="BA162" s="109" t="e" cm="1">
        <f t="array" aca="1" ref="BA162" ca="1">IF(_xll.BQL(E162,"first(last(matches(px_last(dates=range(-1M,0D)),dayofweek(px_last(dates=range(-1M,0D)).date)==6),2),1)")="#N/A","-",_xll.BQL(E162,"first(last(matches(px_last(dates=range(-1M,0D)),dayofweek(px_last(dates=range(-1M,0D)).date)==6),2),1)"))</f>
        <v>#NAME?</v>
      </c>
      <c r="BB162" s="109" t="str">
        <f t="shared" ca="1" si="36"/>
        <v>-</v>
      </c>
    </row>
    <row r="163" spans="5:54" ht="16.5" customHeight="1" thickBot="1">
      <c r="E163" s="96" t="s">
        <v>1149</v>
      </c>
      <c r="F163" s="66" t="e">
        <f ca="1">_xll.BDP($E163,F$3)&amp;" BEST Curncy"</f>
        <v>#NAME?</v>
      </c>
      <c r="G163" s="97" t="e">
        <f t="shared" ca="1" si="47"/>
        <v>#NAME?</v>
      </c>
      <c r="I163" s="649"/>
      <c r="J163" s="98" t="e">
        <f ca="1">_xll.BDP($E163,J$3)</f>
        <v>#NAME?</v>
      </c>
      <c r="K163" s="99" t="e">
        <f ca="1">_xll.BDP($E163,K$3)</f>
        <v>#NAME?</v>
      </c>
      <c r="L163" s="100" t="str">
        <f ca="1">IF(ISNUMBER(_xll.BDH($E163,"PX_LAST",TEXT($E$2,"YYYYMMDD"),TEXT($E$2,"YYYYMMDD"),"days=a","fill=p")),_xll.BDH($E163,"PX_LAST",TEXT($E$2,"YYYYMMDD"),TEXT($E$2,"YYYYMMDD"),"days=a","fill=p"),"-")</f>
        <v>-</v>
      </c>
      <c r="M163" s="100" t="str">
        <f ca="1">IF(ISNUMBER(_xll.BDH($E163,"PX_LAST",TEXT($E$2-7,"YYYYMMDD"),TEXT($E$2-7,"YYYYMMDD"),"days=a","fill=p")),_xll.BDH($E163,"PX_LAST",TEXT($E$2-7,"YYYYMMDD"),TEXT($E$2-7,"YYYYMMDD"),"days=a","fill=p"),"-")</f>
        <v>-</v>
      </c>
      <c r="N163" s="180" t="str">
        <f t="shared" ca="1" si="50"/>
        <v>-</v>
      </c>
      <c r="O163" s="101" t="e">
        <f ca="1">IF(OR(_xll.BDP($E163,O$3)="#N/A N/A",_xll.BDP($E163,O$3)="#N/A Invalid Security"), "-", _xll.BDP($E163,O$3))</f>
        <v>#NAME?</v>
      </c>
      <c r="P163" s="182" t="str">
        <f ca="1">IF(ISNUMBER(_xll.BDH($F163,"PX_LAST",TEXT($E$2,"YYYYMMDD"),TEXT($E$2,"YYYYMMDD"),"days=a","fill=p")),_xll.BDH($F163,"PX_LAST",TEXT($E$2,"YYYYMMDD"),TEXT($E$2,"YYYYMMDD"),"days=a","fill=p"),"-")</f>
        <v>-</v>
      </c>
      <c r="Q163" s="182" t="str">
        <f ca="1">IF(ISNUMBER(_xll.BDH($F163,"PX_LAST",TEXT($E$2-7,"YYYYMMDD"),TEXT($E$2-7,"YYYYMMDD"),"days=a","fill=p")),_xll.BDH($F163,"PX_LAST",TEXT($E$2-7,"YYYYMMDD"),TEXT($E$2-7,"YYYYMMDD"),"days=a","fill=p"),"-")</f>
        <v>-</v>
      </c>
      <c r="R163" s="102" t="str">
        <f t="shared" ca="1" si="51"/>
        <v>-</v>
      </c>
      <c r="S163" s="103" t="str">
        <f ca="1">IF(ISNUMBER(_xll.BDP($F163,S$3)),_xll.BDP($F163,S$3),"-")</f>
        <v>-</v>
      </c>
      <c r="T163" s="104" t="e">
        <f t="shared" ca="1" si="52"/>
        <v>#NAME?</v>
      </c>
      <c r="U163" s="105" t="e">
        <f ca="1">IF(OR(_xll.BDP($E163,U$3)="#N/A N/A",_xll.BDP($E163,U$3)="#N/A Invalid Security"), "-", _xll.BDP($E163,U$3))</f>
        <v>#NAME?</v>
      </c>
      <c r="V163" s="105" t="e">
        <f ca="1">IF(OR(_xll.BDP($E163,V$2)="#N/A N/A",_xll.BDP($E163,V$2)="#N/A Invalid Security"), "-", _xll.BDP($E163,V$2))</f>
        <v>#NAME?</v>
      </c>
      <c r="W163" s="106" t="e">
        <f ca="1">IF(OR(_xll.BDP($E163,W$3)="#N/A N/A",_xll.BDP($E163,W$3)="#N/A Invalid Security"), "-", _xll.BDP($E163,W$3))</f>
        <v>#NAME?</v>
      </c>
      <c r="X163" s="105" t="e">
        <f ca="1">IF(OR(_xll.BDP($E163,X$3)="#N/A N/A",_xll.BDP($E163,X$3)="#N/A Invalid Security"), " ", _xll.BDP($E163,X$3))</f>
        <v>#NAME?</v>
      </c>
      <c r="Y163" s="105" t="e">
        <f ca="1">IF(OR(_xll.BDP($E163,Y$3)="#N/A N/A",_xll.BDP($E163,Y$3)="#N/A Invalid Security"), " ", _xll.BDP($E163,Y$3))</f>
        <v>#NAME?</v>
      </c>
      <c r="Z163" s="106" t="e">
        <f ca="1">IF(OR(_xll.BDP($E163,Z$3)="#N/A N/A",_xll.BDP($E163,Z$3)="#N/A Invalid Security"), " ", _xll.BDP($E163,Z$3))</f>
        <v>#NAME?</v>
      </c>
      <c r="AA163" s="107"/>
      <c r="AB163" s="93" t="s">
        <v>1011</v>
      </c>
      <c r="AC163" s="93" t="s">
        <v>939</v>
      </c>
      <c r="AD163" s="93" t="s">
        <v>997</v>
      </c>
      <c r="AE163" s="93" t="s">
        <v>940</v>
      </c>
      <c r="AF163" s="93" t="s">
        <v>948</v>
      </c>
      <c r="AG163" s="93" t="s">
        <v>940</v>
      </c>
      <c r="AH163" s="95" t="e">
        <f t="shared" ca="1" si="48"/>
        <v>#NAME?</v>
      </c>
      <c r="AI163" s="95" t="e">
        <f t="shared" ca="1" si="48"/>
        <v>#NAME?</v>
      </c>
      <c r="AJ163" s="95" t="e">
        <f t="shared" ca="1" si="48"/>
        <v>#NAME?</v>
      </c>
      <c r="AK163" s="95" t="e">
        <f t="shared" ca="1" si="48"/>
        <v>#NAME?</v>
      </c>
      <c r="AL163" s="95" t="e">
        <f t="shared" ca="1" si="48"/>
        <v>#NAME?</v>
      </c>
      <c r="AM163" s="95" t="e">
        <f t="shared" ca="1" si="48"/>
        <v>#NAME?</v>
      </c>
      <c r="AN163" s="66" t="str">
        <f ca="1">IF(SUM(AT163:AV163)&gt;0,"Y","")</f>
        <v/>
      </c>
      <c r="AO163" s="108" t="e" cm="1">
        <f t="array" aca="1" ref="AO163" ca="1">_xll.BDP($E163,"cur_mkt_cap")</f>
        <v>#NAME?</v>
      </c>
      <c r="AP163" s="108" t="e" cm="1">
        <f t="array" aca="1" ref="AP163" ca="1">_xll.BDP($E163,"crncy")</f>
        <v>#NAME?</v>
      </c>
      <c r="AQ163" s="109" t="e" cm="1">
        <f t="array" aca="1" ref="AQ163" ca="1">_xll.BDP("USD"&amp;AP163&amp;" curncy","px_last")</f>
        <v>#NAME?</v>
      </c>
      <c r="AR163" s="109" t="e">
        <f t="shared" ca="1" si="49"/>
        <v>#NAME?</v>
      </c>
      <c r="AT163" s="66" t="str">
        <f t="shared" ca="1" si="41"/>
        <v/>
      </c>
      <c r="AU163" s="66" t="str">
        <f t="shared" ca="1" si="41"/>
        <v/>
      </c>
      <c r="AV163" s="66" t="str">
        <f t="shared" ca="1" si="41"/>
        <v/>
      </c>
      <c r="AW163" s="73" t="str" cm="1">
        <f t="array" aca="1" ref="AW163" ca="1">IF(ISERROR(DATEVALUE(_xll.BDP($E163,AW$6))),"",DATEVALUE(_xll.BDP($E163,AW$6)))</f>
        <v/>
      </c>
      <c r="AX163" s="73" t="str" cm="1">
        <f t="array" aca="1" ref="AX163" ca="1">IF(ISERROR(DATEVALUE(_xll.BDP($E163,AX$2))),"",DATEVALUE(_xll.BDP($E163,AX$2)))</f>
        <v/>
      </c>
      <c r="AY163" s="73" t="str" cm="1">
        <f t="array" aca="1" ref="AY163" ca="1">IF(ISERROR(DATEVALUE(_xll.BDP($E163,AY$6))),"",DATEVALUE(_xll.BDP($E163,AY$6)))</f>
        <v/>
      </c>
      <c r="AZ163" s="110" t="e" cm="1">
        <f t="array" aca="1" ref="AZ163" ca="1">IF(_xll.BQL($E163, "last(matches(px_last(dates=range(-1w,0d)), dayofweek(px_last(dates=range(-1w,0d)).date)==6))")="#N/A","-",_xll.BQL($E163, "last(matches(px_last(dates=range(-1w,0d)), dayofweek(px_last(dates=range(-1w,0d)).date)==6))"))</f>
        <v>#NAME?</v>
      </c>
      <c r="BA163" s="109" t="e" cm="1">
        <f t="array" aca="1" ref="BA163" ca="1">IF(_xll.BQL(E163,"first(last(matches(px_last(dates=range(-1M,0D)),dayofweek(px_last(dates=range(-1M,0D)).date)==6),2),1)")="#N/A","-",_xll.BQL(E163,"first(last(matches(px_last(dates=range(-1M,0D)),dayofweek(px_last(dates=range(-1M,0D)).date)==6),2),1)"))</f>
        <v>#NAME?</v>
      </c>
      <c r="BB163" s="109" t="str">
        <f t="shared" ca="1" si="36"/>
        <v>-</v>
      </c>
    </row>
    <row r="164" spans="5:54" ht="16.5" customHeight="1" thickBot="1">
      <c r="E164" s="96" t="s">
        <v>1150</v>
      </c>
      <c r="F164" s="66" t="e">
        <f ca="1">_xll.BDP($E164,F$3)&amp;" BEST Curncy"</f>
        <v>#NAME?</v>
      </c>
      <c r="G164" s="97" t="e">
        <f t="shared" ca="1" si="47"/>
        <v>#NAME?</v>
      </c>
      <c r="I164" s="649"/>
      <c r="J164" s="98" t="e">
        <f ca="1">_xll.BDP($E164,J$3)</f>
        <v>#NAME?</v>
      </c>
      <c r="K164" s="99" t="e">
        <f ca="1">_xll.BDP($E164,K$3)</f>
        <v>#NAME?</v>
      </c>
      <c r="L164" s="100" t="str">
        <f ca="1">IF(ISNUMBER(_xll.BDH($E164,"PX_LAST",TEXT($E$2,"YYYYMMDD"),TEXT($E$2,"YYYYMMDD"),"days=a","fill=p")),_xll.BDH($E164,"PX_LAST",TEXT($E$2,"YYYYMMDD"),TEXT($E$2,"YYYYMMDD"),"days=a","fill=p"),"-")</f>
        <v>-</v>
      </c>
      <c r="M164" s="100" t="str">
        <f ca="1">IF(ISNUMBER(_xll.BDH($E164,"PX_LAST",TEXT($E$2-7,"YYYYMMDD"),TEXT($E$2-7,"YYYYMMDD"),"days=a","fill=p")),_xll.BDH($E164,"PX_LAST",TEXT($E$2-7,"YYYYMMDD"),TEXT($E$2-7,"YYYYMMDD"),"days=a","fill=p"),"-")</f>
        <v>-</v>
      </c>
      <c r="N164" s="180" t="str">
        <f t="shared" ca="1" si="50"/>
        <v>-</v>
      </c>
      <c r="O164" s="101" t="e">
        <f ca="1">IF(OR(_xll.BDP($E164,O$3)="#N/A N/A",_xll.BDP($E164,O$3)="#N/A Invalid Security"), "-", _xll.BDP($E164,O$3))</f>
        <v>#NAME?</v>
      </c>
      <c r="P164" s="182" t="str">
        <f ca="1">IF(ISNUMBER(_xll.BDH($F164,"PX_LAST",TEXT($E$2,"YYYYMMDD"),TEXT($E$2,"YYYYMMDD"),"days=a","fill=p")),_xll.BDH($F164,"PX_LAST",TEXT($E$2,"YYYYMMDD"),TEXT($E$2,"YYYYMMDD"),"days=a","fill=p"),"-")</f>
        <v>-</v>
      </c>
      <c r="Q164" s="182" t="str">
        <f ca="1">IF(ISNUMBER(_xll.BDH($F164,"PX_LAST",TEXT($E$2-7,"YYYYMMDD"),TEXT($E$2-7,"YYYYMMDD"),"days=a","fill=p")),_xll.BDH($F164,"PX_LAST",TEXT($E$2-7,"YYYYMMDD"),TEXT($E$2-7,"YYYYMMDD"),"days=a","fill=p"),"-")</f>
        <v>-</v>
      </c>
      <c r="R164" s="102" t="str">
        <f t="shared" ca="1" si="51"/>
        <v>-</v>
      </c>
      <c r="S164" s="103" t="str">
        <f ca="1">IF(ISNUMBER(_xll.BDP($F164,S$3)),_xll.BDP($F164,S$3),"-")</f>
        <v>-</v>
      </c>
      <c r="T164" s="104" t="e">
        <f t="shared" ca="1" si="52"/>
        <v>#NAME?</v>
      </c>
      <c r="U164" s="105" t="e">
        <f ca="1">IF(OR(_xll.BDP($E164,U$3)="#N/A N/A",_xll.BDP($E164,U$3)="#N/A Invalid Security"), "-", _xll.BDP($E164,U$3))</f>
        <v>#NAME?</v>
      </c>
      <c r="V164" s="105" t="e">
        <f ca="1">IF(OR(_xll.BDP($E164,V$2)="#N/A N/A",_xll.BDP($E164,V$2)="#N/A Invalid Security"), "-", _xll.BDP($E164,V$2))</f>
        <v>#NAME?</v>
      </c>
      <c r="W164" s="106" t="e">
        <f ca="1">IF(OR(_xll.BDP($E164,W$3)="#N/A N/A",_xll.BDP($E164,W$3)="#N/A Invalid Security"), "-", _xll.BDP($E164,W$3))</f>
        <v>#NAME?</v>
      </c>
      <c r="X164" s="105" t="e">
        <f ca="1">IF(OR(_xll.BDP($E164,X$3)="#N/A N/A",_xll.BDP($E164,X$3)="#N/A Invalid Security"), " ", _xll.BDP($E164,X$3))</f>
        <v>#NAME?</v>
      </c>
      <c r="Y164" s="105" t="e">
        <f ca="1">IF(OR(_xll.BDP($E164,Y$3)="#N/A N/A",_xll.BDP($E164,Y$3)="#N/A Invalid Security"), " ", _xll.BDP($E164,Y$3))</f>
        <v>#NAME?</v>
      </c>
      <c r="Z164" s="106" t="e">
        <f ca="1">IF(OR(_xll.BDP($E164,Z$3)="#N/A N/A",_xll.BDP($E164,Z$3)="#N/A Invalid Security"), " ", _xll.BDP($E164,Z$3))</f>
        <v>#NAME?</v>
      </c>
      <c r="AA164" s="107"/>
      <c r="AB164" s="93" t="s">
        <v>1011</v>
      </c>
      <c r="AC164" s="93" t="s">
        <v>939</v>
      </c>
      <c r="AD164" s="93" t="s">
        <v>997</v>
      </c>
      <c r="AE164" s="93" t="s">
        <v>940</v>
      </c>
      <c r="AF164" s="93" t="s">
        <v>948</v>
      </c>
      <c r="AG164" s="93" t="s">
        <v>940</v>
      </c>
      <c r="AH164" s="95" t="e">
        <f t="shared" ca="1" si="48"/>
        <v>#NAME?</v>
      </c>
      <c r="AI164" s="95" t="e">
        <f t="shared" ca="1" si="48"/>
        <v>#NAME?</v>
      </c>
      <c r="AJ164" s="95" t="e">
        <f t="shared" ca="1" si="48"/>
        <v>#NAME?</v>
      </c>
      <c r="AK164" s="95" t="e">
        <f t="shared" ca="1" si="48"/>
        <v>#NAME?</v>
      </c>
      <c r="AL164" s="95" t="e">
        <f t="shared" ca="1" si="48"/>
        <v>#NAME?</v>
      </c>
      <c r="AM164" s="95" t="e">
        <f t="shared" ca="1" si="48"/>
        <v>#NAME?</v>
      </c>
      <c r="AN164" s="66" t="str">
        <f ca="1">IF(SUM(AT164:AV164)&gt;0,"Y","")</f>
        <v/>
      </c>
      <c r="AO164" s="108" t="e" cm="1">
        <f t="array" aca="1" ref="AO164" ca="1">_xll.BDP($E164,"cur_mkt_cap")</f>
        <v>#NAME?</v>
      </c>
      <c r="AP164" s="108" t="e" cm="1">
        <f t="array" aca="1" ref="AP164" ca="1">_xll.BDP($E164,"crncy")</f>
        <v>#NAME?</v>
      </c>
      <c r="AQ164" s="109" t="e" cm="1">
        <f t="array" aca="1" ref="AQ164" ca="1">_xll.BDP("USD"&amp;AP164&amp;" curncy","px_last")</f>
        <v>#NAME?</v>
      </c>
      <c r="AR164" s="109" t="e">
        <f t="shared" ca="1" si="49"/>
        <v>#NAME?</v>
      </c>
      <c r="AT164" s="66" t="str">
        <f t="shared" ca="1" si="41"/>
        <v/>
      </c>
      <c r="AU164" s="66" t="str">
        <f t="shared" ca="1" si="41"/>
        <v/>
      </c>
      <c r="AV164" s="66" t="str">
        <f t="shared" ca="1" si="41"/>
        <v/>
      </c>
      <c r="AW164" s="73" t="str" cm="1">
        <f t="array" aca="1" ref="AW164" ca="1">IF(ISERROR(DATEVALUE(_xll.BDP($E164,AW$6))),"",DATEVALUE(_xll.BDP($E164,AW$6)))</f>
        <v/>
      </c>
      <c r="AX164" s="73" t="str" cm="1">
        <f t="array" aca="1" ref="AX164" ca="1">IF(ISERROR(DATEVALUE(_xll.BDP($E164,AX$2))),"",DATEVALUE(_xll.BDP($E164,AX$2)))</f>
        <v/>
      </c>
      <c r="AY164" s="73" t="str" cm="1">
        <f t="array" aca="1" ref="AY164" ca="1">IF(ISERROR(DATEVALUE(_xll.BDP($E164,AY$6))),"",DATEVALUE(_xll.BDP($E164,AY$6)))</f>
        <v/>
      </c>
      <c r="AZ164" s="110" t="e" cm="1">
        <f t="array" aca="1" ref="AZ164" ca="1">IF(_xll.BQL($E164, "last(matches(px_last(dates=range(-1w,0d)), dayofweek(px_last(dates=range(-1w,0d)).date)==6))")="#N/A","-",_xll.BQL($E164, "last(matches(px_last(dates=range(-1w,0d)), dayofweek(px_last(dates=range(-1w,0d)).date)==6))"))</f>
        <v>#NAME?</v>
      </c>
      <c r="BA164" s="109" t="e" cm="1">
        <f t="array" aca="1" ref="BA164" ca="1">IF(_xll.BQL(E164,"first(last(matches(px_last(dates=range(-1M,0D)),dayofweek(px_last(dates=range(-1M,0D)).date)==6),2),1)")="#N/A","-",_xll.BQL(E164,"first(last(matches(px_last(dates=range(-1M,0D)),dayofweek(px_last(dates=range(-1M,0D)).date)==6),2),1)"))</f>
        <v>#NAME?</v>
      </c>
      <c r="BB164" s="109" t="str">
        <f t="shared" ref="BB164:BB194" ca="1" si="53">IF(ISERROR((AZ164/BA164-1)*100),"-",(AZ164/BA164-1)*100)</f>
        <v>-</v>
      </c>
    </row>
    <row r="165" spans="5:54" ht="16.5" customHeight="1" thickBot="1">
      <c r="E165" s="96" t="s">
        <v>1151</v>
      </c>
      <c r="F165" s="66" t="e">
        <f ca="1">_xll.BDP($E165,F$3)&amp;" BEST Curncy"</f>
        <v>#NAME?</v>
      </c>
      <c r="G165" s="97" t="e">
        <f t="shared" ca="1" si="47"/>
        <v>#NAME?</v>
      </c>
      <c r="I165" s="649"/>
      <c r="J165" s="98" t="e">
        <f ca="1">_xll.BDP($E165,J$3)</f>
        <v>#NAME?</v>
      </c>
      <c r="K165" s="99" t="e">
        <f ca="1">_xll.BDP($E165,K$3)</f>
        <v>#NAME?</v>
      </c>
      <c r="L165" s="100" t="str">
        <f ca="1">IF(ISNUMBER(_xll.BDH($E165,"PX_LAST",TEXT($E$2,"YYYYMMDD"),TEXT($E$2,"YYYYMMDD"),"days=a","fill=p")),_xll.BDH($E165,"PX_LAST",TEXT($E$2,"YYYYMMDD"),TEXT($E$2,"YYYYMMDD"),"days=a","fill=p"),"-")</f>
        <v>-</v>
      </c>
      <c r="M165" s="100" t="str">
        <f ca="1">IF(ISNUMBER(_xll.BDH($E165,"PX_LAST",TEXT($E$2-7,"YYYYMMDD"),TEXT($E$2-7,"YYYYMMDD"),"days=a","fill=p")),_xll.BDH($E165,"PX_LAST",TEXT($E$2-7,"YYYYMMDD"),TEXT($E$2-7,"YYYYMMDD"),"days=a","fill=p"),"-")</f>
        <v>-</v>
      </c>
      <c r="N165" s="180" t="str">
        <f t="shared" ca="1" si="50"/>
        <v>-</v>
      </c>
      <c r="O165" s="101" t="e">
        <f ca="1">IF(OR(_xll.BDP($E165,O$3)="#N/A N/A",_xll.BDP($E165,O$3)="#N/A Invalid Security"), "-", _xll.BDP($E165,O$3))</f>
        <v>#NAME?</v>
      </c>
      <c r="P165" s="182" t="str">
        <f ca="1">IF(ISNUMBER(_xll.BDH($F165,"PX_LAST",TEXT($E$2,"YYYYMMDD"),TEXT($E$2,"YYYYMMDD"),"days=a","fill=p")),_xll.BDH($F165,"PX_LAST",TEXT($E$2,"YYYYMMDD"),TEXT($E$2,"YYYYMMDD"),"days=a","fill=p"),"-")</f>
        <v>-</v>
      </c>
      <c r="Q165" s="182" t="str">
        <f ca="1">IF(ISNUMBER(_xll.BDH($F165,"PX_LAST",TEXT($E$2-7,"YYYYMMDD"),TEXT($E$2-7,"YYYYMMDD"),"days=a","fill=p")),_xll.BDH($F165,"PX_LAST",TEXT($E$2-7,"YYYYMMDD"),TEXT($E$2-7,"YYYYMMDD"),"days=a","fill=p"),"-")</f>
        <v>-</v>
      </c>
      <c r="R165" s="102" t="str">
        <f t="shared" ca="1" si="51"/>
        <v>-</v>
      </c>
      <c r="S165" s="103" t="str">
        <f ca="1">IF(ISNUMBER(_xll.BDP($F165,S$3)),_xll.BDP($F165,S$3),"-")</f>
        <v>-</v>
      </c>
      <c r="T165" s="104" t="e">
        <f t="shared" ca="1" si="52"/>
        <v>#NAME?</v>
      </c>
      <c r="U165" s="105" t="e">
        <f ca="1">IF(OR(_xll.BDP($E165,U$3)="#N/A N/A",_xll.BDP($E165,U$3)="#N/A Invalid Security"), "-", _xll.BDP($E165,U$3))</f>
        <v>#NAME?</v>
      </c>
      <c r="V165" s="105" t="e">
        <f ca="1">IF(OR(_xll.BDP($E165,V$2)="#N/A N/A",_xll.BDP($E165,V$2)="#N/A Invalid Security"), "-", _xll.BDP($E165,V$2))</f>
        <v>#NAME?</v>
      </c>
      <c r="W165" s="106" t="e">
        <f ca="1">IF(OR(_xll.BDP($E165,W$3)="#N/A N/A",_xll.BDP($E165,W$3)="#N/A Invalid Security"), "-", _xll.BDP($E165,W$3))</f>
        <v>#NAME?</v>
      </c>
      <c r="X165" s="105" t="e">
        <f ca="1">IF(OR(_xll.BDP($E165,X$3)="#N/A N/A",_xll.BDP($E165,X$3)="#N/A Invalid Security"), " ", _xll.BDP($E165,X$3))</f>
        <v>#NAME?</v>
      </c>
      <c r="Y165" s="105" t="e">
        <f ca="1">IF(OR(_xll.BDP($E165,Y$3)="#N/A N/A",_xll.BDP($E165,Y$3)="#N/A Invalid Security"), " ", _xll.BDP($E165,Y$3))</f>
        <v>#NAME?</v>
      </c>
      <c r="Z165" s="106" t="e">
        <f ca="1">IF(OR(_xll.BDP($E165,Z$3)="#N/A N/A",_xll.BDP($E165,Z$3)="#N/A Invalid Security"), " ", _xll.BDP($E165,Z$3))</f>
        <v>#NAME?</v>
      </c>
      <c r="AA165" s="107"/>
      <c r="AB165" s="93" t="s">
        <v>1011</v>
      </c>
      <c r="AC165" s="93" t="s">
        <v>939</v>
      </c>
      <c r="AD165" s="93" t="s">
        <v>997</v>
      </c>
      <c r="AE165" s="93" t="s">
        <v>940</v>
      </c>
      <c r="AF165" s="93" t="s">
        <v>948</v>
      </c>
      <c r="AG165" s="93" t="s">
        <v>940</v>
      </c>
      <c r="AH165" s="95" t="e">
        <f t="shared" ca="1" si="48"/>
        <v>#NAME?</v>
      </c>
      <c r="AI165" s="95" t="e">
        <f t="shared" ca="1" si="48"/>
        <v>#NAME?</v>
      </c>
      <c r="AJ165" s="95" t="e">
        <f t="shared" ca="1" si="48"/>
        <v>#NAME?</v>
      </c>
      <c r="AK165" s="95" t="e">
        <f t="shared" ca="1" si="48"/>
        <v>#NAME?</v>
      </c>
      <c r="AL165" s="95" t="e">
        <f t="shared" ca="1" si="48"/>
        <v>#NAME?</v>
      </c>
      <c r="AM165" s="95" t="e">
        <f t="shared" ca="1" si="48"/>
        <v>#NAME?</v>
      </c>
      <c r="AN165" s="66" t="str">
        <f t="shared" ref="AN165:AN182" ca="1" si="54">IF(SUM(AT165:AV165)&gt;0,"Y","")</f>
        <v/>
      </c>
      <c r="AO165" s="108" t="e" cm="1">
        <f t="array" aca="1" ref="AO165" ca="1">_xll.BDP($E165,"cur_mkt_cap")</f>
        <v>#NAME?</v>
      </c>
      <c r="AP165" s="108" t="e" cm="1">
        <f t="array" aca="1" ref="AP165" ca="1">_xll.BDP($E165,"crncy")</f>
        <v>#NAME?</v>
      </c>
      <c r="AQ165" s="109" t="e" cm="1">
        <f t="array" aca="1" ref="AQ165" ca="1">_xll.BDP("USD"&amp;AP165&amp;" curncy","px_last")</f>
        <v>#NAME?</v>
      </c>
      <c r="AR165" s="109" t="e">
        <f t="shared" ca="1" si="49"/>
        <v>#NAME?</v>
      </c>
      <c r="AT165" s="66" t="str">
        <f t="shared" ca="1" si="41"/>
        <v/>
      </c>
      <c r="AU165" s="66" t="str">
        <f t="shared" ca="1" si="41"/>
        <v/>
      </c>
      <c r="AV165" s="66" t="str">
        <f t="shared" ca="1" si="41"/>
        <v/>
      </c>
      <c r="AW165" s="73" t="str" cm="1">
        <f t="array" aca="1" ref="AW165" ca="1">IF(ISERROR(DATEVALUE(_xll.BDP($E165,AW$6))),"",DATEVALUE(_xll.BDP($E165,AW$6)))</f>
        <v/>
      </c>
      <c r="AX165" s="73" t="str" cm="1">
        <f t="array" aca="1" ref="AX165" ca="1">IF(ISERROR(DATEVALUE(_xll.BDP($E165,AX$2))),"",DATEVALUE(_xll.BDP($E165,AX$2)))</f>
        <v/>
      </c>
      <c r="AY165" s="73" t="str" cm="1">
        <f t="array" aca="1" ref="AY165" ca="1">IF(ISERROR(DATEVALUE(_xll.BDP($E165,AY$6))),"",DATEVALUE(_xll.BDP($E165,AY$6)))</f>
        <v/>
      </c>
      <c r="AZ165" s="110" t="e" cm="1">
        <f t="array" aca="1" ref="AZ165" ca="1">IF(_xll.BQL($E165, "last(matches(px_last(dates=range(-1w,0d)), dayofweek(px_last(dates=range(-1w,0d)).date)==6))")="#N/A","-",_xll.BQL($E165, "last(matches(px_last(dates=range(-1w,0d)), dayofweek(px_last(dates=range(-1w,0d)).date)==6))"))</f>
        <v>#NAME?</v>
      </c>
      <c r="BA165" s="109" t="e" cm="1">
        <f t="array" aca="1" ref="BA165" ca="1">IF(_xll.BQL(E165,"first(last(matches(px_last(dates=range(-1M,0D)),dayofweek(px_last(dates=range(-1M,0D)).date)==6),2),1)")="#N/A","-",_xll.BQL(E165,"first(last(matches(px_last(dates=range(-1M,0D)),dayofweek(px_last(dates=range(-1M,0D)).date)==6),2),1)"))</f>
        <v>#NAME?</v>
      </c>
      <c r="BB165" s="109" t="str">
        <f t="shared" ca="1" si="53"/>
        <v>-</v>
      </c>
    </row>
    <row r="166" spans="5:54" ht="16.5" customHeight="1" thickBot="1">
      <c r="E166" s="96" t="s">
        <v>1152</v>
      </c>
      <c r="F166" s="66" t="e">
        <f ca="1">_xll.BDP($E166,F$3)&amp;" BEST Curncy"</f>
        <v>#NAME?</v>
      </c>
      <c r="G166" s="97" t="e">
        <f t="shared" ca="1" si="47"/>
        <v>#NAME?</v>
      </c>
      <c r="I166" s="649"/>
      <c r="J166" s="98" t="e">
        <f ca="1">_xll.BDP($E166,J$3)</f>
        <v>#NAME?</v>
      </c>
      <c r="K166" s="99" t="e">
        <f ca="1">_xll.BDP($E166,K$3)</f>
        <v>#NAME?</v>
      </c>
      <c r="L166" s="100" t="str">
        <f ca="1">IF(ISNUMBER(_xll.BDH($E166,"PX_LAST",TEXT($E$2,"YYYYMMDD"),TEXT($E$2,"YYYYMMDD"),"days=a","fill=p")),_xll.BDH($E166,"PX_LAST",TEXT($E$2,"YYYYMMDD"),TEXT($E$2,"YYYYMMDD"),"days=a","fill=p"),"-")</f>
        <v>-</v>
      </c>
      <c r="M166" s="100" t="str">
        <f ca="1">IF(ISNUMBER(_xll.BDH($E166,"PX_LAST",TEXT($E$2-7,"YYYYMMDD"),TEXT($E$2-7,"YYYYMMDD"),"days=a","fill=p")),_xll.BDH($E166,"PX_LAST",TEXT($E$2-7,"YYYYMMDD"),TEXT($E$2-7,"YYYYMMDD"),"days=a","fill=p"),"-")</f>
        <v>-</v>
      </c>
      <c r="N166" s="180" t="str">
        <f t="shared" ca="1" si="50"/>
        <v>-</v>
      </c>
      <c r="O166" s="101" t="e">
        <f ca="1">IF(OR(_xll.BDP($E166,O$3)="#N/A N/A",_xll.BDP($E166,O$3)="#N/A Invalid Security"), "-", _xll.BDP($E166,O$3))</f>
        <v>#NAME?</v>
      </c>
      <c r="P166" s="182" t="str">
        <f ca="1">IF(ISNUMBER(_xll.BDH($F166,"PX_LAST",TEXT($E$2,"YYYYMMDD"),TEXT($E$2,"YYYYMMDD"),"days=a","fill=p")),_xll.BDH($F166,"PX_LAST",TEXT($E$2,"YYYYMMDD"),TEXT($E$2,"YYYYMMDD"),"days=a","fill=p"),"-")</f>
        <v>-</v>
      </c>
      <c r="Q166" s="182" t="str">
        <f ca="1">IF(ISNUMBER(_xll.BDH($F166,"PX_LAST",TEXT($E$2-7,"YYYYMMDD"),TEXT($E$2-7,"YYYYMMDD"),"days=a","fill=p")),_xll.BDH($F166,"PX_LAST",TEXT($E$2-7,"YYYYMMDD"),TEXT($E$2-7,"YYYYMMDD"),"days=a","fill=p"),"-")</f>
        <v>-</v>
      </c>
      <c r="R166" s="102" t="str">
        <f t="shared" ca="1" si="51"/>
        <v>-</v>
      </c>
      <c r="S166" s="103" t="str">
        <f ca="1">IF(ISNUMBER(_xll.BDP($F166,S$3)),_xll.BDP($F166,S$3),"-")</f>
        <v>-</v>
      </c>
      <c r="T166" s="104" t="e">
        <f t="shared" ca="1" si="52"/>
        <v>#NAME?</v>
      </c>
      <c r="U166" s="105" t="e">
        <f ca="1">IF(OR(_xll.BDP($E166,U$3)="#N/A N/A",_xll.BDP($E166,U$3)="#N/A Invalid Security"), "-", _xll.BDP($E166,U$3))</f>
        <v>#NAME?</v>
      </c>
      <c r="V166" s="105" t="e">
        <f ca="1">IF(OR(_xll.BDP($E166,V$2)="#N/A N/A",_xll.BDP($E166,V$2)="#N/A Invalid Security"), "-", _xll.BDP($E166,V$2))</f>
        <v>#NAME?</v>
      </c>
      <c r="W166" s="106" t="e">
        <f ca="1">IF(OR(_xll.BDP($E166,W$3)="#N/A N/A",_xll.BDP($E166,W$3)="#N/A Invalid Security"), "-", _xll.BDP($E166,W$3))</f>
        <v>#NAME?</v>
      </c>
      <c r="X166" s="105" t="e">
        <f ca="1">IF(OR(_xll.BDP($E166,X$3)="#N/A N/A",_xll.BDP($E166,X$3)="#N/A Invalid Security"), " ", _xll.BDP($E166,X$3))</f>
        <v>#NAME?</v>
      </c>
      <c r="Y166" s="105" t="e">
        <f ca="1">IF(OR(_xll.BDP($E166,Y$3)="#N/A N/A",_xll.BDP($E166,Y$3)="#N/A Invalid Security"), " ", _xll.BDP($E166,Y$3))</f>
        <v>#NAME?</v>
      </c>
      <c r="Z166" s="106" t="e">
        <f ca="1">IF(OR(_xll.BDP($E166,Z$3)="#N/A N/A",_xll.BDP($E166,Z$3)="#N/A Invalid Security"), " ", _xll.BDP($E166,Z$3))</f>
        <v>#NAME?</v>
      </c>
      <c r="AA166" s="107"/>
      <c r="AB166" s="93" t="s">
        <v>997</v>
      </c>
      <c r="AC166" s="93" t="s">
        <v>998</v>
      </c>
      <c r="AD166" s="93" t="s">
        <v>1004</v>
      </c>
      <c r="AE166" s="93" t="s">
        <v>940</v>
      </c>
      <c r="AF166" s="93" t="s">
        <v>940</v>
      </c>
      <c r="AG166" s="93" t="s">
        <v>936</v>
      </c>
      <c r="AH166" s="95" t="e">
        <f t="shared" ca="1" si="48"/>
        <v>#NAME?</v>
      </c>
      <c r="AI166" s="95" t="e">
        <f t="shared" ca="1" si="48"/>
        <v>#NAME?</v>
      </c>
      <c r="AJ166" s="95" t="e">
        <f t="shared" ca="1" si="48"/>
        <v>#NAME?</v>
      </c>
      <c r="AK166" s="95" t="e">
        <f t="shared" ca="1" si="48"/>
        <v>#NAME?</v>
      </c>
      <c r="AL166" s="95" t="e">
        <f t="shared" ca="1" si="48"/>
        <v>#NAME?</v>
      </c>
      <c r="AM166" s="95" t="e">
        <f t="shared" ca="1" si="48"/>
        <v>#NAME?</v>
      </c>
      <c r="AN166" s="66" t="str">
        <f t="shared" ca="1" si="54"/>
        <v/>
      </c>
      <c r="AO166" s="108" t="e" cm="1">
        <f t="array" aca="1" ref="AO166" ca="1">_xll.BDP($E166,"cur_mkt_cap")</f>
        <v>#NAME?</v>
      </c>
      <c r="AP166" s="108" t="e" cm="1">
        <f t="array" aca="1" ref="AP166" ca="1">_xll.BDP($E166,"crncy")</f>
        <v>#NAME?</v>
      </c>
      <c r="AQ166" s="109" t="e" cm="1">
        <f t="array" aca="1" ref="AQ166" ca="1">_xll.BDP("USD"&amp;AP166&amp;" curncy","px_last")</f>
        <v>#NAME?</v>
      </c>
      <c r="AR166" s="109" t="e">
        <f t="shared" ca="1" si="49"/>
        <v>#NAME?</v>
      </c>
      <c r="AT166" s="66" t="str">
        <f t="shared" ca="1" si="41"/>
        <v/>
      </c>
      <c r="AU166" s="66" t="str">
        <f t="shared" ca="1" si="41"/>
        <v/>
      </c>
      <c r="AV166" s="66" t="str">
        <f t="shared" ca="1" si="41"/>
        <v/>
      </c>
      <c r="AW166" s="73" t="str" cm="1">
        <f t="array" aca="1" ref="AW166" ca="1">IF(ISERROR(DATEVALUE(_xll.BDP($E166,AW$6))),"",DATEVALUE(_xll.BDP($E166,AW$6)))</f>
        <v/>
      </c>
      <c r="AX166" s="73" t="str" cm="1">
        <f t="array" aca="1" ref="AX166" ca="1">IF(ISERROR(DATEVALUE(_xll.BDP($E166,AX$2))),"",DATEVALUE(_xll.BDP($E166,AX$2)))</f>
        <v/>
      </c>
      <c r="AY166" s="73" t="str" cm="1">
        <f t="array" aca="1" ref="AY166" ca="1">IF(ISERROR(DATEVALUE(_xll.BDP($E166,AY$6))),"",DATEVALUE(_xll.BDP($E166,AY$6)))</f>
        <v/>
      </c>
      <c r="AZ166" s="110" t="e" cm="1">
        <f t="array" aca="1" ref="AZ166" ca="1">IF(_xll.BQL($E166, "last(matches(px_last(dates=range(-1w,0d)), dayofweek(px_last(dates=range(-1w,0d)).date)==6))")="#N/A","-",_xll.BQL($E166, "last(matches(px_last(dates=range(-1w,0d)), dayofweek(px_last(dates=range(-1w,0d)).date)==6))"))</f>
        <v>#NAME?</v>
      </c>
      <c r="BA166" s="109" t="e" cm="1">
        <f t="array" aca="1" ref="BA166" ca="1">IF(_xll.BQL(E166,"first(last(matches(px_last(dates=range(-1M,0D)),dayofweek(px_last(dates=range(-1M,0D)).date)==6),2),1)")="#N/A","-",_xll.BQL(E166,"first(last(matches(px_last(dates=range(-1M,0D)),dayofweek(px_last(dates=range(-1M,0D)).date)==6),2),1)"))</f>
        <v>#NAME?</v>
      </c>
      <c r="BB166" s="109" t="str">
        <f t="shared" ca="1" si="53"/>
        <v>-</v>
      </c>
    </row>
    <row r="167" spans="5:54" ht="16.5" customHeight="1" thickBot="1">
      <c r="E167" s="96" t="s">
        <v>1153</v>
      </c>
      <c r="F167" s="66" t="e">
        <f ca="1">_xll.BDP($E167,F$3)&amp;" BEST Curncy"</f>
        <v>#NAME?</v>
      </c>
      <c r="G167" s="97" t="e">
        <f t="shared" ca="1" si="47"/>
        <v>#NAME?</v>
      </c>
      <c r="I167" s="645"/>
      <c r="J167" s="98" t="e">
        <f ca="1">_xll.BDP($E167,J$3)</f>
        <v>#NAME?</v>
      </c>
      <c r="K167" s="99" t="e">
        <f ca="1">_xll.BDP($E167,K$3)</f>
        <v>#NAME?</v>
      </c>
      <c r="L167" s="100" t="str">
        <f ca="1">IF(ISNUMBER(_xll.BDH($E167,"PX_LAST",TEXT($E$2,"YYYYMMDD"),TEXT($E$2,"YYYYMMDD"),"days=a","fill=p")),_xll.BDH($E167,"PX_LAST",TEXT($E$2,"YYYYMMDD"),TEXT($E$2,"YYYYMMDD"),"days=a","fill=p"),"-")</f>
        <v>-</v>
      </c>
      <c r="M167" s="100" t="str">
        <f ca="1">IF(ISNUMBER(_xll.BDH($E167,"PX_LAST",TEXT($E$2-7,"YYYYMMDD"),TEXT($E$2-7,"YYYYMMDD"),"days=a","fill=p")),_xll.BDH($E167,"PX_LAST",TEXT($E$2-7,"YYYYMMDD"),TEXT($E$2-7,"YYYYMMDD"),"days=a","fill=p"),"-")</f>
        <v>-</v>
      </c>
      <c r="N167" s="180" t="str">
        <f t="shared" ca="1" si="50"/>
        <v>-</v>
      </c>
      <c r="O167" s="101" t="e">
        <f ca="1">IF(OR(_xll.BDP($E167,O$3)="#N/A N/A",_xll.BDP($E167,O$3)="#N/A Invalid Security"), "-", _xll.BDP($E167,O$3))</f>
        <v>#NAME?</v>
      </c>
      <c r="P167" s="182" t="str">
        <f ca="1">IF(ISNUMBER(_xll.BDH($F167,"PX_LAST",TEXT($E$2,"YYYYMMDD"),TEXT($E$2,"YYYYMMDD"),"days=a","fill=p")),_xll.BDH($F167,"PX_LAST",TEXT($E$2,"YYYYMMDD"),TEXT($E$2,"YYYYMMDD"),"days=a","fill=p"),"-")</f>
        <v>-</v>
      </c>
      <c r="Q167" s="182" t="str">
        <f ca="1">IF(ISNUMBER(_xll.BDH($F167,"PX_LAST",TEXT($E$2-7,"YYYYMMDD"),TEXT($E$2-7,"YYYYMMDD"),"days=a","fill=p")),_xll.BDH($F167,"PX_LAST",TEXT($E$2-7,"YYYYMMDD"),TEXT($E$2-7,"YYYYMMDD"),"days=a","fill=p"),"-")</f>
        <v>-</v>
      </c>
      <c r="R167" s="102" t="str">
        <f t="shared" ca="1" si="51"/>
        <v>-</v>
      </c>
      <c r="S167" s="103" t="str">
        <f ca="1">IF(ISNUMBER(_xll.BDP($F167,S$3)),_xll.BDP($F167,S$3),"-")</f>
        <v>-</v>
      </c>
      <c r="T167" s="104" t="e">
        <f t="shared" ca="1" si="52"/>
        <v>#NAME?</v>
      </c>
      <c r="U167" s="105" t="e">
        <f ca="1">IF(OR(_xll.BDP($E167,U$3)="#N/A N/A",_xll.BDP($E167,U$3)="#N/A Invalid Security"), "-", _xll.BDP($E167,U$3))</f>
        <v>#NAME?</v>
      </c>
      <c r="V167" s="105" t="e">
        <f ca="1">IF(OR(_xll.BDP($E167,V$2)="#N/A N/A",_xll.BDP($E167,V$2)="#N/A Invalid Security"), "-", _xll.BDP($E167,V$2))</f>
        <v>#NAME?</v>
      </c>
      <c r="W167" s="106" t="e">
        <f ca="1">IF(OR(_xll.BDP($E167,W$3)="#N/A N/A",_xll.BDP($E167,W$3)="#N/A Invalid Security"), "-", _xll.BDP($E167,W$3))</f>
        <v>#NAME?</v>
      </c>
      <c r="X167" s="105" t="e">
        <f ca="1">IF(OR(_xll.BDP($E167,X$3)="#N/A N/A",_xll.BDP($E167,X$3)="#N/A Invalid Security"), " ", _xll.BDP($E167,X$3))</f>
        <v>#NAME?</v>
      </c>
      <c r="Y167" s="105" t="e">
        <f ca="1">IF(OR(_xll.BDP($E167,Y$3)="#N/A N/A",_xll.BDP($E167,Y$3)="#N/A Invalid Security"), " ", _xll.BDP($E167,Y$3))</f>
        <v>#NAME?</v>
      </c>
      <c r="Z167" s="106" t="e">
        <f ca="1">IF(OR(_xll.BDP($E167,Z$3)="#N/A N/A",_xll.BDP($E167,Z$3)="#N/A Invalid Security"), " ", _xll.BDP($E167,Z$3))</f>
        <v>#NAME?</v>
      </c>
      <c r="AA167" s="107"/>
      <c r="AB167" s="93" t="s">
        <v>1154</v>
      </c>
      <c r="AC167" s="93" t="s">
        <v>1017</v>
      </c>
      <c r="AD167" s="93" t="s">
        <v>934</v>
      </c>
      <c r="AE167" s="93" t="s">
        <v>940</v>
      </c>
      <c r="AF167" s="93" t="s">
        <v>940</v>
      </c>
      <c r="AG167" s="93" t="s">
        <v>936</v>
      </c>
      <c r="AH167" s="95" t="e">
        <f t="shared" ca="1" si="48"/>
        <v>#NAME?</v>
      </c>
      <c r="AI167" s="95" t="e">
        <f t="shared" ca="1" si="48"/>
        <v>#NAME?</v>
      </c>
      <c r="AJ167" s="95" t="e">
        <f t="shared" ca="1" si="48"/>
        <v>#NAME?</v>
      </c>
      <c r="AK167" s="95" t="e">
        <f t="shared" ca="1" si="48"/>
        <v>#NAME?</v>
      </c>
      <c r="AL167" s="95" t="e">
        <f t="shared" ca="1" si="48"/>
        <v>#NAME?</v>
      </c>
      <c r="AM167" s="95" t="e">
        <f t="shared" ca="1" si="48"/>
        <v>#NAME?</v>
      </c>
      <c r="AN167" s="66" t="str">
        <f t="shared" ca="1" si="54"/>
        <v/>
      </c>
      <c r="AO167" s="108" t="e" cm="1">
        <f t="array" aca="1" ref="AO167" ca="1">_xll.BDP($E167,"cur_mkt_cap")</f>
        <v>#NAME?</v>
      </c>
      <c r="AP167" s="108" t="e" cm="1">
        <f t="array" aca="1" ref="AP167" ca="1">_xll.BDP($E167,"crncy")</f>
        <v>#NAME?</v>
      </c>
      <c r="AQ167" s="109" t="e" cm="1">
        <f t="array" aca="1" ref="AQ167" ca="1">_xll.BDP("USD"&amp;AP167&amp;" curncy","px_last")</f>
        <v>#NAME?</v>
      </c>
      <c r="AR167" s="109" t="e">
        <f t="shared" ca="1" si="49"/>
        <v>#NAME?</v>
      </c>
      <c r="AT167" s="66" t="str">
        <f t="shared" ca="1" si="41"/>
        <v/>
      </c>
      <c r="AU167" s="66" t="str">
        <f t="shared" ca="1" si="41"/>
        <v/>
      </c>
      <c r="AV167" s="66" t="str">
        <f t="shared" ca="1" si="41"/>
        <v/>
      </c>
      <c r="AW167" s="73" t="str" cm="1">
        <f t="array" aca="1" ref="AW167" ca="1">IF(ISERROR(DATEVALUE(_xll.BDP($E167,AW$6))),"",DATEVALUE(_xll.BDP($E167,AW$6)))</f>
        <v/>
      </c>
      <c r="AX167" s="73" t="str" cm="1">
        <f t="array" aca="1" ref="AX167" ca="1">IF(ISERROR(DATEVALUE(_xll.BDP($E167,AX$2))),"",DATEVALUE(_xll.BDP($E167,AX$2)))</f>
        <v/>
      </c>
      <c r="AY167" s="73" t="str" cm="1">
        <f t="array" aca="1" ref="AY167" ca="1">IF(ISERROR(DATEVALUE(_xll.BDP($E167,AY$6))),"",DATEVALUE(_xll.BDP($E167,AY$6)))</f>
        <v/>
      </c>
      <c r="AZ167" s="110" t="e" cm="1">
        <f t="array" aca="1" ref="AZ167" ca="1">IF(_xll.BQL($E167, "last(matches(px_last(dates=range(-1w,0d)), dayofweek(px_last(dates=range(-1w,0d)).date)==6))")="#N/A","-",_xll.BQL($E167, "last(matches(px_last(dates=range(-1w,0d)), dayofweek(px_last(dates=range(-1w,0d)).date)==6))"))</f>
        <v>#NAME?</v>
      </c>
      <c r="BA167" s="109" t="e" cm="1">
        <f t="array" aca="1" ref="BA167" ca="1">IF(_xll.BQL(E167,"first(last(matches(px_last(dates=range(-1M,0D)),dayofweek(px_last(dates=range(-1M,0D)).date)==6),2),1)")="#N/A","-",_xll.BQL(E167,"first(last(matches(px_last(dates=range(-1M,0D)),dayofweek(px_last(dates=range(-1M,0D)).date)==6),2),1)"))</f>
        <v>#NAME?</v>
      </c>
      <c r="BB167" s="109" t="str">
        <f t="shared" ca="1" si="53"/>
        <v>-</v>
      </c>
    </row>
    <row r="168" spans="5:54" ht="16.5" customHeight="1" thickBot="1">
      <c r="E168" s="96" t="s">
        <v>1155</v>
      </c>
      <c r="F168" s="66" t="e">
        <f ca="1">_xll.BDP($E168,F$3)&amp;" BEST Curncy"</f>
        <v>#NAME?</v>
      </c>
      <c r="G168" s="97" t="e">
        <f t="shared" ca="1" si="47"/>
        <v>#NAME?</v>
      </c>
      <c r="I168" s="645"/>
      <c r="J168" s="98" t="e">
        <f ca="1">_xll.BDP($E168,J$3)</f>
        <v>#NAME?</v>
      </c>
      <c r="K168" s="99" t="e">
        <f ca="1">_xll.BDP($E168,K$3)</f>
        <v>#NAME?</v>
      </c>
      <c r="L168" s="100" t="str">
        <f ca="1">IF(ISNUMBER(_xll.BDH($E168,"PX_LAST",TEXT($E$2,"YYYYMMDD"),TEXT($E$2,"YYYYMMDD"),"days=a","fill=p")),_xll.BDH($E168,"PX_LAST",TEXT($E$2,"YYYYMMDD"),TEXT($E$2,"YYYYMMDD"),"days=a","fill=p"),"-")</f>
        <v>-</v>
      </c>
      <c r="M168" s="100" t="str">
        <f ca="1">IF(ISNUMBER(_xll.BDH($E168,"PX_LAST",TEXT($E$2-7,"YYYYMMDD"),TEXT($E$2-7,"YYYYMMDD"),"days=a","fill=p")),_xll.BDH($E168,"PX_LAST",TEXT($E$2-7,"YYYYMMDD"),TEXT($E$2-7,"YYYYMMDD"),"days=a","fill=p"),"-")</f>
        <v>-</v>
      </c>
      <c r="N168" s="180" t="str">
        <f t="shared" ca="1" si="50"/>
        <v>-</v>
      </c>
      <c r="O168" s="101" t="e">
        <f ca="1">IF(OR(_xll.BDP($E168,O$3)="#N/A N/A",_xll.BDP($E168,O$3)="#N/A Invalid Security"), "-", _xll.BDP($E168,O$3))</f>
        <v>#NAME?</v>
      </c>
      <c r="P168" s="182" t="str">
        <f ca="1">IF(ISNUMBER(_xll.BDH($F168,"PX_LAST",TEXT($E$2,"YYYYMMDD"),TEXT($E$2,"YYYYMMDD"),"days=a","fill=p")),_xll.BDH($F168,"PX_LAST",TEXT($E$2,"YYYYMMDD"),TEXT($E$2,"YYYYMMDD"),"days=a","fill=p"),"-")</f>
        <v>-</v>
      </c>
      <c r="Q168" s="182" t="str">
        <f ca="1">IF(ISNUMBER(_xll.BDH($F168,"PX_LAST",TEXT($E$2-7,"YYYYMMDD"),TEXT($E$2-7,"YYYYMMDD"),"days=a","fill=p")),_xll.BDH($F168,"PX_LAST",TEXT($E$2-7,"YYYYMMDD"),TEXT($E$2-7,"YYYYMMDD"),"days=a","fill=p"),"-")</f>
        <v>-</v>
      </c>
      <c r="R168" s="102" t="str">
        <f t="shared" ca="1" si="51"/>
        <v>-</v>
      </c>
      <c r="S168" s="103" t="str">
        <f ca="1">IF(ISNUMBER(_xll.BDP($F168,S$3)),_xll.BDP($F168,S$3),"-")</f>
        <v>-</v>
      </c>
      <c r="T168" s="104" t="e">
        <f t="shared" ca="1" si="52"/>
        <v>#NAME?</v>
      </c>
      <c r="U168" s="105" t="e">
        <f ca="1">IF(OR(_xll.BDP($E168,U$3)="#N/A N/A",_xll.BDP($E168,U$3)="#N/A Invalid Security"), "-", _xll.BDP($E168,U$3))</f>
        <v>#NAME?</v>
      </c>
      <c r="V168" s="105" t="e">
        <f ca="1">IF(OR(_xll.BDP($E168,V$2)="#N/A N/A",_xll.BDP($E168,V$2)="#N/A Invalid Security"), "-", _xll.BDP($E168,V$2))</f>
        <v>#NAME?</v>
      </c>
      <c r="W168" s="106" t="e">
        <f ca="1">IF(OR(_xll.BDP($E168,W$3)="#N/A N/A",_xll.BDP($E168,W$3)="#N/A Invalid Security"), "-", _xll.BDP($E168,W$3))</f>
        <v>#NAME?</v>
      </c>
      <c r="X168" s="105" t="e">
        <f ca="1">IF(OR(_xll.BDP($E168,X$3)="#N/A N/A",_xll.BDP($E168,X$3)="#N/A Invalid Security"), " ", _xll.BDP($E168,X$3))</f>
        <v>#NAME?</v>
      </c>
      <c r="Y168" s="105" t="e">
        <f ca="1">IF(OR(_xll.BDP($E168,Y$3)="#N/A N/A",_xll.BDP($E168,Y$3)="#N/A Invalid Security"), " ", _xll.BDP($E168,Y$3))</f>
        <v>#NAME?</v>
      </c>
      <c r="Z168" s="106" t="e">
        <f ca="1">IF(OR(_xll.BDP($E168,Z$3)="#N/A N/A",_xll.BDP($E168,Z$3)="#N/A Invalid Security"), " ", _xll.BDP($E168,Z$3))</f>
        <v>#NAME?</v>
      </c>
      <c r="AA168" s="107"/>
      <c r="AB168" s="93" t="s">
        <v>1016</v>
      </c>
      <c r="AC168" s="93" t="s">
        <v>1017</v>
      </c>
      <c r="AD168" s="93" t="s">
        <v>987</v>
      </c>
      <c r="AE168" s="93" t="s">
        <v>940</v>
      </c>
      <c r="AF168" s="93" t="s">
        <v>940</v>
      </c>
      <c r="AG168" s="93" t="s">
        <v>936</v>
      </c>
      <c r="AH168" s="95" t="e">
        <f t="shared" ca="1" si="48"/>
        <v>#NAME?</v>
      </c>
      <c r="AI168" s="95" t="e">
        <f t="shared" ca="1" si="48"/>
        <v>#NAME?</v>
      </c>
      <c r="AJ168" s="95" t="e">
        <f t="shared" ca="1" si="48"/>
        <v>#NAME?</v>
      </c>
      <c r="AK168" s="95" t="e">
        <f t="shared" ca="1" si="48"/>
        <v>#NAME?</v>
      </c>
      <c r="AL168" s="95" t="e">
        <f t="shared" ca="1" si="48"/>
        <v>#NAME?</v>
      </c>
      <c r="AM168" s="95" t="e">
        <f t="shared" ca="1" si="48"/>
        <v>#NAME?</v>
      </c>
      <c r="AN168" s="66" t="str">
        <f t="shared" ca="1" si="54"/>
        <v/>
      </c>
      <c r="AO168" s="108" t="e" cm="1">
        <f t="array" aca="1" ref="AO168" ca="1">_xll.BDP($E168,"cur_mkt_cap")</f>
        <v>#NAME?</v>
      </c>
      <c r="AP168" s="108" t="e" cm="1">
        <f t="array" aca="1" ref="AP168" ca="1">_xll.BDP($E168,"crncy")</f>
        <v>#NAME?</v>
      </c>
      <c r="AQ168" s="109" t="e" cm="1">
        <f t="array" aca="1" ref="AQ168" ca="1">_xll.BDP("USD"&amp;AP168&amp;" curncy","px_last")</f>
        <v>#NAME?</v>
      </c>
      <c r="AR168" s="109" t="e">
        <f t="shared" ca="1" si="49"/>
        <v>#NAME?</v>
      </c>
      <c r="AT168" s="66" t="str">
        <f t="shared" ca="1" si="41"/>
        <v/>
      </c>
      <c r="AU168" s="66" t="str">
        <f t="shared" ca="1" si="41"/>
        <v/>
      </c>
      <c r="AV168" s="66" t="str">
        <f t="shared" ca="1" si="41"/>
        <v/>
      </c>
      <c r="AW168" s="73" t="str" cm="1">
        <f t="array" aca="1" ref="AW168" ca="1">IF(ISERROR(DATEVALUE(_xll.BDP($E168,AW$6))),"",DATEVALUE(_xll.BDP($E168,AW$6)))</f>
        <v/>
      </c>
      <c r="AX168" s="73" t="str" cm="1">
        <f t="array" aca="1" ref="AX168" ca="1">IF(ISERROR(DATEVALUE(_xll.BDP($E168,AX$2))),"",DATEVALUE(_xll.BDP($E168,AX$2)))</f>
        <v/>
      </c>
      <c r="AY168" s="73" t="str" cm="1">
        <f t="array" aca="1" ref="AY168" ca="1">IF(ISERROR(DATEVALUE(_xll.BDP($E168,AY$6))),"",DATEVALUE(_xll.BDP($E168,AY$6)))</f>
        <v/>
      </c>
      <c r="AZ168" s="110" t="e" cm="1">
        <f t="array" aca="1" ref="AZ168" ca="1">IF(_xll.BQL($E168, "last(matches(px_last(dates=range(-1w,0d)), dayofweek(px_last(dates=range(-1w,0d)).date)==6))")="#N/A","-",_xll.BQL($E168, "last(matches(px_last(dates=range(-1w,0d)), dayofweek(px_last(dates=range(-1w,0d)).date)==6))"))</f>
        <v>#NAME?</v>
      </c>
      <c r="BA168" s="109" t="e" cm="1">
        <f t="array" aca="1" ref="BA168" ca="1">IF(_xll.BQL(E168,"first(last(matches(px_last(dates=range(-1M,0D)),dayofweek(px_last(dates=range(-1M,0D)).date)==6),2),1)")="#N/A","-",_xll.BQL(E168,"first(last(matches(px_last(dates=range(-1M,0D)),dayofweek(px_last(dates=range(-1M,0D)).date)==6),2),1)"))</f>
        <v>#NAME?</v>
      </c>
      <c r="BB168" s="109" t="str">
        <f t="shared" ca="1" si="53"/>
        <v>-</v>
      </c>
    </row>
    <row r="169" spans="5:54" ht="16.5" customHeight="1" thickBot="1">
      <c r="E169" s="96" t="s">
        <v>1156</v>
      </c>
      <c r="F169" s="66" t="e">
        <f ca="1">_xll.BDP($E169,F$3)&amp;" BEST Curncy"</f>
        <v>#NAME?</v>
      </c>
      <c r="G169" s="97" t="e">
        <f t="shared" ca="1" si="47"/>
        <v>#NAME?</v>
      </c>
      <c r="I169" s="645"/>
      <c r="J169" s="98" t="e">
        <f ca="1">_xll.BDP($E169,J$3)</f>
        <v>#NAME?</v>
      </c>
      <c r="K169" s="99" t="e">
        <f ca="1">_xll.BDP($E169,K$3)</f>
        <v>#NAME?</v>
      </c>
      <c r="L169" s="100" t="str">
        <f ca="1">IF(ISNUMBER(_xll.BDH($E169,"PX_LAST",TEXT($E$2,"YYYYMMDD"),TEXT($E$2,"YYYYMMDD"),"days=a","fill=p")),_xll.BDH($E169,"PX_LAST",TEXT($E$2,"YYYYMMDD"),TEXT($E$2,"YYYYMMDD"),"days=a","fill=p"),"-")</f>
        <v>-</v>
      </c>
      <c r="M169" s="100" t="str">
        <f ca="1">IF(ISNUMBER(_xll.BDH($E169,"PX_LAST",TEXT($E$2-7,"YYYYMMDD"),TEXT($E$2-7,"YYYYMMDD"),"days=a","fill=p")),_xll.BDH($E169,"PX_LAST",TEXT($E$2-7,"YYYYMMDD"),TEXT($E$2-7,"YYYYMMDD"),"days=a","fill=p"),"-")</f>
        <v>-</v>
      </c>
      <c r="N169" s="180" t="str">
        <f t="shared" ca="1" si="50"/>
        <v>-</v>
      </c>
      <c r="O169" s="101" t="e">
        <f ca="1">IF(OR(_xll.BDP($E169,O$3)="#N/A N/A",_xll.BDP($E169,O$3)="#N/A Invalid Security"), "-", _xll.BDP($E169,O$3))</f>
        <v>#NAME?</v>
      </c>
      <c r="P169" s="182" t="str">
        <f ca="1">IF(ISNUMBER(_xll.BDH($F169,"PX_LAST",TEXT($E$2,"YYYYMMDD"),TEXT($E$2,"YYYYMMDD"),"days=a","fill=p")),_xll.BDH($F169,"PX_LAST",TEXT($E$2,"YYYYMMDD"),TEXT($E$2,"YYYYMMDD"),"days=a","fill=p"),"-")</f>
        <v>-</v>
      </c>
      <c r="Q169" s="182" t="str">
        <f ca="1">IF(ISNUMBER(_xll.BDH($F169,"PX_LAST",TEXT($E$2-7,"YYYYMMDD"),TEXT($E$2-7,"YYYYMMDD"),"days=a","fill=p")),_xll.BDH($F169,"PX_LAST",TEXT($E$2-7,"YYYYMMDD"),TEXT($E$2-7,"YYYYMMDD"),"days=a","fill=p"),"-")</f>
        <v>-</v>
      </c>
      <c r="R169" s="102" t="str">
        <f t="shared" ca="1" si="51"/>
        <v>-</v>
      </c>
      <c r="S169" s="103" t="str">
        <f ca="1">IF(ISNUMBER(_xll.BDP($F169,S$3)),_xll.BDP($F169,S$3),"-")</f>
        <v>-</v>
      </c>
      <c r="T169" s="104" t="e">
        <f t="shared" ca="1" si="52"/>
        <v>#NAME?</v>
      </c>
      <c r="U169" s="105" t="e">
        <f ca="1">IF(OR(_xll.BDP($E169,U$3)="#N/A N/A",_xll.BDP($E169,U$3)="#N/A Invalid Security"), "-", _xll.BDP($E169,U$3))</f>
        <v>#NAME?</v>
      </c>
      <c r="V169" s="105" t="e">
        <f ca="1">IF(OR(_xll.BDP($E169,V$2)="#N/A N/A",_xll.BDP($E169,V$2)="#N/A Invalid Security"), "-", _xll.BDP($E169,V$2))</f>
        <v>#NAME?</v>
      </c>
      <c r="W169" s="106" t="e">
        <f ca="1">IF(OR(_xll.BDP($E169,W$3)="#N/A N/A",_xll.BDP($E169,W$3)="#N/A Invalid Security"), "-", _xll.BDP($E169,W$3))</f>
        <v>#NAME?</v>
      </c>
      <c r="X169" s="105" t="e">
        <f ca="1">IF(OR(_xll.BDP($E169,X$3)="#N/A N/A",_xll.BDP($E169,X$3)="#N/A Invalid Security"), " ", _xll.BDP($E169,X$3))</f>
        <v>#NAME?</v>
      </c>
      <c r="Y169" s="105" t="e">
        <f ca="1">IF(OR(_xll.BDP($E169,Y$3)="#N/A N/A",_xll.BDP($E169,Y$3)="#N/A Invalid Security"), " ", _xll.BDP($E169,Y$3))</f>
        <v>#NAME?</v>
      </c>
      <c r="Z169" s="106" t="e">
        <f ca="1">IF(OR(_xll.BDP($E169,Z$3)="#N/A N/A",_xll.BDP($E169,Z$3)="#N/A Invalid Security"), " ", _xll.BDP($E169,Z$3))</f>
        <v>#NAME?</v>
      </c>
      <c r="AA169" s="107"/>
      <c r="AB169" s="93" t="s">
        <v>997</v>
      </c>
      <c r="AC169" s="93" t="s">
        <v>1012</v>
      </c>
      <c r="AD169" s="93" t="s">
        <v>987</v>
      </c>
      <c r="AE169" s="93" t="s">
        <v>940</v>
      </c>
      <c r="AF169" s="93" t="s">
        <v>948</v>
      </c>
      <c r="AG169" s="93" t="s">
        <v>936</v>
      </c>
      <c r="AH169" s="95" t="e">
        <f t="shared" ca="1" si="48"/>
        <v>#NAME?</v>
      </c>
      <c r="AI169" s="95" t="e">
        <f t="shared" ca="1" si="48"/>
        <v>#NAME?</v>
      </c>
      <c r="AJ169" s="95" t="e">
        <f t="shared" ca="1" si="48"/>
        <v>#NAME?</v>
      </c>
      <c r="AK169" s="95" t="e">
        <f t="shared" ca="1" si="48"/>
        <v>#NAME?</v>
      </c>
      <c r="AL169" s="95" t="e">
        <f t="shared" ca="1" si="48"/>
        <v>#NAME?</v>
      </c>
      <c r="AM169" s="95" t="e">
        <f t="shared" ca="1" si="48"/>
        <v>#NAME?</v>
      </c>
      <c r="AN169" s="66" t="str">
        <f t="shared" ca="1" si="54"/>
        <v/>
      </c>
      <c r="AO169" s="108" t="e" cm="1">
        <f t="array" aca="1" ref="AO169" ca="1">_xll.BDP($E169,"cur_mkt_cap")</f>
        <v>#NAME?</v>
      </c>
      <c r="AP169" s="108" t="e" cm="1">
        <f t="array" aca="1" ref="AP169" ca="1">_xll.BDP($E169,"crncy")</f>
        <v>#NAME?</v>
      </c>
      <c r="AQ169" s="109" t="e" cm="1">
        <f t="array" aca="1" ref="AQ169" ca="1">_xll.BDP("USD"&amp;AP169&amp;" curncy","px_last")</f>
        <v>#NAME?</v>
      </c>
      <c r="AR169" s="109" t="e">
        <f t="shared" ca="1" si="49"/>
        <v>#NAME?</v>
      </c>
      <c r="AT169" s="66" t="str">
        <f t="shared" ca="1" si="41"/>
        <v/>
      </c>
      <c r="AU169" s="66" t="str">
        <f t="shared" ca="1" si="41"/>
        <v/>
      </c>
      <c r="AV169" s="66" t="str">
        <f t="shared" ca="1" si="41"/>
        <v/>
      </c>
      <c r="AW169" s="73" t="str" cm="1">
        <f t="array" aca="1" ref="AW169" ca="1">IF(ISERROR(DATEVALUE(_xll.BDP($E169,AW$6))),"",DATEVALUE(_xll.BDP($E169,AW$6)))</f>
        <v/>
      </c>
      <c r="AX169" s="73" t="str" cm="1">
        <f t="array" aca="1" ref="AX169" ca="1">IF(ISERROR(DATEVALUE(_xll.BDP($E169,AX$2))),"",DATEVALUE(_xll.BDP($E169,AX$2)))</f>
        <v/>
      </c>
      <c r="AY169" s="73" t="str" cm="1">
        <f t="array" aca="1" ref="AY169" ca="1">IF(ISERROR(DATEVALUE(_xll.BDP($E169,AY$6))),"",DATEVALUE(_xll.BDP($E169,AY$6)))</f>
        <v/>
      </c>
      <c r="AZ169" s="110" t="e" cm="1">
        <f t="array" aca="1" ref="AZ169" ca="1">IF(_xll.BQL($E169, "last(matches(px_last(dates=range(-1w,0d)), dayofweek(px_last(dates=range(-1w,0d)).date)==6))")="#N/A","-",_xll.BQL($E169, "last(matches(px_last(dates=range(-1w,0d)), dayofweek(px_last(dates=range(-1w,0d)).date)==6))"))</f>
        <v>#NAME?</v>
      </c>
      <c r="BA169" s="109" t="e" cm="1">
        <f t="array" aca="1" ref="BA169" ca="1">IF(_xll.BQL(E169,"first(last(matches(px_last(dates=range(-1M,0D)),dayofweek(px_last(dates=range(-1M,0D)).date)==6),2),1)")="#N/A","-",_xll.BQL(E169,"first(last(matches(px_last(dates=range(-1M,0D)),dayofweek(px_last(dates=range(-1M,0D)).date)==6),2),1)"))</f>
        <v>#NAME?</v>
      </c>
      <c r="BB169" s="109" t="str">
        <f t="shared" ca="1" si="53"/>
        <v>-</v>
      </c>
    </row>
    <row r="170" spans="5:54" ht="16.5" customHeight="1" thickBot="1">
      <c r="E170" s="96" t="s">
        <v>1157</v>
      </c>
      <c r="F170" s="66" t="e">
        <f ca="1">_xll.BDP($E170,F$3)&amp;" BEST Curncy"</f>
        <v>#NAME?</v>
      </c>
      <c r="G170" s="97" t="e">
        <f t="shared" ca="1" si="47"/>
        <v>#NAME?</v>
      </c>
      <c r="I170" s="645"/>
      <c r="J170" s="98" t="e">
        <f ca="1">_xll.BDP($E170,J$3)</f>
        <v>#NAME?</v>
      </c>
      <c r="K170" s="99" t="e">
        <f ca="1">_xll.BDP($E170,K$3)</f>
        <v>#NAME?</v>
      </c>
      <c r="L170" s="100" t="str">
        <f ca="1">IF(ISNUMBER(_xll.BDH($E170,"PX_LAST",TEXT($E$2,"YYYYMMDD"),TEXT($E$2,"YYYYMMDD"),"days=a","fill=p")),_xll.BDH($E170,"PX_LAST",TEXT($E$2,"YYYYMMDD"),TEXT($E$2,"YYYYMMDD"),"days=a","fill=p"),"-")</f>
        <v>-</v>
      </c>
      <c r="M170" s="100" t="str">
        <f ca="1">IF(ISNUMBER(_xll.BDH($E170,"PX_LAST",TEXT($E$2-7,"YYYYMMDD"),TEXT($E$2-7,"YYYYMMDD"),"days=a","fill=p")),_xll.BDH($E170,"PX_LAST",TEXT($E$2-7,"YYYYMMDD"),TEXT($E$2-7,"YYYYMMDD"),"days=a","fill=p"),"-")</f>
        <v>-</v>
      </c>
      <c r="N170" s="180" t="str">
        <f t="shared" ca="1" si="50"/>
        <v>-</v>
      </c>
      <c r="O170" s="101" t="e">
        <f ca="1">IF(OR(_xll.BDP($E170,O$3)="#N/A N/A",_xll.BDP($E170,O$3)="#N/A Invalid Security"), "-", _xll.BDP($E170,O$3))</f>
        <v>#NAME?</v>
      </c>
      <c r="P170" s="182" t="str">
        <f ca="1">IF(ISNUMBER(_xll.BDH($F170,"PX_LAST",TEXT($E$2,"YYYYMMDD"),TEXT($E$2,"YYYYMMDD"),"days=a","fill=p")),_xll.BDH($F170,"PX_LAST",TEXT($E$2,"YYYYMMDD"),TEXT($E$2,"YYYYMMDD"),"days=a","fill=p"),"-")</f>
        <v>-</v>
      </c>
      <c r="Q170" s="182" t="str">
        <f ca="1">IF(ISNUMBER(_xll.BDH($F170,"PX_LAST",TEXT($E$2-7,"YYYYMMDD"),TEXT($E$2-7,"YYYYMMDD"),"days=a","fill=p")),_xll.BDH($F170,"PX_LAST",TEXT($E$2-7,"YYYYMMDD"),TEXT($E$2-7,"YYYYMMDD"),"days=a","fill=p"),"-")</f>
        <v>-</v>
      </c>
      <c r="R170" s="102" t="str">
        <f t="shared" ca="1" si="51"/>
        <v>-</v>
      </c>
      <c r="S170" s="103" t="str">
        <f ca="1">IF(ISNUMBER(_xll.BDP($F170,S$3)),_xll.BDP($F170,S$3),"-")</f>
        <v>-</v>
      </c>
      <c r="T170" s="104" t="e">
        <f t="shared" ca="1" si="52"/>
        <v>#NAME?</v>
      </c>
      <c r="U170" s="105" t="e">
        <f ca="1">IF(OR(_xll.BDP($E170,U$3)="#N/A N/A",_xll.BDP($E170,U$3)="#N/A Invalid Security"), "-", _xll.BDP($E170,U$3))</f>
        <v>#NAME?</v>
      </c>
      <c r="V170" s="105" t="e">
        <f ca="1">IF(OR(_xll.BDP($E170,V$2)="#N/A N/A",_xll.BDP($E170,V$2)="#N/A Invalid Security"), "-", _xll.BDP($E170,V$2))</f>
        <v>#NAME?</v>
      </c>
      <c r="W170" s="106" t="e">
        <f ca="1">IF(OR(_xll.BDP($E170,W$3)="#N/A N/A",_xll.BDP($E170,W$3)="#N/A Invalid Security"), "-", _xll.BDP($E170,W$3))</f>
        <v>#NAME?</v>
      </c>
      <c r="X170" s="105" t="e">
        <f ca="1">IF(OR(_xll.BDP($E170,X$3)="#N/A N/A",_xll.BDP($E170,X$3)="#N/A Invalid Security"), " ", _xll.BDP($E170,X$3))</f>
        <v>#NAME?</v>
      </c>
      <c r="Y170" s="105" t="e">
        <f ca="1">IF(OR(_xll.BDP($E170,Y$3)="#N/A N/A",_xll.BDP($E170,Y$3)="#N/A Invalid Security"), " ", _xll.BDP($E170,Y$3))</f>
        <v>#NAME?</v>
      </c>
      <c r="Z170" s="106" t="e">
        <f ca="1">IF(OR(_xll.BDP($E170,Z$3)="#N/A N/A",_xll.BDP($E170,Z$3)="#N/A Invalid Security"), " ", _xll.BDP($E170,Z$3))</f>
        <v>#NAME?</v>
      </c>
      <c r="AA170" s="107"/>
      <c r="AB170" s="93" t="s">
        <v>997</v>
      </c>
      <c r="AC170" s="93" t="s">
        <v>998</v>
      </c>
      <c r="AD170" s="93" t="s">
        <v>934</v>
      </c>
      <c r="AE170" s="93" t="s">
        <v>940</v>
      </c>
      <c r="AF170" s="93" t="s">
        <v>940</v>
      </c>
      <c r="AG170" s="93" t="s">
        <v>936</v>
      </c>
      <c r="AH170" s="95" t="e">
        <f t="shared" ca="1" si="48"/>
        <v>#NAME?</v>
      </c>
      <c r="AI170" s="95" t="e">
        <f t="shared" ca="1" si="48"/>
        <v>#NAME?</v>
      </c>
      <c r="AJ170" s="95" t="e">
        <f t="shared" ca="1" si="48"/>
        <v>#NAME?</v>
      </c>
      <c r="AK170" s="95" t="e">
        <f t="shared" ca="1" si="48"/>
        <v>#NAME?</v>
      </c>
      <c r="AL170" s="95" t="e">
        <f t="shared" ca="1" si="48"/>
        <v>#NAME?</v>
      </c>
      <c r="AM170" s="95" t="e">
        <f t="shared" ca="1" si="48"/>
        <v>#NAME?</v>
      </c>
      <c r="AN170" s="66" t="str">
        <f t="shared" ca="1" si="54"/>
        <v/>
      </c>
      <c r="AO170" s="108" t="e" cm="1">
        <f t="array" aca="1" ref="AO170" ca="1">_xll.BDP($E170,"cur_mkt_cap")</f>
        <v>#NAME?</v>
      </c>
      <c r="AP170" s="108" t="e" cm="1">
        <f t="array" aca="1" ref="AP170" ca="1">_xll.BDP($E170,"crncy")</f>
        <v>#NAME?</v>
      </c>
      <c r="AQ170" s="109" t="e" cm="1">
        <f t="array" aca="1" ref="AQ170" ca="1">_xll.BDP("USD"&amp;AP170&amp;" curncy","px_last")</f>
        <v>#NAME?</v>
      </c>
      <c r="AR170" s="109" t="e">
        <f t="shared" ca="1" si="49"/>
        <v>#NAME?</v>
      </c>
      <c r="AT170" s="66" t="str">
        <f t="shared" ca="1" si="41"/>
        <v/>
      </c>
      <c r="AU170" s="66" t="str">
        <f t="shared" ca="1" si="41"/>
        <v/>
      </c>
      <c r="AV170" s="66" t="str">
        <f t="shared" ca="1" si="41"/>
        <v/>
      </c>
      <c r="AW170" s="73" t="str" cm="1">
        <f t="array" aca="1" ref="AW170" ca="1">IF(ISERROR(DATEVALUE(_xll.BDP($E170,AW$6))),"",DATEVALUE(_xll.BDP($E170,AW$6)))</f>
        <v/>
      </c>
      <c r="AX170" s="73" t="str" cm="1">
        <f t="array" aca="1" ref="AX170" ca="1">IF(ISERROR(DATEVALUE(_xll.BDP($E170,AX$2))),"",DATEVALUE(_xll.BDP($E170,AX$2)))</f>
        <v/>
      </c>
      <c r="AY170" s="73" t="str" cm="1">
        <f t="array" aca="1" ref="AY170" ca="1">IF(ISERROR(DATEVALUE(_xll.BDP($E170,AY$6))),"",DATEVALUE(_xll.BDP($E170,AY$6)))</f>
        <v/>
      </c>
      <c r="AZ170" s="110" t="e" cm="1">
        <f t="array" aca="1" ref="AZ170" ca="1">IF(_xll.BQL($E170, "last(matches(px_last(dates=range(-1w,0d)), dayofweek(px_last(dates=range(-1w,0d)).date)==6))")="#N/A","-",_xll.BQL($E170, "last(matches(px_last(dates=range(-1w,0d)), dayofweek(px_last(dates=range(-1w,0d)).date)==6))"))</f>
        <v>#NAME?</v>
      </c>
      <c r="BA170" s="109" t="e" cm="1">
        <f t="array" aca="1" ref="BA170" ca="1">IF(_xll.BQL(E170,"first(last(matches(px_last(dates=range(-1M,0D)),dayofweek(px_last(dates=range(-1M,0D)).date)==6),2),1)")="#N/A","-",_xll.BQL(E170,"first(last(matches(px_last(dates=range(-1M,0D)),dayofweek(px_last(dates=range(-1M,0D)).date)==6),2),1)"))</f>
        <v>#NAME?</v>
      </c>
      <c r="BB170" s="109" t="str">
        <f t="shared" ca="1" si="53"/>
        <v>-</v>
      </c>
    </row>
    <row r="171" spans="5:54" ht="16.5" customHeight="1" thickBot="1">
      <c r="E171" s="96" t="s">
        <v>1158</v>
      </c>
      <c r="F171" s="66" t="e">
        <f ca="1">_xll.BDP($E171,F$3)&amp;" BEST Curncy"</f>
        <v>#NAME?</v>
      </c>
      <c r="G171" s="97" t="e">
        <f t="shared" ca="1" si="47"/>
        <v>#NAME?</v>
      </c>
      <c r="I171" s="645"/>
      <c r="J171" s="98" t="e">
        <f ca="1">_xll.BDP($E171,J$3)</f>
        <v>#NAME?</v>
      </c>
      <c r="K171" s="99" t="e">
        <f ca="1">_xll.BDP($E171,K$3)</f>
        <v>#NAME?</v>
      </c>
      <c r="L171" s="100" t="str">
        <f ca="1">IF(ISNUMBER(_xll.BDH($E171,"PX_LAST",TEXT($E$2,"YYYYMMDD"),TEXT($E$2,"YYYYMMDD"),"days=a","fill=p")),_xll.BDH($E171,"PX_LAST",TEXT($E$2,"YYYYMMDD"),TEXT($E$2,"YYYYMMDD"),"days=a","fill=p"),"-")</f>
        <v>-</v>
      </c>
      <c r="M171" s="100" t="str">
        <f ca="1">IF(ISNUMBER(_xll.BDH($E171,"PX_LAST",TEXT($E$2-7,"YYYYMMDD"),TEXT($E$2-7,"YYYYMMDD"),"days=a","fill=p")),_xll.BDH($E171,"PX_LAST",TEXT($E$2-7,"YYYYMMDD"),TEXT($E$2-7,"YYYYMMDD"),"days=a","fill=p"),"-")</f>
        <v>-</v>
      </c>
      <c r="N171" s="180" t="str">
        <f t="shared" ca="1" si="50"/>
        <v>-</v>
      </c>
      <c r="O171" s="101" t="e">
        <f ca="1">IF(OR(_xll.BDP($E171,O$3)="#N/A N/A",_xll.BDP($E171,O$3)="#N/A Invalid Security"), "-", _xll.BDP($E171,O$3))</f>
        <v>#NAME?</v>
      </c>
      <c r="P171" s="182" t="str">
        <f ca="1">IF(ISNUMBER(_xll.BDH($F171,"PX_LAST",TEXT($E$2,"YYYYMMDD"),TEXT($E$2,"YYYYMMDD"),"days=a","fill=p")),_xll.BDH($F171,"PX_LAST",TEXT($E$2,"YYYYMMDD"),TEXT($E$2,"YYYYMMDD"),"days=a","fill=p"),"-")</f>
        <v>-</v>
      </c>
      <c r="Q171" s="182" t="str">
        <f ca="1">IF(ISNUMBER(_xll.BDH($F171,"PX_LAST",TEXT($E$2-7,"YYYYMMDD"),TEXT($E$2-7,"YYYYMMDD"),"days=a","fill=p")),_xll.BDH($F171,"PX_LAST",TEXT($E$2-7,"YYYYMMDD"),TEXT($E$2-7,"YYYYMMDD"),"days=a","fill=p"),"-")</f>
        <v>-</v>
      </c>
      <c r="R171" s="102" t="str">
        <f t="shared" ca="1" si="51"/>
        <v>-</v>
      </c>
      <c r="S171" s="103" t="str">
        <f ca="1">IF(ISNUMBER(_xll.BDP($F171,S$3)),_xll.BDP($F171,S$3),"-")</f>
        <v>-</v>
      </c>
      <c r="T171" s="104" t="e">
        <f t="shared" ca="1" si="52"/>
        <v>#NAME?</v>
      </c>
      <c r="U171" s="105" t="e">
        <f ca="1">IF(OR(_xll.BDP($E171,U$3)="#N/A N/A",_xll.BDP($E171,U$3)="#N/A Invalid Security"), "-", _xll.BDP($E171,U$3))</f>
        <v>#NAME?</v>
      </c>
      <c r="V171" s="105" t="e">
        <f ca="1">IF(OR(_xll.BDP($E171,V$2)="#N/A N/A",_xll.BDP($E171,V$2)="#N/A Invalid Security"), "-", _xll.BDP($E171,V$2))</f>
        <v>#NAME?</v>
      </c>
      <c r="W171" s="106" t="e">
        <f ca="1">IF(OR(_xll.BDP($E171,W$3)="#N/A N/A",_xll.BDP($E171,W$3)="#N/A Invalid Security"), "-", _xll.BDP($E171,W$3))</f>
        <v>#NAME?</v>
      </c>
      <c r="X171" s="105" t="e">
        <f ca="1">IF(OR(_xll.BDP($E171,X$3)="#N/A N/A",_xll.BDP($E171,X$3)="#N/A Invalid Security"), " ", _xll.BDP($E171,X$3))</f>
        <v>#NAME?</v>
      </c>
      <c r="Y171" s="105" t="e">
        <f ca="1">IF(OR(_xll.BDP($E171,Y$3)="#N/A N/A",_xll.BDP($E171,Y$3)="#N/A Invalid Security"), " ", _xll.BDP($E171,Y$3))</f>
        <v>#NAME?</v>
      </c>
      <c r="Z171" s="106" t="e">
        <f ca="1">IF(OR(_xll.BDP($E171,Z$3)="#N/A N/A",_xll.BDP($E171,Z$3)="#N/A Invalid Security"), " ", _xll.BDP($E171,Z$3))</f>
        <v>#NAME?</v>
      </c>
      <c r="AA171" s="107"/>
      <c r="AB171" s="93" t="s">
        <v>1154</v>
      </c>
      <c r="AC171" s="93" t="s">
        <v>1012</v>
      </c>
      <c r="AD171" s="93" t="s">
        <v>934</v>
      </c>
      <c r="AE171" s="93" t="s">
        <v>940</v>
      </c>
      <c r="AF171" s="93" t="s">
        <v>940</v>
      </c>
      <c r="AG171" s="93" t="s">
        <v>936</v>
      </c>
      <c r="AH171" s="95" t="e">
        <f t="shared" ca="1" si="48"/>
        <v>#NAME?</v>
      </c>
      <c r="AI171" s="95" t="e">
        <f t="shared" ca="1" si="48"/>
        <v>#NAME?</v>
      </c>
      <c r="AJ171" s="95" t="e">
        <f t="shared" ca="1" si="48"/>
        <v>#NAME?</v>
      </c>
      <c r="AK171" s="95" t="e">
        <f t="shared" ca="1" si="48"/>
        <v>#NAME?</v>
      </c>
      <c r="AL171" s="95" t="e">
        <f t="shared" ca="1" si="48"/>
        <v>#NAME?</v>
      </c>
      <c r="AM171" s="95" t="e">
        <f t="shared" ca="1" si="48"/>
        <v>#NAME?</v>
      </c>
      <c r="AN171" s="66" t="str">
        <f t="shared" ca="1" si="54"/>
        <v/>
      </c>
      <c r="AO171" s="108" t="e" cm="1">
        <f t="array" aca="1" ref="AO171" ca="1">_xll.BDP($E171,"cur_mkt_cap")</f>
        <v>#NAME?</v>
      </c>
      <c r="AP171" s="108" t="e" cm="1">
        <f t="array" aca="1" ref="AP171" ca="1">_xll.BDP($E171,"crncy")</f>
        <v>#NAME?</v>
      </c>
      <c r="AQ171" s="109" t="e" cm="1">
        <f t="array" aca="1" ref="AQ171" ca="1">_xll.BDP("USD"&amp;AP171&amp;" curncy","px_last")</f>
        <v>#NAME?</v>
      </c>
      <c r="AR171" s="109" t="e">
        <f t="shared" ca="1" si="49"/>
        <v>#NAME?</v>
      </c>
      <c r="AT171" s="66" t="str">
        <f t="shared" ca="1" si="41"/>
        <v/>
      </c>
      <c r="AU171" s="66" t="str">
        <f t="shared" ca="1" si="41"/>
        <v/>
      </c>
      <c r="AV171" s="66" t="str">
        <f t="shared" ca="1" si="41"/>
        <v/>
      </c>
      <c r="AW171" s="73" t="str" cm="1">
        <f t="array" aca="1" ref="AW171" ca="1">IF(ISERROR(DATEVALUE(_xll.BDP($E171,AW$6))),"",DATEVALUE(_xll.BDP($E171,AW$6)))</f>
        <v/>
      </c>
      <c r="AX171" s="73" t="str" cm="1">
        <f t="array" aca="1" ref="AX171" ca="1">IF(ISERROR(DATEVALUE(_xll.BDP($E171,AX$2))),"",DATEVALUE(_xll.BDP($E171,AX$2)))</f>
        <v/>
      </c>
      <c r="AY171" s="73" t="str" cm="1">
        <f t="array" aca="1" ref="AY171" ca="1">IF(ISERROR(DATEVALUE(_xll.BDP($E171,AY$6))),"",DATEVALUE(_xll.BDP($E171,AY$6)))</f>
        <v/>
      </c>
      <c r="AZ171" s="110" t="e" cm="1">
        <f t="array" aca="1" ref="AZ171" ca="1">IF(_xll.BQL($E171, "last(matches(px_last(dates=range(-1w,0d)), dayofweek(px_last(dates=range(-1w,0d)).date)==6))")="#N/A","-",_xll.BQL($E171, "last(matches(px_last(dates=range(-1w,0d)), dayofweek(px_last(dates=range(-1w,0d)).date)==6))"))</f>
        <v>#NAME?</v>
      </c>
      <c r="BA171" s="109" t="e" cm="1">
        <f t="array" aca="1" ref="BA171" ca="1">IF(_xll.BQL(E171,"first(last(matches(px_last(dates=range(-1M,0D)),dayofweek(px_last(dates=range(-1M,0D)).date)==6),2),1)")="#N/A","-",_xll.BQL(E171,"first(last(matches(px_last(dates=range(-1M,0D)),dayofweek(px_last(dates=range(-1M,0D)).date)==6),2),1)"))</f>
        <v>#NAME?</v>
      </c>
      <c r="BB171" s="109" t="str">
        <f t="shared" ca="1" si="53"/>
        <v>-</v>
      </c>
    </row>
    <row r="172" spans="5:54" ht="16.5" customHeight="1" thickBot="1">
      <c r="E172" s="96" t="s">
        <v>1159</v>
      </c>
      <c r="F172" s="66" t="e">
        <f ca="1">_xll.BDP($E172,F$3)&amp;" BEST Curncy"</f>
        <v>#NAME?</v>
      </c>
      <c r="G172" s="97" t="e">
        <f t="shared" ca="1" si="47"/>
        <v>#NAME?</v>
      </c>
      <c r="I172" s="645"/>
      <c r="J172" s="98" t="e">
        <f ca="1">_xll.BDP($E172,J$3)</f>
        <v>#NAME?</v>
      </c>
      <c r="K172" s="99" t="e">
        <f ca="1">_xll.BDP($E172,K$3)</f>
        <v>#NAME?</v>
      </c>
      <c r="L172" s="100" t="str">
        <f ca="1">IF(ISNUMBER(_xll.BDH($E172,"PX_LAST",TEXT($E$2,"YYYYMMDD"),TEXT($E$2,"YYYYMMDD"),"days=a","fill=p")),_xll.BDH($E172,"PX_LAST",TEXT($E$2,"YYYYMMDD"),TEXT($E$2,"YYYYMMDD"),"days=a","fill=p"),"-")</f>
        <v>-</v>
      </c>
      <c r="M172" s="100" t="str">
        <f ca="1">IF(ISNUMBER(_xll.BDH($E172,"PX_LAST",TEXT($E$2-7,"YYYYMMDD"),TEXT($E$2-7,"YYYYMMDD"),"days=a","fill=p")),_xll.BDH($E172,"PX_LAST",TEXT($E$2-7,"YYYYMMDD"),TEXT($E$2-7,"YYYYMMDD"),"days=a","fill=p"),"-")</f>
        <v>-</v>
      </c>
      <c r="N172" s="180" t="str">
        <f t="shared" ca="1" si="50"/>
        <v>-</v>
      </c>
      <c r="O172" s="101" t="e">
        <f ca="1">IF(OR(_xll.BDP($E172,O$3)="#N/A N/A",_xll.BDP($E172,O$3)="#N/A Invalid Security"), "-", _xll.BDP($E172,O$3))</f>
        <v>#NAME?</v>
      </c>
      <c r="P172" s="182" t="str">
        <f ca="1">IF(ISNUMBER(_xll.BDH($F172,"PX_LAST",TEXT($E$2,"YYYYMMDD"),TEXT($E$2,"YYYYMMDD"),"days=a","fill=p")),_xll.BDH($F172,"PX_LAST",TEXT($E$2,"YYYYMMDD"),TEXT($E$2,"YYYYMMDD"),"days=a","fill=p"),"-")</f>
        <v>-</v>
      </c>
      <c r="Q172" s="182" t="str">
        <f ca="1">IF(ISNUMBER(_xll.BDH($F172,"PX_LAST",TEXT($E$2-7,"YYYYMMDD"),TEXT($E$2-7,"YYYYMMDD"),"days=a","fill=p")),_xll.BDH($F172,"PX_LAST",TEXT($E$2-7,"YYYYMMDD"),TEXT($E$2-7,"YYYYMMDD"),"days=a","fill=p"),"-")</f>
        <v>-</v>
      </c>
      <c r="R172" s="102" t="str">
        <f t="shared" ca="1" si="51"/>
        <v>-</v>
      </c>
      <c r="S172" s="103" t="str">
        <f ca="1">IF(ISNUMBER(_xll.BDP($F172,S$3)),_xll.BDP($F172,S$3),"-")</f>
        <v>-</v>
      </c>
      <c r="T172" s="104" t="e">
        <f t="shared" ca="1" si="52"/>
        <v>#NAME?</v>
      </c>
      <c r="U172" s="105" t="e">
        <f ca="1">IF(OR(_xll.BDP($E172,U$3)="#N/A N/A",_xll.BDP($E172,U$3)="#N/A Invalid Security"), "-", _xll.BDP($E172,U$3))</f>
        <v>#NAME?</v>
      </c>
      <c r="V172" s="105" t="e">
        <f ca="1">IF(OR(_xll.BDP($E172,V$2)="#N/A N/A",_xll.BDP($E172,V$2)="#N/A Invalid Security"), "-", _xll.BDP($E172,V$2))</f>
        <v>#NAME?</v>
      </c>
      <c r="W172" s="106" t="e">
        <f ca="1">IF(OR(_xll.BDP($E172,W$3)="#N/A N/A",_xll.BDP($E172,W$3)="#N/A Invalid Security"), "-", _xll.BDP($E172,W$3))</f>
        <v>#NAME?</v>
      </c>
      <c r="X172" s="105" t="e">
        <f ca="1">IF(OR(_xll.BDP($E172,X$3)="#N/A N/A",_xll.BDP($E172,X$3)="#N/A Invalid Security"), " ", _xll.BDP($E172,X$3))</f>
        <v>#NAME?</v>
      </c>
      <c r="Y172" s="105" t="e">
        <f ca="1">IF(OR(_xll.BDP($E172,Y$3)="#N/A N/A",_xll.BDP($E172,Y$3)="#N/A Invalid Security"), " ", _xll.BDP($E172,Y$3))</f>
        <v>#NAME?</v>
      </c>
      <c r="Z172" s="106" t="e">
        <f ca="1">IF(OR(_xll.BDP($E172,Z$3)="#N/A N/A",_xll.BDP($E172,Z$3)="#N/A Invalid Security"), " ", _xll.BDP($E172,Z$3))</f>
        <v>#NAME?</v>
      </c>
      <c r="AA172" s="107"/>
      <c r="AB172" s="93" t="s">
        <v>932</v>
      </c>
      <c r="AC172" s="93" t="s">
        <v>933</v>
      </c>
      <c r="AD172" s="93" t="s">
        <v>950</v>
      </c>
      <c r="AE172" s="93" t="s">
        <v>940</v>
      </c>
      <c r="AF172" s="93" t="s">
        <v>935</v>
      </c>
      <c r="AG172" s="93" t="s">
        <v>935</v>
      </c>
      <c r="AH172" s="95" t="e">
        <f t="shared" ca="1" si="48"/>
        <v>#NAME?</v>
      </c>
      <c r="AI172" s="95" t="e">
        <f t="shared" ca="1" si="48"/>
        <v>#NAME?</v>
      </c>
      <c r="AJ172" s="95" t="e">
        <f t="shared" ca="1" si="48"/>
        <v>#NAME?</v>
      </c>
      <c r="AK172" s="95" t="e">
        <f t="shared" ca="1" si="48"/>
        <v>#NAME?</v>
      </c>
      <c r="AL172" s="95" t="e">
        <f t="shared" ca="1" si="48"/>
        <v>#NAME?</v>
      </c>
      <c r="AM172" s="95" t="e">
        <f t="shared" ca="1" si="48"/>
        <v>#NAME?</v>
      </c>
      <c r="AN172" s="66" t="str">
        <f t="shared" ca="1" si="54"/>
        <v/>
      </c>
      <c r="AO172" s="108" t="e" cm="1">
        <f t="array" aca="1" ref="AO172" ca="1">_xll.BDP($E172,"cur_mkt_cap")</f>
        <v>#NAME?</v>
      </c>
      <c r="AP172" s="108" t="e" cm="1">
        <f t="array" aca="1" ref="AP172" ca="1">_xll.BDP($E172,"crncy")</f>
        <v>#NAME?</v>
      </c>
      <c r="AQ172" s="109" t="e" cm="1">
        <f t="array" aca="1" ref="AQ172" ca="1">_xll.BDP("USD"&amp;AP172&amp;" curncy","px_last")</f>
        <v>#NAME?</v>
      </c>
      <c r="AR172" s="109" t="e">
        <f t="shared" ca="1" si="49"/>
        <v>#NAME?</v>
      </c>
      <c r="AT172" s="66" t="str">
        <f t="shared" ca="1" si="41"/>
        <v/>
      </c>
      <c r="AU172" s="66" t="str">
        <f t="shared" ca="1" si="41"/>
        <v/>
      </c>
      <c r="AV172" s="66" t="str">
        <f t="shared" ca="1" si="41"/>
        <v/>
      </c>
      <c r="AW172" s="73" t="str" cm="1">
        <f t="array" aca="1" ref="AW172" ca="1">IF(ISERROR(DATEVALUE(_xll.BDP($E172,AW$6))),"",DATEVALUE(_xll.BDP($E172,AW$6)))</f>
        <v/>
      </c>
      <c r="AX172" s="73" t="str" cm="1">
        <f t="array" aca="1" ref="AX172" ca="1">IF(ISERROR(DATEVALUE(_xll.BDP($E172,AX$2))),"",DATEVALUE(_xll.BDP($E172,AX$2)))</f>
        <v/>
      </c>
      <c r="AY172" s="73" t="str" cm="1">
        <f t="array" aca="1" ref="AY172" ca="1">IF(ISERROR(DATEVALUE(_xll.BDP($E172,AY$6))),"",DATEVALUE(_xll.BDP($E172,AY$6)))</f>
        <v/>
      </c>
      <c r="AZ172" s="110" t="e" cm="1">
        <f t="array" aca="1" ref="AZ172" ca="1">IF(_xll.BQL($E172, "last(matches(px_last(dates=range(-1w,0d)), dayofweek(px_last(dates=range(-1w,0d)).date)==6))")="#N/A","-",_xll.BQL($E172, "last(matches(px_last(dates=range(-1w,0d)), dayofweek(px_last(dates=range(-1w,0d)).date)==6))"))</f>
        <v>#NAME?</v>
      </c>
      <c r="BA172" s="109" t="e" cm="1">
        <f t="array" aca="1" ref="BA172" ca="1">IF(_xll.BQL(E172,"first(last(matches(px_last(dates=range(-1M,0D)),dayofweek(px_last(dates=range(-1M,0D)).date)==6),2),1)")="#N/A","-",_xll.BQL(E172,"first(last(matches(px_last(dates=range(-1M,0D)),dayofweek(px_last(dates=range(-1M,0D)).date)==6),2),1)"))</f>
        <v>#NAME?</v>
      </c>
      <c r="BB172" s="109" t="str">
        <f t="shared" ca="1" si="53"/>
        <v>-</v>
      </c>
    </row>
    <row r="173" spans="5:54" ht="16.5" customHeight="1" thickBot="1">
      <c r="E173" s="96" t="s">
        <v>1160</v>
      </c>
      <c r="F173" s="66" t="e">
        <f ca="1">_xll.BDP($E173,F$3)&amp;" BEST Curncy"</f>
        <v>#NAME?</v>
      </c>
      <c r="G173" s="97" t="e">
        <f t="shared" ca="1" si="47"/>
        <v>#NAME?</v>
      </c>
      <c r="I173" s="645"/>
      <c r="J173" s="98" t="e">
        <f ca="1">_xll.BDP($E173,J$3)</f>
        <v>#NAME?</v>
      </c>
      <c r="K173" s="99" t="e">
        <f ca="1">_xll.BDP($E173,K$3)</f>
        <v>#NAME?</v>
      </c>
      <c r="L173" s="100" t="str">
        <f ca="1">IF(ISNUMBER(_xll.BDH($E173,"PX_LAST",TEXT($E$2,"YYYYMMDD"),TEXT($E$2,"YYYYMMDD"),"days=a","fill=p")),_xll.BDH($E173,"PX_LAST",TEXT($E$2,"YYYYMMDD"),TEXT($E$2,"YYYYMMDD"),"days=a","fill=p"),"-")</f>
        <v>-</v>
      </c>
      <c r="M173" s="100" t="str">
        <f ca="1">IF(ISNUMBER(_xll.BDH($E173,"PX_LAST",TEXT($E$2-7,"YYYYMMDD"),TEXT($E$2-7,"YYYYMMDD"),"days=a","fill=p")),_xll.BDH($E173,"PX_LAST",TEXT($E$2-7,"YYYYMMDD"),TEXT($E$2-7,"YYYYMMDD"),"days=a","fill=p"),"-")</f>
        <v>-</v>
      </c>
      <c r="N173" s="180" t="str">
        <f t="shared" ca="1" si="50"/>
        <v>-</v>
      </c>
      <c r="O173" s="101" t="e">
        <f ca="1">IF(OR(_xll.BDP($E173,O$3)="#N/A N/A",_xll.BDP($E173,O$3)="#N/A Invalid Security"), "-", _xll.BDP($E173,O$3))</f>
        <v>#NAME?</v>
      </c>
      <c r="P173" s="182" t="str">
        <f ca="1">IF(ISNUMBER(_xll.BDH($F173,"PX_LAST",TEXT($E$2,"YYYYMMDD"),TEXT($E$2,"YYYYMMDD"),"days=a","fill=p")),_xll.BDH($F173,"PX_LAST",TEXT($E$2,"YYYYMMDD"),TEXT($E$2,"YYYYMMDD"),"days=a","fill=p"),"-")</f>
        <v>-</v>
      </c>
      <c r="Q173" s="182" t="str">
        <f ca="1">IF(ISNUMBER(_xll.BDH($F173,"PX_LAST",TEXT($E$2-7,"YYYYMMDD"),TEXT($E$2-7,"YYYYMMDD"),"days=a","fill=p")),_xll.BDH($F173,"PX_LAST",TEXT($E$2-7,"YYYYMMDD"),TEXT($E$2-7,"YYYYMMDD"),"days=a","fill=p"),"-")</f>
        <v>-</v>
      </c>
      <c r="R173" s="102" t="str">
        <f t="shared" ca="1" si="51"/>
        <v>-</v>
      </c>
      <c r="S173" s="103" t="str">
        <f ca="1">IF(ISNUMBER(_xll.BDP($F173,S$3)),_xll.BDP($F173,S$3),"-")</f>
        <v>-</v>
      </c>
      <c r="T173" s="104" t="e">
        <f t="shared" ca="1" si="52"/>
        <v>#NAME?</v>
      </c>
      <c r="U173" s="105" t="e">
        <f ca="1">IF(OR(_xll.BDP($E173,U$3)="#N/A N/A",_xll.BDP($E173,U$3)="#N/A Invalid Security"), "-", _xll.BDP($E173,U$3))</f>
        <v>#NAME?</v>
      </c>
      <c r="V173" s="105" t="e">
        <f ca="1">IF(OR(_xll.BDP($E173,V$2)="#N/A N/A",_xll.BDP($E173,V$2)="#N/A Invalid Security"), "-", _xll.BDP($E173,V$2))</f>
        <v>#NAME?</v>
      </c>
      <c r="W173" s="106" t="e">
        <f ca="1">IF(OR(_xll.BDP($E173,W$3)="#N/A N/A",_xll.BDP($E173,W$3)="#N/A Invalid Security"), "-", _xll.BDP($E173,W$3))</f>
        <v>#NAME?</v>
      </c>
      <c r="X173" s="105" t="e">
        <f ca="1">IF(OR(_xll.BDP($E173,X$3)="#N/A N/A",_xll.BDP($E173,X$3)="#N/A Invalid Security"), " ", _xll.BDP($E173,X$3))</f>
        <v>#NAME?</v>
      </c>
      <c r="Y173" s="105" t="e">
        <f ca="1">IF(OR(_xll.BDP($E173,Y$3)="#N/A N/A",_xll.BDP($E173,Y$3)="#N/A Invalid Security"), " ", _xll.BDP($E173,Y$3))</f>
        <v>#NAME?</v>
      </c>
      <c r="Z173" s="106" t="e">
        <f ca="1">IF(OR(_xll.BDP($E173,Z$3)="#N/A N/A",_xll.BDP($E173,Z$3)="#N/A Invalid Security"), " ", _xll.BDP($E173,Z$3))</f>
        <v>#NAME?</v>
      </c>
      <c r="AA173" s="107"/>
      <c r="AB173" s="93" t="s">
        <v>1043</v>
      </c>
      <c r="AC173" s="93" t="s">
        <v>934</v>
      </c>
      <c r="AD173" s="93" t="s">
        <v>955</v>
      </c>
      <c r="AE173" s="93" t="s">
        <v>948</v>
      </c>
      <c r="AF173" s="93" t="s">
        <v>936</v>
      </c>
      <c r="AG173" s="93" t="s">
        <v>940</v>
      </c>
      <c r="AH173" s="95" t="e">
        <f t="shared" ca="1" si="48"/>
        <v>#NAME?</v>
      </c>
      <c r="AI173" s="95" t="e">
        <f t="shared" ca="1" si="48"/>
        <v>#NAME?</v>
      </c>
      <c r="AJ173" s="95" t="e">
        <f t="shared" ca="1" si="48"/>
        <v>#NAME?</v>
      </c>
      <c r="AK173" s="95" t="e">
        <f t="shared" ca="1" si="48"/>
        <v>#NAME?</v>
      </c>
      <c r="AL173" s="95" t="e">
        <f t="shared" ca="1" si="48"/>
        <v>#NAME?</v>
      </c>
      <c r="AM173" s="95" t="e">
        <f t="shared" ca="1" si="48"/>
        <v>#NAME?</v>
      </c>
      <c r="AN173" s="66" t="str">
        <f t="shared" ca="1" si="54"/>
        <v/>
      </c>
      <c r="AO173" s="108" t="e" cm="1">
        <f t="array" aca="1" ref="AO173" ca="1">_xll.BDP($E173,"cur_mkt_cap")</f>
        <v>#NAME?</v>
      </c>
      <c r="AP173" s="108" t="e" cm="1">
        <f t="array" aca="1" ref="AP173" ca="1">_xll.BDP($E173,"crncy")</f>
        <v>#NAME?</v>
      </c>
      <c r="AQ173" s="109" t="e" cm="1">
        <f t="array" aca="1" ref="AQ173" ca="1">_xll.BDP("USD"&amp;AP173&amp;" curncy","px_last")</f>
        <v>#NAME?</v>
      </c>
      <c r="AR173" s="109" t="e">
        <f t="shared" ca="1" si="49"/>
        <v>#NAME?</v>
      </c>
      <c r="AT173" s="66" t="str">
        <f t="shared" ca="1" si="41"/>
        <v/>
      </c>
      <c r="AU173" s="66" t="str">
        <f t="shared" ca="1" si="41"/>
        <v/>
      </c>
      <c r="AV173" s="66" t="str">
        <f t="shared" ca="1" si="41"/>
        <v/>
      </c>
      <c r="AW173" s="73" t="str" cm="1">
        <f t="array" aca="1" ref="AW173" ca="1">IF(ISERROR(DATEVALUE(_xll.BDP($E173,AW$6))),"",DATEVALUE(_xll.BDP($E173,AW$6)))</f>
        <v/>
      </c>
      <c r="AX173" s="73" t="str" cm="1">
        <f t="array" aca="1" ref="AX173" ca="1">IF(ISERROR(DATEVALUE(_xll.BDP($E173,AX$2))),"",DATEVALUE(_xll.BDP($E173,AX$2)))</f>
        <v/>
      </c>
      <c r="AY173" s="73" t="str" cm="1">
        <f t="array" aca="1" ref="AY173" ca="1">IF(ISERROR(DATEVALUE(_xll.BDP($E173,AY$6))),"",DATEVALUE(_xll.BDP($E173,AY$6)))</f>
        <v/>
      </c>
      <c r="AZ173" s="110" t="e" cm="1">
        <f t="array" aca="1" ref="AZ173" ca="1">IF(_xll.BQL($E173, "last(matches(px_last(dates=range(-1w,0d)), dayofweek(px_last(dates=range(-1w,0d)).date)==6))")="#N/A","-",_xll.BQL($E173, "last(matches(px_last(dates=range(-1w,0d)), dayofweek(px_last(dates=range(-1w,0d)).date)==6))"))</f>
        <v>#NAME?</v>
      </c>
      <c r="BA173" s="109" t="e" cm="1">
        <f t="array" aca="1" ref="BA173" ca="1">IF(_xll.BQL(E173,"first(last(matches(px_last(dates=range(-1M,0D)),dayofweek(px_last(dates=range(-1M,0D)).date)==6),2),1)")="#N/A","-",_xll.BQL(E173,"first(last(matches(px_last(dates=range(-1M,0D)),dayofweek(px_last(dates=range(-1M,0D)).date)==6),2),1)"))</f>
        <v>#NAME?</v>
      </c>
      <c r="BB173" s="109" t="str">
        <f t="shared" ca="1" si="53"/>
        <v>-</v>
      </c>
    </row>
    <row r="174" spans="5:54" ht="16.5" customHeight="1" thickBot="1">
      <c r="E174" s="96" t="s">
        <v>1161</v>
      </c>
      <c r="F174" s="66" t="e">
        <f ca="1">_xll.BDP($E174,F$3)&amp;" BEST Curncy"</f>
        <v>#NAME?</v>
      </c>
      <c r="G174" s="97" t="e">
        <f t="shared" ca="1" si="47"/>
        <v>#NAME?</v>
      </c>
      <c r="I174" s="645"/>
      <c r="J174" s="98" t="e">
        <f ca="1">_xll.BDP($E174,J$3)</f>
        <v>#NAME?</v>
      </c>
      <c r="K174" s="99" t="e">
        <f ca="1">_xll.BDP($E174,K$3)</f>
        <v>#NAME?</v>
      </c>
      <c r="L174" s="100" t="str">
        <f ca="1">IF(ISNUMBER(_xll.BDH($E174,"PX_LAST",TEXT($E$2,"YYYYMMDD"),TEXT($E$2,"YYYYMMDD"),"days=a","fill=p")),_xll.BDH($E174,"PX_LAST",TEXT($E$2,"YYYYMMDD"),TEXT($E$2,"YYYYMMDD"),"days=a","fill=p"),"-")</f>
        <v>-</v>
      </c>
      <c r="M174" s="100" t="str">
        <f ca="1">IF(ISNUMBER(_xll.BDH($E174,"PX_LAST",TEXT($E$2-7,"YYYYMMDD"),TEXT($E$2-7,"YYYYMMDD"),"days=a","fill=p")),_xll.BDH($E174,"PX_LAST",TEXT($E$2-7,"YYYYMMDD"),TEXT($E$2-7,"YYYYMMDD"),"days=a","fill=p"),"-")</f>
        <v>-</v>
      </c>
      <c r="N174" s="180" t="str">
        <f ca="1">IF(ISNUMBER(($L174-$M174)/$M174),($L174-$M174)/$M174,"-")</f>
        <v>-</v>
      </c>
      <c r="O174" s="101" t="e">
        <f ca="1">IF(OR(_xll.BDP($E174,O$3)="#N/A N/A",_xll.BDP($E174,O$3)="#N/A Invalid Security"), "-", _xll.BDP($E174,O$3))</f>
        <v>#NAME?</v>
      </c>
      <c r="P174" s="182" t="str">
        <f ca="1">IF(ISNUMBER(_xll.BDH($F174,"PX_LAST",TEXT($E$2,"YYYYMMDD"),TEXT($E$2,"YYYYMMDD"),"days=a","fill=p")),_xll.BDH($F174,"PX_LAST",TEXT($E$2,"YYYYMMDD"),TEXT($E$2,"YYYYMMDD"),"days=a","fill=p"),"-")</f>
        <v>-</v>
      </c>
      <c r="Q174" s="182" t="str">
        <f ca="1">IF(ISNUMBER(_xll.BDH($F174,"PX_LAST",TEXT($E$2-7,"YYYYMMDD"),TEXT($E$2-7,"YYYYMMDD"),"days=a","fill=p")),_xll.BDH($F174,"PX_LAST",TEXT($E$2-7,"YYYYMMDD"),TEXT($E$2-7,"YYYYMMDD"),"days=a","fill=p"),"-")</f>
        <v>-</v>
      </c>
      <c r="R174" s="102" t="str">
        <f ca="1">IF(ISNUMBER($P174-$Q174),$P174-$Q174,"-")</f>
        <v>-</v>
      </c>
      <c r="S174" s="103" t="str">
        <f ca="1">IF(ISNUMBER(_xll.BDP($F174,S$3)),_xll.BDP($F174,S$3),"-")</f>
        <v>-</v>
      </c>
      <c r="T174" s="104" t="e">
        <f t="shared" ca="1" si="52"/>
        <v>#NAME?</v>
      </c>
      <c r="U174" s="105" t="e">
        <f ca="1">IF(OR(_xll.BDP($E174,U$3)="#N/A N/A",_xll.BDP($E174,U$3)="#N/A Invalid Security"), "-", _xll.BDP($E174,U$3))</f>
        <v>#NAME?</v>
      </c>
      <c r="V174" s="105" t="e">
        <f ca="1">IF(OR(_xll.BDP($E174,V$2)="#N/A N/A",_xll.BDP($E174,V$2)="#N/A Invalid Security"), "-", _xll.BDP($E174,V$2))</f>
        <v>#NAME?</v>
      </c>
      <c r="W174" s="106" t="e">
        <f ca="1">IF(OR(_xll.BDP($E174,W$3)="#N/A N/A",_xll.BDP($E174,W$3)="#N/A Invalid Security"), "-", _xll.BDP($E174,W$3))</f>
        <v>#NAME?</v>
      </c>
      <c r="X174" s="105" t="e">
        <f ca="1">IF(OR(_xll.BDP($E174,X$3)="#N/A N/A",_xll.BDP($E174,X$3)="#N/A Invalid Security"), " ", _xll.BDP($E174,X$3))</f>
        <v>#NAME?</v>
      </c>
      <c r="Y174" s="105" t="e">
        <f ca="1">IF(OR(_xll.BDP($E174,Y$3)="#N/A N/A",_xll.BDP($E174,Y$3)="#N/A Invalid Security"), " ", _xll.BDP($E174,Y$3))</f>
        <v>#NAME?</v>
      </c>
      <c r="Z174" s="106" t="e">
        <f ca="1">IF(OR(_xll.BDP($E174,Z$3)="#N/A N/A",_xll.BDP($E174,Z$3)="#N/A Invalid Security"), " ", _xll.BDP($E174,Z$3))</f>
        <v>#NAME?</v>
      </c>
      <c r="AA174" s="107"/>
      <c r="AB174" s="93" t="s">
        <v>950</v>
      </c>
      <c r="AC174" s="93" t="s">
        <v>933</v>
      </c>
      <c r="AD174" s="93" t="s">
        <v>932</v>
      </c>
      <c r="AE174" s="93" t="s">
        <v>948</v>
      </c>
      <c r="AF174" s="93" t="s">
        <v>940</v>
      </c>
      <c r="AG174" s="93" t="s">
        <v>948</v>
      </c>
      <c r="AH174" s="95" t="e">
        <f t="shared" ca="1" si="48"/>
        <v>#NAME?</v>
      </c>
      <c r="AI174" s="95" t="e">
        <f t="shared" ca="1" si="48"/>
        <v>#NAME?</v>
      </c>
      <c r="AJ174" s="95" t="e">
        <f t="shared" ca="1" si="48"/>
        <v>#NAME?</v>
      </c>
      <c r="AK174" s="95" t="e">
        <f t="shared" ca="1" si="48"/>
        <v>#NAME?</v>
      </c>
      <c r="AL174" s="95" t="e">
        <f t="shared" ca="1" si="48"/>
        <v>#NAME?</v>
      </c>
      <c r="AM174" s="95" t="e">
        <f t="shared" ca="1" si="48"/>
        <v>#NAME?</v>
      </c>
      <c r="AN174" s="66" t="str">
        <f t="shared" ca="1" si="54"/>
        <v/>
      </c>
      <c r="AO174" s="108" t="e" cm="1">
        <f t="array" aca="1" ref="AO174" ca="1">_xll.BDP($E174,"cur_mkt_cap")</f>
        <v>#NAME?</v>
      </c>
      <c r="AP174" s="108" t="e" cm="1">
        <f t="array" aca="1" ref="AP174" ca="1">_xll.BDP($E174,"crncy")</f>
        <v>#NAME?</v>
      </c>
      <c r="AQ174" s="109" t="e" cm="1">
        <f t="array" aca="1" ref="AQ174" ca="1">_xll.BDP("USD"&amp;AP174&amp;" curncy","px_last")</f>
        <v>#NAME?</v>
      </c>
      <c r="AR174" s="109" t="e">
        <f t="shared" ca="1" si="49"/>
        <v>#NAME?</v>
      </c>
      <c r="AT174" s="66" t="str">
        <f t="shared" ca="1" si="41"/>
        <v/>
      </c>
      <c r="AU174" s="66" t="str">
        <f t="shared" ca="1" si="41"/>
        <v/>
      </c>
      <c r="AV174" s="66" t="str">
        <f t="shared" ca="1" si="41"/>
        <v/>
      </c>
      <c r="AW174" s="73" t="str" cm="1">
        <f t="array" aca="1" ref="AW174" ca="1">IF(ISERROR(DATEVALUE(_xll.BDP($E174,AW$6))),"",DATEVALUE(_xll.BDP($E174,AW$6)))</f>
        <v/>
      </c>
      <c r="AX174" s="73" t="str" cm="1">
        <f t="array" aca="1" ref="AX174" ca="1">IF(ISERROR(DATEVALUE(_xll.BDP($E174,AX$2))),"",DATEVALUE(_xll.BDP($E174,AX$2)))</f>
        <v/>
      </c>
      <c r="AY174" s="73" t="str" cm="1">
        <f t="array" aca="1" ref="AY174" ca="1">IF(ISERROR(DATEVALUE(_xll.BDP($E174,AY$6))),"",DATEVALUE(_xll.BDP($E174,AY$6)))</f>
        <v/>
      </c>
      <c r="AZ174" s="110" t="e" cm="1">
        <f t="array" aca="1" ref="AZ174" ca="1">IF(_xll.BQL($E174, "last(matches(px_last(dates=range(-1w,0d)), dayofweek(px_last(dates=range(-1w,0d)).date)==6))")="#N/A","-",_xll.BQL($E174, "last(matches(px_last(dates=range(-1w,0d)), dayofweek(px_last(dates=range(-1w,0d)).date)==6))"))</f>
        <v>#NAME?</v>
      </c>
      <c r="BA174" s="109" t="e" cm="1">
        <f t="array" aca="1" ref="BA174" ca="1">IF(_xll.BQL(E174,"first(last(matches(px_last(dates=range(-1M,0D)),dayofweek(px_last(dates=range(-1M,0D)).date)==6),2),1)")="#N/A","-",_xll.BQL(E174,"first(last(matches(px_last(dates=range(-1M,0D)),dayofweek(px_last(dates=range(-1M,0D)).date)==6),2),1)"))</f>
        <v>#NAME?</v>
      </c>
      <c r="BB174" s="109" t="str">
        <f t="shared" ca="1" si="53"/>
        <v>-</v>
      </c>
    </row>
    <row r="175" spans="5:54" ht="16.5" customHeight="1" thickBot="1">
      <c r="E175" s="96" t="s">
        <v>1162</v>
      </c>
      <c r="F175" s="66" t="e">
        <f ca="1">_xll.BDP($E175,F$3)&amp;" BEST Curncy"</f>
        <v>#NAME?</v>
      </c>
      <c r="G175" s="97" t="e">
        <f t="shared" ca="1" si="47"/>
        <v>#NAME?</v>
      </c>
      <c r="I175" s="645"/>
      <c r="J175" s="98" t="e">
        <f ca="1">_xll.BDP($E175,J$3)</f>
        <v>#NAME?</v>
      </c>
      <c r="K175" s="99" t="e">
        <f ca="1">_xll.BDP($E175,K$3)</f>
        <v>#NAME?</v>
      </c>
      <c r="L175" s="100" t="str">
        <f ca="1">IF(ISNUMBER(_xll.BDH($E175,"PX_LAST",TEXT($E$2,"YYYYMMDD"),TEXT($E$2,"YYYYMMDD"),"days=a","fill=p")),_xll.BDH($E175,"PX_LAST",TEXT($E$2,"YYYYMMDD"),TEXT($E$2,"YYYYMMDD"),"days=a","fill=p"),"-")</f>
        <v>-</v>
      </c>
      <c r="M175" s="100" t="str">
        <f ca="1">IF(ISNUMBER(_xll.BDH($E175,"PX_LAST",TEXT($E$2-7,"YYYYMMDD"),TEXT($E$2-7,"YYYYMMDD"),"days=a","fill=p")),_xll.BDH($E175,"PX_LAST",TEXT($E$2-7,"YYYYMMDD"),TEXT($E$2-7,"YYYYMMDD"),"days=a","fill=p"),"-")</f>
        <v>-</v>
      </c>
      <c r="N175" s="180" t="str">
        <f t="shared" ca="1" si="50"/>
        <v>-</v>
      </c>
      <c r="O175" s="101" t="e">
        <f ca="1">IF(OR(_xll.BDP($E175,O$3)="#N/A N/A",_xll.BDP($E175,O$3)="#N/A Invalid Security"), "-", _xll.BDP($E175,O$3))</f>
        <v>#NAME?</v>
      </c>
      <c r="P175" s="182" t="str">
        <f ca="1">IF(ISNUMBER(_xll.BDH($F175,"PX_LAST",TEXT($E$2,"YYYYMMDD"),TEXT($E$2,"YYYYMMDD"),"days=a","fill=p")),_xll.BDH($F175,"PX_LAST",TEXT($E$2,"YYYYMMDD"),TEXT($E$2,"YYYYMMDD"),"days=a","fill=p"),"-")</f>
        <v>-</v>
      </c>
      <c r="Q175" s="182" t="str">
        <f ca="1">IF(ISNUMBER(_xll.BDH($F175,"PX_LAST",TEXT($E$2-7,"YYYYMMDD"),TEXT($E$2-7,"YYYYMMDD"),"days=a","fill=p")),_xll.BDH($F175,"PX_LAST",TEXT($E$2-7,"YYYYMMDD"),TEXT($E$2-7,"YYYYMMDD"),"days=a","fill=p"),"-")</f>
        <v>-</v>
      </c>
      <c r="R175" s="102" t="str">
        <f t="shared" ca="1" si="51"/>
        <v>-</v>
      </c>
      <c r="S175" s="103" t="str">
        <f ca="1">IF(ISNUMBER(_xll.BDP($F175,S$3)),_xll.BDP($F175,S$3),"-")</f>
        <v>-</v>
      </c>
      <c r="T175" s="104" t="e">
        <f t="shared" ca="1" si="52"/>
        <v>#NAME?</v>
      </c>
      <c r="U175" s="105" t="e">
        <f ca="1">IF(OR(_xll.BDP($E175,U$3)="#N/A N/A",_xll.BDP($E175,U$3)="#N/A Invalid Security"), "-", _xll.BDP($E175,U$3))</f>
        <v>#NAME?</v>
      </c>
      <c r="V175" s="105" t="e">
        <f ca="1">IF(OR(_xll.BDP($E175,V$2)="#N/A N/A",_xll.BDP($E175,V$2)="#N/A Invalid Security"), "-", _xll.BDP($E175,V$2))</f>
        <v>#NAME?</v>
      </c>
      <c r="W175" s="106" t="e">
        <f ca="1">IF(OR(_xll.BDP($E175,W$3)="#N/A N/A",_xll.BDP($E175,W$3)="#N/A Invalid Security"), "-", _xll.BDP($E175,W$3))</f>
        <v>#NAME?</v>
      </c>
      <c r="X175" s="105" t="e">
        <f ca="1">IF(OR(_xll.BDP($E175,X$3)="#N/A N/A",_xll.BDP($E175,X$3)="#N/A Invalid Security"), " ", _xll.BDP($E175,X$3))</f>
        <v>#NAME?</v>
      </c>
      <c r="Y175" s="105" t="e">
        <f ca="1">IF(OR(_xll.BDP($E175,Y$3)="#N/A N/A",_xll.BDP($E175,Y$3)="#N/A Invalid Security"), " ", _xll.BDP($E175,Y$3))</f>
        <v>#NAME?</v>
      </c>
      <c r="Z175" s="106" t="e">
        <f ca="1">IF(OR(_xll.BDP($E175,Z$3)="#N/A N/A",_xll.BDP($E175,Z$3)="#N/A Invalid Security"), " ", _xll.BDP($E175,Z$3))</f>
        <v>#NAME?</v>
      </c>
      <c r="AA175" s="107"/>
      <c r="AB175" s="93" t="s">
        <v>997</v>
      </c>
      <c r="AC175" s="93" t="s">
        <v>1012</v>
      </c>
      <c r="AD175" s="93" t="s">
        <v>1111</v>
      </c>
      <c r="AE175" s="93" t="s">
        <v>940</v>
      </c>
      <c r="AF175" s="93" t="s">
        <v>935</v>
      </c>
      <c r="AG175" s="93" t="s">
        <v>940</v>
      </c>
      <c r="AH175" s="95" t="e">
        <f t="shared" ca="1" si="48"/>
        <v>#NAME?</v>
      </c>
      <c r="AI175" s="95" t="e">
        <f t="shared" ca="1" si="48"/>
        <v>#NAME?</v>
      </c>
      <c r="AJ175" s="95" t="e">
        <f t="shared" ca="1" si="48"/>
        <v>#NAME?</v>
      </c>
      <c r="AK175" s="95" t="e">
        <f t="shared" ca="1" si="48"/>
        <v>#NAME?</v>
      </c>
      <c r="AL175" s="95" t="e">
        <f t="shared" ca="1" si="48"/>
        <v>#NAME?</v>
      </c>
      <c r="AM175" s="95" t="e">
        <f t="shared" ca="1" si="48"/>
        <v>#NAME?</v>
      </c>
      <c r="AN175" s="66" t="str">
        <f t="shared" ca="1" si="54"/>
        <v/>
      </c>
      <c r="AO175" s="108" t="e" cm="1">
        <f t="array" aca="1" ref="AO175" ca="1">_xll.BDP($E175,"cur_mkt_cap")</f>
        <v>#NAME?</v>
      </c>
      <c r="AP175" s="108" t="e" cm="1">
        <f t="array" aca="1" ref="AP175" ca="1">_xll.BDP($E175,"crncy")</f>
        <v>#NAME?</v>
      </c>
      <c r="AQ175" s="109" t="e" cm="1">
        <f t="array" aca="1" ref="AQ175" ca="1">_xll.BDP("USD"&amp;AP175&amp;" curncy","px_last")</f>
        <v>#NAME?</v>
      </c>
      <c r="AR175" s="109" t="e">
        <f t="shared" ca="1" si="49"/>
        <v>#NAME?</v>
      </c>
      <c r="AT175" s="66" t="str">
        <f t="shared" ca="1" si="41"/>
        <v/>
      </c>
      <c r="AU175" s="66" t="str">
        <f t="shared" ca="1" si="41"/>
        <v/>
      </c>
      <c r="AV175" s="66" t="str">
        <f t="shared" ca="1" si="41"/>
        <v/>
      </c>
      <c r="AW175" s="73" t="str" cm="1">
        <f t="array" aca="1" ref="AW175" ca="1">IF(ISERROR(DATEVALUE(_xll.BDP($E175,AW$6))),"",DATEVALUE(_xll.BDP($E175,AW$6)))</f>
        <v/>
      </c>
      <c r="AX175" s="73" t="str" cm="1">
        <f t="array" aca="1" ref="AX175" ca="1">IF(ISERROR(DATEVALUE(_xll.BDP($E175,AX$2))),"",DATEVALUE(_xll.BDP($E175,AX$2)))</f>
        <v/>
      </c>
      <c r="AY175" s="73" t="str" cm="1">
        <f t="array" aca="1" ref="AY175" ca="1">IF(ISERROR(DATEVALUE(_xll.BDP($E175,AY$6))),"",DATEVALUE(_xll.BDP($E175,AY$6)))</f>
        <v/>
      </c>
      <c r="AZ175" s="110" t="e" cm="1">
        <f t="array" aca="1" ref="AZ175" ca="1">IF(_xll.BQL($E175, "last(matches(px_last(dates=range(-1w,0d)), dayofweek(px_last(dates=range(-1w,0d)).date)==6))")="#N/A","-",_xll.BQL($E175, "last(matches(px_last(dates=range(-1w,0d)), dayofweek(px_last(dates=range(-1w,0d)).date)==6))"))</f>
        <v>#NAME?</v>
      </c>
      <c r="BA175" s="109" t="e" cm="1">
        <f t="array" aca="1" ref="BA175" ca="1">IF(_xll.BQL(E175,"first(last(matches(px_last(dates=range(-1M,0D)),dayofweek(px_last(dates=range(-1M,0D)).date)==6),2),1)")="#N/A","-",_xll.BQL(E175,"first(last(matches(px_last(dates=range(-1M,0D)),dayofweek(px_last(dates=range(-1M,0D)).date)==6),2),1)"))</f>
        <v>#NAME?</v>
      </c>
      <c r="BB175" s="109" t="str">
        <f t="shared" ca="1" si="53"/>
        <v>-</v>
      </c>
    </row>
    <row r="176" spans="5:54" s="121" customFormat="1" ht="16.5" customHeight="1" thickBot="1">
      <c r="E176" s="120" t="s">
        <v>1163</v>
      </c>
      <c r="F176" s="66" t="e">
        <f ca="1">_xll.BDP($E176,F$3)&amp;" BEST Curncy"</f>
        <v>#NAME?</v>
      </c>
      <c r="G176" s="97" t="e">
        <f t="shared" ca="1" si="47"/>
        <v>#NAME?</v>
      </c>
      <c r="I176" s="645"/>
      <c r="J176" s="98" t="e">
        <f ca="1">_xll.BDP($E176,J$3)</f>
        <v>#NAME?</v>
      </c>
      <c r="K176" s="99" t="e">
        <f ca="1">_xll.BDP($E176,K$3)</f>
        <v>#NAME?</v>
      </c>
      <c r="L176" s="100" t="str">
        <f ca="1">IF(ISNUMBER(_xll.BDH($E176,"PX_LAST",TEXT($E$2,"YYYYMMDD"),TEXT($E$2,"YYYYMMDD"),"days=a","fill=p")),_xll.BDH($E176,"PX_LAST",TEXT($E$2,"YYYYMMDD"),TEXT($E$2,"YYYYMMDD"),"days=a","fill=p"),"-")</f>
        <v>-</v>
      </c>
      <c r="M176" s="100" t="str">
        <f ca="1">IF(ISNUMBER(_xll.BDH($E176,"PX_LAST",TEXT($E$2-7,"YYYYMMDD"),TEXT($E$2-7,"YYYYMMDD"),"days=a","fill=p")),_xll.BDH($E176,"PX_LAST",TEXT($E$2-7,"YYYYMMDD"),TEXT($E$2-7,"YYYYMMDD"),"days=a","fill=p"),"-")</f>
        <v>-</v>
      </c>
      <c r="N176" s="180" t="str">
        <f t="shared" ca="1" si="50"/>
        <v>-</v>
      </c>
      <c r="O176" s="101" t="e">
        <f ca="1">IF(OR(_xll.BDP($E176,O$3)="#N/A N/A",_xll.BDP($E176,O$3)="#N/A Invalid Security"), "-", _xll.BDP($E176,O$3))</f>
        <v>#NAME?</v>
      </c>
      <c r="P176" s="182" t="str">
        <f ca="1">IF(ISNUMBER(_xll.BDH($F176,"PX_LAST",TEXT($E$2,"YYYYMMDD"),TEXT($E$2,"YYYYMMDD"),"days=a","fill=p")),_xll.BDH($F176,"PX_LAST",TEXT($E$2,"YYYYMMDD"),TEXT($E$2,"YYYYMMDD"),"days=a","fill=p"),"-")</f>
        <v>-</v>
      </c>
      <c r="Q176" s="182" t="str">
        <f ca="1">IF(ISNUMBER(_xll.BDH($F176,"PX_LAST",TEXT($E$2-7,"YYYYMMDD"),TEXT($E$2-7,"YYYYMMDD"),"days=a","fill=p")),_xll.BDH($F176,"PX_LAST",TEXT($E$2-7,"YYYYMMDD"),TEXT($E$2-7,"YYYYMMDD"),"days=a","fill=p"),"-")</f>
        <v>-</v>
      </c>
      <c r="R176" s="102" t="str">
        <f t="shared" ca="1" si="51"/>
        <v>-</v>
      </c>
      <c r="S176" s="103" t="str">
        <f ca="1">IF(ISNUMBER(_xll.BDP($F176,S$3)),_xll.BDP($F176,S$3),"-")</f>
        <v>-</v>
      </c>
      <c r="T176" s="104" t="e">
        <f t="shared" ca="1" si="52"/>
        <v>#NAME?</v>
      </c>
      <c r="U176" s="105" t="e">
        <f ca="1">IF(OR(_xll.BDP($E176,U$3)="#N/A N/A",_xll.BDP($E176,U$3)="#N/A Invalid Security"), "-", _xll.BDP($E176,U$3))</f>
        <v>#NAME?</v>
      </c>
      <c r="V176" s="105" t="e">
        <f ca="1">IF(OR(_xll.BDP($E176,V$2)="#N/A N/A",_xll.BDP($E176,V$2)="#N/A Invalid Security"), "-", _xll.BDP($E176,V$2))</f>
        <v>#NAME?</v>
      </c>
      <c r="W176" s="106" t="e">
        <f ca="1">IF(OR(_xll.BDP($E176,W$3)="#N/A N/A",_xll.BDP($E176,W$3)="#N/A Invalid Security"), "-", _xll.BDP($E176,W$3))</f>
        <v>#NAME?</v>
      </c>
      <c r="X176" s="105" t="e">
        <f ca="1">IF(OR(_xll.BDP($E176,X$3)="#N/A N/A",_xll.BDP($E176,X$3)="#N/A Invalid Security"), " ", _xll.BDP($E176,X$3))</f>
        <v>#NAME?</v>
      </c>
      <c r="Y176" s="105" t="e">
        <f ca="1">IF(OR(_xll.BDP($E176,Y$3)="#N/A N/A",_xll.BDP($E176,Y$3)="#N/A Invalid Security"), " ", _xll.BDP($E176,Y$3))</f>
        <v>#NAME?</v>
      </c>
      <c r="Z176" s="106" t="e">
        <f ca="1">IF(OR(_xll.BDP($E176,Z$3)="#N/A N/A",_xll.BDP($E176,Z$3)="#N/A Invalid Security"), " ", _xll.BDP($E176,Z$3))</f>
        <v>#NAME?</v>
      </c>
      <c r="AA176" s="123"/>
      <c r="AB176" s="124" t="s">
        <v>932</v>
      </c>
      <c r="AC176" s="124" t="s">
        <v>875</v>
      </c>
      <c r="AD176" s="124" t="s">
        <v>950</v>
      </c>
      <c r="AE176" s="124" t="s">
        <v>940</v>
      </c>
      <c r="AF176" s="124" t="s">
        <v>940</v>
      </c>
      <c r="AG176" s="124" t="s">
        <v>940</v>
      </c>
      <c r="AH176" s="95" t="e">
        <f t="shared" ca="1" si="48"/>
        <v>#NAME?</v>
      </c>
      <c r="AI176" s="95" t="e">
        <f t="shared" ca="1" si="48"/>
        <v>#NAME?</v>
      </c>
      <c r="AJ176" s="95" t="e">
        <f t="shared" ca="1" si="48"/>
        <v>#NAME?</v>
      </c>
      <c r="AK176" s="95" t="e">
        <f t="shared" ca="1" si="48"/>
        <v>#NAME?</v>
      </c>
      <c r="AL176" s="95" t="e">
        <f t="shared" ca="1" si="48"/>
        <v>#NAME?</v>
      </c>
      <c r="AM176" s="95" t="e">
        <f t="shared" ca="1" si="48"/>
        <v>#NAME?</v>
      </c>
      <c r="AN176" s="121" t="str">
        <f t="shared" ca="1" si="54"/>
        <v/>
      </c>
      <c r="AO176" s="108" t="e" cm="1">
        <f t="array" aca="1" ref="AO176" ca="1">_xll.BDP($E176,"cur_mkt_cap")</f>
        <v>#NAME?</v>
      </c>
      <c r="AP176" s="108" t="e" cm="1">
        <f t="array" aca="1" ref="AP176" ca="1">_xll.BDP($E176,"crncy")</f>
        <v>#NAME?</v>
      </c>
      <c r="AQ176" s="109" t="e" cm="1">
        <f t="array" aca="1" ref="AQ176" ca="1">_xll.BDP("USD"&amp;AP176&amp;" curncy","px_last")</f>
        <v>#NAME?</v>
      </c>
      <c r="AR176" s="109" t="e">
        <f t="shared" ca="1" si="49"/>
        <v>#NAME?</v>
      </c>
      <c r="AT176" s="121" t="str">
        <f t="shared" ca="1" si="41"/>
        <v/>
      </c>
      <c r="AU176" s="121" t="str">
        <f t="shared" ca="1" si="41"/>
        <v/>
      </c>
      <c r="AV176" s="121" t="str">
        <f t="shared" ca="1" si="41"/>
        <v/>
      </c>
      <c r="AW176" s="73" t="str" cm="1">
        <f t="array" aca="1" ref="AW176" ca="1">IF(ISERROR(DATEVALUE(_xll.BDP($E176,AW$6))),"",DATEVALUE(_xll.BDP($E176,AW$6)))</f>
        <v/>
      </c>
      <c r="AX176" s="73" t="str" cm="1">
        <f t="array" aca="1" ref="AX176" ca="1">IF(ISERROR(DATEVALUE(_xll.BDP($E176,AX$2))),"",DATEVALUE(_xll.BDP($E176,AX$2)))</f>
        <v/>
      </c>
      <c r="AY176" s="73" t="str" cm="1">
        <f t="array" aca="1" ref="AY176" ca="1">IF(ISERROR(DATEVALUE(_xll.BDP($E176,AY$6))),"",DATEVALUE(_xll.BDP($E176,AY$6)))</f>
        <v/>
      </c>
      <c r="AZ176" s="110" t="e" cm="1">
        <f t="array" aca="1" ref="AZ176" ca="1">IF(_xll.BQL($E176, "last(matches(px_last(dates=range(-1w,0d)), dayofweek(px_last(dates=range(-1w,0d)).date)==6))")="#N/A","-",_xll.BQL($E176, "last(matches(px_last(dates=range(-1w,0d)), dayofweek(px_last(dates=range(-1w,0d)).date)==6))"))</f>
        <v>#NAME?</v>
      </c>
      <c r="BA176" s="109" t="e" cm="1">
        <f t="array" aca="1" ref="BA176" ca="1">IF(_xll.BQL(E176,"first(last(matches(px_last(dates=range(-1M,0D)),dayofweek(px_last(dates=range(-1M,0D)).date)==6),2),1)")="#N/A","-",_xll.BQL(E176,"first(last(matches(px_last(dates=range(-1M,0D)),dayofweek(px_last(dates=range(-1M,0D)).date)==6),2),1)"))</f>
        <v>#NAME?</v>
      </c>
      <c r="BB176" s="109" t="str">
        <f t="shared" ca="1" si="53"/>
        <v>-</v>
      </c>
    </row>
    <row r="177" spans="5:54" s="121" customFormat="1" ht="16.5" customHeight="1" thickBot="1">
      <c r="E177" s="120" t="s">
        <v>1164</v>
      </c>
      <c r="F177" s="66" t="e">
        <f ca="1">_xll.BDP($E177,F$3)&amp;" BEST Curncy"</f>
        <v>#NAME?</v>
      </c>
      <c r="G177" s="97" t="e">
        <f t="shared" ca="1" si="47"/>
        <v>#NAME?</v>
      </c>
      <c r="I177" s="645"/>
      <c r="J177" s="98" t="e">
        <f ca="1">_xll.BDP($E177,J$3)</f>
        <v>#NAME?</v>
      </c>
      <c r="K177" s="99" t="e">
        <f ca="1">_xll.BDP($E177,K$3)</f>
        <v>#NAME?</v>
      </c>
      <c r="L177" s="100" t="str">
        <f ca="1">IF(ISNUMBER(_xll.BDH($E177,"PX_LAST",TEXT($E$2,"YYYYMMDD"),TEXT($E$2,"YYYYMMDD"),"days=a","fill=p")),_xll.BDH($E177,"PX_LAST",TEXT($E$2,"YYYYMMDD"),TEXT($E$2,"YYYYMMDD"),"days=a","fill=p"),"-")</f>
        <v>-</v>
      </c>
      <c r="M177" s="100" t="str">
        <f ca="1">IF(ISNUMBER(_xll.BDH($E177,"PX_LAST",TEXT($E$2-7,"YYYYMMDD"),TEXT($E$2-7,"YYYYMMDD"),"days=a","fill=p")),_xll.BDH($E177,"PX_LAST",TEXT($E$2-7,"YYYYMMDD"),TEXT($E$2-7,"YYYYMMDD"),"days=a","fill=p"),"-")</f>
        <v>-</v>
      </c>
      <c r="N177" s="180" t="str">
        <f t="shared" ca="1" si="50"/>
        <v>-</v>
      </c>
      <c r="O177" s="101" t="e">
        <f ca="1">IF(OR(_xll.BDP($E177,O$3)="#N/A N/A",_xll.BDP($E177,O$3)="#N/A Invalid Security"), "-", _xll.BDP($E177,O$3))</f>
        <v>#NAME?</v>
      </c>
      <c r="P177" s="182" t="str">
        <f ca="1">IF(ISNUMBER(_xll.BDH($F177,"PX_LAST",TEXT($E$2,"YYYYMMDD"),TEXT($E$2,"YYYYMMDD"),"days=a","fill=p")),_xll.BDH($F177,"PX_LAST",TEXT($E$2,"YYYYMMDD"),TEXT($E$2,"YYYYMMDD"),"days=a","fill=p"),"-")</f>
        <v>-</v>
      </c>
      <c r="Q177" s="182" t="str">
        <f ca="1">IF(ISNUMBER(_xll.BDH($F177,"PX_LAST",TEXT($E$2-7,"YYYYMMDD"),TEXT($E$2-7,"YYYYMMDD"),"days=a","fill=p")),_xll.BDH($F177,"PX_LAST",TEXT($E$2-7,"YYYYMMDD"),TEXT($E$2-7,"YYYYMMDD"),"days=a","fill=p"),"-")</f>
        <v>-</v>
      </c>
      <c r="R177" s="102" t="str">
        <f t="shared" ca="1" si="51"/>
        <v>-</v>
      </c>
      <c r="S177" s="103" t="str">
        <f ca="1">IF(ISNUMBER(_xll.BDP($F177,S$3)),_xll.BDP($F177,S$3),"-")</f>
        <v>-</v>
      </c>
      <c r="T177" s="104" t="e">
        <f t="shared" ca="1" si="52"/>
        <v>#NAME?</v>
      </c>
      <c r="U177" s="105" t="e">
        <f ca="1">IF(OR(_xll.BDP($E177,U$3)="#N/A N/A",_xll.BDP($E177,U$3)="#N/A Invalid Security"), "-", _xll.BDP($E177,U$3))</f>
        <v>#NAME?</v>
      </c>
      <c r="V177" s="105" t="e">
        <f ca="1">IF(OR(_xll.BDP($E177,V$2)="#N/A N/A",_xll.BDP($E177,V$2)="#N/A Invalid Security"), "-", _xll.BDP($E177,V$2))</f>
        <v>#NAME?</v>
      </c>
      <c r="W177" s="106" t="e">
        <f ca="1">IF(OR(_xll.BDP($E177,W$3)="#N/A N/A",_xll.BDP($E177,W$3)="#N/A Invalid Security"), "-", _xll.BDP($E177,W$3))</f>
        <v>#NAME?</v>
      </c>
      <c r="X177" s="105" t="e">
        <f ca="1">IF(OR(_xll.BDP($E177,X$3)="#N/A N/A",_xll.BDP($E177,X$3)="#N/A Invalid Security"), " ", _xll.BDP($E177,X$3))</f>
        <v>#NAME?</v>
      </c>
      <c r="Y177" s="105" t="e">
        <f ca="1">IF(OR(_xll.BDP($E177,Y$3)="#N/A N/A",_xll.BDP($E177,Y$3)="#N/A Invalid Security"), " ", _xll.BDP($E177,Y$3))</f>
        <v>#NAME?</v>
      </c>
      <c r="Z177" s="106" t="e">
        <f ca="1">IF(OR(_xll.BDP($E177,Z$3)="#N/A N/A",_xll.BDP($E177,Z$3)="#N/A Invalid Security"), " ", _xll.BDP($E177,Z$3))</f>
        <v>#NAME?</v>
      </c>
      <c r="AA177" s="123"/>
      <c r="AB177" s="124" t="s">
        <v>932</v>
      </c>
      <c r="AC177" s="124" t="s">
        <v>875</v>
      </c>
      <c r="AD177" s="124" t="s">
        <v>950</v>
      </c>
      <c r="AE177" s="124" t="s">
        <v>940</v>
      </c>
      <c r="AF177" s="124" t="s">
        <v>940</v>
      </c>
      <c r="AG177" s="124" t="s">
        <v>940</v>
      </c>
      <c r="AH177" s="95" t="e">
        <f t="shared" ca="1" si="48"/>
        <v>#NAME?</v>
      </c>
      <c r="AI177" s="95" t="e">
        <f t="shared" ca="1" si="48"/>
        <v>#NAME?</v>
      </c>
      <c r="AJ177" s="95" t="e">
        <f t="shared" ca="1" si="48"/>
        <v>#NAME?</v>
      </c>
      <c r="AK177" s="95" t="e">
        <f t="shared" ca="1" si="48"/>
        <v>#NAME?</v>
      </c>
      <c r="AL177" s="95" t="e">
        <f t="shared" ca="1" si="48"/>
        <v>#NAME?</v>
      </c>
      <c r="AM177" s="95" t="e">
        <f t="shared" ca="1" si="48"/>
        <v>#NAME?</v>
      </c>
      <c r="AN177" s="121" t="str">
        <f t="shared" ca="1" si="54"/>
        <v/>
      </c>
      <c r="AO177" s="108" t="e" cm="1">
        <f t="array" aca="1" ref="AO177" ca="1">_xll.BDP($E177,"cur_mkt_cap")</f>
        <v>#NAME?</v>
      </c>
      <c r="AP177" s="108" t="e" cm="1">
        <f t="array" aca="1" ref="AP177" ca="1">_xll.BDP($E177,"crncy")</f>
        <v>#NAME?</v>
      </c>
      <c r="AQ177" s="109" t="e" cm="1">
        <f t="array" aca="1" ref="AQ177" ca="1">_xll.BDP("USD"&amp;AP177&amp;" curncy","px_last")</f>
        <v>#NAME?</v>
      </c>
      <c r="AR177" s="109" t="e">
        <f ca="1">AO177/AQ177/1000000000</f>
        <v>#NAME?</v>
      </c>
      <c r="AT177" s="121" t="str">
        <f t="shared" ca="1" si="41"/>
        <v/>
      </c>
      <c r="AU177" s="121" t="str">
        <f t="shared" ca="1" si="41"/>
        <v/>
      </c>
      <c r="AV177" s="121" t="str">
        <f t="shared" ca="1" si="41"/>
        <v/>
      </c>
      <c r="AW177" s="73" t="str" cm="1">
        <f t="array" aca="1" ref="AW177" ca="1">IF(ISERROR(DATEVALUE(_xll.BDP($E177,AW$6))),"",DATEVALUE(_xll.BDP($E177,AW$6)))</f>
        <v/>
      </c>
      <c r="AX177" s="73" t="str" cm="1">
        <f t="array" aca="1" ref="AX177" ca="1">IF(ISERROR(DATEVALUE(_xll.BDP($E177,AX$2))),"",DATEVALUE(_xll.BDP($E177,AX$2)))</f>
        <v/>
      </c>
      <c r="AY177" s="73" t="str" cm="1">
        <f t="array" aca="1" ref="AY177" ca="1">IF(ISERROR(DATEVALUE(_xll.BDP($E177,AY$6))),"",DATEVALUE(_xll.BDP($E177,AY$6)))</f>
        <v/>
      </c>
      <c r="AZ177" s="110" t="e" cm="1">
        <f t="array" aca="1" ref="AZ177" ca="1">IF(_xll.BQL($E177, "last(matches(px_last(dates=range(-1w,0d)), dayofweek(px_last(dates=range(-1w,0d)).date)==6))")="#N/A","-",_xll.BQL($E177, "last(matches(px_last(dates=range(-1w,0d)), dayofweek(px_last(dates=range(-1w,0d)).date)==6))"))</f>
        <v>#NAME?</v>
      </c>
      <c r="BA177" s="109" t="e" cm="1">
        <f t="array" aca="1" ref="BA177" ca="1">IF(_xll.BQL(E177,"first(last(matches(px_last(dates=range(-1M,0D)),dayofweek(px_last(dates=range(-1M,0D)).date)==6),2),1)")="#N/A","-",_xll.BQL(E177,"first(last(matches(px_last(dates=range(-1M,0D)),dayofweek(px_last(dates=range(-1M,0D)).date)==6),2),1)"))</f>
        <v>#NAME?</v>
      </c>
      <c r="BB177" s="109" t="str">
        <f t="shared" ca="1" si="53"/>
        <v>-</v>
      </c>
    </row>
    <row r="178" spans="5:54" s="121" customFormat="1" ht="16.5" customHeight="1" thickBot="1">
      <c r="E178" s="120" t="s">
        <v>1165</v>
      </c>
      <c r="F178" s="66" t="e">
        <f ca="1">_xll.BDP($E178,F$3)&amp;" BEST Curncy"</f>
        <v>#NAME?</v>
      </c>
      <c r="G178" s="97" t="e">
        <f t="shared" ca="1" si="47"/>
        <v>#NAME?</v>
      </c>
      <c r="I178" s="645"/>
      <c r="J178" s="98" t="e">
        <f ca="1">_xll.BDP($E178,J$3)</f>
        <v>#NAME?</v>
      </c>
      <c r="K178" s="99" t="e">
        <f ca="1">_xll.BDP($E178,K$3)</f>
        <v>#NAME?</v>
      </c>
      <c r="L178" s="100" t="str">
        <f ca="1">IF(ISNUMBER(_xll.BDH($E178,"PX_LAST",TEXT($E$2,"YYYYMMDD"),TEXT($E$2,"YYYYMMDD"),"days=a","fill=p")),_xll.BDH($E178,"PX_LAST",TEXT($E$2,"YYYYMMDD"),TEXT($E$2,"YYYYMMDD"),"days=a","fill=p"),"-")</f>
        <v>-</v>
      </c>
      <c r="M178" s="100" t="str">
        <f ca="1">IF(ISNUMBER(_xll.BDH($E178,"PX_LAST",TEXT($E$2-7,"YYYYMMDD"),TEXT($E$2-7,"YYYYMMDD"),"days=a","fill=p")),_xll.BDH($E178,"PX_LAST",TEXT($E$2-7,"YYYYMMDD"),TEXT($E$2-7,"YYYYMMDD"),"days=a","fill=p"),"-")</f>
        <v>-</v>
      </c>
      <c r="N178" s="180" t="str">
        <f t="shared" ca="1" si="50"/>
        <v>-</v>
      </c>
      <c r="O178" s="101" t="e">
        <f ca="1">IF(OR(_xll.BDP($E178,O$3)="#N/A N/A",_xll.BDP($E178,O$3)="#N/A Invalid Security"), "-", _xll.BDP($E178,O$3))</f>
        <v>#NAME?</v>
      </c>
      <c r="P178" s="182" t="str">
        <f ca="1">IF(ISNUMBER(_xll.BDH($F178,"PX_LAST",TEXT($E$2,"YYYYMMDD"),TEXT($E$2,"YYYYMMDD"),"days=a","fill=p")),_xll.BDH($F178,"PX_LAST",TEXT($E$2,"YYYYMMDD"),TEXT($E$2,"YYYYMMDD"),"days=a","fill=p"),"-")</f>
        <v>-</v>
      </c>
      <c r="Q178" s="182" t="str">
        <f ca="1">IF(ISNUMBER(_xll.BDH($F178,"PX_LAST",TEXT($E$2-7,"YYYYMMDD"),TEXT($E$2-7,"YYYYMMDD"),"days=a","fill=p")),_xll.BDH($F178,"PX_LAST",TEXT($E$2-7,"YYYYMMDD"),TEXT($E$2-7,"YYYYMMDD"),"days=a","fill=p"),"-")</f>
        <v>-</v>
      </c>
      <c r="R178" s="102" t="str">
        <f t="shared" ca="1" si="51"/>
        <v>-</v>
      </c>
      <c r="S178" s="103" t="str">
        <f ca="1">IF(ISNUMBER(_xll.BDP($F178,S$3)),_xll.BDP($F178,S$3),"-")</f>
        <v>-</v>
      </c>
      <c r="T178" s="104" t="e">
        <f t="shared" ca="1" si="52"/>
        <v>#NAME?</v>
      </c>
      <c r="U178" s="105" t="e">
        <f ca="1">IF(OR(_xll.BDP($E178,U$3)="#N/A N/A",_xll.BDP($E178,U$3)="#N/A Invalid Security"), "-", _xll.BDP($E178,U$3))</f>
        <v>#NAME?</v>
      </c>
      <c r="V178" s="105" t="e">
        <f ca="1">IF(OR(_xll.BDP($E178,V$2)="#N/A N/A",_xll.BDP($E178,V$2)="#N/A Invalid Security"), "-", _xll.BDP($E178,V$2))</f>
        <v>#NAME?</v>
      </c>
      <c r="W178" s="106" t="e">
        <f ca="1">IF(OR(_xll.BDP($E178,W$3)="#N/A N/A",_xll.BDP($E178,W$3)="#N/A Invalid Security"), "-", _xll.BDP($E178,W$3))</f>
        <v>#NAME?</v>
      </c>
      <c r="X178" s="105" t="e">
        <f ca="1">IF(OR(_xll.BDP($E178,X$3)="#N/A N/A",_xll.BDP($E178,X$3)="#N/A Invalid Security"), " ", _xll.BDP($E178,X$3))</f>
        <v>#NAME?</v>
      </c>
      <c r="Y178" s="105" t="e">
        <f ca="1">IF(OR(_xll.BDP($E178,Y$3)="#N/A N/A",_xll.BDP($E178,Y$3)="#N/A Invalid Security"), " ", _xll.BDP($E178,Y$3))</f>
        <v>#NAME?</v>
      </c>
      <c r="Z178" s="106" t="e">
        <f ca="1">IF(OR(_xll.BDP($E178,Z$3)="#N/A N/A",_xll.BDP($E178,Z$3)="#N/A Invalid Security"), " ", _xll.BDP($E178,Z$3))</f>
        <v>#NAME?</v>
      </c>
      <c r="AA178" s="123"/>
      <c r="AB178" s="124" t="s">
        <v>953</v>
      </c>
      <c r="AC178" s="124" t="s">
        <v>939</v>
      </c>
      <c r="AD178" s="124" t="s">
        <v>876</v>
      </c>
      <c r="AE178" s="124" t="s">
        <v>940</v>
      </c>
      <c r="AF178" s="124" t="s">
        <v>935</v>
      </c>
      <c r="AG178" s="124" t="s">
        <v>940</v>
      </c>
      <c r="AH178" s="95" t="e">
        <f t="shared" ca="1" si="48"/>
        <v>#NAME?</v>
      </c>
      <c r="AI178" s="95" t="e">
        <f t="shared" ca="1" si="48"/>
        <v>#NAME?</v>
      </c>
      <c r="AJ178" s="95" t="e">
        <f t="shared" ca="1" si="48"/>
        <v>#NAME?</v>
      </c>
      <c r="AK178" s="95" t="e">
        <f t="shared" ca="1" si="48"/>
        <v>#NAME?</v>
      </c>
      <c r="AL178" s="95" t="e">
        <f t="shared" ca="1" si="48"/>
        <v>#NAME?</v>
      </c>
      <c r="AM178" s="95" t="e">
        <f t="shared" ca="1" si="48"/>
        <v>#NAME?</v>
      </c>
      <c r="AN178" s="121" t="str">
        <f t="shared" ca="1" si="54"/>
        <v/>
      </c>
      <c r="AO178" s="108" t="e" cm="1">
        <f t="array" aca="1" ref="AO178" ca="1">_xll.BDP($E178,"cur_mkt_cap")</f>
        <v>#NAME?</v>
      </c>
      <c r="AP178" s="108" t="e" cm="1">
        <f t="array" aca="1" ref="AP178" ca="1">_xll.BDP($E178,"crncy")</f>
        <v>#NAME?</v>
      </c>
      <c r="AQ178" s="109" t="e" cm="1">
        <f t="array" aca="1" ref="AQ178" ca="1">_xll.BDP("USD"&amp;AP178&amp;" curncy","px_last")</f>
        <v>#NAME?</v>
      </c>
      <c r="AR178" s="109" t="e">
        <f t="shared" ref="AR178:AR185" ca="1" si="55">AO178/AQ178/1000000000</f>
        <v>#NAME?</v>
      </c>
      <c r="AT178" s="121" t="str">
        <f t="shared" ca="1" si="41"/>
        <v/>
      </c>
      <c r="AU178" s="121" t="str">
        <f t="shared" ca="1" si="41"/>
        <v/>
      </c>
      <c r="AV178" s="121" t="str">
        <f t="shared" ca="1" si="41"/>
        <v/>
      </c>
      <c r="AW178" s="73" t="str" cm="1">
        <f t="array" aca="1" ref="AW178" ca="1">IF(ISERROR(DATEVALUE(_xll.BDP($E178,AW$6))),"",DATEVALUE(_xll.BDP($E178,AW$6)))</f>
        <v/>
      </c>
      <c r="AX178" s="73" t="str" cm="1">
        <f t="array" aca="1" ref="AX178" ca="1">IF(ISERROR(DATEVALUE(_xll.BDP($E178,AX$2))),"",DATEVALUE(_xll.BDP($E178,AX$2)))</f>
        <v/>
      </c>
      <c r="AY178" s="73" t="str" cm="1">
        <f t="array" aca="1" ref="AY178" ca="1">IF(ISERROR(DATEVALUE(_xll.BDP($E178,AY$6))),"",DATEVALUE(_xll.BDP($E178,AY$6)))</f>
        <v/>
      </c>
      <c r="AZ178" s="110" t="e" cm="1">
        <f t="array" aca="1" ref="AZ178" ca="1">IF(_xll.BQL($E178, "last(matches(px_last(dates=range(-1w,0d)), dayofweek(px_last(dates=range(-1w,0d)).date)==6))")="#N/A","-",_xll.BQL($E178, "last(matches(px_last(dates=range(-1w,0d)), dayofweek(px_last(dates=range(-1w,0d)).date)==6))"))</f>
        <v>#NAME?</v>
      </c>
      <c r="BA178" s="109" t="e" cm="1">
        <f t="array" aca="1" ref="BA178" ca="1">IF(_xll.BQL(E178,"first(last(matches(px_last(dates=range(-1M,0D)),dayofweek(px_last(dates=range(-1M,0D)).date)==6),2),1)")="#N/A","-",_xll.BQL(E178,"first(last(matches(px_last(dates=range(-1M,0D)),dayofweek(px_last(dates=range(-1M,0D)).date)==6),2),1)"))</f>
        <v>#NAME?</v>
      </c>
      <c r="BB178" s="109" t="str">
        <f t="shared" ca="1" si="53"/>
        <v>-</v>
      </c>
    </row>
    <row r="179" spans="5:54" s="121" customFormat="1" ht="16.5" customHeight="1" thickBot="1">
      <c r="E179" s="120" t="s">
        <v>1852</v>
      </c>
      <c r="F179" s="66" t="e">
        <f ca="1">_xll.BDP($E179,F$3)&amp;" BEST Curncy"</f>
        <v>#NAME?</v>
      </c>
      <c r="G179" s="97" t="e">
        <f ca="1">AR179</f>
        <v>#NAME?</v>
      </c>
      <c r="I179" s="645"/>
      <c r="J179" s="98" t="e">
        <f ca="1">_xll.BDP($E179,J$3)</f>
        <v>#NAME?</v>
      </c>
      <c r="K179" s="99" t="e">
        <f ca="1">_xll.BDP($E179,K$3)</f>
        <v>#NAME?</v>
      </c>
      <c r="L179" s="100" t="str">
        <f ca="1">IF(ISNUMBER(_xll.BDH($E179,"PX_LAST",TEXT($E$2,"YYYYMMDD"),TEXT($E$2,"YYYYMMDD"),"days=a","fill=p")),_xll.BDH($E179,"PX_LAST",TEXT($E$2,"YYYYMMDD"),TEXT($E$2,"YYYYMMDD"),"days=a","fill=p"),"-")</f>
        <v>-</v>
      </c>
      <c r="M179" s="100" t="str">
        <f ca="1">IF(ISNUMBER(_xll.BDH($E179,"PX_LAST",TEXT($E$2-7,"YYYYMMDD"),TEXT($E$2-7,"YYYYMMDD"),"days=a","fill=p")),_xll.BDH($E179,"PX_LAST",TEXT($E$2-7,"YYYYMMDD"),TEXT($E$2-7,"YYYYMMDD"),"days=a","fill=p"),"-")</f>
        <v>-</v>
      </c>
      <c r="N179" s="180" t="str">
        <f ca="1">IF(ISNUMBER(($L179-$M179)/$M179),($L179-$M179)/$M179,"-")</f>
        <v>-</v>
      </c>
      <c r="O179" s="101" t="e">
        <f ca="1">IF(OR(_xll.BDP($E179,O$3)="#N/A N/A",_xll.BDP($E179,O$3)="#N/A Invalid Security"), "-", _xll.BDP($E179,O$3))</f>
        <v>#NAME?</v>
      </c>
      <c r="P179" s="182" t="str">
        <f ca="1">IF(ISNUMBER(_xll.BDH($F179,"PX_LAST",TEXT($E$2,"YYYYMMDD"),TEXT($E$2,"YYYYMMDD"),"days=a","fill=p")),_xll.BDH($F179,"PX_LAST",TEXT($E$2,"YYYYMMDD"),TEXT($E$2,"YYYYMMDD"),"days=a","fill=p"),"-")</f>
        <v>-</v>
      </c>
      <c r="Q179" s="182" t="str">
        <f ca="1">IF(ISNUMBER(_xll.BDH($F179,"PX_LAST",TEXT($E$2-7,"YYYYMMDD"),TEXT($E$2-7,"YYYYMMDD"),"days=a","fill=p")),_xll.BDH($F179,"PX_LAST",TEXT($E$2-7,"YYYYMMDD"),TEXT($E$2-7,"YYYYMMDD"),"days=a","fill=p"),"-")</f>
        <v>-</v>
      </c>
      <c r="R179" s="102" t="str">
        <f ca="1">IF(ISNUMBER($P179-$Q179),$P179-$Q179,"-")</f>
        <v>-</v>
      </c>
      <c r="S179" s="103" t="str">
        <f ca="1">IF(ISNUMBER(_xll.BDP($F179,S$3)),_xll.BDP($F179,S$3),"-")</f>
        <v>-</v>
      </c>
      <c r="T179" s="104" t="e">
        <f t="shared" ca="1" si="52"/>
        <v>#NAME?</v>
      </c>
      <c r="U179" s="105" t="e">
        <f ca="1">IF(OR(_xll.BDP($E179,U$3)="#N/A N/A",_xll.BDP($E179,U$3)="#N/A Invalid Security"), "-", _xll.BDP($E179,U$3))</f>
        <v>#NAME?</v>
      </c>
      <c r="V179" s="105" t="e">
        <f ca="1">IF(OR(_xll.BDP($E179,V$2)="#N/A N/A",_xll.BDP($E179,V$2)="#N/A Invalid Security"), "-", _xll.BDP($E179,V$2))</f>
        <v>#NAME?</v>
      </c>
      <c r="W179" s="106" t="e">
        <f ca="1">IF(OR(_xll.BDP($E179,W$3)="#N/A N/A",_xll.BDP($E179,W$3)="#N/A Invalid Security"), "-", _xll.BDP($E179,W$3))</f>
        <v>#NAME?</v>
      </c>
      <c r="X179" s="105" t="e">
        <f ca="1">IF(OR(_xll.BDP($E179,X$3)="#N/A N/A",_xll.BDP($E179,X$3)="#N/A Invalid Security"), " ", _xll.BDP($E179,X$3))</f>
        <v>#NAME?</v>
      </c>
      <c r="Y179" s="105" t="e">
        <f ca="1">IF(OR(_xll.BDP($E179,Y$3)="#N/A N/A",_xll.BDP($E179,Y$3)="#N/A Invalid Security"), " ", _xll.BDP($E179,Y$3))</f>
        <v>#NAME?</v>
      </c>
      <c r="Z179" s="106" t="e">
        <f ca="1">IF(OR(_xll.BDP($E179,Z$3)="#N/A N/A",_xll.BDP($E179,Z$3)="#N/A Invalid Security"), " ", _xll.BDP($E179,Z$3))</f>
        <v>#NAME?</v>
      </c>
      <c r="AA179" s="123"/>
      <c r="AB179" s="124" t="s">
        <v>953</v>
      </c>
      <c r="AC179" s="124" t="s">
        <v>874</v>
      </c>
      <c r="AD179" s="124" t="s">
        <v>876</v>
      </c>
      <c r="AE179" s="124" t="s">
        <v>940</v>
      </c>
      <c r="AF179" s="124" t="s">
        <v>935</v>
      </c>
      <c r="AG179" s="124" t="s">
        <v>940</v>
      </c>
      <c r="AH179" s="95" t="e">
        <f t="shared" ca="1" si="48"/>
        <v>#NAME?</v>
      </c>
      <c r="AI179" s="95" t="e">
        <f t="shared" ca="1" si="48"/>
        <v>#NAME?</v>
      </c>
      <c r="AJ179" s="95" t="e">
        <f t="shared" ca="1" si="48"/>
        <v>#NAME?</v>
      </c>
      <c r="AK179" s="95" t="e">
        <f t="shared" ca="1" si="48"/>
        <v>#NAME?</v>
      </c>
      <c r="AL179" s="95" t="e">
        <f t="shared" ca="1" si="48"/>
        <v>#NAME?</v>
      </c>
      <c r="AM179" s="95" t="e">
        <f t="shared" ca="1" si="48"/>
        <v>#NAME?</v>
      </c>
      <c r="AN179" s="121" t="str">
        <f ca="1">IF(SUM(AT179:AV179)&gt;0,"Y","")</f>
        <v/>
      </c>
      <c r="AO179" s="108" t="e" cm="1">
        <f t="array" aca="1" ref="AO179" ca="1">_xll.BDP($E179,"cur_mkt_cap")</f>
        <v>#NAME?</v>
      </c>
      <c r="AP179" s="108" t="e" cm="1">
        <f t="array" aca="1" ref="AP179" ca="1">_xll.BDP($E179,"crncy")</f>
        <v>#NAME?</v>
      </c>
      <c r="AQ179" s="109" t="e" cm="1">
        <f t="array" aca="1" ref="AQ179" ca="1">_xll.BDP("USD"&amp;AP179&amp;" curncy","px_last")</f>
        <v>#NAME?</v>
      </c>
      <c r="AR179" s="109" t="e">
        <f t="shared" ca="1" si="55"/>
        <v>#NAME?</v>
      </c>
      <c r="AT179" s="121" t="str">
        <f ca="1">IF(AND(AW179&lt;=$E$1,AW179&gt;=$F$1),1,"")</f>
        <v/>
      </c>
      <c r="AU179" s="121" t="str">
        <f ca="1">IF(AND(AX179&lt;=$E$1,AX179&gt;=$F$1),1,"")</f>
        <v/>
      </c>
      <c r="AV179" s="121" t="str">
        <f ca="1">IF(AND(AY179&lt;=$E$1,AY179&gt;=$F$1),1,"")</f>
        <v/>
      </c>
      <c r="AW179" s="73" t="str" cm="1">
        <f t="array" aca="1" ref="AW179" ca="1">IF(ISERROR(DATEVALUE(_xll.BDP($E179,AW$6))),"",DATEVALUE(_xll.BDP($E179,AW$6)))</f>
        <v/>
      </c>
      <c r="AX179" s="73" t="str" cm="1">
        <f t="array" aca="1" ref="AX179" ca="1">IF(ISERROR(DATEVALUE(_xll.BDP($E179,AX$2))),"",DATEVALUE(_xll.BDP($E179,AX$2)))</f>
        <v/>
      </c>
      <c r="AY179" s="73" t="str" cm="1">
        <f t="array" aca="1" ref="AY179" ca="1">IF(ISERROR(DATEVALUE(_xll.BDP($E179,AY$6))),"",DATEVALUE(_xll.BDP($E179,AY$6)))</f>
        <v/>
      </c>
      <c r="AZ179" s="110" t="e" cm="1">
        <f t="array" aca="1" ref="AZ179" ca="1">IF(_xll.BQL($E179, "last(matches(px_last(dates=range(-1w,0d)), dayofweek(px_last(dates=range(-1w,0d)).date)==6))")="#N/A","-",_xll.BQL($E179, "last(matches(px_last(dates=range(-1w,0d)), dayofweek(px_last(dates=range(-1w,0d)).date)==6))"))</f>
        <v>#NAME?</v>
      </c>
      <c r="BA179" s="109" t="e" cm="1">
        <f t="array" aca="1" ref="BA179" ca="1">IF(_xll.BQL(E179,"first(last(matches(px_last(dates=range(-1M,0D)),dayofweek(px_last(dates=range(-1M,0D)).date)==6),2),1)")="#N/A","-",_xll.BQL(E179,"first(last(matches(px_last(dates=range(-1M,0D)),dayofweek(px_last(dates=range(-1M,0D)).date)==6),2),1)"))</f>
        <v>#NAME?</v>
      </c>
      <c r="BB179" s="109" t="str">
        <f t="shared" ca="1" si="53"/>
        <v>-</v>
      </c>
    </row>
    <row r="180" spans="5:54" s="121" customFormat="1" ht="16.5" customHeight="1" thickBot="1">
      <c r="E180" s="120" t="s">
        <v>1166</v>
      </c>
      <c r="F180" s="66" t="e">
        <f ca="1">_xll.BDP($E180,F$3)&amp;" BEST Curncy"</f>
        <v>#NAME?</v>
      </c>
      <c r="G180" s="97" t="e">
        <f t="shared" ca="1" si="47"/>
        <v>#NAME?</v>
      </c>
      <c r="I180" s="646"/>
      <c r="J180" s="98" t="e">
        <f ca="1">_xll.BDP($E180,J$3)</f>
        <v>#NAME?</v>
      </c>
      <c r="K180" s="99" t="e">
        <f ca="1">_xll.BDP($E180,K$3)</f>
        <v>#NAME?</v>
      </c>
      <c r="L180" s="100" t="str">
        <f ca="1">IF(ISNUMBER(_xll.BDH($E180,"PX_LAST",TEXT($E$2,"YYYYMMDD"),TEXT($E$2,"YYYYMMDD"),"days=a","fill=p")),_xll.BDH($E180,"PX_LAST",TEXT($E$2,"YYYYMMDD"),TEXT($E$2,"YYYYMMDD"),"days=a","fill=p"),"-")</f>
        <v>-</v>
      </c>
      <c r="M180" s="100" t="str">
        <f ca="1">IF(ISNUMBER(_xll.BDH($E180,"PX_LAST",TEXT($E$2-7,"YYYYMMDD"),TEXT($E$2-7,"YYYYMMDD"),"days=a","fill=p")),_xll.BDH($E180,"PX_LAST",TEXT($E$2-7,"YYYYMMDD"),TEXT($E$2-7,"YYYYMMDD"),"days=a","fill=p"),"-")</f>
        <v>-</v>
      </c>
      <c r="N180" s="180" t="str">
        <f t="shared" ref="N180:N194" ca="1" si="56">IF(ISNUMBER(($L180-$M180)/$M180),($L180-$M180)/$M180,"-")</f>
        <v>-</v>
      </c>
      <c r="O180" s="101" t="e">
        <f ca="1">IF(OR(_xll.BDP($E180,O$3)="#N/A N/A",_xll.BDP($E180,O$3)="#N/A Invalid Security"), "-", _xll.BDP($E180,O$3))</f>
        <v>#NAME?</v>
      </c>
      <c r="P180" s="182" t="str">
        <f ca="1">IF(ISNUMBER(_xll.BDH($F180,"PX_LAST",TEXT($E$2,"YYYYMMDD"),TEXT($E$2,"YYYYMMDD"),"days=a","fill=p")),_xll.BDH($F180,"PX_LAST",TEXT($E$2,"YYYYMMDD"),TEXT($E$2,"YYYYMMDD"),"days=a","fill=p"),"-")</f>
        <v>-</v>
      </c>
      <c r="Q180" s="182" t="str">
        <f ca="1">IF(ISNUMBER(_xll.BDH($F180,"PX_LAST",TEXT($E$2-7,"YYYYMMDD"),TEXT($E$2-7,"YYYYMMDD"),"days=a","fill=p")),_xll.BDH($F180,"PX_LAST",TEXT($E$2-7,"YYYYMMDD"),TEXT($E$2-7,"YYYYMMDD"),"days=a","fill=p"),"-")</f>
        <v>-</v>
      </c>
      <c r="R180" s="102" t="str">
        <f t="shared" ref="R180:R194" ca="1" si="57">IF(ISNUMBER($P180-$Q180),$P180-$Q180,"-")</f>
        <v>-</v>
      </c>
      <c r="S180" s="103" t="str">
        <f ca="1">IF(ISNUMBER(_xll.BDP($F180,S$3)),_xll.BDP($F180,S$3),"-")</f>
        <v>-</v>
      </c>
      <c r="T180" s="104" t="e">
        <f t="shared" ca="1" si="52"/>
        <v>#NAME?</v>
      </c>
      <c r="U180" s="105" t="e">
        <f ca="1">IF(OR(_xll.BDP($E180,U$3)="#N/A N/A",_xll.BDP($E180,U$3)="#N/A Invalid Security"), "-", _xll.BDP($E180,U$3))</f>
        <v>#NAME?</v>
      </c>
      <c r="V180" s="105" t="e">
        <f ca="1">IF(OR(_xll.BDP($E180,V$2)="#N/A N/A",_xll.BDP($E180,V$2)="#N/A Invalid Security"), "-", _xll.BDP($E180,V$2))</f>
        <v>#NAME?</v>
      </c>
      <c r="W180" s="106" t="e">
        <f ca="1">IF(OR(_xll.BDP($E180,W$3)="#N/A N/A",_xll.BDP($E180,W$3)="#N/A Invalid Security"), "-", _xll.BDP($E180,W$3))</f>
        <v>#NAME?</v>
      </c>
      <c r="X180" s="105" t="e">
        <f ca="1">IF(OR(_xll.BDP($E180,X$3)="#N/A N/A",_xll.BDP($E180,X$3)="#N/A Invalid Security"), " ", _xll.BDP($E180,X$3))</f>
        <v>#NAME?</v>
      </c>
      <c r="Y180" s="105" t="e">
        <f ca="1">IF(OR(_xll.BDP($E180,Y$3)="#N/A N/A",_xll.BDP($E180,Y$3)="#N/A Invalid Security"), " ", _xll.BDP($E180,Y$3))</f>
        <v>#NAME?</v>
      </c>
      <c r="Z180" s="106" t="e">
        <f ca="1">IF(OR(_xll.BDP($E180,Z$3)="#N/A N/A",_xll.BDP($E180,Z$3)="#N/A Invalid Security"), " ", _xll.BDP($E180,Z$3))</f>
        <v>#NAME?</v>
      </c>
      <c r="AA180" s="123"/>
      <c r="AB180" s="124" t="s">
        <v>934</v>
      </c>
      <c r="AC180" s="124" t="s">
        <v>942</v>
      </c>
      <c r="AD180" s="124" t="s">
        <v>876</v>
      </c>
      <c r="AE180" s="124" t="s">
        <v>936</v>
      </c>
      <c r="AF180" s="124" t="s">
        <v>940</v>
      </c>
      <c r="AG180" s="124" t="s">
        <v>940</v>
      </c>
      <c r="AH180" s="95" t="e">
        <f t="shared" ca="1" si="48"/>
        <v>#NAME?</v>
      </c>
      <c r="AI180" s="95" t="e">
        <f t="shared" ca="1" si="48"/>
        <v>#NAME?</v>
      </c>
      <c r="AJ180" s="95" t="e">
        <f t="shared" ca="1" si="48"/>
        <v>#NAME?</v>
      </c>
      <c r="AK180" s="95" t="e">
        <f t="shared" ca="1" si="48"/>
        <v>#NAME?</v>
      </c>
      <c r="AL180" s="95" t="e">
        <f t="shared" ca="1" si="48"/>
        <v>#NAME?</v>
      </c>
      <c r="AM180" s="95" t="e">
        <f t="shared" ca="1" si="48"/>
        <v>#NAME?</v>
      </c>
      <c r="AN180" s="121" t="str">
        <f t="shared" ca="1" si="54"/>
        <v/>
      </c>
      <c r="AO180" s="108" t="e" cm="1">
        <f t="array" aca="1" ref="AO180" ca="1">_xll.BDP($E180,"cur_mkt_cap")</f>
        <v>#NAME?</v>
      </c>
      <c r="AP180" s="108" t="e" cm="1">
        <f t="array" aca="1" ref="AP180" ca="1">_xll.BDP($E180,"crncy")</f>
        <v>#NAME?</v>
      </c>
      <c r="AQ180" s="109" t="e" cm="1">
        <f t="array" aca="1" ref="AQ180" ca="1">_xll.BDP("USD"&amp;AP180&amp;" curncy","px_last")</f>
        <v>#NAME?</v>
      </c>
      <c r="AR180" s="109" t="e">
        <f t="shared" ca="1" si="55"/>
        <v>#NAME?</v>
      </c>
      <c r="AT180" s="121" t="str">
        <f t="shared" ca="1" si="41"/>
        <v/>
      </c>
      <c r="AU180" s="121" t="str">
        <f t="shared" ca="1" si="41"/>
        <v/>
      </c>
      <c r="AV180" s="121" t="str">
        <f t="shared" ca="1" si="41"/>
        <v/>
      </c>
      <c r="AW180" s="73" t="str" cm="1">
        <f t="array" aca="1" ref="AW180" ca="1">IF(ISERROR(DATEVALUE(_xll.BDP($E180,AW$6))),"",DATEVALUE(_xll.BDP($E180,AW$6)))</f>
        <v/>
      </c>
      <c r="AX180" s="73" t="str" cm="1">
        <f t="array" aca="1" ref="AX180" ca="1">IF(ISERROR(DATEVALUE(_xll.BDP($E180,AX$2))),"",DATEVALUE(_xll.BDP($E180,AX$2)))</f>
        <v/>
      </c>
      <c r="AY180" s="73" t="str" cm="1">
        <f t="array" aca="1" ref="AY180" ca="1">IF(ISERROR(DATEVALUE(_xll.BDP($E180,AY$6))),"",DATEVALUE(_xll.BDP($E180,AY$6)))</f>
        <v/>
      </c>
      <c r="AZ180" s="110" t="e" cm="1">
        <f t="array" aca="1" ref="AZ180" ca="1">IF(_xll.BQL($E180, "last(matches(px_last(dates=range(-1w,0d)), dayofweek(px_last(dates=range(-1w,0d)).date)==6))")="#N/A","-",_xll.BQL($E180, "last(matches(px_last(dates=range(-1w,0d)), dayofweek(px_last(dates=range(-1w,0d)).date)==6))"))</f>
        <v>#NAME?</v>
      </c>
      <c r="BA180" s="109" t="e" cm="1">
        <f t="array" aca="1" ref="BA180" ca="1">IF(_xll.BQL(E180,"first(last(matches(px_last(dates=range(-1M,0D)),dayofweek(px_last(dates=range(-1M,0D)).date)==6),2),1)")="#N/A","-",_xll.BQL(E180,"first(last(matches(px_last(dates=range(-1M,0D)),dayofweek(px_last(dates=range(-1M,0D)).date)==6),2),1)"))</f>
        <v>#NAME?</v>
      </c>
      <c r="BB180" s="109" t="str">
        <f t="shared" ca="1" si="53"/>
        <v>-</v>
      </c>
    </row>
    <row r="181" spans="5:54" ht="16.5" customHeight="1" thickBot="1">
      <c r="E181" s="96" t="s">
        <v>1167</v>
      </c>
      <c r="F181" s="66" t="e">
        <f ca="1">_xll.BDP($E181,F$3)&amp;" BEST Curncy"</f>
        <v>#NAME?</v>
      </c>
      <c r="G181" s="97" t="e">
        <f t="shared" ca="1" si="47"/>
        <v>#NAME?</v>
      </c>
      <c r="I181" s="643" t="s">
        <v>1168</v>
      </c>
      <c r="J181" s="98" t="e">
        <f ca="1">_xll.BDP($E181,J$3)</f>
        <v>#NAME?</v>
      </c>
      <c r="K181" s="99" t="e">
        <f ca="1">_xll.BDP($E181,K$3)</f>
        <v>#NAME?</v>
      </c>
      <c r="L181" s="100" t="str">
        <f ca="1">IF(ISNUMBER(_xll.BDH($E181,"PX_LAST",TEXT($E$2,"YYYYMMDD"),TEXT($E$2,"YYYYMMDD"),"days=a","fill=p")),_xll.BDH($E181,"PX_LAST",TEXT($E$2,"YYYYMMDD"),TEXT($E$2,"YYYYMMDD"),"days=a","fill=p"),"-")</f>
        <v>-</v>
      </c>
      <c r="M181" s="100" t="str">
        <f ca="1">IF(ISNUMBER(_xll.BDH($E181,"PX_LAST",TEXT($E$2-7,"YYYYMMDD"),TEXT($E$2-7,"YYYYMMDD"),"days=a","fill=p")),_xll.BDH($E181,"PX_LAST",TEXT($E$2-7,"YYYYMMDD"),TEXT($E$2-7,"YYYYMMDD"),"days=a","fill=p"),"-")</f>
        <v>-</v>
      </c>
      <c r="N181" s="180" t="str">
        <f t="shared" ca="1" si="56"/>
        <v>-</v>
      </c>
      <c r="O181" s="101" t="e">
        <f ca="1">IF(OR(_xll.BDP($E181,O$3)="#N/A N/A",_xll.BDP($E181,O$3)="#N/A Invalid Security"), "-", _xll.BDP($E181,O$3))</f>
        <v>#NAME?</v>
      </c>
      <c r="P181" s="182" t="str">
        <f ca="1">IF(ISNUMBER(_xll.BDH($F181,"PX_LAST",TEXT($E$2,"YYYYMMDD"),TEXT($E$2,"YYYYMMDD"),"days=a","fill=p")),_xll.BDH($F181,"PX_LAST",TEXT($E$2,"YYYYMMDD"),TEXT($E$2,"YYYYMMDD"),"days=a","fill=p"),"-")</f>
        <v>-</v>
      </c>
      <c r="Q181" s="182" t="str">
        <f ca="1">IF(ISNUMBER(_xll.BDH($F181,"PX_LAST",TEXT($E$2-7,"YYYYMMDD"),TEXT($E$2-7,"YYYYMMDD"),"days=a","fill=p")),_xll.BDH($F181,"PX_LAST",TEXT($E$2-7,"YYYYMMDD"),TEXT($E$2-7,"YYYYMMDD"),"days=a","fill=p"),"-")</f>
        <v>-</v>
      </c>
      <c r="R181" s="102" t="str">
        <f t="shared" ca="1" si="57"/>
        <v>-</v>
      </c>
      <c r="S181" s="103" t="str">
        <f ca="1">IF(ISNUMBER(_xll.BDP($F181,S$3)),_xll.BDP($F181,S$3),"-")</f>
        <v>-</v>
      </c>
      <c r="T181" s="104" t="e">
        <f t="shared" ca="1" si="52"/>
        <v>#NAME?</v>
      </c>
      <c r="U181" s="105" t="e">
        <f ca="1">IF(OR(_xll.BDP($E181,U$3)="#N/A N/A",_xll.BDP($E181,U$3)="#N/A Invalid Security"), "-", _xll.BDP($E181,U$3))</f>
        <v>#NAME?</v>
      </c>
      <c r="V181" s="105" t="e">
        <f ca="1">IF(OR(_xll.BDP($E181,V$2)="#N/A N/A",_xll.BDP($E181,V$2)="#N/A Invalid Security"), "-", _xll.BDP($E181,V$2))</f>
        <v>#NAME?</v>
      </c>
      <c r="W181" s="106" t="e">
        <f ca="1">IF(OR(_xll.BDP($E181,W$3)="#N/A N/A",_xll.BDP($E181,W$3)="#N/A Invalid Security"), "-", _xll.BDP($E181,W$3))</f>
        <v>#NAME?</v>
      </c>
      <c r="X181" s="105" t="e">
        <f ca="1">IF(OR(_xll.BDP($E181,X$3)="#N/A N/A",_xll.BDP($E181,X$3)="#N/A Invalid Security"), " ", _xll.BDP($E181,X$3))</f>
        <v>#NAME?</v>
      </c>
      <c r="Y181" s="105" t="e">
        <f ca="1">IF(OR(_xll.BDP($E181,Y$3)="#N/A N/A",_xll.BDP($E181,Y$3)="#N/A Invalid Security"), " ", _xll.BDP($E181,Y$3))</f>
        <v>#NAME?</v>
      </c>
      <c r="Z181" s="106" t="e">
        <f ca="1">IF(OR(_xll.BDP($E181,Z$3)="#N/A N/A",_xll.BDP($E181,Z$3)="#N/A Invalid Security"), " ", _xll.BDP($E181,Z$3))</f>
        <v>#NAME?</v>
      </c>
      <c r="AA181" s="107"/>
      <c r="AB181" s="93" t="s">
        <v>932</v>
      </c>
      <c r="AC181" s="93" t="s">
        <v>933</v>
      </c>
      <c r="AD181" s="93" t="s">
        <v>950</v>
      </c>
      <c r="AE181" s="93" t="s">
        <v>948</v>
      </c>
      <c r="AF181" s="93" t="s">
        <v>940</v>
      </c>
      <c r="AG181" s="93" t="s">
        <v>935</v>
      </c>
      <c r="AH181" s="95" t="e">
        <f t="shared" ca="1" si="48"/>
        <v>#NAME?</v>
      </c>
      <c r="AI181" s="95" t="e">
        <f t="shared" ca="1" si="48"/>
        <v>#NAME?</v>
      </c>
      <c r="AJ181" s="95" t="e">
        <f t="shared" ca="1" si="48"/>
        <v>#NAME?</v>
      </c>
      <c r="AK181" s="95" t="e">
        <f t="shared" ca="1" si="48"/>
        <v>#NAME?</v>
      </c>
      <c r="AL181" s="95" t="e">
        <f t="shared" ca="1" si="48"/>
        <v>#NAME?</v>
      </c>
      <c r="AM181" s="95" t="e">
        <f t="shared" ca="1" si="48"/>
        <v>#NAME?</v>
      </c>
      <c r="AN181" s="66" t="str">
        <f t="shared" ca="1" si="54"/>
        <v/>
      </c>
      <c r="AO181" s="108" t="e" cm="1">
        <f t="array" aca="1" ref="AO181" ca="1">_xll.BDP($E181,"cur_mkt_cap")</f>
        <v>#NAME?</v>
      </c>
      <c r="AP181" s="108" t="e" cm="1">
        <f t="array" aca="1" ref="AP181" ca="1">_xll.BDP($E181,"crncy")</f>
        <v>#NAME?</v>
      </c>
      <c r="AQ181" s="109" t="e" cm="1">
        <f t="array" aca="1" ref="AQ181" ca="1">_xll.BDP("USD"&amp;AP181&amp;" curncy","px_last")</f>
        <v>#NAME?</v>
      </c>
      <c r="AR181" s="109" t="e">
        <f t="shared" ca="1" si="55"/>
        <v>#NAME?</v>
      </c>
      <c r="AT181" s="66" t="str">
        <f t="shared" ca="1" si="41"/>
        <v/>
      </c>
      <c r="AU181" s="66" t="str">
        <f t="shared" ca="1" si="41"/>
        <v/>
      </c>
      <c r="AV181" s="66" t="str">
        <f t="shared" ca="1" si="41"/>
        <v/>
      </c>
      <c r="AW181" s="73" t="str" cm="1">
        <f t="array" aca="1" ref="AW181" ca="1">IF(ISERROR(DATEVALUE(_xll.BDP($E181,AW$6))),"",DATEVALUE(_xll.BDP($E181,AW$6)))</f>
        <v/>
      </c>
      <c r="AX181" s="73" t="str" cm="1">
        <f t="array" aca="1" ref="AX181" ca="1">IF(ISERROR(DATEVALUE(_xll.BDP($E181,AX$2))),"",DATEVALUE(_xll.BDP($E181,AX$2)))</f>
        <v/>
      </c>
      <c r="AY181" s="73" t="str" cm="1">
        <f t="array" aca="1" ref="AY181" ca="1">IF(ISERROR(DATEVALUE(_xll.BDP($E181,AY$6))),"",DATEVALUE(_xll.BDP($E181,AY$6)))</f>
        <v/>
      </c>
      <c r="AZ181" s="110" t="e" cm="1">
        <f t="array" aca="1" ref="AZ181" ca="1">IF(_xll.BQL($E181, "last(matches(px_last(dates=range(-1w,0d)), dayofweek(px_last(dates=range(-1w,0d)).date)==6))")="#N/A","-",_xll.BQL($E181, "last(matches(px_last(dates=range(-1w,0d)), dayofweek(px_last(dates=range(-1w,0d)).date)==6))"))</f>
        <v>#NAME?</v>
      </c>
      <c r="BA181" s="109" t="e" cm="1">
        <f t="array" aca="1" ref="BA181" ca="1">IF(_xll.BQL(E181,"first(last(matches(px_last(dates=range(-1M,0D)),dayofweek(px_last(dates=range(-1M,0D)).date)==6),2),1)")="#N/A","-",_xll.BQL(E181,"first(last(matches(px_last(dates=range(-1M,0D)),dayofweek(px_last(dates=range(-1M,0D)).date)==6),2),1)"))</f>
        <v>#NAME?</v>
      </c>
      <c r="BB181" s="109" t="str">
        <f t="shared" ca="1" si="53"/>
        <v>-</v>
      </c>
    </row>
    <row r="182" spans="5:54" ht="16.5" customHeight="1" thickBot="1">
      <c r="E182" s="96" t="s">
        <v>1169</v>
      </c>
      <c r="F182" s="66" t="e">
        <f ca="1">_xll.BDP($E182,F$3)&amp;" BEST Curncy"</f>
        <v>#NAME?</v>
      </c>
      <c r="G182" s="97" t="e">
        <f t="shared" ca="1" si="47"/>
        <v>#NAME?</v>
      </c>
      <c r="I182" s="649"/>
      <c r="J182" s="98" t="e">
        <f ca="1">_xll.BDP($E182,J$3)</f>
        <v>#NAME?</v>
      </c>
      <c r="K182" s="99" t="e">
        <f ca="1">_xll.BDP($E182,K$3)</f>
        <v>#NAME?</v>
      </c>
      <c r="L182" s="100" t="str">
        <f ca="1">IF(ISNUMBER(_xll.BDH($E182,"PX_LAST",TEXT($E$2,"YYYYMMDD"),TEXT($E$2,"YYYYMMDD"),"days=a","fill=p")),_xll.BDH($E182,"PX_LAST",TEXT($E$2,"YYYYMMDD"),TEXT($E$2,"YYYYMMDD"),"days=a","fill=p"),"-")</f>
        <v>-</v>
      </c>
      <c r="M182" s="100" t="str">
        <f ca="1">IF(ISNUMBER(_xll.BDH($E182,"PX_LAST",TEXT($E$2-7,"YYYYMMDD"),TEXT($E$2-7,"YYYYMMDD"),"days=a","fill=p")),_xll.BDH($E182,"PX_LAST",TEXT($E$2-7,"YYYYMMDD"),TEXT($E$2-7,"YYYYMMDD"),"days=a","fill=p"),"-")</f>
        <v>-</v>
      </c>
      <c r="N182" s="180" t="str">
        <f t="shared" ca="1" si="56"/>
        <v>-</v>
      </c>
      <c r="O182" s="101" t="e">
        <f ca="1">IF(OR(_xll.BDP($E182,O$3)="#N/A N/A",_xll.BDP($E182,O$3)="#N/A Invalid Security"), "-", _xll.BDP($E182,O$3))</f>
        <v>#NAME?</v>
      </c>
      <c r="P182" s="182" t="str">
        <f ca="1">IF(ISNUMBER(_xll.BDH($F182,"PX_LAST",TEXT($E$2,"YYYYMMDD"),TEXT($E$2,"YYYYMMDD"),"days=a","fill=p")),_xll.BDH($F182,"PX_LAST",TEXT($E$2,"YYYYMMDD"),TEXT($E$2,"YYYYMMDD"),"days=a","fill=p"),"-")</f>
        <v>-</v>
      </c>
      <c r="Q182" s="182" t="str">
        <f ca="1">IF(ISNUMBER(_xll.BDH($F182,"PX_LAST",TEXT($E$2-7,"YYYYMMDD"),TEXT($E$2-7,"YYYYMMDD"),"days=a","fill=p")),_xll.BDH($F182,"PX_LAST",TEXT($E$2-7,"YYYYMMDD"),TEXT($E$2-7,"YYYYMMDD"),"days=a","fill=p"),"-")</f>
        <v>-</v>
      </c>
      <c r="R182" s="102" t="str">
        <f t="shared" ca="1" si="57"/>
        <v>-</v>
      </c>
      <c r="S182" s="103" t="str">
        <f ca="1">IF(ISNUMBER(_xll.BDP($F182,S$3)),_xll.BDP($F182,S$3),"-")</f>
        <v>-</v>
      </c>
      <c r="T182" s="104" t="e">
        <f t="shared" ca="1" si="52"/>
        <v>#NAME?</v>
      </c>
      <c r="U182" s="105" t="e">
        <f ca="1">IF(OR(_xll.BDP($E182,U$3)="#N/A N/A",_xll.BDP($E182,U$3)="#N/A Invalid Security"), "-", _xll.BDP($E182,U$3))</f>
        <v>#NAME?</v>
      </c>
      <c r="V182" s="105" t="e">
        <f ca="1">IF(OR(_xll.BDP($E182,V$2)="#N/A N/A",_xll.BDP($E182,V$2)="#N/A Invalid Security"), "-", _xll.BDP($E182,V$2))</f>
        <v>#NAME?</v>
      </c>
      <c r="W182" s="106" t="e">
        <f ca="1">IF(OR(_xll.BDP($E182,W$3)="#N/A N/A",_xll.BDP($E182,W$3)="#N/A Invalid Security"), "-", _xll.BDP($E182,W$3))</f>
        <v>#NAME?</v>
      </c>
      <c r="X182" s="105" t="e">
        <f ca="1">IF(OR(_xll.BDP($E182,X$3)="#N/A N/A",_xll.BDP($E182,X$3)="#N/A Invalid Security"), " ", _xll.BDP($E182,X$3))</f>
        <v>#NAME?</v>
      </c>
      <c r="Y182" s="105" t="e">
        <f ca="1">IF(OR(_xll.BDP($E182,Y$3)="#N/A N/A",_xll.BDP($E182,Y$3)="#N/A Invalid Security"), " ", _xll.BDP($E182,Y$3))</f>
        <v>#NAME?</v>
      </c>
      <c r="Z182" s="106" t="e">
        <f ca="1">IF(OR(_xll.BDP($E182,Z$3)="#N/A N/A",_xll.BDP($E182,Z$3)="#N/A Invalid Security"), " ", _xll.BDP($E182,Z$3))</f>
        <v>#NAME?</v>
      </c>
      <c r="AA182" s="107"/>
      <c r="AB182" s="93" t="s">
        <v>932</v>
      </c>
      <c r="AC182" s="93" t="s">
        <v>933</v>
      </c>
      <c r="AD182" s="93" t="s">
        <v>950</v>
      </c>
      <c r="AE182" s="93" t="s">
        <v>940</v>
      </c>
      <c r="AF182" s="93" t="s">
        <v>940</v>
      </c>
      <c r="AG182" s="93" t="s">
        <v>940</v>
      </c>
      <c r="AH182" s="95" t="e">
        <f t="shared" ca="1" si="48"/>
        <v>#NAME?</v>
      </c>
      <c r="AI182" s="95" t="e">
        <f t="shared" ca="1" si="48"/>
        <v>#NAME?</v>
      </c>
      <c r="AJ182" s="95" t="e">
        <f t="shared" ca="1" si="48"/>
        <v>#NAME?</v>
      </c>
      <c r="AK182" s="95" t="e">
        <f t="shared" ca="1" si="48"/>
        <v>#NAME?</v>
      </c>
      <c r="AL182" s="95" t="e">
        <f t="shared" ca="1" si="48"/>
        <v>#NAME?</v>
      </c>
      <c r="AM182" s="95" t="e">
        <f t="shared" ca="1" si="48"/>
        <v>#NAME?</v>
      </c>
      <c r="AN182" s="66" t="str">
        <f t="shared" ca="1" si="54"/>
        <v/>
      </c>
      <c r="AO182" s="108" t="e" cm="1">
        <f t="array" aca="1" ref="AO182" ca="1">_xll.BDP($E182,"cur_mkt_cap")</f>
        <v>#NAME?</v>
      </c>
      <c r="AP182" s="108" t="e" cm="1">
        <f t="array" aca="1" ref="AP182" ca="1">_xll.BDP($E182,"crncy")</f>
        <v>#NAME?</v>
      </c>
      <c r="AQ182" s="109" t="e" cm="1">
        <f t="array" aca="1" ref="AQ182" ca="1">_xll.BDP("USD"&amp;AP182&amp;" curncy","px_last")</f>
        <v>#NAME?</v>
      </c>
      <c r="AR182" s="109" t="e">
        <f t="shared" ca="1" si="55"/>
        <v>#NAME?</v>
      </c>
      <c r="AT182" s="66" t="str">
        <f t="shared" ca="1" si="41"/>
        <v/>
      </c>
      <c r="AU182" s="66" t="str">
        <f t="shared" ca="1" si="41"/>
        <v/>
      </c>
      <c r="AV182" s="66" t="str">
        <f t="shared" ca="1" si="41"/>
        <v/>
      </c>
      <c r="AW182" s="73" t="str" cm="1">
        <f t="array" aca="1" ref="AW182" ca="1">IF(ISERROR(DATEVALUE(_xll.BDP($E182,AW$6))),"",DATEVALUE(_xll.BDP($E182,AW$6)))</f>
        <v/>
      </c>
      <c r="AX182" s="73" t="str" cm="1">
        <f t="array" aca="1" ref="AX182" ca="1">IF(ISERROR(DATEVALUE(_xll.BDP($E182,AX$2))),"",DATEVALUE(_xll.BDP($E182,AX$2)))</f>
        <v/>
      </c>
      <c r="AY182" s="73" t="str" cm="1">
        <f t="array" aca="1" ref="AY182" ca="1">IF(ISERROR(DATEVALUE(_xll.BDP($E182,AY$6))),"",DATEVALUE(_xll.BDP($E182,AY$6)))</f>
        <v/>
      </c>
      <c r="AZ182" s="110" t="e" cm="1">
        <f t="array" aca="1" ref="AZ182" ca="1">IF(_xll.BQL($E182, "last(matches(px_last(dates=range(-1w,0d)), dayofweek(px_last(dates=range(-1w,0d)).date)==6))")="#N/A","-",_xll.BQL($E182, "last(matches(px_last(dates=range(-1w,0d)), dayofweek(px_last(dates=range(-1w,0d)).date)==6))"))</f>
        <v>#NAME?</v>
      </c>
      <c r="BA182" s="109" t="e" cm="1">
        <f t="array" aca="1" ref="BA182" ca="1">IF(_xll.BQL(E182,"first(last(matches(px_last(dates=range(-1M,0D)),dayofweek(px_last(dates=range(-1M,0D)).date)==6),2),1)")="#N/A","-",_xll.BQL(E182,"first(last(matches(px_last(dates=range(-1M,0D)),dayofweek(px_last(dates=range(-1M,0D)).date)==6),2),1)"))</f>
        <v>#NAME?</v>
      </c>
      <c r="BB182" s="109" t="str">
        <f t="shared" ca="1" si="53"/>
        <v>-</v>
      </c>
    </row>
    <row r="183" spans="5:54" ht="16.5" customHeight="1" thickBot="1">
      <c r="E183" s="96" t="s">
        <v>1170</v>
      </c>
      <c r="F183" s="66" t="e">
        <f ca="1">_xll.BDP($E183,F$3)&amp;" BEST Curncy"</f>
        <v>#NAME?</v>
      </c>
      <c r="G183" s="97" t="e">
        <f t="shared" ca="1" si="47"/>
        <v>#NAME?</v>
      </c>
      <c r="I183" s="649"/>
      <c r="J183" s="98" t="e">
        <f ca="1">_xll.BDP($E183,J$3)</f>
        <v>#NAME?</v>
      </c>
      <c r="K183" s="99" t="e">
        <f ca="1">_xll.BDP($E183,K$3)</f>
        <v>#NAME?</v>
      </c>
      <c r="L183" s="100" t="str">
        <f ca="1">IF(ISNUMBER(_xll.BDH($E183,"PX_LAST",TEXT($E$2,"YYYYMMDD"),TEXT($E$2,"YYYYMMDD"),"days=a","fill=p")),_xll.BDH($E183,"PX_LAST",TEXT($E$2,"YYYYMMDD"),TEXT($E$2,"YYYYMMDD"),"days=a","fill=p"),"-")</f>
        <v>-</v>
      </c>
      <c r="M183" s="100" t="str">
        <f ca="1">IF(ISNUMBER(_xll.BDH($E183,"PX_LAST",TEXT($E$2-7,"YYYYMMDD"),TEXT($E$2-7,"YYYYMMDD"),"days=a","fill=p")),_xll.BDH($E183,"PX_LAST",TEXT($E$2-7,"YYYYMMDD"),TEXT($E$2-7,"YYYYMMDD"),"days=a","fill=p"),"-")</f>
        <v>-</v>
      </c>
      <c r="N183" s="180" t="str">
        <f t="shared" ca="1" si="56"/>
        <v>-</v>
      </c>
      <c r="O183" s="101" t="e">
        <f ca="1">IF(OR(_xll.BDP($E183,O$3)="#N/A N/A",_xll.BDP($E183,O$3)="#N/A Invalid Security"), "-", _xll.BDP($E183,O$3))</f>
        <v>#NAME?</v>
      </c>
      <c r="P183" s="182" t="str">
        <f ca="1">IF(ISNUMBER(_xll.BDH($F183,"PX_LAST",TEXT($E$2,"YYYYMMDD"),TEXT($E$2,"YYYYMMDD"),"days=a","fill=p")),_xll.BDH($F183,"PX_LAST",TEXT($E$2,"YYYYMMDD"),TEXT($E$2,"YYYYMMDD"),"days=a","fill=p"),"-")</f>
        <v>-</v>
      </c>
      <c r="Q183" s="182" t="str">
        <f ca="1">IF(ISNUMBER(_xll.BDH($F183,"PX_LAST",TEXT($E$2-7,"YYYYMMDD"),TEXT($E$2-7,"YYYYMMDD"),"days=a","fill=p")),_xll.BDH($F183,"PX_LAST",TEXT($E$2-7,"YYYYMMDD"),TEXT($E$2-7,"YYYYMMDD"),"days=a","fill=p"),"-")</f>
        <v>-</v>
      </c>
      <c r="R183" s="102" t="str">
        <f t="shared" ca="1" si="57"/>
        <v>-</v>
      </c>
      <c r="S183" s="103" t="str">
        <f ca="1">IF(ISNUMBER(_xll.BDP($F183,S$3)),_xll.BDP($F183,S$3),"-")</f>
        <v>-</v>
      </c>
      <c r="T183" s="104" t="e">
        <f t="shared" ca="1" si="52"/>
        <v>#NAME?</v>
      </c>
      <c r="U183" s="105" t="e">
        <f ca="1">IF(OR(_xll.BDP($E183,U$3)="#N/A N/A",_xll.BDP($E183,U$3)="#N/A Invalid Security"), "-", _xll.BDP($E183,U$3))</f>
        <v>#NAME?</v>
      </c>
      <c r="V183" s="105" t="e">
        <f ca="1">IF(OR(_xll.BDP($E183,V$2)="#N/A N/A",_xll.BDP($E183,V$2)="#N/A Invalid Security"), "-", _xll.BDP($E183,V$2))</f>
        <v>#NAME?</v>
      </c>
      <c r="W183" s="106" t="e">
        <f ca="1">IF(OR(_xll.BDP($E183,W$3)="#N/A N/A",_xll.BDP($E183,W$3)="#N/A Invalid Security"), "-", _xll.BDP($E183,W$3))</f>
        <v>#NAME?</v>
      </c>
      <c r="X183" s="105" t="e">
        <f ca="1">IF(OR(_xll.BDP($E183,X$3)="#N/A N/A",_xll.BDP($E183,X$3)="#N/A Invalid Security"), " ", _xll.BDP($E183,X$3))</f>
        <v>#NAME?</v>
      </c>
      <c r="Y183" s="105" t="e">
        <f ca="1">IF(OR(_xll.BDP($E183,Y$3)="#N/A N/A",_xll.BDP($E183,Y$3)="#N/A Invalid Security"), " ", _xll.BDP($E183,Y$3))</f>
        <v>#NAME?</v>
      </c>
      <c r="Z183" s="106" t="e">
        <f ca="1">IF(OR(_xll.BDP($E183,Z$3)="#N/A N/A",_xll.BDP($E183,Z$3)="#N/A Invalid Security"), " ", _xll.BDP($E183,Z$3))</f>
        <v>#NAME?</v>
      </c>
      <c r="AA183" s="107"/>
      <c r="AB183" s="93" t="s">
        <v>932</v>
      </c>
      <c r="AC183" s="93" t="s">
        <v>933</v>
      </c>
      <c r="AD183" s="93" t="s">
        <v>950</v>
      </c>
      <c r="AE183" s="93" t="s">
        <v>940</v>
      </c>
      <c r="AF183" s="93" t="s">
        <v>940</v>
      </c>
      <c r="AG183" s="93" t="s">
        <v>940</v>
      </c>
      <c r="AH183" s="95" t="e">
        <f t="shared" ca="1" si="48"/>
        <v>#NAME?</v>
      </c>
      <c r="AI183" s="95" t="e">
        <f t="shared" ca="1" si="48"/>
        <v>#NAME?</v>
      </c>
      <c r="AJ183" s="95" t="e">
        <f t="shared" ca="1" si="48"/>
        <v>#NAME?</v>
      </c>
      <c r="AK183" s="95" t="e">
        <f t="shared" ca="1" si="48"/>
        <v>#NAME?</v>
      </c>
      <c r="AL183" s="95" t="e">
        <f t="shared" ca="1" si="48"/>
        <v>#NAME?</v>
      </c>
      <c r="AM183" s="95" t="e">
        <f t="shared" ca="1" si="48"/>
        <v>#NAME?</v>
      </c>
      <c r="AN183" s="66" t="str">
        <f ca="1">IF(SUM(AT183:AV183)&gt;0,"Y","")</f>
        <v/>
      </c>
      <c r="AO183" s="108" t="e" cm="1">
        <f t="array" aca="1" ref="AO183" ca="1">_xll.BDP($E183,"cur_mkt_cap")</f>
        <v>#NAME?</v>
      </c>
      <c r="AP183" s="108" t="e" cm="1">
        <f t="array" aca="1" ref="AP183" ca="1">_xll.BDP($E183,"crncy")</f>
        <v>#NAME?</v>
      </c>
      <c r="AQ183" s="109" t="e" cm="1">
        <f t="array" aca="1" ref="AQ183" ca="1">_xll.BDP("USD"&amp;AP183&amp;" curncy","px_last")</f>
        <v>#NAME?</v>
      </c>
      <c r="AR183" s="109" t="e">
        <f t="shared" ca="1" si="55"/>
        <v>#NAME?</v>
      </c>
      <c r="AT183" s="66" t="str">
        <f t="shared" ca="1" si="41"/>
        <v/>
      </c>
      <c r="AU183" s="66" t="str">
        <f t="shared" ca="1" si="41"/>
        <v/>
      </c>
      <c r="AV183" s="66" t="str">
        <f t="shared" ca="1" si="41"/>
        <v/>
      </c>
      <c r="AW183" s="73" t="str" cm="1">
        <f t="array" aca="1" ref="AW183" ca="1">IF(ISERROR(DATEVALUE(_xll.BDP($E183,AW$6))),"",DATEVALUE(_xll.BDP($E183,AW$6)))</f>
        <v/>
      </c>
      <c r="AX183" s="73" t="str" cm="1">
        <f t="array" aca="1" ref="AX183" ca="1">IF(ISERROR(DATEVALUE(_xll.BDP($E183,AX$2))),"",DATEVALUE(_xll.BDP($E183,AX$2)))</f>
        <v/>
      </c>
      <c r="AY183" s="73" t="str" cm="1">
        <f t="array" aca="1" ref="AY183" ca="1">IF(ISERROR(DATEVALUE(_xll.BDP($E183,AY$6))),"",DATEVALUE(_xll.BDP($E183,AY$6)))</f>
        <v/>
      </c>
      <c r="AZ183" s="110" t="e" cm="1">
        <f t="array" aca="1" ref="AZ183" ca="1">IF(_xll.BQL($E183, "last(matches(px_last(dates=range(-1w,0d)), dayofweek(px_last(dates=range(-1w,0d)).date)==6))")="#N/A","-",_xll.BQL($E183, "last(matches(px_last(dates=range(-1w,0d)), dayofweek(px_last(dates=range(-1w,0d)).date)==6))"))</f>
        <v>#NAME?</v>
      </c>
      <c r="BA183" s="109" t="e" cm="1">
        <f t="array" aca="1" ref="BA183" ca="1">IF(_xll.BQL(E183,"first(last(matches(px_last(dates=range(-1M,0D)),dayofweek(px_last(dates=range(-1M,0D)).date)==6),2),1)")="#N/A","-",_xll.BQL(E183,"first(last(matches(px_last(dates=range(-1M,0D)),dayofweek(px_last(dates=range(-1M,0D)).date)==6),2),1)"))</f>
        <v>#NAME?</v>
      </c>
      <c r="BB183" s="109" t="str">
        <f t="shared" ca="1" si="53"/>
        <v>-</v>
      </c>
    </row>
    <row r="184" spans="5:54" ht="16.5" customHeight="1" thickBot="1">
      <c r="E184" s="96" t="s">
        <v>1171</v>
      </c>
      <c r="F184" s="66" t="e">
        <f ca="1">_xll.BDP($E184,F$3)&amp;" BEST Curncy"</f>
        <v>#NAME?</v>
      </c>
      <c r="G184" s="97" t="e">
        <f t="shared" ca="1" si="47"/>
        <v>#NAME?</v>
      </c>
      <c r="I184" s="649"/>
      <c r="J184" s="98" t="e">
        <f ca="1">_xll.BDP($E184,J$3)</f>
        <v>#NAME?</v>
      </c>
      <c r="K184" s="99" t="e">
        <f ca="1">_xll.BDP($E184,K$3)</f>
        <v>#NAME?</v>
      </c>
      <c r="L184" s="100" t="str">
        <f ca="1">IF(ISNUMBER(_xll.BDH($E184,"PX_LAST",TEXT($E$2,"YYYYMMDD"),TEXT($E$2,"YYYYMMDD"),"days=a","fill=p")),_xll.BDH($E184,"PX_LAST",TEXT($E$2,"YYYYMMDD"),TEXT($E$2,"YYYYMMDD"),"days=a","fill=p"),"-")</f>
        <v>-</v>
      </c>
      <c r="M184" s="100" t="str">
        <f ca="1">IF(ISNUMBER(_xll.BDH($E184,"PX_LAST",TEXT($E$2-7,"YYYYMMDD"),TEXT($E$2-7,"YYYYMMDD"),"days=a","fill=p")),_xll.BDH($E184,"PX_LAST",TEXT($E$2-7,"YYYYMMDD"),TEXT($E$2-7,"YYYYMMDD"),"days=a","fill=p"),"-")</f>
        <v>-</v>
      </c>
      <c r="N184" s="180" t="str">
        <f t="shared" ca="1" si="56"/>
        <v>-</v>
      </c>
      <c r="O184" s="101" t="e">
        <f ca="1">IF(OR(_xll.BDP($E184,O$3)="#N/A N/A",_xll.BDP($E184,O$3)="#N/A Invalid Security"), "-", _xll.BDP($E184,O$3))</f>
        <v>#NAME?</v>
      </c>
      <c r="P184" s="182" t="str">
        <f ca="1">IF(ISNUMBER(_xll.BDH($F184,"PX_LAST",TEXT($E$2,"YYYYMMDD"),TEXT($E$2,"YYYYMMDD"),"days=a","fill=p")),_xll.BDH($F184,"PX_LAST",TEXT($E$2,"YYYYMMDD"),TEXT($E$2,"YYYYMMDD"),"days=a","fill=p"),"-")</f>
        <v>-</v>
      </c>
      <c r="Q184" s="182" t="str">
        <f ca="1">IF(ISNUMBER(_xll.BDH($F184,"PX_LAST",TEXT($E$2-7,"YYYYMMDD"),TEXT($E$2-7,"YYYYMMDD"),"days=a","fill=p")),_xll.BDH($F184,"PX_LAST",TEXT($E$2-7,"YYYYMMDD"),TEXT($E$2-7,"YYYYMMDD"),"days=a","fill=p"),"-")</f>
        <v>-</v>
      </c>
      <c r="R184" s="102" t="str">
        <f t="shared" ca="1" si="57"/>
        <v>-</v>
      </c>
      <c r="S184" s="103" t="str">
        <f ca="1">IF(ISNUMBER(_xll.BDP($F184,S$3)),_xll.BDP($F184,S$3),"-")</f>
        <v>-</v>
      </c>
      <c r="T184" s="104" t="e">
        <f t="shared" ca="1" si="52"/>
        <v>#NAME?</v>
      </c>
      <c r="U184" s="105" t="e">
        <f ca="1">IF(OR(_xll.BDP($E184,U$3)="#N/A N/A",_xll.BDP($E184,U$3)="#N/A Invalid Security"), "-", _xll.BDP($E184,U$3))</f>
        <v>#NAME?</v>
      </c>
      <c r="V184" s="105" t="e">
        <f ca="1">IF(OR(_xll.BDP($E184,V$2)="#N/A N/A",_xll.BDP($E184,V$2)="#N/A Invalid Security"), "-", _xll.BDP($E184,V$2))</f>
        <v>#NAME?</v>
      </c>
      <c r="W184" s="106" t="e">
        <f ca="1">IF(OR(_xll.BDP($E184,W$3)="#N/A N/A",_xll.BDP($E184,W$3)="#N/A Invalid Security"), "-", _xll.BDP($E184,W$3))</f>
        <v>#NAME?</v>
      </c>
      <c r="X184" s="105" t="e">
        <f ca="1">IF(OR(_xll.BDP($E184,X$3)="#N/A N/A",_xll.BDP($E184,X$3)="#N/A Invalid Security"), " ", _xll.BDP($E184,X$3))</f>
        <v>#NAME?</v>
      </c>
      <c r="Y184" s="105" t="e">
        <f ca="1">IF(OR(_xll.BDP($E184,Y$3)="#N/A N/A",_xll.BDP($E184,Y$3)="#N/A Invalid Security"), " ", _xll.BDP($E184,Y$3))</f>
        <v>#NAME?</v>
      </c>
      <c r="Z184" s="106" t="e">
        <f ca="1">IF(OR(_xll.BDP($E184,Z$3)="#N/A N/A",_xll.BDP($E184,Z$3)="#N/A Invalid Security"), " ", _xll.BDP($E184,Z$3))</f>
        <v>#NAME?</v>
      </c>
      <c r="AA184" s="107"/>
      <c r="AB184" s="93" t="s">
        <v>1172</v>
      </c>
      <c r="AC184" s="93" t="s">
        <v>1173</v>
      </c>
      <c r="AD184" s="93" t="s">
        <v>934</v>
      </c>
      <c r="AE184" s="93" t="s">
        <v>948</v>
      </c>
      <c r="AF184" s="93" t="s">
        <v>940</v>
      </c>
      <c r="AG184" s="93" t="s">
        <v>940</v>
      </c>
      <c r="AH184" s="95" t="e">
        <f t="shared" ca="1" si="48"/>
        <v>#NAME?</v>
      </c>
      <c r="AI184" s="95" t="e">
        <f t="shared" ca="1" si="48"/>
        <v>#NAME?</v>
      </c>
      <c r="AJ184" s="95" t="e">
        <f t="shared" ca="1" si="48"/>
        <v>#NAME?</v>
      </c>
      <c r="AK184" s="95" t="e">
        <f t="shared" ca="1" si="48"/>
        <v>#NAME?</v>
      </c>
      <c r="AL184" s="95" t="e">
        <f t="shared" ca="1" si="48"/>
        <v>#NAME?</v>
      </c>
      <c r="AM184" s="95" t="e">
        <f t="shared" ca="1" si="48"/>
        <v>#NAME?</v>
      </c>
      <c r="AN184" s="66" t="str">
        <f t="shared" ref="AN184:AN194" ca="1" si="58">IF(SUM(AT184:AV184)&gt;0,"Y","")</f>
        <v/>
      </c>
      <c r="AO184" s="108" t="e" cm="1">
        <f t="array" aca="1" ref="AO184" ca="1">_xll.BDP($E184,"cur_mkt_cap")</f>
        <v>#NAME?</v>
      </c>
      <c r="AP184" s="108" t="e" cm="1">
        <f t="array" aca="1" ref="AP184" ca="1">_xll.BDP($E184,"crncy")</f>
        <v>#NAME?</v>
      </c>
      <c r="AQ184" s="109" t="e" cm="1">
        <f t="array" aca="1" ref="AQ184" ca="1">_xll.BDP("USD"&amp;AP184&amp;" curncy","px_last")</f>
        <v>#NAME?</v>
      </c>
      <c r="AR184" s="109" t="e">
        <f t="shared" ca="1" si="55"/>
        <v>#NAME?</v>
      </c>
      <c r="AT184" s="66" t="str">
        <f t="shared" ca="1" si="41"/>
        <v/>
      </c>
      <c r="AU184" s="66" t="str">
        <f t="shared" ca="1" si="41"/>
        <v/>
      </c>
      <c r="AV184" s="66" t="str">
        <f t="shared" ca="1" si="41"/>
        <v/>
      </c>
      <c r="AW184" s="73" t="str" cm="1">
        <f t="array" aca="1" ref="AW184" ca="1">IF(ISERROR(DATEVALUE(_xll.BDP($E184,AW$6))),"",DATEVALUE(_xll.BDP($E184,AW$6)))</f>
        <v/>
      </c>
      <c r="AX184" s="73" t="str" cm="1">
        <f t="array" aca="1" ref="AX184" ca="1">IF(ISERROR(DATEVALUE(_xll.BDP($E184,AX$2))),"",DATEVALUE(_xll.BDP($E184,AX$2)))</f>
        <v/>
      </c>
      <c r="AY184" s="73" t="str" cm="1">
        <f t="array" aca="1" ref="AY184" ca="1">IF(ISERROR(DATEVALUE(_xll.BDP($E184,AY$6))),"",DATEVALUE(_xll.BDP($E184,AY$6)))</f>
        <v/>
      </c>
      <c r="AZ184" s="110" t="e" cm="1">
        <f t="array" aca="1" ref="AZ184" ca="1">IF(_xll.BQL($E184, "last(matches(px_last(dates=range(-1w,0d)), dayofweek(px_last(dates=range(-1w,0d)).date)==6))")="#N/A","-",_xll.BQL($E184, "last(matches(px_last(dates=range(-1w,0d)), dayofweek(px_last(dates=range(-1w,0d)).date)==6))"))</f>
        <v>#NAME?</v>
      </c>
      <c r="BA184" s="109" t="e" cm="1">
        <f t="array" aca="1" ref="BA184" ca="1">IF(_xll.BQL(E184,"first(last(matches(px_last(dates=range(-1M,0D)),dayofweek(px_last(dates=range(-1M,0D)).date)==6),2),1)")="#N/A","-",_xll.BQL(E184,"first(last(matches(px_last(dates=range(-1M,0D)),dayofweek(px_last(dates=range(-1M,0D)).date)==6),2),1)"))</f>
        <v>#NAME?</v>
      </c>
      <c r="BB184" s="109" t="str">
        <f t="shared" ca="1" si="53"/>
        <v>-</v>
      </c>
    </row>
    <row r="185" spans="5:54" ht="16.5" customHeight="1" thickBot="1">
      <c r="E185" s="96" t="s">
        <v>1174</v>
      </c>
      <c r="F185" s="66" t="e">
        <f ca="1">_xll.BDP($E185,F$3)&amp;" BEST Curncy"</f>
        <v>#NAME?</v>
      </c>
      <c r="G185" s="97" t="e">
        <f t="shared" ca="1" si="47"/>
        <v>#NAME?</v>
      </c>
      <c r="I185" s="646"/>
      <c r="J185" s="98" t="e">
        <f ca="1">_xll.BDP($E185,J$3)</f>
        <v>#NAME?</v>
      </c>
      <c r="K185" s="99" t="e">
        <f ca="1">_xll.BDP($E185,K$3)</f>
        <v>#NAME?</v>
      </c>
      <c r="L185" s="100" t="str">
        <f ca="1">IF(ISNUMBER(_xll.BDH($E185,"PX_LAST",TEXT($E$2,"YYYYMMDD"),TEXT($E$2,"YYYYMMDD"),"days=a","fill=p")),_xll.BDH($E185,"PX_LAST",TEXT($E$2,"YYYYMMDD"),TEXT($E$2,"YYYYMMDD"),"days=a","fill=p"),"-")</f>
        <v>-</v>
      </c>
      <c r="M185" s="100" t="str">
        <f ca="1">IF(ISNUMBER(_xll.BDH($E185,"PX_LAST",TEXT($E$2-7,"YYYYMMDD"),TEXT($E$2-7,"YYYYMMDD"),"days=a","fill=p")),_xll.BDH($E185,"PX_LAST",TEXT($E$2-7,"YYYYMMDD"),TEXT($E$2-7,"YYYYMMDD"),"days=a","fill=p"),"-")</f>
        <v>-</v>
      </c>
      <c r="N185" s="180" t="str">
        <f t="shared" ca="1" si="56"/>
        <v>-</v>
      </c>
      <c r="O185" s="101" t="e">
        <f ca="1">IF(OR(_xll.BDP($E185,O$3)="#N/A N/A",_xll.BDP($E185,O$3)="#N/A Invalid Security"), "-", _xll.BDP($E185,O$3))</f>
        <v>#NAME?</v>
      </c>
      <c r="P185" s="182" t="str">
        <f ca="1">IF(ISNUMBER(_xll.BDH($F185,"PX_LAST",TEXT($E$2,"YYYYMMDD"),TEXT($E$2,"YYYYMMDD"),"days=a","fill=p")),_xll.BDH($F185,"PX_LAST",TEXT($E$2,"YYYYMMDD"),TEXT($E$2,"YYYYMMDD"),"days=a","fill=p"),"-")</f>
        <v>-</v>
      </c>
      <c r="Q185" s="182" t="str">
        <f ca="1">IF(ISNUMBER(_xll.BDH($F185,"PX_LAST",TEXT($E$2-7,"YYYYMMDD"),TEXT($E$2-7,"YYYYMMDD"),"days=a","fill=p")),_xll.BDH($F185,"PX_LAST",TEXT($E$2-7,"YYYYMMDD"),TEXT($E$2-7,"YYYYMMDD"),"days=a","fill=p"),"-")</f>
        <v>-</v>
      </c>
      <c r="R185" s="102" t="str">
        <f t="shared" ca="1" si="57"/>
        <v>-</v>
      </c>
      <c r="S185" s="103" t="str">
        <f ca="1">IF(ISNUMBER(_xll.BDP($F185,S$3)),_xll.BDP($F185,S$3),"-")</f>
        <v>-</v>
      </c>
      <c r="T185" s="104" t="e">
        <f t="shared" ca="1" si="52"/>
        <v>#NAME?</v>
      </c>
      <c r="U185" s="105" t="e">
        <f ca="1">IF(OR(_xll.BDP($E185,U$3)="#N/A N/A",_xll.BDP($E185,U$3)="#N/A Invalid Security"), "-", _xll.BDP($E185,U$3))</f>
        <v>#NAME?</v>
      </c>
      <c r="V185" s="105" t="e">
        <f ca="1">IF(OR(_xll.BDP($E185,V$2)="#N/A N/A",_xll.BDP($E185,V$2)="#N/A Invalid Security"), "-", _xll.BDP($E185,V$2))</f>
        <v>#NAME?</v>
      </c>
      <c r="W185" s="106" t="e">
        <f ca="1">IF(OR(_xll.BDP($E185,W$3)="#N/A N/A",_xll.BDP($E185,W$3)="#N/A Invalid Security"), "-", _xll.BDP($E185,W$3))</f>
        <v>#NAME?</v>
      </c>
      <c r="X185" s="105" t="e">
        <f ca="1">IF(OR(_xll.BDP($E185,X$3)="#N/A N/A",_xll.BDP($E185,X$3)="#N/A Invalid Security"), " ", _xll.BDP($E185,X$3))</f>
        <v>#NAME?</v>
      </c>
      <c r="Y185" s="105" t="e">
        <f ca="1">IF(OR(_xll.BDP($E185,Y$3)="#N/A N/A",_xll.BDP($E185,Y$3)="#N/A Invalid Security"), " ", _xll.BDP($E185,Y$3))</f>
        <v>#NAME?</v>
      </c>
      <c r="Z185" s="106" t="e">
        <f ca="1">IF(OR(_xll.BDP($E185,Z$3)="#N/A N/A",_xll.BDP($E185,Z$3)="#N/A Invalid Security"), " ", _xll.BDP($E185,Z$3))</f>
        <v>#NAME?</v>
      </c>
      <c r="AA185" s="107"/>
      <c r="AB185" s="93" t="s">
        <v>932</v>
      </c>
      <c r="AC185" s="93" t="s">
        <v>875</v>
      </c>
      <c r="AD185" s="93" t="s">
        <v>932</v>
      </c>
      <c r="AE185" s="93" t="s">
        <v>940</v>
      </c>
      <c r="AF185" s="93" t="s">
        <v>940</v>
      </c>
      <c r="AG185" s="93" t="s">
        <v>940</v>
      </c>
      <c r="AH185" s="95" t="e">
        <f t="shared" ca="1" si="48"/>
        <v>#NAME?</v>
      </c>
      <c r="AI185" s="95" t="e">
        <f t="shared" ca="1" si="48"/>
        <v>#NAME?</v>
      </c>
      <c r="AJ185" s="95" t="e">
        <f t="shared" ca="1" si="48"/>
        <v>#NAME?</v>
      </c>
      <c r="AK185" s="95" t="e">
        <f t="shared" ca="1" si="48"/>
        <v>#NAME?</v>
      </c>
      <c r="AL185" s="95" t="e">
        <f t="shared" ca="1" si="48"/>
        <v>#NAME?</v>
      </c>
      <c r="AM185" s="95" t="e">
        <f t="shared" ca="1" si="48"/>
        <v>#NAME?</v>
      </c>
      <c r="AN185" s="66" t="str">
        <f t="shared" ca="1" si="58"/>
        <v/>
      </c>
      <c r="AO185" s="108" t="e" cm="1">
        <f t="array" aca="1" ref="AO185" ca="1">_xll.BDP($E185,"cur_mkt_cap")</f>
        <v>#NAME?</v>
      </c>
      <c r="AP185" s="108" t="e" cm="1">
        <f t="array" aca="1" ref="AP185" ca="1">_xll.BDP($E185,"crncy")</f>
        <v>#NAME?</v>
      </c>
      <c r="AQ185" s="109" t="e" cm="1">
        <f t="array" aca="1" ref="AQ185" ca="1">_xll.BDP("USD"&amp;AP185&amp;" curncy","px_last")</f>
        <v>#NAME?</v>
      </c>
      <c r="AR185" s="109" t="e">
        <f t="shared" ca="1" si="55"/>
        <v>#NAME?</v>
      </c>
      <c r="AT185" s="66" t="str">
        <f t="shared" ca="1" si="41"/>
        <v/>
      </c>
      <c r="AU185" s="66" t="str">
        <f t="shared" ca="1" si="41"/>
        <v/>
      </c>
      <c r="AV185" s="66" t="str">
        <f t="shared" ca="1" si="41"/>
        <v/>
      </c>
      <c r="AW185" s="73" t="str" cm="1">
        <f t="array" aca="1" ref="AW185" ca="1">IF(ISERROR(DATEVALUE(_xll.BDP($E185,AW$6))),"",DATEVALUE(_xll.BDP($E185,AW$6)))</f>
        <v/>
      </c>
      <c r="AX185" s="73" t="str" cm="1">
        <f t="array" aca="1" ref="AX185" ca="1">IF(ISERROR(DATEVALUE(_xll.BDP($E185,AX$2))),"",DATEVALUE(_xll.BDP($E185,AX$2)))</f>
        <v/>
      </c>
      <c r="AY185" s="73" t="str" cm="1">
        <f t="array" aca="1" ref="AY185" ca="1">IF(ISERROR(DATEVALUE(_xll.BDP($E185,AY$6))),"",DATEVALUE(_xll.BDP($E185,AY$6)))</f>
        <v/>
      </c>
      <c r="AZ185" s="110" t="e" cm="1">
        <f t="array" aca="1" ref="AZ185" ca="1">IF(_xll.BQL($E185, "last(matches(px_last(dates=range(-1w,0d)), dayofweek(px_last(dates=range(-1w,0d)).date)==6))")="#N/A","-",_xll.BQL($E185, "last(matches(px_last(dates=range(-1w,0d)), dayofweek(px_last(dates=range(-1w,0d)).date)==6))"))</f>
        <v>#NAME?</v>
      </c>
      <c r="BA185" s="109" t="e" cm="1">
        <f t="array" aca="1" ref="BA185" ca="1">IF(_xll.BQL(E185,"first(last(matches(px_last(dates=range(-1M,0D)),dayofweek(px_last(dates=range(-1M,0D)).date)==6),2),1)")="#N/A","-",_xll.BQL(E185,"first(last(matches(px_last(dates=range(-1M,0D)),dayofweek(px_last(dates=range(-1M,0D)).date)==6),2),1)"))</f>
        <v>#NAME?</v>
      </c>
      <c r="BB185" s="109" t="str">
        <f t="shared" ca="1" si="53"/>
        <v>-</v>
      </c>
    </row>
    <row r="186" spans="5:54" ht="16.5" customHeight="1" thickBot="1">
      <c r="E186" s="96" t="s">
        <v>1858</v>
      </c>
      <c r="F186" s="66" t="e">
        <f ca="1">_xll.BDP($E186,F$3)&amp;" BEST Curncy"</f>
        <v>#NAME?</v>
      </c>
      <c r="G186" s="97"/>
      <c r="I186" s="131"/>
      <c r="J186" s="98" t="e">
        <f ca="1">_xll.BDP($E186,J$3)</f>
        <v>#NAME?</v>
      </c>
      <c r="K186" s="99" t="e">
        <f ca="1">_xll.BDP($E186,K$3)</f>
        <v>#NAME?</v>
      </c>
      <c r="L186" s="100" t="str">
        <f ca="1">IF(ISNUMBER(_xll.BDH($E186,"PX_LAST",TEXT($E$2,"YYYYMMDD"),TEXT($E$2,"YYYYMMDD"),"days=a","fill=p")),_xll.BDH($E186,"PX_LAST",TEXT($E$2,"YYYYMMDD"),TEXT($E$2,"YYYYMMDD"),"days=a","fill=p"),"-")</f>
        <v>-</v>
      </c>
      <c r="M186" s="100" t="str">
        <f ca="1">IF(ISNUMBER(_xll.BDH($E186,"PX_LAST",TEXT($E$2-7,"YYYYMMDD"),TEXT($E$2-7,"YYYYMMDD"),"days=a","fill=p")),_xll.BDH($E186,"PX_LAST",TEXT($E$2-7,"YYYYMMDD"),TEXT($E$2-7,"YYYYMMDD"),"days=a","fill=p"),"-")</f>
        <v>-</v>
      </c>
      <c r="N186" s="180" t="str">
        <f t="shared" ca="1" si="56"/>
        <v>-</v>
      </c>
      <c r="O186" s="101" t="e">
        <f ca="1">IF(OR(_xll.BDP($E186,O$3)="#N/A N/A",_xll.BDP($E186,O$3)="#N/A Invalid Security"), "-", _xll.BDP($E186,O$3))</f>
        <v>#NAME?</v>
      </c>
      <c r="P186" s="182" t="str">
        <f ca="1">IF(ISNUMBER(_xll.BDH($F186,"PX_LAST",TEXT($E$2,"YYYYMMDD"),TEXT($E$2,"YYYYMMDD"),"days=a","fill=p")),_xll.BDH($F186,"PX_LAST",TEXT($E$2,"YYYYMMDD"),TEXT($E$2,"YYYYMMDD"),"days=a","fill=p"),"-")</f>
        <v>-</v>
      </c>
      <c r="Q186" s="182" t="str">
        <f ca="1">IF(ISNUMBER(_xll.BDH($F186,"PX_LAST",TEXT($E$2-7,"YYYYMMDD"),TEXT($E$2-7,"YYYYMMDD"),"days=a","fill=p")),_xll.BDH($F186,"PX_LAST",TEXT($E$2-7,"YYYYMMDD"),TEXT($E$2-7,"YYYYMMDD"),"days=a","fill=p"),"-")</f>
        <v>-</v>
      </c>
      <c r="R186" s="102" t="str">
        <f t="shared" ca="1" si="57"/>
        <v>-</v>
      </c>
      <c r="S186" s="103" t="str">
        <f ca="1">IF(ISNUMBER(_xll.BDP($F186,S$3)),_xll.BDP($F186,S$3),"-")</f>
        <v>-</v>
      </c>
      <c r="T186" s="104" t="str">
        <f t="shared" si="52"/>
        <v xml:space="preserve"> </v>
      </c>
      <c r="U186" s="105" t="e">
        <f ca="1">IF(OR(_xll.BDP($E186,U$3)="#N/A N/A",_xll.BDP($E186,U$3)="#N/A Invalid Security"), "-", _xll.BDP($E186,U$3))</f>
        <v>#NAME?</v>
      </c>
      <c r="V186" s="105" t="e">
        <f ca="1">IF(OR(_xll.BDP($E186,V$2)="#N/A N/A",_xll.BDP($E186,V$2)="#N/A Invalid Security"), "-", _xll.BDP($E186,V$2))</f>
        <v>#NAME?</v>
      </c>
      <c r="W186" s="106" t="e">
        <f ca="1">IF(OR(_xll.BDP($E186,W$3)="#N/A N/A",_xll.BDP($E186,W$3)="#N/A Invalid Security"), "-", _xll.BDP($E186,W$3))</f>
        <v>#NAME?</v>
      </c>
      <c r="X186" s="105" t="e">
        <f ca="1">IF(OR(_xll.BDP($E186,X$3)="#N/A N/A",_xll.BDP($E186,X$3)="#N/A Invalid Security"), " ", _xll.BDP($E186,X$3))</f>
        <v>#NAME?</v>
      </c>
      <c r="Y186" s="105" t="e">
        <f ca="1">IF(OR(_xll.BDP($E186,Y$3)="#N/A N/A",_xll.BDP($E186,Y$3)="#N/A Invalid Security"), " ", _xll.BDP($E186,Y$3))</f>
        <v>#NAME?</v>
      </c>
      <c r="Z186" s="106" t="e">
        <f ca="1">IF(OR(_xll.BDP($E186,Z$3)="#N/A N/A",_xll.BDP($E186,Z$3)="#N/A Invalid Security"), " ", _xll.BDP($E186,Z$3))</f>
        <v>#NAME?</v>
      </c>
      <c r="AA186" s="107"/>
      <c r="AB186" s="93"/>
      <c r="AC186" s="93"/>
      <c r="AD186" s="93"/>
      <c r="AE186" s="93"/>
      <c r="AF186" s="93"/>
      <c r="AG186" s="93"/>
      <c r="AH186" s="95"/>
      <c r="AI186" s="95"/>
      <c r="AJ186" s="95"/>
      <c r="AK186" s="95"/>
      <c r="AL186" s="95"/>
      <c r="AM186" s="95"/>
      <c r="AO186" s="108" t="e" cm="1">
        <f t="array" aca="1" ref="AO186" ca="1">_xll.BDP($E186,"cur_mkt_cap")</f>
        <v>#NAME?</v>
      </c>
      <c r="AP186" s="108" t="e" cm="1">
        <f t="array" aca="1" ref="AP186" ca="1">_xll.BDP($E186,"crncy")</f>
        <v>#NAME?</v>
      </c>
      <c r="AQ186" s="109" t="e" cm="1">
        <f t="array" aca="1" ref="AQ186" ca="1">_xll.BDP("USD"&amp;AP186&amp;" curncy","px_last")</f>
        <v>#NAME?</v>
      </c>
      <c r="AR186" s="109" t="e">
        <f ca="1">AO186/AQ186/1000000000</f>
        <v>#NAME?</v>
      </c>
      <c r="AW186" s="73" t="str" cm="1">
        <f t="array" aca="1" ref="AW186" ca="1">IF(ISERROR(DATEVALUE(_xll.BDP($E186,AW$6))),"",DATEVALUE(_xll.BDP($E186,AW$6)))</f>
        <v/>
      </c>
      <c r="AX186" s="73" t="str" cm="1">
        <f t="array" aca="1" ref="AX186" ca="1">IF(ISERROR(DATEVALUE(_xll.BDP($E186,AX$2))),"",DATEVALUE(_xll.BDP($E186,AX$2)))</f>
        <v/>
      </c>
      <c r="AY186" s="73" t="str" cm="1">
        <f t="array" aca="1" ref="AY186" ca="1">IF(ISERROR(DATEVALUE(_xll.BDP($E186,AY$6))),"",DATEVALUE(_xll.BDP($E186,AY$6)))</f>
        <v/>
      </c>
      <c r="AZ186" s="110" t="e" cm="1">
        <f t="array" aca="1" ref="AZ186" ca="1">IF(_xll.BQL($E186, "last(matches(px_last(dates=range(-1w,0d)), dayofweek(px_last(dates=range(-1w,0d)).date)==6))")="#N/A","-",_xll.BQL($E186, "last(matches(px_last(dates=range(-1w,0d)), dayofweek(px_last(dates=range(-1w,0d)).date)==6))"))</f>
        <v>#NAME?</v>
      </c>
      <c r="BA186" s="109" t="e" cm="1">
        <f t="array" aca="1" ref="BA186" ca="1">IF(_xll.BQL(E186,"first(last(matches(px_last(dates=range(-1M,0D)),dayofweek(px_last(dates=range(-1M,0D)).date)==6),2),1)")="#N/A","-",_xll.BQL(E186,"first(last(matches(px_last(dates=range(-1M,0D)),dayofweek(px_last(dates=range(-1M,0D)).date)==6),2),1)"))</f>
        <v>#NAME?</v>
      </c>
      <c r="BB186" s="109" t="str">
        <f t="shared" ca="1" si="53"/>
        <v>-</v>
      </c>
    </row>
    <row r="187" spans="5:54" ht="16.5" customHeight="1" thickBot="1">
      <c r="E187" s="96" t="s">
        <v>1175</v>
      </c>
      <c r="F187" s="66" t="e">
        <f ca="1">_xll.BDP($E187,F$3)&amp;" BEST Curncy"</f>
        <v>#NAME?</v>
      </c>
      <c r="G187" s="97" t="e">
        <f t="shared" ca="1" si="47"/>
        <v>#NAME?</v>
      </c>
      <c r="I187" s="632" t="s">
        <v>1176</v>
      </c>
      <c r="J187" s="98" t="e">
        <f ca="1">_xll.BDP($E187,J$3)</f>
        <v>#NAME?</v>
      </c>
      <c r="K187" s="99" t="e">
        <f ca="1">_xll.BDP($E187,K$3)</f>
        <v>#NAME?</v>
      </c>
      <c r="L187" s="100" t="str">
        <f ca="1">IF(ISNUMBER(_xll.BDH($E187,"PX_LAST",TEXT($E$2,"YYYYMMDD"),TEXT($E$2,"YYYYMMDD"),"days=a","fill=p")),_xll.BDH($E187,"PX_LAST",TEXT($E$2,"YYYYMMDD"),TEXT($E$2,"YYYYMMDD"),"days=a","fill=p"),"-")</f>
        <v>-</v>
      </c>
      <c r="M187" s="100" t="str">
        <f ca="1">IF(ISNUMBER(_xll.BDH($E187,"PX_LAST",TEXT($E$2-7,"YYYYMMDD"),TEXT($E$2-7,"YYYYMMDD"),"days=a","fill=p")),_xll.BDH($E187,"PX_LAST",TEXT($E$2-7,"YYYYMMDD"),TEXT($E$2-7,"YYYYMMDD"),"days=a","fill=p"),"-")</f>
        <v>-</v>
      </c>
      <c r="N187" s="180" t="str">
        <f t="shared" ca="1" si="56"/>
        <v>-</v>
      </c>
      <c r="O187" s="101" t="e">
        <f ca="1">IF(OR(_xll.BDP($E187,O$3)="#N/A N/A",_xll.BDP($E187,O$3)="#N/A Invalid Security"), "-", _xll.BDP($E187,O$3))</f>
        <v>#NAME?</v>
      </c>
      <c r="P187" s="182" t="str">
        <f ca="1">IF(ISNUMBER(_xll.BDH($F187,"PX_LAST",TEXT($E$2,"YYYYMMDD"),TEXT($E$2,"YYYYMMDD"),"days=a","fill=p")),_xll.BDH($F187,"PX_LAST",TEXT($E$2,"YYYYMMDD"),TEXT($E$2,"YYYYMMDD"),"days=a","fill=p"),"-")</f>
        <v>-</v>
      </c>
      <c r="Q187" s="182" t="str">
        <f ca="1">IF(ISNUMBER(_xll.BDH($F187,"PX_LAST",TEXT($E$2-7,"YYYYMMDD"),TEXT($E$2-7,"YYYYMMDD"),"days=a","fill=p")),_xll.BDH($F187,"PX_LAST",TEXT($E$2-7,"YYYYMMDD"),TEXT($E$2-7,"YYYYMMDD"),"days=a","fill=p"),"-")</f>
        <v>-</v>
      </c>
      <c r="R187" s="102" t="str">
        <f t="shared" ca="1" si="57"/>
        <v>-</v>
      </c>
      <c r="S187" s="103" t="str">
        <f ca="1">IF(ISNUMBER(_xll.BDP($F187,S$3)),_xll.BDP($F187,S$3),"-")</f>
        <v>-</v>
      </c>
      <c r="T187" s="104" t="e">
        <f t="shared" ca="1" si="52"/>
        <v>#NAME?</v>
      </c>
      <c r="U187" s="105" t="e">
        <f ca="1">IF(OR(_xll.BDP($E187,U$3)="#N/A N/A",_xll.BDP($E187,U$3)="#N/A Invalid Security"), "-", _xll.BDP($E187,U$3))</f>
        <v>#NAME?</v>
      </c>
      <c r="V187" s="105" t="e">
        <f ca="1">IF(OR(_xll.BDP($E187,V$2)="#N/A N/A",_xll.BDP($E187,V$2)="#N/A Invalid Security"), "-", _xll.BDP($E187,V$2))</f>
        <v>#NAME?</v>
      </c>
      <c r="W187" s="106" t="e">
        <f ca="1">IF(OR(_xll.BDP($E187,W$3)="#N/A N/A",_xll.BDP($E187,W$3)="#N/A Invalid Security"), "-", _xll.BDP($E187,W$3))</f>
        <v>#NAME?</v>
      </c>
      <c r="X187" s="105" t="e">
        <f ca="1">IF(OR(_xll.BDP($E187,X$3)="#N/A N/A",_xll.BDP($E187,X$3)="#N/A Invalid Security"), " ", _xll.BDP($E187,X$3))</f>
        <v>#NAME?</v>
      </c>
      <c r="Y187" s="105" t="e">
        <f ca="1">IF(OR(_xll.BDP($E187,Y$3)="#N/A N/A",_xll.BDP($E187,Y$3)="#N/A Invalid Security"), " ", _xll.BDP($E187,Y$3))</f>
        <v>#NAME?</v>
      </c>
      <c r="Z187" s="106" t="e">
        <f ca="1">IF(OR(_xll.BDP($E187,Z$3)="#N/A N/A",_xll.BDP($E187,Z$3)="#N/A Invalid Security"), " ", _xll.BDP($E187,Z$3))</f>
        <v>#NAME?</v>
      </c>
      <c r="AA187" s="107"/>
      <c r="AB187" s="93" t="s">
        <v>876</v>
      </c>
      <c r="AC187" s="93" t="s">
        <v>874</v>
      </c>
      <c r="AD187" s="93" t="s">
        <v>987</v>
      </c>
      <c r="AE187" s="93" t="s">
        <v>940</v>
      </c>
      <c r="AF187" s="93" t="s">
        <v>940</v>
      </c>
      <c r="AG187" s="93" t="s">
        <v>936</v>
      </c>
      <c r="AH187" s="95" t="e">
        <f t="shared" ca="1" si="48"/>
        <v>#NAME?</v>
      </c>
      <c r="AI187" s="95" t="e">
        <f t="shared" ca="1" si="48"/>
        <v>#NAME?</v>
      </c>
      <c r="AJ187" s="95" t="e">
        <f t="shared" ca="1" si="48"/>
        <v>#NAME?</v>
      </c>
      <c r="AK187" s="95" t="e">
        <f t="shared" ca="1" si="48"/>
        <v>#NAME?</v>
      </c>
      <c r="AL187" s="95" t="e">
        <f t="shared" ca="1" si="48"/>
        <v>#NAME?</v>
      </c>
      <c r="AM187" s="95" t="e">
        <f t="shared" ca="1" si="48"/>
        <v>#NAME?</v>
      </c>
      <c r="AN187" s="66" t="str">
        <f t="shared" ca="1" si="58"/>
        <v/>
      </c>
      <c r="AO187" s="108" t="e" cm="1">
        <f t="array" aca="1" ref="AO187" ca="1">_xll.BDP($E187,"cur_mkt_cap")</f>
        <v>#NAME?</v>
      </c>
      <c r="AP187" s="108" t="e" cm="1">
        <f t="array" aca="1" ref="AP187" ca="1">_xll.BDP($E187,"crncy")</f>
        <v>#NAME?</v>
      </c>
      <c r="AQ187" s="109" t="e" cm="1">
        <f t="array" aca="1" ref="AQ187" ca="1">_xll.BDP("USD"&amp;AP187&amp;" curncy","px_last")</f>
        <v>#NAME?</v>
      </c>
      <c r="AR187" s="109" t="e">
        <f ca="1">AO187/AQ187/1000000000</f>
        <v>#NAME?</v>
      </c>
      <c r="AT187" s="66" t="str">
        <f t="shared" ca="1" si="41"/>
        <v/>
      </c>
      <c r="AU187" s="66" t="str">
        <f t="shared" ca="1" si="41"/>
        <v/>
      </c>
      <c r="AV187" s="66" t="str">
        <f t="shared" ca="1" si="41"/>
        <v/>
      </c>
      <c r="AW187" s="73" t="str" cm="1">
        <f t="array" aca="1" ref="AW187" ca="1">IF(ISERROR(DATEVALUE(_xll.BDP($E187,AW$6))),"",DATEVALUE(_xll.BDP($E187,AW$6)))</f>
        <v/>
      </c>
      <c r="AX187" s="73" t="str" cm="1">
        <f t="array" aca="1" ref="AX187" ca="1">IF(ISERROR(DATEVALUE(_xll.BDP($E187,AX$2))),"",DATEVALUE(_xll.BDP($E187,AX$2)))</f>
        <v/>
      </c>
      <c r="AY187" s="73" t="str" cm="1">
        <f t="array" aca="1" ref="AY187" ca="1">IF(ISERROR(DATEVALUE(_xll.BDP($E187,AY$6))),"",DATEVALUE(_xll.BDP($E187,AY$6)))</f>
        <v/>
      </c>
      <c r="AZ187" s="110" t="e" cm="1">
        <f t="array" aca="1" ref="AZ187" ca="1">IF(_xll.BQL($E187, "last(matches(px_last(dates=range(-1w,0d)), dayofweek(px_last(dates=range(-1w,0d)).date)==6))")="#N/A","-",_xll.BQL($E187, "last(matches(px_last(dates=range(-1w,0d)), dayofweek(px_last(dates=range(-1w,0d)).date)==6))"))</f>
        <v>#NAME?</v>
      </c>
      <c r="BA187" s="109" t="e" cm="1">
        <f t="array" aca="1" ref="BA187" ca="1">IF(_xll.BQL(E187,"first(last(matches(px_last(dates=range(-1M,0D)),dayofweek(px_last(dates=range(-1M,0D)).date)==6),2),1)")="#N/A","-",_xll.BQL(E187,"first(last(matches(px_last(dates=range(-1M,0D)),dayofweek(px_last(dates=range(-1M,0D)).date)==6),2),1)"))</f>
        <v>#NAME?</v>
      </c>
      <c r="BB187" s="109" t="str">
        <f t="shared" ca="1" si="53"/>
        <v>-</v>
      </c>
    </row>
    <row r="188" spans="5:54" ht="16.5" customHeight="1" thickBot="1">
      <c r="E188" s="96" t="s">
        <v>1177</v>
      </c>
      <c r="F188" s="66" t="e">
        <f ca="1">_xll.BDP($E188,F$3)&amp;" BEST Curncy"</f>
        <v>#NAME?</v>
      </c>
      <c r="G188" s="97" t="e">
        <f t="shared" ca="1" si="47"/>
        <v>#NAME?</v>
      </c>
      <c r="I188" s="633"/>
      <c r="J188" s="98" t="e">
        <f ca="1">_xll.BDP($E188,J$3)</f>
        <v>#NAME?</v>
      </c>
      <c r="K188" s="99" t="e">
        <f ca="1">_xll.BDP($E188,K$3)</f>
        <v>#NAME?</v>
      </c>
      <c r="L188" s="100" t="str">
        <f ca="1">IF(ISNUMBER(_xll.BDH($E188,"PX_LAST",TEXT($E$2,"YYYYMMDD"),TEXT($E$2,"YYYYMMDD"),"days=a","fill=p")),_xll.BDH($E188,"PX_LAST",TEXT($E$2,"YYYYMMDD"),TEXT($E$2,"YYYYMMDD"),"days=a","fill=p"),"-")</f>
        <v>-</v>
      </c>
      <c r="M188" s="100" t="str">
        <f ca="1">IF(ISNUMBER(_xll.BDH($E188,"PX_LAST",TEXT($E$2-7,"YYYYMMDD"),TEXT($E$2-7,"YYYYMMDD"),"days=a","fill=p")),_xll.BDH($E188,"PX_LAST",TEXT($E$2-7,"YYYYMMDD"),TEXT($E$2-7,"YYYYMMDD"),"days=a","fill=p"),"-")</f>
        <v>-</v>
      </c>
      <c r="N188" s="180" t="str">
        <f t="shared" ca="1" si="56"/>
        <v>-</v>
      </c>
      <c r="O188" s="101" t="e">
        <f ca="1">IF(OR(_xll.BDP($E188,O$3)="#N/A N/A",_xll.BDP($E188,O$3)="#N/A Invalid Security"), "-", _xll.BDP($E188,O$3))</f>
        <v>#NAME?</v>
      </c>
      <c r="P188" s="182" t="str">
        <f ca="1">IF(ISNUMBER(_xll.BDH($F188,"PX_LAST",TEXT($E$2,"YYYYMMDD"),TEXT($E$2,"YYYYMMDD"),"days=a","fill=p")),_xll.BDH($F188,"PX_LAST",TEXT($E$2,"YYYYMMDD"),TEXT($E$2,"YYYYMMDD"),"days=a","fill=p"),"-")</f>
        <v>-</v>
      </c>
      <c r="Q188" s="182" t="str">
        <f ca="1">IF(ISNUMBER(_xll.BDH($F188,"PX_LAST",TEXT($E$2-7,"YYYYMMDD"),TEXT($E$2-7,"YYYYMMDD"),"days=a","fill=p")),_xll.BDH($F188,"PX_LAST",TEXT($E$2-7,"YYYYMMDD"),TEXT($E$2-7,"YYYYMMDD"),"days=a","fill=p"),"-")</f>
        <v>-</v>
      </c>
      <c r="R188" s="102" t="str">
        <f t="shared" ca="1" si="57"/>
        <v>-</v>
      </c>
      <c r="S188" s="103" t="str">
        <f ca="1">IF(ISNUMBER(_xll.BDP($F188,S$3)),_xll.BDP($F188,S$3),"-")</f>
        <v>-</v>
      </c>
      <c r="T188" s="104" t="e">
        <f t="shared" ca="1" si="52"/>
        <v>#NAME?</v>
      </c>
      <c r="U188" s="105" t="e">
        <f ca="1">IF(OR(_xll.BDP($E188,U$3)="#N/A N/A",_xll.BDP($E188,U$3)="#N/A Invalid Security"), "-", _xll.BDP($E188,U$3))</f>
        <v>#NAME?</v>
      </c>
      <c r="V188" s="105" t="e">
        <f ca="1">IF(OR(_xll.BDP($E188,V$2)="#N/A N/A",_xll.BDP($E188,V$2)="#N/A Invalid Security"), "-", _xll.BDP($E188,V$2))</f>
        <v>#NAME?</v>
      </c>
      <c r="W188" s="106" t="e">
        <f ca="1">IF(OR(_xll.BDP($E188,W$3)="#N/A N/A",_xll.BDP($E188,W$3)="#N/A Invalid Security"), "-", _xll.BDP($E188,W$3))</f>
        <v>#NAME?</v>
      </c>
      <c r="X188" s="105" t="e">
        <f ca="1">IF(OR(_xll.BDP($E188,X$3)="#N/A N/A",_xll.BDP($E188,X$3)="#N/A Invalid Security"), " ", _xll.BDP($E188,X$3))</f>
        <v>#NAME?</v>
      </c>
      <c r="Y188" s="105" t="e">
        <f ca="1">IF(OR(_xll.BDP($E188,Y$3)="#N/A N/A",_xll.BDP($E188,Y$3)="#N/A Invalid Security"), " ", _xll.BDP($E188,Y$3))</f>
        <v>#NAME?</v>
      </c>
      <c r="Z188" s="106" t="e">
        <f ca="1">IF(OR(_xll.BDP($E188,Z$3)="#N/A N/A",_xll.BDP($E188,Z$3)="#N/A Invalid Security"), " ", _xll.BDP($E188,Z$3))</f>
        <v>#NAME?</v>
      </c>
      <c r="AA188" s="107"/>
      <c r="AB188" s="93" t="s">
        <v>1016</v>
      </c>
      <c r="AC188" s="93" t="s">
        <v>1017</v>
      </c>
      <c r="AD188" s="93" t="s">
        <v>987</v>
      </c>
      <c r="AE188" s="93" t="s">
        <v>940</v>
      </c>
      <c r="AF188" s="93" t="s">
        <v>940</v>
      </c>
      <c r="AG188" s="93" t="s">
        <v>936</v>
      </c>
      <c r="AH188" s="95" t="e">
        <f t="shared" ca="1" si="48"/>
        <v>#NAME?</v>
      </c>
      <c r="AI188" s="95" t="e">
        <f t="shared" ca="1" si="48"/>
        <v>#NAME?</v>
      </c>
      <c r="AJ188" s="95" t="e">
        <f t="shared" ca="1" si="48"/>
        <v>#NAME?</v>
      </c>
      <c r="AK188" s="95" t="e">
        <f t="shared" ca="1" si="48"/>
        <v>#NAME?</v>
      </c>
      <c r="AL188" s="95" t="e">
        <f t="shared" ca="1" si="48"/>
        <v>#NAME?</v>
      </c>
      <c r="AM188" s="95" t="e">
        <f t="shared" ca="1" si="48"/>
        <v>#NAME?</v>
      </c>
      <c r="AN188" s="66" t="str">
        <f t="shared" ca="1" si="58"/>
        <v/>
      </c>
      <c r="AO188" s="108" t="e" cm="1">
        <f t="array" aca="1" ref="AO188" ca="1">_xll.BDP($E188,"cur_mkt_cap")</f>
        <v>#NAME?</v>
      </c>
      <c r="AP188" s="108" t="e" cm="1">
        <f t="array" aca="1" ref="AP188" ca="1">_xll.BDP($E188,"crncy")</f>
        <v>#NAME?</v>
      </c>
      <c r="AQ188" s="109" t="e" cm="1">
        <f t="array" aca="1" ref="AQ188" ca="1">_xll.BDP("USD"&amp;AP188&amp;" curncy","px_last")</f>
        <v>#NAME?</v>
      </c>
      <c r="AR188" s="109" t="e">
        <f t="shared" ref="AR188:AR194" ca="1" si="59">AO188/AQ188/1000000000</f>
        <v>#NAME?</v>
      </c>
      <c r="AT188" s="66" t="str">
        <f t="shared" ca="1" si="41"/>
        <v/>
      </c>
      <c r="AU188" s="66" t="str">
        <f t="shared" ca="1" si="41"/>
        <v/>
      </c>
      <c r="AV188" s="66" t="str">
        <f t="shared" ca="1" si="41"/>
        <v/>
      </c>
      <c r="AW188" s="73" t="str" cm="1">
        <f t="array" aca="1" ref="AW188" ca="1">IF(ISERROR(DATEVALUE(_xll.BDP($E188,AW$6))),"",DATEVALUE(_xll.BDP($E188,AW$6)))</f>
        <v/>
      </c>
      <c r="AX188" s="73" t="str" cm="1">
        <f t="array" aca="1" ref="AX188" ca="1">IF(ISERROR(DATEVALUE(_xll.BDP($E188,AX$2))),"",DATEVALUE(_xll.BDP($E188,AX$2)))</f>
        <v/>
      </c>
      <c r="AY188" s="73" t="str" cm="1">
        <f t="array" aca="1" ref="AY188" ca="1">IF(ISERROR(DATEVALUE(_xll.BDP($E188,AY$6))),"",DATEVALUE(_xll.BDP($E188,AY$6)))</f>
        <v/>
      </c>
      <c r="AZ188" s="110" t="e" cm="1">
        <f t="array" aca="1" ref="AZ188" ca="1">IF(_xll.BQL($E188, "last(matches(px_last(dates=range(-1w,0d)), dayofweek(px_last(dates=range(-1w,0d)).date)==6))")="#N/A","-",_xll.BQL($E188, "last(matches(px_last(dates=range(-1w,0d)), dayofweek(px_last(dates=range(-1w,0d)).date)==6))"))</f>
        <v>#NAME?</v>
      </c>
      <c r="BA188" s="109" t="e" cm="1">
        <f t="array" aca="1" ref="BA188" ca="1">IF(_xll.BQL(E188,"first(last(matches(px_last(dates=range(-1M,0D)),dayofweek(px_last(dates=range(-1M,0D)).date)==6),2),1)")="#N/A","-",_xll.BQL(E188,"first(last(matches(px_last(dates=range(-1M,0D)),dayofweek(px_last(dates=range(-1M,0D)).date)==6),2),1)"))</f>
        <v>#NAME?</v>
      </c>
      <c r="BB188" s="109" t="str">
        <f t="shared" ca="1" si="53"/>
        <v>-</v>
      </c>
    </row>
    <row r="189" spans="5:54" ht="16.5" customHeight="1" thickBot="1">
      <c r="E189" s="96" t="s">
        <v>1178</v>
      </c>
      <c r="F189" s="66" t="e">
        <f ca="1">_xll.BDP($E189,F$3)&amp;" BEST Curncy"</f>
        <v>#NAME?</v>
      </c>
      <c r="G189" s="97" t="e">
        <f t="shared" ca="1" si="47"/>
        <v>#NAME?</v>
      </c>
      <c r="I189" s="633"/>
      <c r="J189" s="98" t="e">
        <f ca="1">_xll.BDP($E189,J$3)</f>
        <v>#NAME?</v>
      </c>
      <c r="K189" s="99" t="e">
        <f ca="1">_xll.BDP($E189,K$3)</f>
        <v>#NAME?</v>
      </c>
      <c r="L189" s="100" t="str">
        <f ca="1">IF(ISNUMBER(_xll.BDH($E189,"PX_LAST",TEXT($E$2,"YYYYMMDD"),TEXT($E$2,"YYYYMMDD"),"days=a","fill=p")),_xll.BDH($E189,"PX_LAST",TEXT($E$2,"YYYYMMDD"),TEXT($E$2,"YYYYMMDD"),"days=a","fill=p"),"-")</f>
        <v>-</v>
      </c>
      <c r="M189" s="100" t="str">
        <f ca="1">IF(ISNUMBER(_xll.BDH($E189,"PX_LAST",TEXT($E$2-7,"YYYYMMDD"),TEXT($E$2-7,"YYYYMMDD"),"days=a","fill=p")),_xll.BDH($E189,"PX_LAST",TEXT($E$2-7,"YYYYMMDD"),TEXT($E$2-7,"YYYYMMDD"),"days=a","fill=p"),"-")</f>
        <v>-</v>
      </c>
      <c r="N189" s="180" t="str">
        <f t="shared" ca="1" si="56"/>
        <v>-</v>
      </c>
      <c r="O189" s="101" t="e">
        <f ca="1">IF(OR(_xll.BDP($E189,O$3)="#N/A N/A",_xll.BDP($E189,O$3)="#N/A Invalid Security"), "-", _xll.BDP($E189,O$3))</f>
        <v>#NAME?</v>
      </c>
      <c r="P189" s="182" t="str">
        <f ca="1">IF(ISNUMBER(_xll.BDH($F189,"PX_LAST",TEXT($E$2,"YYYYMMDD"),TEXT($E$2,"YYYYMMDD"),"days=a","fill=p")),_xll.BDH($F189,"PX_LAST",TEXT($E$2,"YYYYMMDD"),TEXT($E$2,"YYYYMMDD"),"days=a","fill=p"),"-")</f>
        <v>-</v>
      </c>
      <c r="Q189" s="182" t="str">
        <f ca="1">IF(ISNUMBER(_xll.BDH($F189,"PX_LAST",TEXT($E$2-7,"YYYYMMDD"),TEXT($E$2-7,"YYYYMMDD"),"days=a","fill=p")),_xll.BDH($F189,"PX_LAST",TEXT($E$2-7,"YYYYMMDD"),TEXT($E$2-7,"YYYYMMDD"),"days=a","fill=p"),"-")</f>
        <v>-</v>
      </c>
      <c r="R189" s="102" t="str">
        <f t="shared" ca="1" si="57"/>
        <v>-</v>
      </c>
      <c r="S189" s="103" t="str">
        <f ca="1">IF(ISNUMBER(_xll.BDP($F189,S$3)),_xll.BDP($F189,S$3),"-")</f>
        <v>-</v>
      </c>
      <c r="T189" s="104" t="e">
        <f t="shared" ca="1" si="52"/>
        <v>#NAME?</v>
      </c>
      <c r="U189" s="105" t="e">
        <f ca="1">IF(OR(_xll.BDP($E189,U$3)="#N/A N/A",_xll.BDP($E189,U$3)="#N/A Invalid Security"), "-", _xll.BDP($E189,U$3))</f>
        <v>#NAME?</v>
      </c>
      <c r="V189" s="105" t="e">
        <f ca="1">IF(OR(_xll.BDP($E189,V$2)="#N/A N/A",_xll.BDP($E189,V$2)="#N/A Invalid Security"), "-", _xll.BDP($E189,V$2))</f>
        <v>#NAME?</v>
      </c>
      <c r="W189" s="106" t="e">
        <f ca="1">IF(OR(_xll.BDP($E189,W$3)="#N/A N/A",_xll.BDP($E189,W$3)="#N/A Invalid Security"), "-", _xll.BDP($E189,W$3))</f>
        <v>#NAME?</v>
      </c>
      <c r="X189" s="105" t="e">
        <f ca="1">IF(OR(_xll.BDP($E189,X$3)="#N/A N/A",_xll.BDP($E189,X$3)="#N/A Invalid Security"), " ", _xll.BDP($E189,X$3))</f>
        <v>#NAME?</v>
      </c>
      <c r="Y189" s="105" t="e">
        <f ca="1">IF(OR(_xll.BDP($E189,Y$3)="#N/A N/A",_xll.BDP($E189,Y$3)="#N/A Invalid Security"), " ", _xll.BDP($E189,Y$3))</f>
        <v>#NAME?</v>
      </c>
      <c r="Z189" s="106" t="e">
        <f ca="1">IF(OR(_xll.BDP($E189,Z$3)="#N/A N/A",_xll.BDP($E189,Z$3)="#N/A Invalid Security"), " ", _xll.BDP($E189,Z$3))</f>
        <v>#NAME?</v>
      </c>
      <c r="AA189" s="107"/>
      <c r="AB189" s="93" t="s">
        <v>938</v>
      </c>
      <c r="AC189" s="93" t="s">
        <v>942</v>
      </c>
      <c r="AD189" s="93" t="s">
        <v>934</v>
      </c>
      <c r="AE189" s="93" t="s">
        <v>940</v>
      </c>
      <c r="AF189" s="93" t="s">
        <v>948</v>
      </c>
      <c r="AG189" s="93" t="s">
        <v>936</v>
      </c>
      <c r="AH189" s="95" t="e">
        <f t="shared" ca="1" si="48"/>
        <v>#NAME?</v>
      </c>
      <c r="AI189" s="95" t="e">
        <f t="shared" ca="1" si="48"/>
        <v>#NAME?</v>
      </c>
      <c r="AJ189" s="95" t="e">
        <f t="shared" ca="1" si="48"/>
        <v>#NAME?</v>
      </c>
      <c r="AK189" s="95" t="e">
        <f t="shared" ca="1" si="48"/>
        <v>#NAME?</v>
      </c>
      <c r="AL189" s="95" t="e">
        <f t="shared" ca="1" si="48"/>
        <v>#NAME?</v>
      </c>
      <c r="AM189" s="95" t="e">
        <f t="shared" ca="1" si="48"/>
        <v>#NAME?</v>
      </c>
      <c r="AN189" s="66" t="str">
        <f t="shared" ca="1" si="58"/>
        <v/>
      </c>
      <c r="AO189" s="108" t="e" cm="1">
        <f t="array" aca="1" ref="AO189" ca="1">_xll.BDP($E189,"cur_mkt_cap")</f>
        <v>#NAME?</v>
      </c>
      <c r="AP189" s="108" t="e" cm="1">
        <f t="array" aca="1" ref="AP189" ca="1">_xll.BDP($E189,"crncy")</f>
        <v>#NAME?</v>
      </c>
      <c r="AQ189" s="109" t="e" cm="1">
        <f t="array" aca="1" ref="AQ189" ca="1">_xll.BDP("USD"&amp;AP189&amp;" curncy","px_last")</f>
        <v>#NAME?</v>
      </c>
      <c r="AR189" s="109" t="e">
        <f t="shared" ca="1" si="59"/>
        <v>#NAME?</v>
      </c>
      <c r="AT189" s="66" t="str">
        <f t="shared" ca="1" si="41"/>
        <v/>
      </c>
      <c r="AU189" s="66" t="str">
        <f t="shared" ca="1" si="41"/>
        <v/>
      </c>
      <c r="AV189" s="66" t="str">
        <f t="shared" ca="1" si="41"/>
        <v/>
      </c>
      <c r="AW189" s="73" t="str" cm="1">
        <f t="array" aca="1" ref="AW189" ca="1">IF(ISERROR(DATEVALUE(_xll.BDP($E189,AW$6))),"",DATEVALUE(_xll.BDP($E189,AW$6)))</f>
        <v/>
      </c>
      <c r="AX189" s="73" t="str" cm="1">
        <f t="array" aca="1" ref="AX189" ca="1">IF(ISERROR(DATEVALUE(_xll.BDP($E189,AX$2))),"",DATEVALUE(_xll.BDP($E189,AX$2)))</f>
        <v/>
      </c>
      <c r="AY189" s="73" t="str" cm="1">
        <f t="array" aca="1" ref="AY189" ca="1">IF(ISERROR(DATEVALUE(_xll.BDP($E189,AY$6))),"",DATEVALUE(_xll.BDP($E189,AY$6)))</f>
        <v/>
      </c>
      <c r="AZ189" s="110" t="e" cm="1">
        <f t="array" aca="1" ref="AZ189" ca="1">IF(_xll.BQL($E189, "last(matches(px_last(dates=range(-1w,0d)), dayofweek(px_last(dates=range(-1w,0d)).date)==6))")="#N/A","-",_xll.BQL($E189, "last(matches(px_last(dates=range(-1w,0d)), dayofweek(px_last(dates=range(-1w,0d)).date)==6))"))</f>
        <v>#NAME?</v>
      </c>
      <c r="BA189" s="109" t="e" cm="1">
        <f t="array" aca="1" ref="BA189" ca="1">IF(_xll.BQL(E189,"first(last(matches(px_last(dates=range(-1M,0D)),dayofweek(px_last(dates=range(-1M,0D)).date)==6),2),1)")="#N/A","-",_xll.BQL(E189,"first(last(matches(px_last(dates=range(-1M,0D)),dayofweek(px_last(dates=range(-1M,0D)).date)==6),2),1)"))</f>
        <v>#NAME?</v>
      </c>
      <c r="BB189" s="109" t="str">
        <f t="shared" ca="1" si="53"/>
        <v>-</v>
      </c>
    </row>
    <row r="190" spans="5:54" ht="16.5" customHeight="1" thickBot="1">
      <c r="E190" s="96" t="s">
        <v>1179</v>
      </c>
      <c r="F190" s="66" t="e">
        <f ca="1">_xll.BDP($E190,F$3)&amp;" BEST Curncy"</f>
        <v>#NAME?</v>
      </c>
      <c r="G190" s="97" t="e">
        <f t="shared" ca="1" si="47"/>
        <v>#NAME?</v>
      </c>
      <c r="I190" s="633"/>
      <c r="J190" s="98" t="e">
        <f ca="1">_xll.BDP($E190,J$3)</f>
        <v>#NAME?</v>
      </c>
      <c r="K190" s="99" t="e">
        <f ca="1">_xll.BDP($E190,K$3)</f>
        <v>#NAME?</v>
      </c>
      <c r="L190" s="100" t="str">
        <f ca="1">IF(ISNUMBER(_xll.BDH($E190,"PX_LAST",TEXT($E$2,"YYYYMMDD"),TEXT($E$2,"YYYYMMDD"),"days=a","fill=p")),_xll.BDH($E190,"PX_LAST",TEXT($E$2,"YYYYMMDD"),TEXT($E$2,"YYYYMMDD"),"days=a","fill=p"),"-")</f>
        <v>-</v>
      </c>
      <c r="M190" s="100" t="str">
        <f ca="1">IF(ISNUMBER(_xll.BDH($E190,"PX_LAST",TEXT($E$2-7,"YYYYMMDD"),TEXT($E$2-7,"YYYYMMDD"),"days=a","fill=p")),_xll.BDH($E190,"PX_LAST",TEXT($E$2-7,"YYYYMMDD"),TEXT($E$2-7,"YYYYMMDD"),"days=a","fill=p"),"-")</f>
        <v>-</v>
      </c>
      <c r="N190" s="180" t="str">
        <f t="shared" ca="1" si="56"/>
        <v>-</v>
      </c>
      <c r="O190" s="101" t="e">
        <f ca="1">IF(OR(_xll.BDP($E190,O$3)="#N/A N/A",_xll.BDP($E190,O$3)="#N/A Invalid Security"), "-", _xll.BDP($E190,O$3))</f>
        <v>#NAME?</v>
      </c>
      <c r="P190" s="182" t="str">
        <f ca="1">IF(ISNUMBER(_xll.BDH($F190,"PX_LAST",TEXT($E$2,"YYYYMMDD"),TEXT($E$2,"YYYYMMDD"),"days=a","fill=p")),_xll.BDH($F190,"PX_LAST",TEXT($E$2,"YYYYMMDD"),TEXT($E$2,"YYYYMMDD"),"days=a","fill=p"),"-")</f>
        <v>-</v>
      </c>
      <c r="Q190" s="182" t="str">
        <f ca="1">IF(ISNUMBER(_xll.BDH($F190,"PX_LAST",TEXT($E$2-7,"YYYYMMDD"),TEXT($E$2-7,"YYYYMMDD"),"days=a","fill=p")),_xll.BDH($F190,"PX_LAST",TEXT($E$2-7,"YYYYMMDD"),TEXT($E$2-7,"YYYYMMDD"),"days=a","fill=p"),"-")</f>
        <v>-</v>
      </c>
      <c r="R190" s="102" t="str">
        <f t="shared" ca="1" si="57"/>
        <v>-</v>
      </c>
      <c r="S190" s="103" t="str">
        <f ca="1">IF(ISNUMBER(_xll.BDP($F190,S$3)),_xll.BDP($F190,S$3),"-")</f>
        <v>-</v>
      </c>
      <c r="T190" s="104" t="e">
        <f t="shared" ca="1" si="52"/>
        <v>#NAME?</v>
      </c>
      <c r="U190" s="105" t="e">
        <f ca="1">IF(OR(_xll.BDP($E190,U$3)="#N/A N/A",_xll.BDP($E190,U$3)="#N/A Invalid Security"), "-", _xll.BDP($E190,U$3))</f>
        <v>#NAME?</v>
      </c>
      <c r="V190" s="105" t="e">
        <f ca="1">IF(OR(_xll.BDP($E190,V$2)="#N/A N/A",_xll.BDP($E190,V$2)="#N/A Invalid Security"), "-", _xll.BDP($E190,V$2))</f>
        <v>#NAME?</v>
      </c>
      <c r="W190" s="106" t="e">
        <f ca="1">IF(OR(_xll.BDP($E190,W$3)="#N/A N/A",_xll.BDP($E190,W$3)="#N/A Invalid Security"), "-", _xll.BDP($E190,W$3))</f>
        <v>#NAME?</v>
      </c>
      <c r="X190" s="105" t="e">
        <f ca="1">IF(OR(_xll.BDP($E190,X$3)="#N/A N/A",_xll.BDP($E190,X$3)="#N/A Invalid Security"), " ", _xll.BDP($E190,X$3))</f>
        <v>#NAME?</v>
      </c>
      <c r="Y190" s="105" t="e">
        <f ca="1">IF(OR(_xll.BDP($E190,Y$3)="#N/A N/A",_xll.BDP($E190,Y$3)="#N/A Invalid Security"), " ", _xll.BDP($E190,Y$3))</f>
        <v>#NAME?</v>
      </c>
      <c r="Z190" s="106" t="e">
        <f ca="1">IF(OR(_xll.BDP($E190,Z$3)="#N/A N/A",_xll.BDP($E190,Z$3)="#N/A Invalid Security"), " ", _xll.BDP($E190,Z$3))</f>
        <v>#NAME?</v>
      </c>
      <c r="AA190" s="107"/>
      <c r="AB190" s="93" t="s">
        <v>953</v>
      </c>
      <c r="AC190" s="93" t="s">
        <v>998</v>
      </c>
      <c r="AD190" s="93" t="s">
        <v>987</v>
      </c>
      <c r="AE190" s="93" t="s">
        <v>940</v>
      </c>
      <c r="AF190" s="93" t="s">
        <v>940</v>
      </c>
      <c r="AG190" s="93" t="s">
        <v>936</v>
      </c>
      <c r="AH190" s="95" t="e">
        <f t="shared" ca="1" si="48"/>
        <v>#NAME?</v>
      </c>
      <c r="AI190" s="95" t="e">
        <f t="shared" ca="1" si="48"/>
        <v>#NAME?</v>
      </c>
      <c r="AJ190" s="95" t="e">
        <f t="shared" ca="1" si="48"/>
        <v>#NAME?</v>
      </c>
      <c r="AK190" s="95" t="e">
        <f t="shared" ca="1" si="48"/>
        <v>#NAME?</v>
      </c>
      <c r="AL190" s="95" t="e">
        <f t="shared" ca="1" si="48"/>
        <v>#NAME?</v>
      </c>
      <c r="AM190" s="95" t="e">
        <f t="shared" ca="1" si="48"/>
        <v>#NAME?</v>
      </c>
      <c r="AN190" s="66" t="str">
        <f t="shared" ca="1" si="58"/>
        <v/>
      </c>
      <c r="AO190" s="108" t="e" cm="1">
        <f t="array" aca="1" ref="AO190" ca="1">_xll.BDP($E190,"cur_mkt_cap")</f>
        <v>#NAME?</v>
      </c>
      <c r="AP190" s="108" t="e" cm="1">
        <f t="array" aca="1" ref="AP190" ca="1">_xll.BDP($E190,"crncy")</f>
        <v>#NAME?</v>
      </c>
      <c r="AQ190" s="109" t="e" cm="1">
        <f t="array" aca="1" ref="AQ190" ca="1">_xll.BDP("USD"&amp;AP190&amp;" curncy","px_last")</f>
        <v>#NAME?</v>
      </c>
      <c r="AR190" s="109" t="e">
        <f t="shared" ca="1" si="59"/>
        <v>#NAME?</v>
      </c>
      <c r="AT190" s="66" t="str">
        <f t="shared" ref="AT190:AV194" ca="1" si="60">IF(AND(AW190&lt;=$E$1,AW190&gt;=$F$1),1,"")</f>
        <v/>
      </c>
      <c r="AU190" s="66" t="str">
        <f t="shared" ca="1" si="60"/>
        <v/>
      </c>
      <c r="AV190" s="66" t="str">
        <f t="shared" ca="1" si="60"/>
        <v/>
      </c>
      <c r="AW190" s="73" t="str" cm="1">
        <f t="array" aca="1" ref="AW190" ca="1">IF(ISERROR(DATEVALUE(_xll.BDP($E190,AW$6))),"",DATEVALUE(_xll.BDP($E190,AW$6)))</f>
        <v/>
      </c>
      <c r="AX190" s="73" t="str" cm="1">
        <f t="array" aca="1" ref="AX190" ca="1">IF(ISERROR(DATEVALUE(_xll.BDP($E190,AX$2))),"",DATEVALUE(_xll.BDP($E190,AX$2)))</f>
        <v/>
      </c>
      <c r="AY190" s="73" t="str" cm="1">
        <f t="array" aca="1" ref="AY190" ca="1">IF(ISERROR(DATEVALUE(_xll.BDP($E190,AY$6))),"",DATEVALUE(_xll.BDP($E190,AY$6)))</f>
        <v/>
      </c>
      <c r="AZ190" s="110" t="e" cm="1">
        <f t="array" aca="1" ref="AZ190" ca="1">IF(_xll.BQL($E190, "last(matches(px_last(dates=range(-1w,0d)), dayofweek(px_last(dates=range(-1w,0d)).date)==6))")="#N/A","-",_xll.BQL($E190, "last(matches(px_last(dates=range(-1w,0d)), dayofweek(px_last(dates=range(-1w,0d)).date)==6))"))</f>
        <v>#NAME?</v>
      </c>
      <c r="BA190" s="109" t="e" cm="1">
        <f t="array" aca="1" ref="BA190" ca="1">IF(_xll.BQL(E190,"first(last(matches(px_last(dates=range(-1M,0D)),dayofweek(px_last(dates=range(-1M,0D)).date)==6),2),1)")="#N/A","-",_xll.BQL(E190,"first(last(matches(px_last(dates=range(-1M,0D)),dayofweek(px_last(dates=range(-1M,0D)).date)==6),2),1)"))</f>
        <v>#NAME?</v>
      </c>
      <c r="BB190" s="109" t="str">
        <f t="shared" ca="1" si="53"/>
        <v>-</v>
      </c>
    </row>
    <row r="191" spans="5:54" ht="16.5" customHeight="1" thickBot="1">
      <c r="E191" s="96" t="s">
        <v>1180</v>
      </c>
      <c r="F191" s="66" t="e">
        <f ca="1">_xll.BDP($E191,F$3)&amp;" BEST Curncy"</f>
        <v>#NAME?</v>
      </c>
      <c r="G191" s="97" t="e">
        <f t="shared" ca="1" si="47"/>
        <v>#NAME?</v>
      </c>
      <c r="I191" s="633"/>
      <c r="J191" s="98" t="e">
        <f ca="1">_xll.BDP($E191,J$3)</f>
        <v>#NAME?</v>
      </c>
      <c r="K191" s="99" t="e">
        <f ca="1">_xll.BDP($E191,K$3)</f>
        <v>#NAME?</v>
      </c>
      <c r="L191" s="100" t="str">
        <f ca="1">IF(ISNUMBER(_xll.BDH($E191,"PX_LAST",TEXT($E$2,"YYYYMMDD"),TEXT($E$2,"YYYYMMDD"),"days=a","fill=p")),_xll.BDH($E191,"PX_LAST",TEXT($E$2,"YYYYMMDD"),TEXT($E$2,"YYYYMMDD"),"days=a","fill=p"),"-")</f>
        <v>-</v>
      </c>
      <c r="M191" s="100" t="str">
        <f ca="1">IF(ISNUMBER(_xll.BDH($E191,"PX_LAST",TEXT($E$2-7,"YYYYMMDD"),TEXT($E$2-7,"YYYYMMDD"),"days=a","fill=p")),_xll.BDH($E191,"PX_LAST",TEXT($E$2-7,"YYYYMMDD"),TEXT($E$2-7,"YYYYMMDD"),"days=a","fill=p"),"-")</f>
        <v>-</v>
      </c>
      <c r="N191" s="180" t="str">
        <f t="shared" ca="1" si="56"/>
        <v>-</v>
      </c>
      <c r="O191" s="101" t="e">
        <f ca="1">IF(OR(_xll.BDP($E191,O$3)="#N/A N/A",_xll.BDP($E191,O$3)="#N/A Invalid Security"), "-", _xll.BDP($E191,O$3))</f>
        <v>#NAME?</v>
      </c>
      <c r="P191" s="182" t="str">
        <f ca="1">IF(ISNUMBER(_xll.BDH($F191,"PX_LAST",TEXT($E$2,"YYYYMMDD"),TEXT($E$2,"YYYYMMDD"),"days=a","fill=p")),_xll.BDH($F191,"PX_LAST",TEXT($E$2,"YYYYMMDD"),TEXT($E$2,"YYYYMMDD"),"days=a","fill=p"),"-")</f>
        <v>-</v>
      </c>
      <c r="Q191" s="182" t="str">
        <f ca="1">IF(ISNUMBER(_xll.BDH($F191,"PX_LAST",TEXT($E$2-7,"YYYYMMDD"),TEXT($E$2-7,"YYYYMMDD"),"days=a","fill=p")),_xll.BDH($F191,"PX_LAST",TEXT($E$2-7,"YYYYMMDD"),TEXT($E$2-7,"YYYYMMDD"),"days=a","fill=p"),"-")</f>
        <v>-</v>
      </c>
      <c r="R191" s="102" t="str">
        <f t="shared" ca="1" si="57"/>
        <v>-</v>
      </c>
      <c r="S191" s="103" t="str">
        <f ca="1">IF(ISNUMBER(_xll.BDP($F191,S$3)),_xll.BDP($F191,S$3),"-")</f>
        <v>-</v>
      </c>
      <c r="T191" s="104" t="e">
        <f t="shared" ca="1" si="52"/>
        <v>#NAME?</v>
      </c>
      <c r="U191" s="105" t="e">
        <f ca="1">IF(OR(_xll.BDP($E191,U$3)="#N/A N/A",_xll.BDP($E191,U$3)="#N/A Invalid Security"), "-", _xll.BDP($E191,U$3))</f>
        <v>#NAME?</v>
      </c>
      <c r="V191" s="105" t="e">
        <f ca="1">IF(OR(_xll.BDP($E191,V$2)="#N/A N/A",_xll.BDP($E191,V$2)="#N/A Invalid Security"), "-", _xll.BDP($E191,V$2))</f>
        <v>#NAME?</v>
      </c>
      <c r="W191" s="106" t="e">
        <f ca="1">IF(OR(_xll.BDP($E191,W$3)="#N/A N/A",_xll.BDP($E191,W$3)="#N/A Invalid Security"), "-", _xll.BDP($E191,W$3))</f>
        <v>#NAME?</v>
      </c>
      <c r="X191" s="105" t="e">
        <f ca="1">IF(OR(_xll.BDP($E191,X$3)="#N/A N/A",_xll.BDP($E191,X$3)="#N/A Invalid Security"), " ", _xll.BDP($E191,X$3))</f>
        <v>#NAME?</v>
      </c>
      <c r="Y191" s="105" t="e">
        <f ca="1">IF(OR(_xll.BDP($E191,Y$3)="#N/A N/A",_xll.BDP($E191,Y$3)="#N/A Invalid Security"), " ", _xll.BDP($E191,Y$3))</f>
        <v>#NAME?</v>
      </c>
      <c r="Z191" s="106" t="e">
        <f ca="1">IF(OR(_xll.BDP($E191,Z$3)="#N/A N/A",_xll.BDP($E191,Z$3)="#N/A Invalid Security"), " ", _xll.BDP($E191,Z$3))</f>
        <v>#NAME?</v>
      </c>
      <c r="AA191" s="107"/>
      <c r="AB191" s="93" t="s">
        <v>997</v>
      </c>
      <c r="AC191" s="93" t="s">
        <v>998</v>
      </c>
      <c r="AD191" s="93" t="s">
        <v>1111</v>
      </c>
      <c r="AE191" s="93" t="s">
        <v>940</v>
      </c>
      <c r="AF191" s="93" t="s">
        <v>940</v>
      </c>
      <c r="AG191" s="93" t="s">
        <v>940</v>
      </c>
      <c r="AH191" s="95" t="e">
        <f t="shared" ca="1" si="48"/>
        <v>#NAME?</v>
      </c>
      <c r="AI191" s="95" t="e">
        <f t="shared" ca="1" si="48"/>
        <v>#NAME?</v>
      </c>
      <c r="AJ191" s="95" t="e">
        <f t="shared" ca="1" si="48"/>
        <v>#NAME?</v>
      </c>
      <c r="AK191" s="95" t="e">
        <f t="shared" ca="1" si="48"/>
        <v>#NAME?</v>
      </c>
      <c r="AL191" s="95" t="e">
        <f t="shared" ca="1" si="48"/>
        <v>#NAME?</v>
      </c>
      <c r="AM191" s="95" t="e">
        <f t="shared" ca="1" si="48"/>
        <v>#NAME?</v>
      </c>
      <c r="AN191" s="66" t="str">
        <f t="shared" ca="1" si="58"/>
        <v/>
      </c>
      <c r="AO191" s="108" t="e" cm="1">
        <f t="array" aca="1" ref="AO191" ca="1">_xll.BDP($E191,"cur_mkt_cap")</f>
        <v>#NAME?</v>
      </c>
      <c r="AP191" s="108" t="e" cm="1">
        <f t="array" aca="1" ref="AP191" ca="1">_xll.BDP($E191,"crncy")</f>
        <v>#NAME?</v>
      </c>
      <c r="AQ191" s="109" t="e" cm="1">
        <f t="array" aca="1" ref="AQ191" ca="1">_xll.BDP("USD"&amp;AP191&amp;" curncy","px_last")</f>
        <v>#NAME?</v>
      </c>
      <c r="AR191" s="109" t="e">
        <f t="shared" ca="1" si="59"/>
        <v>#NAME?</v>
      </c>
      <c r="AT191" s="66" t="str">
        <f t="shared" ca="1" si="60"/>
        <v/>
      </c>
      <c r="AU191" s="66" t="str">
        <f t="shared" ca="1" si="60"/>
        <v/>
      </c>
      <c r="AV191" s="66" t="str">
        <f t="shared" ca="1" si="60"/>
        <v/>
      </c>
      <c r="AW191" s="73" t="str" cm="1">
        <f t="array" aca="1" ref="AW191" ca="1">IF(ISERROR(DATEVALUE(_xll.BDP($E191,AW$6))),"",DATEVALUE(_xll.BDP($E191,AW$6)))</f>
        <v/>
      </c>
      <c r="AX191" s="73" t="str" cm="1">
        <f t="array" aca="1" ref="AX191" ca="1">IF(ISERROR(DATEVALUE(_xll.BDP($E191,AX$2))),"",DATEVALUE(_xll.BDP($E191,AX$2)))</f>
        <v/>
      </c>
      <c r="AY191" s="73" t="str" cm="1">
        <f t="array" aca="1" ref="AY191" ca="1">IF(ISERROR(DATEVALUE(_xll.BDP($E191,AY$6))),"",DATEVALUE(_xll.BDP($E191,AY$6)))</f>
        <v/>
      </c>
      <c r="AZ191" s="110" t="e" cm="1">
        <f t="array" aca="1" ref="AZ191" ca="1">IF(_xll.BQL($E191, "last(matches(px_last(dates=range(-1w,0d)), dayofweek(px_last(dates=range(-1w,0d)).date)==6))")="#N/A","-",_xll.BQL($E191, "last(matches(px_last(dates=range(-1w,0d)), dayofweek(px_last(dates=range(-1w,0d)).date)==6))"))</f>
        <v>#NAME?</v>
      </c>
      <c r="BA191" s="109" t="e" cm="1">
        <f t="array" aca="1" ref="BA191" ca="1">IF(_xll.BQL(E191,"first(last(matches(px_last(dates=range(-1M,0D)),dayofweek(px_last(dates=range(-1M,0D)).date)==6),2),1)")="#N/A","-",_xll.BQL(E191,"first(last(matches(px_last(dates=range(-1M,0D)),dayofweek(px_last(dates=range(-1M,0D)).date)==6),2),1)"))</f>
        <v>#NAME?</v>
      </c>
      <c r="BB191" s="109" t="str">
        <f t="shared" ca="1" si="53"/>
        <v>-</v>
      </c>
    </row>
    <row r="192" spans="5:54" ht="16.5" customHeight="1" thickBot="1">
      <c r="E192" s="96" t="s">
        <v>1181</v>
      </c>
      <c r="F192" s="66" t="e">
        <f ca="1">_xll.BDP($E192,F$3)&amp;" BEST Curncy"</f>
        <v>#NAME?</v>
      </c>
      <c r="G192" s="97" t="e">
        <f t="shared" ca="1" si="47"/>
        <v>#NAME?</v>
      </c>
      <c r="I192" s="647"/>
      <c r="J192" s="98" t="e">
        <f ca="1">_xll.BDP($E192,J$3)</f>
        <v>#NAME?</v>
      </c>
      <c r="K192" s="99" t="e">
        <f ca="1">_xll.BDP($E192,K$3)</f>
        <v>#NAME?</v>
      </c>
      <c r="L192" s="100" t="str">
        <f ca="1">IF(ISNUMBER(_xll.BDH($E192,"PX_LAST",TEXT($E$2,"YYYYMMDD"),TEXT($E$2,"YYYYMMDD"),"days=a","fill=p")),_xll.BDH($E192,"PX_LAST",TEXT($E$2,"YYYYMMDD"),TEXT($E$2,"YYYYMMDD"),"days=a","fill=p"),"-")</f>
        <v>-</v>
      </c>
      <c r="M192" s="100" t="str">
        <f ca="1">IF(ISNUMBER(_xll.BDH($E192,"PX_LAST",TEXT($E$2-7,"YYYYMMDD"),TEXT($E$2-7,"YYYYMMDD"),"days=a","fill=p")),_xll.BDH($E192,"PX_LAST",TEXT($E$2-7,"YYYYMMDD"),TEXT($E$2-7,"YYYYMMDD"),"days=a","fill=p"),"-")</f>
        <v>-</v>
      </c>
      <c r="N192" s="180" t="str">
        <f t="shared" ca="1" si="56"/>
        <v>-</v>
      </c>
      <c r="O192" s="101" t="e">
        <f ca="1">IF(OR(_xll.BDP($E192,O$3)="#N/A N/A",_xll.BDP($E192,O$3)="#N/A Invalid Security"), "-", _xll.BDP($E192,O$3))</f>
        <v>#NAME?</v>
      </c>
      <c r="P192" s="182" t="str">
        <f ca="1">IF(ISNUMBER(_xll.BDH($F192,"PX_LAST",TEXT($E$2,"YYYYMMDD"),TEXT($E$2,"YYYYMMDD"),"days=a","fill=p")),_xll.BDH($F192,"PX_LAST",TEXT($E$2,"YYYYMMDD"),TEXT($E$2,"YYYYMMDD"),"days=a","fill=p"),"-")</f>
        <v>-</v>
      </c>
      <c r="Q192" s="182" t="str">
        <f ca="1">IF(ISNUMBER(_xll.BDH($F192,"PX_LAST",TEXT($E$2-7,"YYYYMMDD"),TEXT($E$2-7,"YYYYMMDD"),"days=a","fill=p")),_xll.BDH($F192,"PX_LAST",TEXT($E$2-7,"YYYYMMDD"),TEXT($E$2-7,"YYYYMMDD"),"days=a","fill=p"),"-")</f>
        <v>-</v>
      </c>
      <c r="R192" s="102" t="str">
        <f t="shared" ca="1" si="57"/>
        <v>-</v>
      </c>
      <c r="S192" s="103" t="str">
        <f ca="1">IF(ISNUMBER(_xll.BDP($F192,S$3)),_xll.BDP($F192,S$3),"-")</f>
        <v>-</v>
      </c>
      <c r="T192" s="104" t="e">
        <f t="shared" ca="1" si="52"/>
        <v>#NAME?</v>
      </c>
      <c r="U192" s="105" t="e">
        <f ca="1">IF(OR(_xll.BDP($E192,U$3)="#N/A N/A",_xll.BDP($E192,U$3)="#N/A Invalid Security"), "-", _xll.BDP($E192,U$3))</f>
        <v>#NAME?</v>
      </c>
      <c r="V192" s="105" t="e">
        <f ca="1">IF(OR(_xll.BDP($E192,V$2)="#N/A N/A",_xll.BDP($E192,V$2)="#N/A Invalid Security"), "-", _xll.BDP($E192,V$2))</f>
        <v>#NAME?</v>
      </c>
      <c r="W192" s="106" t="e">
        <f ca="1">IF(OR(_xll.BDP($E192,W$3)="#N/A N/A",_xll.BDP($E192,W$3)="#N/A Invalid Security"), "-", _xll.BDP($E192,W$3))</f>
        <v>#NAME?</v>
      </c>
      <c r="X192" s="105" t="e">
        <f ca="1">IF(OR(_xll.BDP($E192,X$3)="#N/A N/A",_xll.BDP($E192,X$3)="#N/A Invalid Security"), " ", _xll.BDP($E192,X$3))</f>
        <v>#NAME?</v>
      </c>
      <c r="Y192" s="105" t="e">
        <f ca="1">IF(OR(_xll.BDP($E192,Y$3)="#N/A N/A",_xll.BDP($E192,Y$3)="#N/A Invalid Security"), " ", _xll.BDP($E192,Y$3))</f>
        <v>#NAME?</v>
      </c>
      <c r="Z192" s="106" t="e">
        <f ca="1">IF(OR(_xll.BDP($E192,Z$3)="#N/A N/A",_xll.BDP($E192,Z$3)="#N/A Invalid Security"), " ", _xll.BDP($E192,Z$3))</f>
        <v>#NAME?</v>
      </c>
      <c r="AA192" s="107"/>
      <c r="AB192" s="93" t="s">
        <v>1011</v>
      </c>
      <c r="AC192" s="93" t="s">
        <v>998</v>
      </c>
      <c r="AD192" s="93" t="s">
        <v>934</v>
      </c>
      <c r="AE192" s="93" t="s">
        <v>940</v>
      </c>
      <c r="AF192" s="93" t="s">
        <v>940</v>
      </c>
      <c r="AG192" s="93" t="s">
        <v>936</v>
      </c>
      <c r="AH192" s="95" t="e">
        <f t="shared" ca="1" si="48"/>
        <v>#NAME?</v>
      </c>
      <c r="AI192" s="95" t="e">
        <f t="shared" ca="1" si="48"/>
        <v>#NAME?</v>
      </c>
      <c r="AJ192" s="95" t="e">
        <f t="shared" ca="1" si="48"/>
        <v>#NAME?</v>
      </c>
      <c r="AK192" s="95" t="e">
        <f t="shared" ca="1" si="48"/>
        <v>#NAME?</v>
      </c>
      <c r="AL192" s="95" t="e">
        <f t="shared" ca="1" si="48"/>
        <v>#NAME?</v>
      </c>
      <c r="AM192" s="95" t="e">
        <f t="shared" ca="1" si="48"/>
        <v>#NAME?</v>
      </c>
      <c r="AN192" s="66" t="str">
        <f t="shared" ca="1" si="58"/>
        <v/>
      </c>
      <c r="AO192" s="108" t="e" cm="1">
        <f t="array" aca="1" ref="AO192" ca="1">_xll.BDP($E192,"cur_mkt_cap")</f>
        <v>#NAME?</v>
      </c>
      <c r="AP192" s="108" t="e" cm="1">
        <f t="array" aca="1" ref="AP192" ca="1">_xll.BDP($E192,"crncy")</f>
        <v>#NAME?</v>
      </c>
      <c r="AQ192" s="109" t="e" cm="1">
        <f t="array" aca="1" ref="AQ192" ca="1">_xll.BDP("USD"&amp;AP192&amp;" curncy","px_last")</f>
        <v>#NAME?</v>
      </c>
      <c r="AR192" s="109" t="e">
        <f t="shared" ca="1" si="59"/>
        <v>#NAME?</v>
      </c>
      <c r="AT192" s="66" t="str">
        <f t="shared" ca="1" si="60"/>
        <v/>
      </c>
      <c r="AU192" s="66" t="str">
        <f t="shared" ca="1" si="60"/>
        <v/>
      </c>
      <c r="AV192" s="66" t="str">
        <f t="shared" ca="1" si="60"/>
        <v/>
      </c>
      <c r="AW192" s="73" t="str" cm="1">
        <f t="array" aca="1" ref="AW192" ca="1">IF(ISERROR(DATEVALUE(_xll.BDP($E192,AW$6))),"",DATEVALUE(_xll.BDP($E192,AW$6)))</f>
        <v/>
      </c>
      <c r="AX192" s="73" t="str" cm="1">
        <f t="array" aca="1" ref="AX192" ca="1">IF(ISERROR(DATEVALUE(_xll.BDP($E192,AX$2))),"",DATEVALUE(_xll.BDP($E192,AX$2)))</f>
        <v/>
      </c>
      <c r="AY192" s="73" t="str" cm="1">
        <f t="array" aca="1" ref="AY192" ca="1">IF(ISERROR(DATEVALUE(_xll.BDP($E192,AY$6))),"",DATEVALUE(_xll.BDP($E192,AY$6)))</f>
        <v/>
      </c>
      <c r="AZ192" s="110" t="e" cm="1">
        <f t="array" aca="1" ref="AZ192" ca="1">IF(_xll.BQL($E192, "last(matches(px_last(dates=range(-1w,0d)), dayofweek(px_last(dates=range(-1w,0d)).date)==6))")="#N/A","-",_xll.BQL($E192, "last(matches(px_last(dates=range(-1w,0d)), dayofweek(px_last(dates=range(-1w,0d)).date)==6))"))</f>
        <v>#NAME?</v>
      </c>
      <c r="BA192" s="109" t="e" cm="1">
        <f t="array" aca="1" ref="BA192" ca="1">IF(_xll.BQL(E192,"first(last(matches(px_last(dates=range(-1M,0D)),dayofweek(px_last(dates=range(-1M,0D)).date)==6),2),1)")="#N/A","-",_xll.BQL(E192,"first(last(matches(px_last(dates=range(-1M,0D)),dayofweek(px_last(dates=range(-1M,0D)).date)==6),2),1)"))</f>
        <v>#NAME?</v>
      </c>
      <c r="BB192" s="109" t="str">
        <f t="shared" ca="1" si="53"/>
        <v>-</v>
      </c>
    </row>
    <row r="193" spans="5:54" ht="16.5" customHeight="1" thickBot="1">
      <c r="E193" s="161" t="s">
        <v>1182</v>
      </c>
      <c r="F193" s="66" t="e">
        <f ca="1">_xll.BDP($E193,F$3)&amp;" BEST Curncy"</f>
        <v>#NAME?</v>
      </c>
      <c r="G193" s="97" t="e">
        <f t="shared" ca="1" si="47"/>
        <v>#NAME?</v>
      </c>
      <c r="I193" s="641" t="s">
        <v>1183</v>
      </c>
      <c r="J193" s="98" t="e">
        <f ca="1">_xll.BDP($E193,J$3)</f>
        <v>#NAME?</v>
      </c>
      <c r="K193" s="99" t="e">
        <f ca="1">_xll.BDP($E193,K$3)</f>
        <v>#NAME?</v>
      </c>
      <c r="L193" s="100" t="str">
        <f ca="1">IF(ISNUMBER(_xll.BDH($E193,"PX_LAST",TEXT($E$2,"YYYYMMDD"),TEXT($E$2,"YYYYMMDD"),"days=a","fill=p")),_xll.BDH($E193,"PX_LAST",TEXT($E$2,"YYYYMMDD"),TEXT($E$2,"YYYYMMDD"),"days=a","fill=p"),"-")</f>
        <v>-</v>
      </c>
      <c r="M193" s="100" t="str">
        <f ca="1">IF(ISNUMBER(_xll.BDH($E193,"PX_LAST",TEXT($E$2-7,"YYYYMMDD"),TEXT($E$2-7,"YYYYMMDD"),"days=a","fill=p")),_xll.BDH($E193,"PX_LAST",TEXT($E$2-7,"YYYYMMDD"),TEXT($E$2-7,"YYYYMMDD"),"days=a","fill=p"),"-")</f>
        <v>-</v>
      </c>
      <c r="N193" s="180" t="str">
        <f t="shared" ca="1" si="56"/>
        <v>-</v>
      </c>
      <c r="O193" s="101" t="e">
        <f ca="1">IF(OR(_xll.BDP($E193,O$3)="#N/A N/A",_xll.BDP($E193,O$3)="#N/A Invalid Security"), "-", _xll.BDP($E193,O$3))</f>
        <v>#NAME?</v>
      </c>
      <c r="P193" s="182" t="str">
        <f ca="1">IF(ISNUMBER(_xll.BDH($F193,"PX_LAST",TEXT($E$2,"YYYYMMDD"),TEXT($E$2,"YYYYMMDD"),"days=a","fill=p")),_xll.BDH($F193,"PX_LAST",TEXT($E$2,"YYYYMMDD"),TEXT($E$2,"YYYYMMDD"),"days=a","fill=p"),"-")</f>
        <v>-</v>
      </c>
      <c r="Q193" s="182" t="str">
        <f ca="1">IF(ISNUMBER(_xll.BDH($F193,"PX_LAST",TEXT($E$2-7,"YYYYMMDD"),TEXT($E$2-7,"YYYYMMDD"),"days=a","fill=p")),_xll.BDH($F193,"PX_LAST",TEXT($E$2-7,"YYYYMMDD"),TEXT($E$2-7,"YYYYMMDD"),"days=a","fill=p"),"-")</f>
        <v>-</v>
      </c>
      <c r="R193" s="102" t="str">
        <f t="shared" ca="1" si="57"/>
        <v>-</v>
      </c>
      <c r="S193" s="103" t="str">
        <f ca="1">IF(ISNUMBER(_xll.BDP($F193,S$3)),_xll.BDP($F193,S$3),"-")</f>
        <v>-</v>
      </c>
      <c r="T193" s="104" t="e">
        <f t="shared" ca="1" si="52"/>
        <v>#NAME?</v>
      </c>
      <c r="U193" s="105" t="e">
        <f ca="1">IF(OR(_xll.BDP($E193,U$3)="#N/A N/A",_xll.BDP($E193,U$3)="#N/A Invalid Security"), "-", _xll.BDP($E193,U$3))</f>
        <v>#NAME?</v>
      </c>
      <c r="V193" s="105" t="e">
        <f ca="1">IF(OR(_xll.BDP($E193,V$2)="#N/A N/A",_xll.BDP($E193,V$2)="#N/A Invalid Security"), "-", _xll.BDP($E193,V$2))</f>
        <v>#NAME?</v>
      </c>
      <c r="W193" s="106" t="e">
        <f ca="1">IF(OR(_xll.BDP($E193,W$3)="#N/A N/A",_xll.BDP($E193,W$3)="#N/A Invalid Security"), "-", _xll.BDP($E193,W$3))</f>
        <v>#NAME?</v>
      </c>
      <c r="X193" s="105" t="e">
        <f ca="1">IF(OR(_xll.BDP($E193,X$3)="#N/A N/A",_xll.BDP($E193,X$3)="#N/A Invalid Security"), " ", _xll.BDP($E193,X$3))</f>
        <v>#NAME?</v>
      </c>
      <c r="Y193" s="105" t="e">
        <f ca="1">IF(OR(_xll.BDP($E193,Y$3)="#N/A N/A",_xll.BDP($E193,Y$3)="#N/A Invalid Security"), " ", _xll.BDP($E193,Y$3))</f>
        <v>#NAME?</v>
      </c>
      <c r="Z193" s="106" t="e">
        <f ca="1">IF(OR(_xll.BDP($E193,Z$3)="#N/A N/A",_xll.BDP($E193,Z$3)="#N/A Invalid Security"), " ", _xll.BDP($E193,Z$3))</f>
        <v>#NAME?</v>
      </c>
      <c r="AA193" s="107"/>
      <c r="AB193" s="93" t="s">
        <v>876</v>
      </c>
      <c r="AC193" s="93" t="s">
        <v>874</v>
      </c>
      <c r="AD193" s="93" t="s">
        <v>985</v>
      </c>
      <c r="AE193" s="93" t="s">
        <v>940</v>
      </c>
      <c r="AF193" s="93" t="s">
        <v>948</v>
      </c>
      <c r="AG193" s="93" t="s">
        <v>940</v>
      </c>
      <c r="AH193" s="95" t="e">
        <f t="shared" ca="1" si="48"/>
        <v>#NAME?</v>
      </c>
      <c r="AI193" s="95" t="e">
        <f t="shared" ca="1" si="48"/>
        <v>#NAME?</v>
      </c>
      <c r="AJ193" s="95" t="e">
        <f t="shared" ca="1" si="48"/>
        <v>#NAME?</v>
      </c>
      <c r="AK193" s="95" t="e">
        <f t="shared" ca="1" si="48"/>
        <v>#NAME?</v>
      </c>
      <c r="AL193" s="95" t="e">
        <f t="shared" ca="1" si="48"/>
        <v>#NAME?</v>
      </c>
      <c r="AM193" s="95" t="e">
        <f t="shared" ca="1" si="48"/>
        <v>#NAME?</v>
      </c>
      <c r="AN193" s="66" t="str">
        <f t="shared" ca="1" si="58"/>
        <v/>
      </c>
      <c r="AO193" s="108" t="e" cm="1">
        <f t="array" aca="1" ref="AO193" ca="1">_xll.BDP($E193,"cur_mkt_cap")</f>
        <v>#NAME?</v>
      </c>
      <c r="AP193" s="108" t="e" cm="1">
        <f t="array" aca="1" ref="AP193" ca="1">_xll.BDP($E193,"crncy")</f>
        <v>#NAME?</v>
      </c>
      <c r="AQ193" s="109" t="e" cm="1">
        <f t="array" aca="1" ref="AQ193" ca="1">_xll.BDP("USD"&amp;AP193&amp;" curncy","px_last")</f>
        <v>#NAME?</v>
      </c>
      <c r="AR193" s="109" t="e">
        <f t="shared" ca="1" si="59"/>
        <v>#NAME?</v>
      </c>
      <c r="AT193" s="66" t="str">
        <f t="shared" ca="1" si="60"/>
        <v/>
      </c>
      <c r="AU193" s="66" t="str">
        <f t="shared" ca="1" si="60"/>
        <v/>
      </c>
      <c r="AV193" s="66" t="str">
        <f t="shared" ca="1" si="60"/>
        <v/>
      </c>
      <c r="AW193" s="73" t="str" cm="1">
        <f t="array" aca="1" ref="AW193" ca="1">IF(ISERROR(DATEVALUE(_xll.BDP($E193,AW$6))),"",DATEVALUE(_xll.BDP($E193,AW$6)))</f>
        <v/>
      </c>
      <c r="AX193" s="73" t="str" cm="1">
        <f t="array" aca="1" ref="AX193" ca="1">IF(ISERROR(DATEVALUE(_xll.BDP($E193,AX$2))),"",DATEVALUE(_xll.BDP($E193,AX$2)))</f>
        <v/>
      </c>
      <c r="AY193" s="73" t="str" cm="1">
        <f t="array" aca="1" ref="AY193" ca="1">IF(ISERROR(DATEVALUE(_xll.BDP($E193,AY$6))),"",DATEVALUE(_xll.BDP($E193,AY$6)))</f>
        <v/>
      </c>
      <c r="AZ193" s="110" t="e" cm="1">
        <f t="array" aca="1" ref="AZ193" ca="1">IF(_xll.BQL($E193, "last(matches(px_last(dates=range(-1w,0d)), dayofweek(px_last(dates=range(-1w,0d)).date)==6))")="#N/A","-",_xll.BQL($E193, "last(matches(px_last(dates=range(-1w,0d)), dayofweek(px_last(dates=range(-1w,0d)).date)==6))"))</f>
        <v>#NAME?</v>
      </c>
      <c r="BA193" s="109" t="e" cm="1">
        <f t="array" aca="1" ref="BA193" ca="1">IF(_xll.BQL(E193,"first(last(matches(px_last(dates=range(-1M,0D)),dayofweek(px_last(dates=range(-1M,0D)).date)==6),2),1)")="#N/A","-",_xll.BQL(E193,"first(last(matches(px_last(dates=range(-1M,0D)),dayofweek(px_last(dates=range(-1M,0D)).date)==6),2),1)"))</f>
        <v>#NAME?</v>
      </c>
      <c r="BB193" s="109" t="str">
        <f t="shared" ca="1" si="53"/>
        <v>-</v>
      </c>
    </row>
    <row r="194" spans="5:54" ht="16.5" customHeight="1" thickBot="1">
      <c r="E194" s="96" t="s">
        <v>1184</v>
      </c>
      <c r="F194" s="66" t="e">
        <f ca="1">_xll.BDP($E194,F$3)&amp;" BEST Curncy"</f>
        <v>#NAME?</v>
      </c>
      <c r="G194" s="97" t="e">
        <f t="shared" ca="1" si="47"/>
        <v>#NAME?</v>
      </c>
      <c r="I194" s="642"/>
      <c r="J194" s="98" t="e">
        <f ca="1">_xll.BDP($E194,J$3)</f>
        <v>#NAME?</v>
      </c>
      <c r="K194" s="99" t="e">
        <f ca="1">_xll.BDP($E194,K$3)</f>
        <v>#NAME?</v>
      </c>
      <c r="L194" s="100" t="str">
        <f ca="1">IF(ISNUMBER(_xll.BDH($E194,"PX_LAST",TEXT($E$2,"YYYYMMDD"),TEXT($E$2,"YYYYMMDD"),"days=a","fill=p")),_xll.BDH($E194,"PX_LAST",TEXT($E$2,"YYYYMMDD"),TEXT($E$2,"YYYYMMDD"),"days=a","fill=p"),"-")</f>
        <v>-</v>
      </c>
      <c r="M194" s="100" t="str">
        <f ca="1">IF(ISNUMBER(_xll.BDH($E194,"PX_LAST",TEXT($E$2-7,"YYYYMMDD"),TEXT($E$2-7,"YYYYMMDD"),"days=a","fill=p")),_xll.BDH($E194,"PX_LAST",TEXT($E$2-7,"YYYYMMDD"),TEXT($E$2-7,"YYYYMMDD"),"days=a","fill=p"),"-")</f>
        <v>-</v>
      </c>
      <c r="N194" s="180" t="str">
        <f t="shared" ca="1" si="56"/>
        <v>-</v>
      </c>
      <c r="O194" s="101" t="e">
        <f ca="1">IF(OR(_xll.BDP($E194,O$3)="#N/A N/A",_xll.BDP($E194,O$3)="#N/A Invalid Security"), "-", _xll.BDP($E194,O$3))</f>
        <v>#NAME?</v>
      </c>
      <c r="P194" s="182" t="str">
        <f ca="1">IF(ISNUMBER(_xll.BDH($F194,"PX_LAST",TEXT($E$2,"YYYYMMDD"),TEXT($E$2,"YYYYMMDD"),"days=a","fill=p")),_xll.BDH($F194,"PX_LAST",TEXT($E$2,"YYYYMMDD"),TEXT($E$2,"YYYYMMDD"),"days=a","fill=p"),"-")</f>
        <v>-</v>
      </c>
      <c r="Q194" s="182" t="str">
        <f ca="1">IF(ISNUMBER(_xll.BDH($F194,"PX_LAST",TEXT($E$2-7,"YYYYMMDD"),TEXT($E$2-7,"YYYYMMDD"),"days=a","fill=p")),_xll.BDH($F194,"PX_LAST",TEXT($E$2-7,"YYYYMMDD"),TEXT($E$2-7,"YYYYMMDD"),"days=a","fill=p"),"-")</f>
        <v>-</v>
      </c>
      <c r="R194" s="102" t="str">
        <f t="shared" ca="1" si="57"/>
        <v>-</v>
      </c>
      <c r="S194" s="103" t="str">
        <f ca="1">IF(ISNUMBER(_xll.BDP($F194,S$3)),_xll.BDP($F194,S$3),"-")</f>
        <v>-</v>
      </c>
      <c r="T194" s="104" t="e">
        <f t="shared" ca="1" si="52"/>
        <v>#NAME?</v>
      </c>
      <c r="U194" s="105" t="e">
        <f ca="1">IF(OR(_xll.BDP($E194,U$3)="#N/A N/A",_xll.BDP($E194,U$3)="#N/A Invalid Security"), "-", _xll.BDP($E194,U$3))</f>
        <v>#NAME?</v>
      </c>
      <c r="V194" s="105" t="e">
        <f ca="1">IF(OR(_xll.BDP($E194,V$2)="#N/A N/A",_xll.BDP($E194,V$2)="#N/A Invalid Security"), "-", _xll.BDP($E194,V$2))</f>
        <v>#NAME?</v>
      </c>
      <c r="W194" s="106" t="e">
        <f ca="1">IF(OR(_xll.BDP($E194,W$3)="#N/A N/A",_xll.BDP($E194,W$3)="#N/A Invalid Security"), "-", _xll.BDP($E194,W$3))</f>
        <v>#NAME?</v>
      </c>
      <c r="X194" s="105" t="e">
        <f ca="1">IF(OR(_xll.BDP($E194,X$3)="#N/A N/A",_xll.BDP($E194,X$3)="#N/A Invalid Security"), " ", _xll.BDP($E194,X$3))</f>
        <v>#NAME?</v>
      </c>
      <c r="Y194" s="105" t="e">
        <f ca="1">IF(OR(_xll.BDP($E194,Y$3)="#N/A N/A",_xll.BDP($E194,Y$3)="#N/A Invalid Security"), " ", _xll.BDP($E194,Y$3))</f>
        <v>#NAME?</v>
      </c>
      <c r="Z194" s="106" t="e">
        <f ca="1">IF(OR(_xll.BDP($E194,Z$3)="#N/A N/A",_xll.BDP($E194,Z$3)="#N/A Invalid Security"), " ", _xll.BDP($E194,Z$3))</f>
        <v>#NAME?</v>
      </c>
      <c r="AB194" s="93" t="s">
        <v>877</v>
      </c>
      <c r="AC194" s="93" t="s">
        <v>969</v>
      </c>
      <c r="AD194" s="93" t="s">
        <v>877</v>
      </c>
      <c r="AE194" s="93" t="s">
        <v>935</v>
      </c>
      <c r="AF194" s="93" t="s">
        <v>935</v>
      </c>
      <c r="AG194" s="93" t="s">
        <v>940</v>
      </c>
      <c r="AH194" s="95" t="e">
        <f t="shared" ca="1" si="48"/>
        <v>#NAME?</v>
      </c>
      <c r="AI194" s="95" t="e">
        <f t="shared" ca="1" si="48"/>
        <v>#NAME?</v>
      </c>
      <c r="AJ194" s="95" t="e">
        <f t="shared" ca="1" si="48"/>
        <v>#NAME?</v>
      </c>
      <c r="AK194" s="95" t="e">
        <f ca="1">IF(X194=AE194, 0,1)</f>
        <v>#NAME?</v>
      </c>
      <c r="AL194" s="95" t="e">
        <f ca="1">IF(Y194=AF194, 0,1)</f>
        <v>#NAME?</v>
      </c>
      <c r="AM194" s="95" t="e">
        <f ca="1">IF(Z194=AG194, 0,1)</f>
        <v>#NAME?</v>
      </c>
      <c r="AN194" s="66" t="str">
        <f t="shared" ca="1" si="58"/>
        <v/>
      </c>
      <c r="AO194" s="108" t="e" cm="1">
        <f t="array" aca="1" ref="AO194" ca="1">_xll.BDP($E194,"cur_mkt_cap")</f>
        <v>#NAME?</v>
      </c>
      <c r="AP194" s="108" t="e" cm="1">
        <f t="array" aca="1" ref="AP194" ca="1">_xll.BDP($E194,"crncy")</f>
        <v>#NAME?</v>
      </c>
      <c r="AQ194" s="109" t="e" cm="1">
        <f t="array" aca="1" ref="AQ194" ca="1">_xll.BDP("USD"&amp;AP194&amp;" curncy","px_last")</f>
        <v>#NAME?</v>
      </c>
      <c r="AR194" s="109" t="e">
        <f t="shared" ca="1" si="59"/>
        <v>#NAME?</v>
      </c>
      <c r="AT194" s="66" t="str">
        <f t="shared" ca="1" si="60"/>
        <v/>
      </c>
      <c r="AU194" s="66" t="str">
        <f t="shared" ca="1" si="60"/>
        <v/>
      </c>
      <c r="AV194" s="66" t="str">
        <f t="shared" ca="1" si="60"/>
        <v/>
      </c>
      <c r="AW194" s="73" t="str" cm="1">
        <f t="array" aca="1" ref="AW194" ca="1">IF(ISERROR(DATEVALUE(_xll.BDP($E194,AW$6))),"",DATEVALUE(_xll.BDP($E194,AW$6)))</f>
        <v/>
      </c>
      <c r="AX194" s="73" t="str" cm="1">
        <f t="array" aca="1" ref="AX194" ca="1">IF(ISERROR(DATEVALUE(_xll.BDP($E194,AX$2))),"",DATEVALUE(_xll.BDP($E194,AX$2)))</f>
        <v/>
      </c>
      <c r="AY194" s="73" t="str" cm="1">
        <f t="array" aca="1" ref="AY194" ca="1">IF(ISERROR(DATEVALUE(_xll.BDP($E194,AY$6))),"",DATEVALUE(_xll.BDP($E194,AY$6)))</f>
        <v/>
      </c>
      <c r="AZ194" s="110" t="e" cm="1">
        <f t="array" aca="1" ref="AZ194" ca="1">IF(_xll.BQL($E194, "last(matches(px_last(dates=range(-1w,0d)), dayofweek(px_last(dates=range(-1w,0d)).date)==6))")="#N/A","-",_xll.BQL($E194, "last(matches(px_last(dates=range(-1w,0d)), dayofweek(px_last(dates=range(-1w,0d)).date)==6))"))</f>
        <v>#NAME?</v>
      </c>
      <c r="BA194" s="109" t="e" cm="1">
        <f t="array" aca="1" ref="BA194" ca="1">IF(_xll.BQL(E194,"first(last(matches(px_last(dates=range(-1M,0D)),dayofweek(px_last(dates=range(-1M,0D)).date)==6),2),1)")="#N/A","-",_xll.BQL(E194,"first(last(matches(px_last(dates=range(-1M,0D)),dayofweek(px_last(dates=range(-1M,0D)).date)==6),2),1)"))</f>
        <v>#NAME?</v>
      </c>
      <c r="BB194" s="109" t="str">
        <f t="shared" ca="1" si="53"/>
        <v>-</v>
      </c>
    </row>
    <row r="195" spans="5:54">
      <c r="AZ195" s="109"/>
      <c r="BA195" s="109"/>
      <c r="BB195" s="109" t="str">
        <f t="shared" ref="BB195:BB220" si="61">IF(ISERROR((AZ195/BA195-1)*100),"-",(AZ195/BA195-1)*100)</f>
        <v>-</v>
      </c>
    </row>
    <row r="196" spans="5:54">
      <c r="AZ196" s="109"/>
      <c r="BA196" s="109"/>
      <c r="BB196" s="109" t="str">
        <f t="shared" si="61"/>
        <v>-</v>
      </c>
    </row>
    <row r="197" spans="5:54" ht="15.75" thickBot="1">
      <c r="E197" s="162"/>
      <c r="AZ197" s="109"/>
      <c r="BA197" s="109"/>
      <c r="BB197" s="109" t="str">
        <f t="shared" si="61"/>
        <v>-</v>
      </c>
    </row>
    <row r="198" spans="5:54" ht="16.5" customHeight="1">
      <c r="E198" s="96"/>
      <c r="G198" s="97"/>
      <c r="I198" s="134"/>
      <c r="J198" s="134"/>
      <c r="K198" s="135"/>
      <c r="L198" s="136"/>
      <c r="M198" s="137"/>
      <c r="N198" s="137"/>
      <c r="O198" s="138"/>
      <c r="P198" s="139"/>
      <c r="Q198" s="140"/>
      <c r="R198" s="140"/>
      <c r="S198" s="141"/>
      <c r="T198" s="142"/>
      <c r="U198" s="132"/>
      <c r="V198" s="132"/>
      <c r="W198" s="143"/>
      <c r="X198" s="132"/>
      <c r="Y198" s="132"/>
      <c r="Z198" s="143"/>
      <c r="AA198" s="107"/>
      <c r="AB198" s="93"/>
      <c r="AC198" s="93"/>
      <c r="AD198" s="93"/>
      <c r="AE198" s="93"/>
      <c r="AF198" s="93"/>
      <c r="AG198" s="93"/>
      <c r="AH198" s="95"/>
      <c r="AI198" s="95"/>
      <c r="AJ198" s="95"/>
      <c r="AK198" s="95"/>
      <c r="AL198" s="95"/>
      <c r="AM198" s="95"/>
      <c r="AO198" s="108"/>
      <c r="AP198" s="108"/>
      <c r="AQ198" s="109"/>
      <c r="AR198" s="109"/>
      <c r="AT198" s="66" t="str">
        <f t="shared" ref="AT198:AV209" ca="1" si="62">IF(AND(AW198&lt;=$E$1,AW198&gt;=$F$1),1,"")</f>
        <v/>
      </c>
      <c r="AU198" s="66" t="str">
        <f t="shared" ca="1" si="62"/>
        <v/>
      </c>
      <c r="AV198" s="66" t="str">
        <f t="shared" ca="1" si="62"/>
        <v/>
      </c>
      <c r="AW198" s="73" t="str" cm="1">
        <f t="array" aca="1" ref="AW198" ca="1">IF(ISERROR(DATEVALUE(_xll.BDP($E198,AW$6))),"",DATEVALUE(_xll.BDP($E198,AW$6)))</f>
        <v/>
      </c>
      <c r="AX198" s="73" t="str" cm="1">
        <f t="array" aca="1" ref="AX198" ca="1">IF(ISERROR(DATEVALUE(_xll.BDP($E198,AX$2))),"",DATEVALUE(_xll.BDP($E198,AX$2)))</f>
        <v/>
      </c>
      <c r="AY198" s="73" t="str" cm="1">
        <f t="array" aca="1" ref="AY198" ca="1">IF(ISERROR(DATEVALUE(_xll.BDP($E198,AY$6))),"",DATEVALUE(_xll.BDP($E198,AY$6)))</f>
        <v/>
      </c>
      <c r="AZ198" s="109" t="e" cm="1">
        <f t="array" aca="1" ref="AZ198" ca="1">IF(_xll.BQL($E198, "last(matches(px_last(dates=range(-1w,0d)), dayofweek(px_last(dates=range(-1w,0d)).date)==6))")="#N/A","-",_xll.BQL($E198, "last(matches(px_last(dates=range(-1w,0d)), dayofweek(px_last(dates=range(-1w,0d)).date)==6))"))</f>
        <v>#NAME?</v>
      </c>
      <c r="BA198" s="109" t="e" cm="1">
        <f t="array" aca="1" ref="BA198" ca="1">IF(_xll.BQL(E198,"first(last(matches(px_last(dates=range(-1M,0D)),dayofweek(px_last(dates=range(-1M,0D)).date)==6),2),1)")="#N/A","-",_xll.BQL(E198,"first(last(matches(px_last(dates=range(-1M,0D)),dayofweek(px_last(dates=range(-1M,0D)).date)==6),2),1)"))</f>
        <v>#NAME?</v>
      </c>
      <c r="BB198" s="109" t="str">
        <f t="shared" ca="1" si="61"/>
        <v>-</v>
      </c>
    </row>
    <row r="199" spans="5:54" ht="16.5" customHeight="1">
      <c r="E199" s="96"/>
      <c r="G199" s="97"/>
      <c r="I199" s="112"/>
      <c r="J199" s="126"/>
      <c r="K199" s="127"/>
      <c r="L199" s="133"/>
      <c r="M199" s="128"/>
      <c r="N199" s="128"/>
      <c r="O199" s="113"/>
      <c r="P199" s="114"/>
      <c r="Q199" s="115"/>
      <c r="R199" s="115"/>
      <c r="S199" s="116"/>
      <c r="T199" s="129"/>
      <c r="U199" s="125"/>
      <c r="V199" s="117"/>
      <c r="W199" s="130"/>
      <c r="X199" s="125"/>
      <c r="Y199" s="125"/>
      <c r="Z199" s="130"/>
      <c r="AA199" s="107"/>
      <c r="AB199" s="93"/>
      <c r="AC199" s="93"/>
      <c r="AD199" s="93"/>
      <c r="AE199" s="93"/>
      <c r="AF199" s="93"/>
      <c r="AG199" s="93"/>
      <c r="AH199" s="95"/>
      <c r="AI199" s="95"/>
      <c r="AJ199" s="95"/>
      <c r="AK199" s="95"/>
      <c r="AL199" s="95"/>
      <c r="AM199" s="95"/>
      <c r="AO199" s="108"/>
      <c r="AP199" s="108"/>
      <c r="AQ199" s="109"/>
      <c r="AR199" s="109"/>
      <c r="AT199" s="66" t="str">
        <f t="shared" ca="1" si="62"/>
        <v/>
      </c>
      <c r="AU199" s="66" t="str">
        <f t="shared" ca="1" si="62"/>
        <v/>
      </c>
      <c r="AV199" s="66" t="str">
        <f t="shared" ca="1" si="62"/>
        <v/>
      </c>
      <c r="AW199" s="73" t="str" cm="1">
        <f t="array" aca="1" ref="AW199" ca="1">IF(ISERROR(DATEVALUE(_xll.BDP($E199,AW$6))),"",DATEVALUE(_xll.BDP($E199,AW$6)))</f>
        <v/>
      </c>
      <c r="AX199" s="73" t="str" cm="1">
        <f t="array" aca="1" ref="AX199" ca="1">IF(ISERROR(DATEVALUE(_xll.BDP($E199,AX$2))),"",DATEVALUE(_xll.BDP($E199,AX$2)))</f>
        <v/>
      </c>
      <c r="AY199" s="73" t="str" cm="1">
        <f t="array" aca="1" ref="AY199" ca="1">IF(ISERROR(DATEVALUE(_xll.BDP($E199,AY$6))),"",DATEVALUE(_xll.BDP($E199,AY$6)))</f>
        <v/>
      </c>
      <c r="AZ199" s="109" t="e" cm="1">
        <f t="array" aca="1" ref="AZ199" ca="1">IF(_xll.BQL($E199, "last(matches(px_last(dates=range(-1w,0d)), dayofweek(px_last(dates=range(-1w,0d)).date)==6))")="#N/A","-",_xll.BQL($E199, "last(matches(px_last(dates=range(-1w,0d)), dayofweek(px_last(dates=range(-1w,0d)).date)==6))"))</f>
        <v>#NAME?</v>
      </c>
      <c r="BA199" s="109" t="e" cm="1">
        <f t="array" aca="1" ref="BA199" ca="1">IF(_xll.BQL(E199,"first(last(matches(px_last(dates=range(-1M,0D)),dayofweek(px_last(dates=range(-1M,0D)).date)==6),2),1)")="#N/A","-",_xll.BQL(E199,"first(last(matches(px_last(dates=range(-1M,0D)),dayofweek(px_last(dates=range(-1M,0D)).date)==6),2),1)"))</f>
        <v>#NAME?</v>
      </c>
      <c r="BB199" s="109" t="str">
        <f t="shared" ca="1" si="61"/>
        <v>-</v>
      </c>
    </row>
    <row r="200" spans="5:54" ht="16.5" customHeight="1">
      <c r="E200" s="96"/>
      <c r="G200" s="97"/>
      <c r="I200" s="112"/>
      <c r="J200" s="126"/>
      <c r="K200" s="127"/>
      <c r="L200" s="133"/>
      <c r="M200" s="128"/>
      <c r="N200" s="128"/>
      <c r="O200" s="113"/>
      <c r="P200" s="114"/>
      <c r="Q200" s="115"/>
      <c r="R200" s="115"/>
      <c r="S200" s="116"/>
      <c r="T200" s="129"/>
      <c r="U200" s="125"/>
      <c r="V200" s="117"/>
      <c r="W200" s="130"/>
      <c r="X200" s="125"/>
      <c r="Y200" s="125"/>
      <c r="Z200" s="130"/>
      <c r="AA200" s="107"/>
      <c r="AB200" s="93"/>
      <c r="AC200" s="93"/>
      <c r="AD200" s="93"/>
      <c r="AE200" s="93"/>
      <c r="AF200" s="93"/>
      <c r="AG200" s="93"/>
      <c r="AH200" s="95"/>
      <c r="AI200" s="95"/>
      <c r="AJ200" s="95"/>
      <c r="AK200" s="95"/>
      <c r="AL200" s="95"/>
      <c r="AM200" s="95"/>
      <c r="AO200" s="108"/>
      <c r="AP200" s="108"/>
      <c r="AQ200" s="109"/>
      <c r="AR200" s="109"/>
      <c r="AT200" s="66" t="str">
        <f t="shared" ca="1" si="62"/>
        <v/>
      </c>
      <c r="AU200" s="66" t="str">
        <f t="shared" ca="1" si="62"/>
        <v/>
      </c>
      <c r="AV200" s="66" t="str">
        <f t="shared" ca="1" si="62"/>
        <v/>
      </c>
      <c r="AW200" s="73" t="str" cm="1">
        <f t="array" aca="1" ref="AW200" ca="1">IF(ISERROR(DATEVALUE(_xll.BDP($E200,AW$6))),"",DATEVALUE(_xll.BDP($E200,AW$6)))</f>
        <v/>
      </c>
      <c r="AX200" s="73" t="str" cm="1">
        <f t="array" aca="1" ref="AX200" ca="1">IF(ISERROR(DATEVALUE(_xll.BDP($E200,AX$2))),"",DATEVALUE(_xll.BDP($E200,AX$2)))</f>
        <v/>
      </c>
      <c r="AY200" s="73" t="str" cm="1">
        <f t="array" aca="1" ref="AY200" ca="1">IF(ISERROR(DATEVALUE(_xll.BDP($E200,AY$6))),"",DATEVALUE(_xll.BDP($E200,AY$6)))</f>
        <v/>
      </c>
      <c r="AZ200" s="109" t="e" cm="1">
        <f t="array" aca="1" ref="AZ200" ca="1">IF(_xll.BQL($E200, "last(matches(px_last(dates=range(-1w,0d)), dayofweek(px_last(dates=range(-1w,0d)).date)==6))")="#N/A","-",_xll.BQL($E200, "last(matches(px_last(dates=range(-1w,0d)), dayofweek(px_last(dates=range(-1w,0d)).date)==6))"))</f>
        <v>#NAME?</v>
      </c>
      <c r="BA200" s="109" t="e" cm="1">
        <f t="array" aca="1" ref="BA200" ca="1">IF(_xll.BQL(E200,"first(last(matches(px_last(dates=range(-1M,0D)),dayofweek(px_last(dates=range(-1M,0D)).date)==6),2),1)")="#N/A","-",_xll.BQL(E200,"first(last(matches(px_last(dates=range(-1M,0D)),dayofweek(px_last(dates=range(-1M,0D)).date)==6),2),1)"))</f>
        <v>#NAME?</v>
      </c>
      <c r="BB200" s="109" t="str">
        <f t="shared" ca="1" si="61"/>
        <v>-</v>
      </c>
    </row>
    <row r="201" spans="5:54" ht="16.5" customHeight="1">
      <c r="E201" s="96"/>
      <c r="G201" s="97"/>
      <c r="I201" s="112"/>
      <c r="J201" s="126"/>
      <c r="K201" s="127"/>
      <c r="L201" s="133"/>
      <c r="M201" s="128"/>
      <c r="N201" s="128"/>
      <c r="O201" s="113"/>
      <c r="P201" s="114"/>
      <c r="Q201" s="115"/>
      <c r="R201" s="115"/>
      <c r="S201" s="116"/>
      <c r="T201" s="129"/>
      <c r="U201" s="125"/>
      <c r="V201" s="117"/>
      <c r="W201" s="130"/>
      <c r="X201" s="125"/>
      <c r="Y201" s="125"/>
      <c r="Z201" s="130"/>
      <c r="AA201" s="107"/>
      <c r="AB201" s="93"/>
      <c r="AC201" s="93"/>
      <c r="AD201" s="93"/>
      <c r="AE201" s="93"/>
      <c r="AF201" s="93"/>
      <c r="AG201" s="93"/>
      <c r="AH201" s="95"/>
      <c r="AI201" s="95"/>
      <c r="AJ201" s="95"/>
      <c r="AK201" s="95"/>
      <c r="AL201" s="95"/>
      <c r="AM201" s="95"/>
      <c r="AO201" s="108"/>
      <c r="AP201" s="108"/>
      <c r="AQ201" s="109"/>
      <c r="AR201" s="109"/>
      <c r="AT201" s="66" t="str">
        <f t="shared" ca="1" si="62"/>
        <v/>
      </c>
      <c r="AU201" s="66" t="str">
        <f t="shared" ca="1" si="62"/>
        <v/>
      </c>
      <c r="AV201" s="66" t="str">
        <f t="shared" ca="1" si="62"/>
        <v/>
      </c>
      <c r="AW201" s="73" t="str" cm="1">
        <f t="array" aca="1" ref="AW201" ca="1">IF(ISERROR(DATEVALUE(_xll.BDP($E201,AW$6))),"",DATEVALUE(_xll.BDP($E201,AW$6)))</f>
        <v/>
      </c>
      <c r="AX201" s="73" t="str" cm="1">
        <f t="array" aca="1" ref="AX201" ca="1">IF(ISERROR(DATEVALUE(_xll.BDP($E201,AX$2))),"",DATEVALUE(_xll.BDP($E201,AX$2)))</f>
        <v/>
      </c>
      <c r="AY201" s="73" t="str" cm="1">
        <f t="array" aca="1" ref="AY201" ca="1">IF(ISERROR(DATEVALUE(_xll.BDP($E201,AY$6))),"",DATEVALUE(_xll.BDP($E201,AY$6)))</f>
        <v/>
      </c>
      <c r="AZ201" s="109" t="e" cm="1">
        <f t="array" aca="1" ref="AZ201" ca="1">IF(_xll.BQL($E201, "last(matches(px_last(dates=range(-1w,0d)), dayofweek(px_last(dates=range(-1w,0d)).date)==6))")="#N/A","-",_xll.BQL($E201, "last(matches(px_last(dates=range(-1w,0d)), dayofweek(px_last(dates=range(-1w,0d)).date)==6))"))</f>
        <v>#NAME?</v>
      </c>
      <c r="BA201" s="109" t="e" cm="1">
        <f t="array" aca="1" ref="BA201" ca="1">IF(_xll.BQL(E201,"first(last(matches(px_last(dates=range(-1M,0D)),dayofweek(px_last(dates=range(-1M,0D)).date)==6),2),1)")="#N/A","-",_xll.BQL(E201,"first(last(matches(px_last(dates=range(-1M,0D)),dayofweek(px_last(dates=range(-1M,0D)).date)==6),2),1)"))</f>
        <v>#NAME?</v>
      </c>
      <c r="BB201" s="109" t="str">
        <f t="shared" ca="1" si="61"/>
        <v>-</v>
      </c>
    </row>
    <row r="202" spans="5:54" ht="16.5" customHeight="1">
      <c r="E202" s="96"/>
      <c r="G202" s="97"/>
      <c r="I202" s="112"/>
      <c r="J202" s="126"/>
      <c r="K202" s="127"/>
      <c r="L202" s="133"/>
      <c r="M202" s="128"/>
      <c r="N202" s="128"/>
      <c r="O202" s="113"/>
      <c r="P202" s="114"/>
      <c r="Q202" s="115"/>
      <c r="R202" s="115"/>
      <c r="S202" s="116"/>
      <c r="T202" s="129"/>
      <c r="U202" s="125"/>
      <c r="V202" s="117"/>
      <c r="W202" s="130"/>
      <c r="X202" s="125"/>
      <c r="Y202" s="125"/>
      <c r="Z202" s="130"/>
      <c r="AA202" s="107"/>
      <c r="AB202" s="93"/>
      <c r="AC202" s="93"/>
      <c r="AD202" s="93"/>
      <c r="AE202" s="93"/>
      <c r="AF202" s="93"/>
      <c r="AG202" s="93"/>
      <c r="AH202" s="95"/>
      <c r="AI202" s="95"/>
      <c r="AJ202" s="95"/>
      <c r="AK202" s="95"/>
      <c r="AL202" s="95"/>
      <c r="AM202" s="95"/>
      <c r="AO202" s="108"/>
      <c r="AP202" s="108"/>
      <c r="AQ202" s="109"/>
      <c r="AR202" s="109"/>
      <c r="AT202" s="66" t="str">
        <f t="shared" ca="1" si="62"/>
        <v/>
      </c>
      <c r="AU202" s="66" t="str">
        <f t="shared" ca="1" si="62"/>
        <v/>
      </c>
      <c r="AV202" s="66" t="str">
        <f t="shared" ca="1" si="62"/>
        <v/>
      </c>
      <c r="AW202" s="73" t="str" cm="1">
        <f t="array" aca="1" ref="AW202" ca="1">IF(ISERROR(DATEVALUE(_xll.BDP($E202,AW$6))),"",DATEVALUE(_xll.BDP($E202,AW$6)))</f>
        <v/>
      </c>
      <c r="AX202" s="73" t="str" cm="1">
        <f t="array" aca="1" ref="AX202" ca="1">IF(ISERROR(DATEVALUE(_xll.BDP($E202,AX$2))),"",DATEVALUE(_xll.BDP($E202,AX$2)))</f>
        <v/>
      </c>
      <c r="AY202" s="73" t="str" cm="1">
        <f t="array" aca="1" ref="AY202" ca="1">IF(ISERROR(DATEVALUE(_xll.BDP($E202,AY$6))),"",DATEVALUE(_xll.BDP($E202,AY$6)))</f>
        <v/>
      </c>
      <c r="AZ202" s="109" t="e" cm="1">
        <f t="array" aca="1" ref="AZ202" ca="1">IF(_xll.BQL($E202, "last(matches(px_last(dates=range(-1w,0d)), dayofweek(px_last(dates=range(-1w,0d)).date)==6))")="#N/A","-",_xll.BQL($E202, "last(matches(px_last(dates=range(-1w,0d)), dayofweek(px_last(dates=range(-1w,0d)).date)==6))"))</f>
        <v>#NAME?</v>
      </c>
      <c r="BA202" s="109" t="e" cm="1">
        <f t="array" aca="1" ref="BA202" ca="1">IF(_xll.BQL(E202,"first(last(matches(px_last(dates=range(-1M,0D)),dayofweek(px_last(dates=range(-1M,0D)).date)==6),2),1)")="#N/A","-",_xll.BQL(E202,"first(last(matches(px_last(dates=range(-1M,0D)),dayofweek(px_last(dates=range(-1M,0D)).date)==6),2),1)"))</f>
        <v>#NAME?</v>
      </c>
      <c r="BB202" s="109" t="str">
        <f t="shared" ca="1" si="61"/>
        <v>-</v>
      </c>
    </row>
    <row r="203" spans="5:54" ht="16.5" customHeight="1">
      <c r="E203" s="96"/>
      <c r="G203" s="97"/>
      <c r="I203" s="112"/>
      <c r="J203" s="126"/>
      <c r="K203" s="127"/>
      <c r="L203" s="133"/>
      <c r="M203" s="128"/>
      <c r="N203" s="128"/>
      <c r="O203" s="113"/>
      <c r="P203" s="114"/>
      <c r="Q203" s="115"/>
      <c r="R203" s="115"/>
      <c r="S203" s="116"/>
      <c r="T203" s="129"/>
      <c r="U203" s="125"/>
      <c r="V203" s="117"/>
      <c r="W203" s="130"/>
      <c r="X203" s="125"/>
      <c r="Y203" s="125"/>
      <c r="Z203" s="130"/>
      <c r="AA203" s="107"/>
      <c r="AB203" s="93"/>
      <c r="AC203" s="93"/>
      <c r="AD203" s="93"/>
      <c r="AE203" s="93"/>
      <c r="AF203" s="93"/>
      <c r="AG203" s="93"/>
      <c r="AH203" s="95"/>
      <c r="AI203" s="95"/>
      <c r="AJ203" s="95"/>
      <c r="AK203" s="95"/>
      <c r="AL203" s="95"/>
      <c r="AM203" s="95"/>
      <c r="AO203" s="108"/>
      <c r="AP203" s="108"/>
      <c r="AQ203" s="109"/>
      <c r="AR203" s="109"/>
      <c r="AT203" s="66" t="str">
        <f t="shared" ca="1" si="62"/>
        <v/>
      </c>
      <c r="AU203" s="66" t="str">
        <f t="shared" ca="1" si="62"/>
        <v/>
      </c>
      <c r="AV203" s="66" t="str">
        <f t="shared" ca="1" si="62"/>
        <v/>
      </c>
      <c r="AW203" s="73" t="str" cm="1">
        <f t="array" aca="1" ref="AW203" ca="1">IF(ISERROR(DATEVALUE(_xll.BDP($E203,AW$6))),"",DATEVALUE(_xll.BDP($E203,AW$6)))</f>
        <v/>
      </c>
      <c r="AX203" s="73" t="str" cm="1">
        <f t="array" aca="1" ref="AX203" ca="1">IF(ISERROR(DATEVALUE(_xll.BDP($E203,AX$2))),"",DATEVALUE(_xll.BDP($E203,AX$2)))</f>
        <v/>
      </c>
      <c r="AY203" s="73" t="str" cm="1">
        <f t="array" aca="1" ref="AY203" ca="1">IF(ISERROR(DATEVALUE(_xll.BDP($E203,AY$6))),"",DATEVALUE(_xll.BDP($E203,AY$6)))</f>
        <v/>
      </c>
      <c r="AZ203" s="109" t="e" cm="1">
        <f t="array" aca="1" ref="AZ203" ca="1">IF(_xll.BQL($E203, "last(matches(px_last(dates=range(-1w,0d)), dayofweek(px_last(dates=range(-1w,0d)).date)==6))")="#N/A","-",_xll.BQL($E203, "last(matches(px_last(dates=range(-1w,0d)), dayofweek(px_last(dates=range(-1w,0d)).date)==6))"))</f>
        <v>#NAME?</v>
      </c>
      <c r="BA203" s="109" t="e" cm="1">
        <f t="array" aca="1" ref="BA203" ca="1">IF(_xll.BQL(E203,"first(last(matches(px_last(dates=range(-1M,0D)),dayofweek(px_last(dates=range(-1M,0D)).date)==6),2),1)")="#N/A","-",_xll.BQL(E203,"first(last(matches(px_last(dates=range(-1M,0D)),dayofweek(px_last(dates=range(-1M,0D)).date)==6),2),1)"))</f>
        <v>#NAME?</v>
      </c>
      <c r="BB203" s="109" t="str">
        <f t="shared" ca="1" si="61"/>
        <v>-</v>
      </c>
    </row>
    <row r="204" spans="5:54" ht="16.5" customHeight="1">
      <c r="E204" s="96"/>
      <c r="G204" s="97"/>
      <c r="I204" s="112"/>
      <c r="J204" s="126"/>
      <c r="K204" s="127"/>
      <c r="L204" s="133"/>
      <c r="M204" s="128"/>
      <c r="N204" s="128"/>
      <c r="O204" s="113"/>
      <c r="P204" s="114"/>
      <c r="Q204" s="115"/>
      <c r="R204" s="115"/>
      <c r="S204" s="116"/>
      <c r="T204" s="129"/>
      <c r="U204" s="125"/>
      <c r="V204" s="117"/>
      <c r="W204" s="130"/>
      <c r="X204" s="125"/>
      <c r="Y204" s="125"/>
      <c r="Z204" s="130"/>
      <c r="AA204" s="107"/>
      <c r="AB204" s="93"/>
      <c r="AC204" s="93"/>
      <c r="AD204" s="93"/>
      <c r="AE204" s="93"/>
      <c r="AF204" s="93"/>
      <c r="AG204" s="93"/>
      <c r="AH204" s="95"/>
      <c r="AI204" s="95"/>
      <c r="AJ204" s="95"/>
      <c r="AK204" s="95"/>
      <c r="AL204" s="95"/>
      <c r="AM204" s="95"/>
      <c r="AO204" s="108"/>
      <c r="AP204" s="108"/>
      <c r="AQ204" s="109"/>
      <c r="AR204" s="109"/>
      <c r="AT204" s="66" t="str">
        <f t="shared" ca="1" si="62"/>
        <v/>
      </c>
      <c r="AU204" s="66" t="str">
        <f t="shared" ca="1" si="62"/>
        <v/>
      </c>
      <c r="AV204" s="66" t="str">
        <f t="shared" ca="1" si="62"/>
        <v/>
      </c>
      <c r="AW204" s="73" t="str" cm="1">
        <f t="array" aca="1" ref="AW204" ca="1">IF(ISERROR(DATEVALUE(_xll.BDP($E204,AW$6))),"",DATEVALUE(_xll.BDP($E204,AW$6)))</f>
        <v/>
      </c>
      <c r="AX204" s="73" t="str" cm="1">
        <f t="array" aca="1" ref="AX204" ca="1">IF(ISERROR(DATEVALUE(_xll.BDP($E204,AX$2))),"",DATEVALUE(_xll.BDP($E204,AX$2)))</f>
        <v/>
      </c>
      <c r="AY204" s="73" t="str" cm="1">
        <f t="array" aca="1" ref="AY204" ca="1">IF(ISERROR(DATEVALUE(_xll.BDP($E204,AY$6))),"",DATEVALUE(_xll.BDP($E204,AY$6)))</f>
        <v/>
      </c>
      <c r="AZ204" s="109" t="e" cm="1">
        <f t="array" aca="1" ref="AZ204" ca="1">IF(_xll.BQL($E204, "last(matches(px_last(dates=range(-1w,0d)), dayofweek(px_last(dates=range(-1w,0d)).date)==6))")="#N/A","-",_xll.BQL($E204, "last(matches(px_last(dates=range(-1w,0d)), dayofweek(px_last(dates=range(-1w,0d)).date)==6))"))</f>
        <v>#NAME?</v>
      </c>
      <c r="BA204" s="109" t="e" cm="1">
        <f t="array" aca="1" ref="BA204" ca="1">IF(_xll.BQL(E204,"first(last(matches(px_last(dates=range(-1M,0D)),dayofweek(px_last(dates=range(-1M,0D)).date)==6),2),1)")="#N/A","-",_xll.BQL(E204,"first(last(matches(px_last(dates=range(-1M,0D)),dayofweek(px_last(dates=range(-1M,0D)).date)==6),2),1)"))</f>
        <v>#NAME?</v>
      </c>
      <c r="BB204" s="109" t="str">
        <f t="shared" ca="1" si="61"/>
        <v>-</v>
      </c>
    </row>
    <row r="205" spans="5:54" ht="16.5" customHeight="1">
      <c r="E205" s="96"/>
      <c r="G205" s="97"/>
      <c r="I205" s="112"/>
      <c r="J205" s="126"/>
      <c r="K205" s="127"/>
      <c r="L205" s="133"/>
      <c r="M205" s="128"/>
      <c r="N205" s="128"/>
      <c r="O205" s="113"/>
      <c r="P205" s="114"/>
      <c r="Q205" s="115"/>
      <c r="R205" s="115"/>
      <c r="S205" s="116"/>
      <c r="T205" s="129"/>
      <c r="U205" s="125"/>
      <c r="V205" s="117"/>
      <c r="W205" s="130"/>
      <c r="X205" s="125"/>
      <c r="Y205" s="125"/>
      <c r="Z205" s="130"/>
      <c r="AA205" s="107"/>
      <c r="AB205" s="93"/>
      <c r="AC205" s="93"/>
      <c r="AD205" s="93"/>
      <c r="AE205" s="93"/>
      <c r="AF205" s="93"/>
      <c r="AG205" s="93"/>
      <c r="AH205" s="95"/>
      <c r="AI205" s="95"/>
      <c r="AJ205" s="95"/>
      <c r="AK205" s="95"/>
      <c r="AL205" s="95"/>
      <c r="AM205" s="95"/>
      <c r="AO205" s="108"/>
      <c r="AP205" s="108"/>
      <c r="AQ205" s="109"/>
      <c r="AR205" s="109"/>
      <c r="AT205" s="66" t="str">
        <f t="shared" ca="1" si="62"/>
        <v/>
      </c>
      <c r="AU205" s="66" t="str">
        <f t="shared" ca="1" si="62"/>
        <v/>
      </c>
      <c r="AV205" s="66" t="str">
        <f t="shared" ca="1" si="62"/>
        <v/>
      </c>
      <c r="AW205" s="73" t="str" cm="1">
        <f t="array" aca="1" ref="AW205" ca="1">IF(ISERROR(DATEVALUE(_xll.BDP($E205,AW$6))),"",DATEVALUE(_xll.BDP($E205,AW$6)))</f>
        <v/>
      </c>
      <c r="AX205" s="73" t="str" cm="1">
        <f t="array" aca="1" ref="AX205" ca="1">IF(ISERROR(DATEVALUE(_xll.BDP($E205,AX$2))),"",DATEVALUE(_xll.BDP($E205,AX$2)))</f>
        <v/>
      </c>
      <c r="AY205" s="73" t="str" cm="1">
        <f t="array" aca="1" ref="AY205" ca="1">IF(ISERROR(DATEVALUE(_xll.BDP($E205,AY$6))),"",DATEVALUE(_xll.BDP($E205,AY$6)))</f>
        <v/>
      </c>
      <c r="AZ205" s="109" t="e" cm="1">
        <f t="array" aca="1" ref="AZ205" ca="1">IF(_xll.BQL($E205, "last(matches(px_last(dates=range(-1w,0d)), dayofweek(px_last(dates=range(-1w,0d)).date)==6))")="#N/A","-",_xll.BQL($E205, "last(matches(px_last(dates=range(-1w,0d)), dayofweek(px_last(dates=range(-1w,0d)).date)==6))"))</f>
        <v>#NAME?</v>
      </c>
      <c r="BA205" s="109" t="e" cm="1">
        <f t="array" aca="1" ref="BA205" ca="1">IF(_xll.BQL(E205,"first(last(matches(px_last(dates=range(-1M,0D)),dayofweek(px_last(dates=range(-1M,0D)).date)==6),2),1)")="#N/A","-",_xll.BQL(E205,"first(last(matches(px_last(dates=range(-1M,0D)),dayofweek(px_last(dates=range(-1M,0D)).date)==6),2),1)"))</f>
        <v>#NAME?</v>
      </c>
      <c r="BB205" s="109" t="str">
        <f t="shared" ca="1" si="61"/>
        <v>-</v>
      </c>
    </row>
    <row r="206" spans="5:54" ht="16.5" customHeight="1">
      <c r="E206" s="96"/>
      <c r="G206" s="97"/>
      <c r="I206" s="112"/>
      <c r="J206" s="126"/>
      <c r="K206" s="127"/>
      <c r="L206" s="133"/>
      <c r="M206" s="128"/>
      <c r="N206" s="128"/>
      <c r="O206" s="113"/>
      <c r="P206" s="114"/>
      <c r="Q206" s="115"/>
      <c r="R206" s="115"/>
      <c r="S206" s="116"/>
      <c r="T206" s="129"/>
      <c r="U206" s="125"/>
      <c r="V206" s="117"/>
      <c r="W206" s="130"/>
      <c r="X206" s="125"/>
      <c r="Y206" s="125"/>
      <c r="Z206" s="130"/>
      <c r="AA206" s="107"/>
      <c r="AB206" s="93"/>
      <c r="AC206" s="93"/>
      <c r="AD206" s="93"/>
      <c r="AE206" s="93"/>
      <c r="AF206" s="93"/>
      <c r="AG206" s="93"/>
      <c r="AH206" s="95"/>
      <c r="AI206" s="95"/>
      <c r="AJ206" s="95"/>
      <c r="AK206" s="95"/>
      <c r="AL206" s="95"/>
      <c r="AM206" s="95"/>
      <c r="AO206" s="108"/>
      <c r="AP206" s="108"/>
      <c r="AQ206" s="109"/>
      <c r="AR206" s="109"/>
      <c r="AT206" s="66" t="str">
        <f t="shared" ca="1" si="62"/>
        <v/>
      </c>
      <c r="AU206" s="66" t="str">
        <f t="shared" ca="1" si="62"/>
        <v/>
      </c>
      <c r="AV206" s="66" t="str">
        <f t="shared" ca="1" si="62"/>
        <v/>
      </c>
      <c r="AW206" s="73" t="str" cm="1">
        <f t="array" aca="1" ref="AW206" ca="1">IF(ISERROR(DATEVALUE(_xll.BDP($E206,AW$6))),"",DATEVALUE(_xll.BDP($E206,AW$6)))</f>
        <v/>
      </c>
      <c r="AX206" s="73" t="str" cm="1">
        <f t="array" aca="1" ref="AX206" ca="1">IF(ISERROR(DATEVALUE(_xll.BDP($E206,AX$2))),"",DATEVALUE(_xll.BDP($E206,AX$2)))</f>
        <v/>
      </c>
      <c r="AY206" s="73" t="str" cm="1">
        <f t="array" aca="1" ref="AY206" ca="1">IF(ISERROR(DATEVALUE(_xll.BDP($E206,AY$6))),"",DATEVALUE(_xll.BDP($E206,AY$6)))</f>
        <v/>
      </c>
      <c r="AZ206" s="109" t="e" cm="1">
        <f t="array" aca="1" ref="AZ206" ca="1">IF(_xll.BQL($E206, "last(matches(px_last(dates=range(-1w,0d)), dayofweek(px_last(dates=range(-1w,0d)).date)==6))")="#N/A","-",_xll.BQL($E206, "last(matches(px_last(dates=range(-1w,0d)), dayofweek(px_last(dates=range(-1w,0d)).date)==6))"))</f>
        <v>#NAME?</v>
      </c>
      <c r="BA206" s="109" t="e" cm="1">
        <f t="array" aca="1" ref="BA206" ca="1">IF(_xll.BQL(E206,"first(last(matches(px_last(dates=range(-1M,0D)),dayofweek(px_last(dates=range(-1M,0D)).date)==6),2),1)")="#N/A","-",_xll.BQL(E206,"first(last(matches(px_last(dates=range(-1M,0D)),dayofweek(px_last(dates=range(-1M,0D)).date)==6),2),1)"))</f>
        <v>#NAME?</v>
      </c>
      <c r="BB206" s="109" t="str">
        <f t="shared" ca="1" si="61"/>
        <v>-</v>
      </c>
    </row>
    <row r="207" spans="5:54" ht="16.5" customHeight="1">
      <c r="E207" s="96"/>
      <c r="G207" s="97"/>
      <c r="I207" s="112"/>
      <c r="J207" s="126"/>
      <c r="K207" s="127"/>
      <c r="L207" s="133"/>
      <c r="M207" s="128"/>
      <c r="N207" s="128"/>
      <c r="O207" s="113"/>
      <c r="P207" s="114"/>
      <c r="Q207" s="115"/>
      <c r="R207" s="115"/>
      <c r="S207" s="116"/>
      <c r="T207" s="129"/>
      <c r="U207" s="125"/>
      <c r="V207" s="117"/>
      <c r="W207" s="130"/>
      <c r="X207" s="125"/>
      <c r="Y207" s="125"/>
      <c r="Z207" s="130"/>
      <c r="AA207" s="107"/>
      <c r="AB207" s="93"/>
      <c r="AC207" s="93"/>
      <c r="AD207" s="93"/>
      <c r="AE207" s="93"/>
      <c r="AF207" s="93"/>
      <c r="AG207" s="93"/>
      <c r="AH207" s="95"/>
      <c r="AI207" s="95"/>
      <c r="AJ207" s="95"/>
      <c r="AK207" s="95"/>
      <c r="AL207" s="95"/>
      <c r="AM207" s="95"/>
      <c r="AO207" s="108"/>
      <c r="AP207" s="108"/>
      <c r="AQ207" s="109"/>
      <c r="AR207" s="109"/>
      <c r="AT207" s="66" t="str">
        <f t="shared" ca="1" si="62"/>
        <v/>
      </c>
      <c r="AU207" s="66" t="str">
        <f t="shared" ca="1" si="62"/>
        <v/>
      </c>
      <c r="AV207" s="66" t="str">
        <f t="shared" ca="1" si="62"/>
        <v/>
      </c>
      <c r="AW207" s="73" t="str" cm="1">
        <f t="array" aca="1" ref="AW207" ca="1">IF(ISERROR(DATEVALUE(_xll.BDP($E207,AW$6))),"",DATEVALUE(_xll.BDP($E207,AW$6)))</f>
        <v/>
      </c>
      <c r="AX207" s="73" t="str" cm="1">
        <f t="array" aca="1" ref="AX207" ca="1">IF(ISERROR(DATEVALUE(_xll.BDP($E207,AX$2))),"",DATEVALUE(_xll.BDP($E207,AX$2)))</f>
        <v/>
      </c>
      <c r="AY207" s="73" t="str" cm="1">
        <f t="array" aca="1" ref="AY207" ca="1">IF(ISERROR(DATEVALUE(_xll.BDP($E207,AY$6))),"",DATEVALUE(_xll.BDP($E207,AY$6)))</f>
        <v/>
      </c>
      <c r="AZ207" s="109" t="e" cm="1">
        <f t="array" aca="1" ref="AZ207" ca="1">IF(_xll.BQL($E207, "last(matches(px_last(dates=range(-1w,0d)), dayofweek(px_last(dates=range(-1w,0d)).date)==6))")="#N/A","-",_xll.BQL($E207, "last(matches(px_last(dates=range(-1w,0d)), dayofweek(px_last(dates=range(-1w,0d)).date)==6))"))</f>
        <v>#NAME?</v>
      </c>
      <c r="BA207" s="109" t="e" cm="1">
        <f t="array" aca="1" ref="BA207" ca="1">IF(_xll.BQL(E207,"first(last(matches(px_last(dates=range(-1M,0D)),dayofweek(px_last(dates=range(-1M,0D)).date)==6),2),1)")="#N/A","-",_xll.BQL(E207,"first(last(matches(px_last(dates=range(-1M,0D)),dayofweek(px_last(dates=range(-1M,0D)).date)==6),2),1)"))</f>
        <v>#NAME?</v>
      </c>
      <c r="BB207" s="109" t="str">
        <f t="shared" ca="1" si="61"/>
        <v>-</v>
      </c>
    </row>
    <row r="208" spans="5:54" ht="16.5" customHeight="1">
      <c r="E208" s="96"/>
      <c r="G208" s="97"/>
      <c r="I208" s="112"/>
      <c r="J208" s="126"/>
      <c r="K208" s="127"/>
      <c r="L208" s="133"/>
      <c r="M208" s="128"/>
      <c r="N208" s="128"/>
      <c r="O208" s="113"/>
      <c r="P208" s="114"/>
      <c r="Q208" s="115"/>
      <c r="R208" s="115"/>
      <c r="S208" s="116"/>
      <c r="T208" s="129"/>
      <c r="U208" s="125"/>
      <c r="V208" s="117"/>
      <c r="W208" s="130"/>
      <c r="X208" s="125"/>
      <c r="Y208" s="125"/>
      <c r="Z208" s="130"/>
      <c r="AA208" s="107"/>
      <c r="AB208" s="93"/>
      <c r="AC208" s="93"/>
      <c r="AD208" s="93"/>
      <c r="AE208" s="93"/>
      <c r="AF208" s="93"/>
      <c r="AG208" s="93"/>
      <c r="AH208" s="95"/>
      <c r="AI208" s="95"/>
      <c r="AJ208" s="95"/>
      <c r="AK208" s="95"/>
      <c r="AL208" s="95"/>
      <c r="AM208" s="95"/>
      <c r="AO208" s="108"/>
      <c r="AP208" s="108"/>
      <c r="AQ208" s="109"/>
      <c r="AR208" s="109"/>
      <c r="AT208" s="66" t="str">
        <f t="shared" ca="1" si="62"/>
        <v/>
      </c>
      <c r="AU208" s="66" t="str">
        <f t="shared" ca="1" si="62"/>
        <v/>
      </c>
      <c r="AV208" s="66" t="str">
        <f t="shared" ca="1" si="62"/>
        <v/>
      </c>
      <c r="AW208" s="73" t="str" cm="1">
        <f t="array" aca="1" ref="AW208" ca="1">IF(ISERROR(DATEVALUE(_xll.BDP($E208,AW$6))),"",DATEVALUE(_xll.BDP($E208,AW$6)))</f>
        <v/>
      </c>
      <c r="AX208" s="73" t="str" cm="1">
        <f t="array" aca="1" ref="AX208" ca="1">IF(ISERROR(DATEVALUE(_xll.BDP($E208,AX$2))),"",DATEVALUE(_xll.BDP($E208,AX$2)))</f>
        <v/>
      </c>
      <c r="AY208" s="73" t="str" cm="1">
        <f t="array" aca="1" ref="AY208" ca="1">IF(ISERROR(DATEVALUE(_xll.BDP($E208,AY$6))),"",DATEVALUE(_xll.BDP($E208,AY$6)))</f>
        <v/>
      </c>
      <c r="AZ208" s="109" t="e" cm="1">
        <f t="array" aca="1" ref="AZ208" ca="1">IF(_xll.BQL($E208, "last(matches(px_last(dates=range(-1w,0d)), dayofweek(px_last(dates=range(-1w,0d)).date)==6))")="#N/A","-",_xll.BQL($E208, "last(matches(px_last(dates=range(-1w,0d)), dayofweek(px_last(dates=range(-1w,0d)).date)==6))"))</f>
        <v>#NAME?</v>
      </c>
      <c r="BA208" s="109" t="e" cm="1">
        <f t="array" aca="1" ref="BA208" ca="1">IF(_xll.BQL(E208,"first(last(matches(px_last(dates=range(-1M,0D)),dayofweek(px_last(dates=range(-1M,0D)).date)==6),2),1)")="#N/A","-",_xll.BQL(E208,"first(last(matches(px_last(dates=range(-1M,0D)),dayofweek(px_last(dates=range(-1M,0D)).date)==6),2),1)"))</f>
        <v>#NAME?</v>
      </c>
      <c r="BB208" s="109" t="str">
        <f t="shared" ca="1" si="61"/>
        <v>-</v>
      </c>
    </row>
    <row r="209" spans="5:54" ht="16.5" customHeight="1" thickBot="1">
      <c r="E209" s="96"/>
      <c r="G209" s="97"/>
      <c r="I209" s="118"/>
      <c r="J209" s="146"/>
      <c r="K209" s="147"/>
      <c r="L209" s="148"/>
      <c r="M209" s="149"/>
      <c r="N209" s="149"/>
      <c r="O209" s="150"/>
      <c r="P209" s="151"/>
      <c r="Q209" s="152"/>
      <c r="R209" s="152"/>
      <c r="S209" s="153"/>
      <c r="T209" s="154"/>
      <c r="U209" s="155"/>
      <c r="V209" s="119"/>
      <c r="W209" s="156"/>
      <c r="X209" s="155"/>
      <c r="Y209" s="155"/>
      <c r="Z209" s="156"/>
      <c r="AA209" s="107"/>
      <c r="AB209" s="93"/>
      <c r="AC209" s="93"/>
      <c r="AD209" s="93"/>
      <c r="AE209" s="93"/>
      <c r="AF209" s="93"/>
      <c r="AG209" s="93"/>
      <c r="AH209" s="95"/>
      <c r="AI209" s="95"/>
      <c r="AJ209" s="95"/>
      <c r="AK209" s="95"/>
      <c r="AL209" s="95"/>
      <c r="AM209" s="95"/>
      <c r="AO209" s="108"/>
      <c r="AP209" s="108"/>
      <c r="AQ209" s="109"/>
      <c r="AR209" s="109"/>
      <c r="AT209" s="66" t="str">
        <f t="shared" ca="1" si="62"/>
        <v/>
      </c>
      <c r="AU209" s="66" t="str">
        <f t="shared" ca="1" si="62"/>
        <v/>
      </c>
      <c r="AV209" s="66" t="str">
        <f t="shared" ca="1" si="62"/>
        <v/>
      </c>
      <c r="AW209" s="73" t="str" cm="1">
        <f t="array" aca="1" ref="AW209" ca="1">IF(ISERROR(DATEVALUE(_xll.BDP($E209,AW$6))),"",DATEVALUE(_xll.BDP($E209,AW$6)))</f>
        <v/>
      </c>
      <c r="AX209" s="73" t="str" cm="1">
        <f t="array" aca="1" ref="AX209" ca="1">IF(ISERROR(DATEVALUE(_xll.BDP($E209,AX$2))),"",DATEVALUE(_xll.BDP($E209,AX$2)))</f>
        <v/>
      </c>
      <c r="AY209" s="73" t="str" cm="1">
        <f t="array" aca="1" ref="AY209" ca="1">IF(ISERROR(DATEVALUE(_xll.BDP($E209,AY$6))),"",DATEVALUE(_xll.BDP($E209,AY$6)))</f>
        <v/>
      </c>
      <c r="AZ209" s="109" t="e" cm="1">
        <f t="array" aca="1" ref="AZ209" ca="1">IF(_xll.BQL($E209, "last(matches(px_last(dates=range(-1w,0d)), dayofweek(px_last(dates=range(-1w,0d)).date)==6))")="#N/A","-",_xll.BQL($E209, "last(matches(px_last(dates=range(-1w,0d)), dayofweek(px_last(dates=range(-1w,0d)).date)==6))"))</f>
        <v>#NAME?</v>
      </c>
      <c r="BA209" s="109" t="e" cm="1">
        <f t="array" aca="1" ref="BA209" ca="1">IF(_xll.BQL(E209,"first(last(matches(px_last(dates=range(-1M,0D)),dayofweek(px_last(dates=range(-1M,0D)).date)==6),2),1)")="#N/A","-",_xll.BQL(E209,"first(last(matches(px_last(dates=range(-1M,0D)),dayofweek(px_last(dates=range(-1M,0D)).date)==6),2),1)"))</f>
        <v>#NAME?</v>
      </c>
      <c r="BB209" s="109" t="str">
        <f t="shared" ca="1" si="61"/>
        <v>-</v>
      </c>
    </row>
    <row r="210" spans="5:54" ht="16.5" customHeight="1">
      <c r="E210" s="75"/>
      <c r="G210" s="97"/>
      <c r="L210" s="163"/>
      <c r="M210" s="164"/>
      <c r="N210" s="164"/>
      <c r="O210" s="164"/>
      <c r="P210" s="165"/>
      <c r="Q210" s="165"/>
      <c r="R210" s="165"/>
      <c r="S210" s="165"/>
      <c r="T210" s="166"/>
      <c r="U210" s="166"/>
      <c r="V210" s="166"/>
      <c r="W210" s="166"/>
      <c r="X210" s="166"/>
      <c r="Y210" s="166"/>
      <c r="Z210" s="166"/>
      <c r="AA210" s="166"/>
      <c r="AB210" s="70"/>
      <c r="AC210" s="70"/>
      <c r="AD210" s="70"/>
      <c r="AE210" s="70"/>
      <c r="AF210" s="70"/>
      <c r="AG210" s="70"/>
      <c r="AH210" s="70"/>
      <c r="AI210" s="70"/>
      <c r="AJ210" s="70"/>
      <c r="AK210" s="70"/>
      <c r="AL210" s="70"/>
      <c r="AM210" s="70"/>
      <c r="AO210" s="167"/>
      <c r="AP210" s="167"/>
      <c r="AQ210" s="67"/>
      <c r="AR210" s="67"/>
      <c r="AW210" s="73"/>
      <c r="AX210" s="73"/>
      <c r="AY210" s="73"/>
      <c r="AZ210" s="109"/>
      <c r="BA210" s="109"/>
      <c r="BB210" s="109" t="str">
        <f t="shared" si="61"/>
        <v>-</v>
      </c>
    </row>
    <row r="211" spans="5:54" ht="16.5" customHeight="1" thickBot="1">
      <c r="E211" s="75"/>
      <c r="G211" s="97"/>
      <c r="L211" s="163"/>
      <c r="M211" s="164"/>
      <c r="N211" s="164"/>
      <c r="O211" s="164"/>
      <c r="P211" s="165"/>
      <c r="Q211" s="165"/>
      <c r="R211" s="165"/>
      <c r="S211" s="165"/>
      <c r="T211" s="166"/>
      <c r="U211" s="166"/>
      <c r="V211" s="166"/>
      <c r="W211" s="166"/>
      <c r="X211" s="166"/>
      <c r="Y211" s="166"/>
      <c r="Z211" s="166"/>
      <c r="AA211" s="166"/>
      <c r="AB211" s="70"/>
      <c r="AC211" s="70"/>
      <c r="AD211" s="70"/>
      <c r="AE211" s="70"/>
      <c r="AF211" s="70"/>
      <c r="AG211" s="70"/>
      <c r="AH211" s="70"/>
      <c r="AI211" s="70"/>
      <c r="AJ211" s="70"/>
      <c r="AK211" s="70"/>
      <c r="AL211" s="70"/>
      <c r="AM211" s="70"/>
      <c r="AO211" s="167"/>
      <c r="AP211" s="167"/>
      <c r="AQ211" s="67"/>
      <c r="AR211" s="67"/>
      <c r="AW211" s="73"/>
      <c r="AX211" s="73"/>
      <c r="AY211" s="73"/>
      <c r="AZ211" s="109"/>
      <c r="BA211" s="109"/>
      <c r="BB211" s="109" t="str">
        <f t="shared" si="61"/>
        <v>-</v>
      </c>
    </row>
    <row r="212" spans="5:54" ht="16.5" customHeight="1">
      <c r="E212" s="96"/>
      <c r="G212" s="97"/>
      <c r="I212" s="134"/>
      <c r="J212" s="134"/>
      <c r="K212" s="135"/>
      <c r="L212" s="136"/>
      <c r="M212" s="137"/>
      <c r="N212" s="137"/>
      <c r="O212" s="138"/>
      <c r="P212" s="139"/>
      <c r="Q212" s="140"/>
      <c r="R212" s="140"/>
      <c r="S212" s="141"/>
      <c r="T212" s="142"/>
      <c r="U212" s="132"/>
      <c r="V212" s="132"/>
      <c r="W212" s="143"/>
      <c r="X212" s="132"/>
      <c r="Y212" s="132"/>
      <c r="Z212" s="143"/>
      <c r="AA212" s="107"/>
      <c r="AB212" s="93"/>
      <c r="AC212" s="93"/>
      <c r="AD212" s="93"/>
      <c r="AE212" s="93"/>
      <c r="AF212" s="93"/>
      <c r="AG212" s="93"/>
      <c r="AH212" s="95"/>
      <c r="AI212" s="95"/>
      <c r="AJ212" s="95"/>
      <c r="AK212" s="95"/>
      <c r="AL212" s="95"/>
      <c r="AM212" s="95"/>
      <c r="AO212" s="108"/>
      <c r="AP212" s="108"/>
      <c r="AQ212" s="109"/>
      <c r="AR212" s="109"/>
      <c r="AT212" s="66" t="str">
        <f t="shared" ref="AT212:AV220" ca="1" si="63">IF(AND(AW212&lt;=$E$1,AW212&gt;=$F$1),1,"")</f>
        <v/>
      </c>
      <c r="AU212" s="66" t="str">
        <f t="shared" ca="1" si="63"/>
        <v/>
      </c>
      <c r="AV212" s="66" t="str">
        <f t="shared" ca="1" si="63"/>
        <v/>
      </c>
      <c r="AW212" s="73" t="str" cm="1">
        <f t="array" aca="1" ref="AW212" ca="1">IF(ISERROR(DATEVALUE(_xll.BDP($E212,AW$6))),"",DATEVALUE(_xll.BDP($E212,AW$6)))</f>
        <v/>
      </c>
      <c r="AX212" s="73" t="str" cm="1">
        <f t="array" aca="1" ref="AX212" ca="1">IF(ISERROR(DATEVALUE(_xll.BDP($E212,AX$2))),"",DATEVALUE(_xll.BDP($E212,AX$2)))</f>
        <v/>
      </c>
      <c r="AY212" s="73" t="str" cm="1">
        <f t="array" aca="1" ref="AY212" ca="1">IF(ISERROR(DATEVALUE(_xll.BDP($E212,AY$6))),"",DATEVALUE(_xll.BDP($E212,AY$6)))</f>
        <v/>
      </c>
      <c r="AZ212" s="109" t="e" cm="1">
        <f t="array" aca="1" ref="AZ212" ca="1">IF(_xll.BQL($E212, "last(matches(px_last(dates=range(-1w,0d)), dayofweek(px_last(dates=range(-1w,0d)).date)==6))")="#N/A","-",_xll.BQL($E212, "last(matches(px_last(dates=range(-1w,0d)), dayofweek(px_last(dates=range(-1w,0d)).date)==6))"))</f>
        <v>#NAME?</v>
      </c>
      <c r="BA212" s="109" t="e" cm="1">
        <f t="array" aca="1" ref="BA212" ca="1">IF(_xll.BQL(E212,"first(last(matches(px_last(dates=range(-1M,0D)),dayofweek(px_last(dates=range(-1M,0D)).date)==6),2),1)")="#N/A","-",_xll.BQL(E212,"first(last(matches(px_last(dates=range(-1M,0D)),dayofweek(px_last(dates=range(-1M,0D)).date)==6),2),1)"))</f>
        <v>#NAME?</v>
      </c>
      <c r="BB212" s="109" t="str">
        <f t="shared" ca="1" si="61"/>
        <v>-</v>
      </c>
    </row>
    <row r="213" spans="5:54" ht="16.5" customHeight="1">
      <c r="E213" s="96"/>
      <c r="G213" s="97"/>
      <c r="I213" s="112"/>
      <c r="J213" s="126"/>
      <c r="K213" s="127"/>
      <c r="L213" s="133"/>
      <c r="M213" s="128"/>
      <c r="N213" s="128"/>
      <c r="O213" s="113"/>
      <c r="P213" s="114"/>
      <c r="Q213" s="115"/>
      <c r="R213" s="115"/>
      <c r="S213" s="116"/>
      <c r="T213" s="129"/>
      <c r="U213" s="125"/>
      <c r="V213" s="117"/>
      <c r="W213" s="130"/>
      <c r="X213" s="125"/>
      <c r="Y213" s="125"/>
      <c r="Z213" s="130"/>
      <c r="AA213" s="107"/>
      <c r="AB213" s="93"/>
      <c r="AC213" s="93"/>
      <c r="AD213" s="93"/>
      <c r="AE213" s="93"/>
      <c r="AF213" s="93"/>
      <c r="AG213" s="93"/>
      <c r="AH213" s="95"/>
      <c r="AI213" s="95"/>
      <c r="AJ213" s="95"/>
      <c r="AK213" s="95"/>
      <c r="AL213" s="95"/>
      <c r="AM213" s="95"/>
      <c r="AO213" s="108"/>
      <c r="AP213" s="108"/>
      <c r="AQ213" s="109"/>
      <c r="AR213" s="109"/>
      <c r="AT213" s="66" t="str">
        <f t="shared" ca="1" si="63"/>
        <v/>
      </c>
      <c r="AU213" s="66" t="str">
        <f t="shared" ca="1" si="63"/>
        <v/>
      </c>
      <c r="AV213" s="66" t="str">
        <f t="shared" ca="1" si="63"/>
        <v/>
      </c>
      <c r="AW213" s="73" t="str" cm="1">
        <f t="array" aca="1" ref="AW213" ca="1">IF(ISERROR(DATEVALUE(_xll.BDP($E213,AW$6))),"",DATEVALUE(_xll.BDP($E213,AW$6)))</f>
        <v/>
      </c>
      <c r="AX213" s="73" t="str" cm="1">
        <f t="array" aca="1" ref="AX213" ca="1">IF(ISERROR(DATEVALUE(_xll.BDP($E213,AX$2))),"",DATEVALUE(_xll.BDP($E213,AX$2)))</f>
        <v/>
      </c>
      <c r="AY213" s="73" t="str" cm="1">
        <f t="array" aca="1" ref="AY213" ca="1">IF(ISERROR(DATEVALUE(_xll.BDP($E213,AY$6))),"",DATEVALUE(_xll.BDP($E213,AY$6)))</f>
        <v/>
      </c>
      <c r="AZ213" s="109" t="e" cm="1">
        <f t="array" aca="1" ref="AZ213" ca="1">IF(_xll.BQL($E213, "last(matches(px_last(dates=range(-1w,0d)), dayofweek(px_last(dates=range(-1w,0d)).date)==6))")="#N/A","-",_xll.BQL($E213, "last(matches(px_last(dates=range(-1w,0d)), dayofweek(px_last(dates=range(-1w,0d)).date)==6))"))</f>
        <v>#NAME?</v>
      </c>
      <c r="BA213" s="109" t="e" cm="1">
        <f t="array" aca="1" ref="BA213" ca="1">IF(_xll.BQL(E213,"first(last(matches(px_last(dates=range(-1M,0D)),dayofweek(px_last(dates=range(-1M,0D)).date)==6),2),1)")="#N/A","-",_xll.BQL(E213,"first(last(matches(px_last(dates=range(-1M,0D)),dayofweek(px_last(dates=range(-1M,0D)).date)==6),2),1)"))</f>
        <v>#NAME?</v>
      </c>
      <c r="BB213" s="109" t="str">
        <f t="shared" ca="1" si="61"/>
        <v>-</v>
      </c>
    </row>
    <row r="214" spans="5:54" ht="16.5" customHeight="1">
      <c r="E214" s="96"/>
      <c r="G214" s="97"/>
      <c r="I214" s="112"/>
      <c r="J214" s="126"/>
      <c r="K214" s="127"/>
      <c r="L214" s="133"/>
      <c r="M214" s="128"/>
      <c r="N214" s="128"/>
      <c r="O214" s="113"/>
      <c r="P214" s="114"/>
      <c r="Q214" s="115"/>
      <c r="R214" s="115"/>
      <c r="S214" s="116"/>
      <c r="T214" s="129"/>
      <c r="U214" s="125"/>
      <c r="V214" s="117"/>
      <c r="W214" s="130"/>
      <c r="X214" s="125"/>
      <c r="Y214" s="125"/>
      <c r="Z214" s="130"/>
      <c r="AA214" s="107"/>
      <c r="AB214" s="93"/>
      <c r="AC214" s="93"/>
      <c r="AD214" s="93"/>
      <c r="AE214" s="93"/>
      <c r="AF214" s="93"/>
      <c r="AG214" s="93"/>
      <c r="AH214" s="95"/>
      <c r="AI214" s="95"/>
      <c r="AJ214" s="95"/>
      <c r="AK214" s="95"/>
      <c r="AL214" s="95"/>
      <c r="AM214" s="95"/>
      <c r="AO214" s="108"/>
      <c r="AP214" s="108"/>
      <c r="AQ214" s="109"/>
      <c r="AR214" s="109"/>
      <c r="AT214" s="66" t="str">
        <f t="shared" ca="1" si="63"/>
        <v/>
      </c>
      <c r="AU214" s="66" t="str">
        <f t="shared" ca="1" si="63"/>
        <v/>
      </c>
      <c r="AV214" s="66" t="str">
        <f t="shared" ca="1" si="63"/>
        <v/>
      </c>
      <c r="AW214" s="73" t="str" cm="1">
        <f t="array" aca="1" ref="AW214" ca="1">IF(ISERROR(DATEVALUE(_xll.BDP($E214,AW$6))),"",DATEVALUE(_xll.BDP($E214,AW$6)))</f>
        <v/>
      </c>
      <c r="AX214" s="73" t="str" cm="1">
        <f t="array" aca="1" ref="AX214" ca="1">IF(ISERROR(DATEVALUE(_xll.BDP($E214,AX$2))),"",DATEVALUE(_xll.BDP($E214,AX$2)))</f>
        <v/>
      </c>
      <c r="AY214" s="73" t="str" cm="1">
        <f t="array" aca="1" ref="AY214" ca="1">IF(ISERROR(DATEVALUE(_xll.BDP($E214,AY$6))),"",DATEVALUE(_xll.BDP($E214,AY$6)))</f>
        <v/>
      </c>
      <c r="AZ214" s="109" t="e" cm="1">
        <f t="array" aca="1" ref="AZ214" ca="1">IF(_xll.BQL($E214, "last(matches(px_last(dates=range(-1w,0d)), dayofweek(px_last(dates=range(-1w,0d)).date)==6))")="#N/A","-",_xll.BQL($E214, "last(matches(px_last(dates=range(-1w,0d)), dayofweek(px_last(dates=range(-1w,0d)).date)==6))"))</f>
        <v>#NAME?</v>
      </c>
      <c r="BA214" s="109" t="e" cm="1">
        <f t="array" aca="1" ref="BA214" ca="1">IF(_xll.BQL(E214,"first(last(matches(px_last(dates=range(-1M,0D)),dayofweek(px_last(dates=range(-1M,0D)).date)==6),2),1)")="#N/A","-",_xll.BQL(E214,"first(last(matches(px_last(dates=range(-1M,0D)),dayofweek(px_last(dates=range(-1M,0D)).date)==6),2),1)"))</f>
        <v>#NAME?</v>
      </c>
      <c r="BB214" s="109" t="str">
        <f t="shared" ca="1" si="61"/>
        <v>-</v>
      </c>
    </row>
    <row r="215" spans="5:54" ht="16.5" customHeight="1">
      <c r="E215" s="96"/>
      <c r="G215" s="97"/>
      <c r="I215" s="112"/>
      <c r="J215" s="126"/>
      <c r="K215" s="127"/>
      <c r="L215" s="133"/>
      <c r="M215" s="128"/>
      <c r="N215" s="128"/>
      <c r="O215" s="113"/>
      <c r="P215" s="114"/>
      <c r="Q215" s="115"/>
      <c r="R215" s="115"/>
      <c r="S215" s="116"/>
      <c r="T215" s="129"/>
      <c r="U215" s="125"/>
      <c r="V215" s="117"/>
      <c r="W215" s="130"/>
      <c r="X215" s="125"/>
      <c r="Y215" s="125"/>
      <c r="Z215" s="130"/>
      <c r="AA215" s="107"/>
      <c r="AB215" s="93"/>
      <c r="AC215" s="93"/>
      <c r="AD215" s="93"/>
      <c r="AE215" s="93"/>
      <c r="AF215" s="93"/>
      <c r="AG215" s="93"/>
      <c r="AH215" s="95"/>
      <c r="AI215" s="95"/>
      <c r="AJ215" s="95"/>
      <c r="AK215" s="95"/>
      <c r="AL215" s="95"/>
      <c r="AM215" s="95"/>
      <c r="AO215" s="108"/>
      <c r="AP215" s="108"/>
      <c r="AQ215" s="109"/>
      <c r="AR215" s="109"/>
      <c r="AT215" s="66" t="str">
        <f t="shared" ca="1" si="63"/>
        <v/>
      </c>
      <c r="AU215" s="66" t="str">
        <f t="shared" ca="1" si="63"/>
        <v/>
      </c>
      <c r="AV215" s="66" t="str">
        <f t="shared" ca="1" si="63"/>
        <v/>
      </c>
      <c r="AW215" s="73" t="str" cm="1">
        <f t="array" aca="1" ref="AW215" ca="1">IF(ISERROR(DATEVALUE(_xll.BDP($E215,AW$6))),"",DATEVALUE(_xll.BDP($E215,AW$6)))</f>
        <v/>
      </c>
      <c r="AX215" s="73" t="str" cm="1">
        <f t="array" aca="1" ref="AX215" ca="1">IF(ISERROR(DATEVALUE(_xll.BDP($E215,AX$2))),"",DATEVALUE(_xll.BDP($E215,AX$2)))</f>
        <v/>
      </c>
      <c r="AY215" s="73" t="str" cm="1">
        <f t="array" aca="1" ref="AY215" ca="1">IF(ISERROR(DATEVALUE(_xll.BDP($E215,AY$6))),"",DATEVALUE(_xll.BDP($E215,AY$6)))</f>
        <v/>
      </c>
      <c r="AZ215" s="109" t="e" cm="1">
        <f t="array" aca="1" ref="AZ215" ca="1">IF(_xll.BQL($E215, "last(matches(px_last(dates=range(-1w,0d)), dayofweek(px_last(dates=range(-1w,0d)).date)==6))")="#N/A","-",_xll.BQL($E215, "last(matches(px_last(dates=range(-1w,0d)), dayofweek(px_last(dates=range(-1w,0d)).date)==6))"))</f>
        <v>#NAME?</v>
      </c>
      <c r="BA215" s="109" t="e" cm="1">
        <f t="array" aca="1" ref="BA215" ca="1">IF(_xll.BQL(E215,"first(last(matches(px_last(dates=range(-1M,0D)),dayofweek(px_last(dates=range(-1M,0D)).date)==6),2),1)")="#N/A","-",_xll.BQL(E215,"first(last(matches(px_last(dates=range(-1M,0D)),dayofweek(px_last(dates=range(-1M,0D)).date)==6),2),1)"))</f>
        <v>#NAME?</v>
      </c>
      <c r="BB215" s="109" t="str">
        <f t="shared" ca="1" si="61"/>
        <v>-</v>
      </c>
    </row>
    <row r="216" spans="5:54" ht="16.5" customHeight="1">
      <c r="E216" s="96"/>
      <c r="G216" s="97"/>
      <c r="I216" s="112"/>
      <c r="J216" s="126"/>
      <c r="K216" s="127"/>
      <c r="L216" s="133"/>
      <c r="M216" s="128"/>
      <c r="N216" s="128"/>
      <c r="O216" s="113"/>
      <c r="P216" s="114"/>
      <c r="Q216" s="115"/>
      <c r="R216" s="115"/>
      <c r="S216" s="116"/>
      <c r="T216" s="129"/>
      <c r="U216" s="125"/>
      <c r="V216" s="117"/>
      <c r="W216" s="130"/>
      <c r="X216" s="125"/>
      <c r="Y216" s="125"/>
      <c r="Z216" s="130"/>
      <c r="AA216" s="107"/>
      <c r="AB216" s="93"/>
      <c r="AC216" s="93"/>
      <c r="AD216" s="93"/>
      <c r="AE216" s="93"/>
      <c r="AF216" s="93"/>
      <c r="AG216" s="93"/>
      <c r="AH216" s="95"/>
      <c r="AI216" s="95"/>
      <c r="AJ216" s="95"/>
      <c r="AK216" s="95"/>
      <c r="AL216" s="95"/>
      <c r="AM216" s="95"/>
      <c r="AO216" s="108"/>
      <c r="AP216" s="108"/>
      <c r="AQ216" s="109"/>
      <c r="AR216" s="109"/>
      <c r="AT216" s="66" t="str">
        <f t="shared" ca="1" si="63"/>
        <v/>
      </c>
      <c r="AU216" s="66" t="str">
        <f t="shared" ca="1" si="63"/>
        <v/>
      </c>
      <c r="AV216" s="66" t="str">
        <f t="shared" ca="1" si="63"/>
        <v/>
      </c>
      <c r="AW216" s="73" t="str" cm="1">
        <f t="array" aca="1" ref="AW216" ca="1">IF(ISERROR(DATEVALUE(_xll.BDP($E216,AW$6))),"",DATEVALUE(_xll.BDP($E216,AW$6)))</f>
        <v/>
      </c>
      <c r="AX216" s="73" t="str" cm="1">
        <f t="array" aca="1" ref="AX216" ca="1">IF(ISERROR(DATEVALUE(_xll.BDP($E216,AX$2))),"",DATEVALUE(_xll.BDP($E216,AX$2)))</f>
        <v/>
      </c>
      <c r="AY216" s="73" t="str" cm="1">
        <f t="array" aca="1" ref="AY216" ca="1">IF(ISERROR(DATEVALUE(_xll.BDP($E216,AY$6))),"",DATEVALUE(_xll.BDP($E216,AY$6)))</f>
        <v/>
      </c>
      <c r="AZ216" s="109" t="e" cm="1">
        <f t="array" aca="1" ref="AZ216" ca="1">IF(_xll.BQL($E216, "last(matches(px_last(dates=range(-1w,0d)), dayofweek(px_last(dates=range(-1w,0d)).date)==6))")="#N/A","-",_xll.BQL($E216, "last(matches(px_last(dates=range(-1w,0d)), dayofweek(px_last(dates=range(-1w,0d)).date)==6))"))</f>
        <v>#NAME?</v>
      </c>
      <c r="BA216" s="109" t="e" cm="1">
        <f t="array" aca="1" ref="BA216" ca="1">IF(_xll.BQL(E216,"first(last(matches(px_last(dates=range(-1M,0D)),dayofweek(px_last(dates=range(-1M,0D)).date)==6),2),1)")="#N/A","-",_xll.BQL(E216,"first(last(matches(px_last(dates=range(-1M,0D)),dayofweek(px_last(dates=range(-1M,0D)).date)==6),2),1)"))</f>
        <v>#NAME?</v>
      </c>
      <c r="BB216" s="109" t="str">
        <f t="shared" ca="1" si="61"/>
        <v>-</v>
      </c>
    </row>
    <row r="217" spans="5:54" ht="16.5" customHeight="1">
      <c r="E217" s="96"/>
      <c r="G217" s="97"/>
      <c r="I217" s="112"/>
      <c r="J217" s="126"/>
      <c r="K217" s="127"/>
      <c r="L217" s="133"/>
      <c r="M217" s="128"/>
      <c r="N217" s="128"/>
      <c r="O217" s="113"/>
      <c r="P217" s="114"/>
      <c r="Q217" s="115"/>
      <c r="R217" s="115"/>
      <c r="S217" s="116"/>
      <c r="T217" s="129"/>
      <c r="U217" s="125"/>
      <c r="V217" s="117"/>
      <c r="W217" s="130"/>
      <c r="X217" s="125"/>
      <c r="Y217" s="125"/>
      <c r="Z217" s="130"/>
      <c r="AA217" s="107"/>
      <c r="AB217" s="93"/>
      <c r="AC217" s="93"/>
      <c r="AD217" s="93"/>
      <c r="AE217" s="93"/>
      <c r="AF217" s="93"/>
      <c r="AG217" s="93"/>
      <c r="AH217" s="95"/>
      <c r="AI217" s="95"/>
      <c r="AJ217" s="95"/>
      <c r="AK217" s="95"/>
      <c r="AL217" s="95"/>
      <c r="AM217" s="95"/>
      <c r="AO217" s="108"/>
      <c r="AP217" s="108"/>
      <c r="AQ217" s="109"/>
      <c r="AR217" s="109"/>
      <c r="AT217" s="66" t="str">
        <f t="shared" ca="1" si="63"/>
        <v/>
      </c>
      <c r="AU217" s="66" t="str">
        <f t="shared" ca="1" si="63"/>
        <v/>
      </c>
      <c r="AV217" s="66" t="str">
        <f t="shared" ca="1" si="63"/>
        <v/>
      </c>
      <c r="AW217" s="73" t="str" cm="1">
        <f t="array" aca="1" ref="AW217" ca="1">IF(ISERROR(DATEVALUE(_xll.BDP($E217,AW$6))),"",DATEVALUE(_xll.BDP($E217,AW$6)))</f>
        <v/>
      </c>
      <c r="AX217" s="73" t="str" cm="1">
        <f t="array" aca="1" ref="AX217" ca="1">IF(ISERROR(DATEVALUE(_xll.BDP($E217,AX$2))),"",DATEVALUE(_xll.BDP($E217,AX$2)))</f>
        <v/>
      </c>
      <c r="AY217" s="73" t="str" cm="1">
        <f t="array" aca="1" ref="AY217" ca="1">IF(ISERROR(DATEVALUE(_xll.BDP($E217,AY$6))),"",DATEVALUE(_xll.BDP($E217,AY$6)))</f>
        <v/>
      </c>
      <c r="AZ217" s="109" t="e" cm="1">
        <f t="array" aca="1" ref="AZ217" ca="1">IF(_xll.BQL($E217, "last(matches(px_last(dates=range(-1w,0d)), dayofweek(px_last(dates=range(-1w,0d)).date)==6))")="#N/A","-",_xll.BQL($E217, "last(matches(px_last(dates=range(-1w,0d)), dayofweek(px_last(dates=range(-1w,0d)).date)==6))"))</f>
        <v>#NAME?</v>
      </c>
      <c r="BA217" s="109" t="e" cm="1">
        <f t="array" aca="1" ref="BA217" ca="1">IF(_xll.BQL(E217,"first(last(matches(px_last(dates=range(-1M,0D)),dayofweek(px_last(dates=range(-1M,0D)).date)==6),2),1)")="#N/A","-",_xll.BQL(E217,"first(last(matches(px_last(dates=range(-1M,0D)),dayofweek(px_last(dates=range(-1M,0D)).date)==6),2),1)"))</f>
        <v>#NAME?</v>
      </c>
      <c r="BB217" s="109" t="str">
        <f t="shared" ca="1" si="61"/>
        <v>-</v>
      </c>
    </row>
    <row r="218" spans="5:54" ht="16.5" customHeight="1">
      <c r="E218" s="96"/>
      <c r="G218" s="97"/>
      <c r="I218" s="112"/>
      <c r="J218" s="126"/>
      <c r="K218" s="127"/>
      <c r="L218" s="133"/>
      <c r="M218" s="128"/>
      <c r="N218" s="128"/>
      <c r="O218" s="113"/>
      <c r="P218" s="114"/>
      <c r="Q218" s="115"/>
      <c r="R218" s="115"/>
      <c r="S218" s="116"/>
      <c r="T218" s="129"/>
      <c r="U218" s="125"/>
      <c r="V218" s="117"/>
      <c r="W218" s="130"/>
      <c r="X218" s="125"/>
      <c r="Y218" s="125"/>
      <c r="Z218" s="130"/>
      <c r="AA218" s="107"/>
      <c r="AB218" s="93"/>
      <c r="AC218" s="93"/>
      <c r="AD218" s="93"/>
      <c r="AE218" s="93"/>
      <c r="AF218" s="93"/>
      <c r="AG218" s="93"/>
      <c r="AH218" s="95"/>
      <c r="AI218" s="95"/>
      <c r="AJ218" s="95"/>
      <c r="AK218" s="95"/>
      <c r="AL218" s="95"/>
      <c r="AM218" s="95"/>
      <c r="AO218" s="108"/>
      <c r="AP218" s="108"/>
      <c r="AQ218" s="109"/>
      <c r="AR218" s="109"/>
      <c r="AT218" s="66" t="str">
        <f t="shared" ca="1" si="63"/>
        <v/>
      </c>
      <c r="AU218" s="66" t="str">
        <f t="shared" ca="1" si="63"/>
        <v/>
      </c>
      <c r="AV218" s="66" t="str">
        <f t="shared" ca="1" si="63"/>
        <v/>
      </c>
      <c r="AW218" s="73" t="str" cm="1">
        <f t="array" aca="1" ref="AW218" ca="1">IF(ISERROR(DATEVALUE(_xll.BDP($E218,AW$6))),"",DATEVALUE(_xll.BDP($E218,AW$6)))</f>
        <v/>
      </c>
      <c r="AX218" s="73" t="str" cm="1">
        <f t="array" aca="1" ref="AX218" ca="1">IF(ISERROR(DATEVALUE(_xll.BDP($E218,AX$2))),"",DATEVALUE(_xll.BDP($E218,AX$2)))</f>
        <v/>
      </c>
      <c r="AY218" s="73" t="str" cm="1">
        <f t="array" aca="1" ref="AY218" ca="1">IF(ISERROR(DATEVALUE(_xll.BDP($E218,AY$6))),"",DATEVALUE(_xll.BDP($E218,AY$6)))</f>
        <v/>
      </c>
      <c r="AZ218" s="109" t="e" cm="1">
        <f t="array" aca="1" ref="AZ218" ca="1">IF(_xll.BQL($E218, "last(matches(px_last(dates=range(-1w,0d)), dayofweek(px_last(dates=range(-1w,0d)).date)==6))")="#N/A","-",_xll.BQL($E218, "last(matches(px_last(dates=range(-1w,0d)), dayofweek(px_last(dates=range(-1w,0d)).date)==6))"))</f>
        <v>#NAME?</v>
      </c>
      <c r="BA218" s="109" t="e" cm="1">
        <f t="array" aca="1" ref="BA218" ca="1">IF(_xll.BQL(E218,"first(last(matches(px_last(dates=range(-1M,0D)),dayofweek(px_last(dates=range(-1M,0D)).date)==6),2),1)")="#N/A","-",_xll.BQL(E218,"first(last(matches(px_last(dates=range(-1M,0D)),dayofweek(px_last(dates=range(-1M,0D)).date)==6),2),1)"))</f>
        <v>#NAME?</v>
      </c>
      <c r="BB218" s="109" t="str">
        <f t="shared" ca="1" si="61"/>
        <v>-</v>
      </c>
    </row>
    <row r="219" spans="5:54" ht="16.5" customHeight="1">
      <c r="E219" s="96"/>
      <c r="G219" s="97"/>
      <c r="I219" s="112"/>
      <c r="J219" s="126"/>
      <c r="K219" s="127"/>
      <c r="L219" s="133"/>
      <c r="M219" s="128"/>
      <c r="N219" s="128"/>
      <c r="O219" s="113"/>
      <c r="P219" s="114"/>
      <c r="Q219" s="115"/>
      <c r="R219" s="115"/>
      <c r="S219" s="116"/>
      <c r="T219" s="129"/>
      <c r="U219" s="125"/>
      <c r="V219" s="117"/>
      <c r="W219" s="130"/>
      <c r="X219" s="125"/>
      <c r="Y219" s="125"/>
      <c r="Z219" s="130"/>
      <c r="AA219" s="107"/>
      <c r="AB219" s="93"/>
      <c r="AC219" s="93"/>
      <c r="AD219" s="93"/>
      <c r="AE219" s="93"/>
      <c r="AF219" s="93"/>
      <c r="AG219" s="93"/>
      <c r="AH219" s="95"/>
      <c r="AI219" s="95"/>
      <c r="AJ219" s="95"/>
      <c r="AK219" s="95"/>
      <c r="AL219" s="95"/>
      <c r="AM219" s="95"/>
      <c r="AO219" s="108"/>
      <c r="AP219" s="108"/>
      <c r="AQ219" s="109"/>
      <c r="AR219" s="109"/>
      <c r="AT219" s="66" t="str">
        <f t="shared" ca="1" si="63"/>
        <v/>
      </c>
      <c r="AU219" s="66" t="str">
        <f t="shared" ca="1" si="63"/>
        <v/>
      </c>
      <c r="AV219" s="66" t="str">
        <f t="shared" ca="1" si="63"/>
        <v/>
      </c>
      <c r="AW219" s="73" t="str" cm="1">
        <f t="array" aca="1" ref="AW219" ca="1">IF(ISERROR(DATEVALUE(_xll.BDP($E219,AW$6))),"",DATEVALUE(_xll.BDP($E219,AW$6)))</f>
        <v/>
      </c>
      <c r="AX219" s="73" t="str" cm="1">
        <f t="array" aca="1" ref="AX219" ca="1">IF(ISERROR(DATEVALUE(_xll.BDP($E219,AX$2))),"",DATEVALUE(_xll.BDP($E219,AX$2)))</f>
        <v/>
      </c>
      <c r="AY219" s="73" t="str" cm="1">
        <f t="array" aca="1" ref="AY219" ca="1">IF(ISERROR(DATEVALUE(_xll.BDP($E219,AY$6))),"",DATEVALUE(_xll.BDP($E219,AY$6)))</f>
        <v/>
      </c>
      <c r="AZ219" s="109" t="e" cm="1">
        <f t="array" aca="1" ref="AZ219" ca="1">IF(_xll.BQL($E219, "last(matches(px_last(dates=range(-1w,0d)), dayofweek(px_last(dates=range(-1w,0d)).date)==6))")="#N/A","-",_xll.BQL($E219, "last(matches(px_last(dates=range(-1w,0d)), dayofweek(px_last(dates=range(-1w,0d)).date)==6))"))</f>
        <v>#NAME?</v>
      </c>
      <c r="BA219" s="109" t="e" cm="1">
        <f t="array" aca="1" ref="BA219" ca="1">IF(_xll.BQL(E219,"first(last(matches(px_last(dates=range(-1M,0D)),dayofweek(px_last(dates=range(-1M,0D)).date)==6),2),1)")="#N/A","-",_xll.BQL(E219,"first(last(matches(px_last(dates=range(-1M,0D)),dayofweek(px_last(dates=range(-1M,0D)).date)==6),2),1)"))</f>
        <v>#NAME?</v>
      </c>
      <c r="BB219" s="109" t="str">
        <f t="shared" ca="1" si="61"/>
        <v>-</v>
      </c>
    </row>
    <row r="220" spans="5:54" ht="16.5" customHeight="1" thickBot="1">
      <c r="E220" s="96"/>
      <c r="G220" s="97"/>
      <c r="I220" s="118"/>
      <c r="J220" s="146"/>
      <c r="K220" s="147"/>
      <c r="L220" s="148"/>
      <c r="M220" s="149"/>
      <c r="N220" s="149"/>
      <c r="O220" s="150"/>
      <c r="P220" s="151"/>
      <c r="Q220" s="152"/>
      <c r="R220" s="152"/>
      <c r="S220" s="153"/>
      <c r="T220" s="154"/>
      <c r="U220" s="155"/>
      <c r="V220" s="119"/>
      <c r="W220" s="156"/>
      <c r="X220" s="155"/>
      <c r="Y220" s="155"/>
      <c r="Z220" s="156"/>
      <c r="AA220" s="107"/>
      <c r="AB220" s="93"/>
      <c r="AC220" s="93"/>
      <c r="AD220" s="93"/>
      <c r="AE220" s="93"/>
      <c r="AF220" s="93"/>
      <c r="AG220" s="93"/>
      <c r="AH220" s="95"/>
      <c r="AI220" s="95"/>
      <c r="AJ220" s="95"/>
      <c r="AK220" s="95"/>
      <c r="AL220" s="95"/>
      <c r="AM220" s="95"/>
      <c r="AO220" s="108"/>
      <c r="AP220" s="108"/>
      <c r="AQ220" s="109"/>
      <c r="AR220" s="109"/>
      <c r="AT220" s="66" t="str">
        <f t="shared" ca="1" si="63"/>
        <v/>
      </c>
      <c r="AU220" s="66" t="str">
        <f t="shared" ca="1" si="63"/>
        <v/>
      </c>
      <c r="AV220" s="66" t="str">
        <f t="shared" ca="1" si="63"/>
        <v/>
      </c>
      <c r="AW220" s="73" t="str" cm="1">
        <f t="array" aca="1" ref="AW220" ca="1">IF(ISERROR(DATEVALUE(_xll.BDP($E220,AW$6))),"",DATEVALUE(_xll.BDP($E220,AW$6)))</f>
        <v/>
      </c>
      <c r="AX220" s="73" t="str" cm="1">
        <f t="array" aca="1" ref="AX220" ca="1">IF(ISERROR(DATEVALUE(_xll.BDP($E220,AX$2))),"",DATEVALUE(_xll.BDP($E220,AX$2)))</f>
        <v/>
      </c>
      <c r="AY220" s="73" t="str" cm="1">
        <f t="array" aca="1" ref="AY220" ca="1">IF(ISERROR(DATEVALUE(_xll.BDP($E220,AY$6))),"",DATEVALUE(_xll.BDP($E220,AY$6)))</f>
        <v/>
      </c>
      <c r="AZ220" s="109" t="e" cm="1">
        <f t="array" aca="1" ref="AZ220" ca="1">IF(_xll.BQL($E220, "last(matches(px_last(dates=range(-1w,0d)), dayofweek(px_last(dates=range(-1w,0d)).date)==6))")="#N/A","-",_xll.BQL($E220, "last(matches(px_last(dates=range(-1w,0d)), dayofweek(px_last(dates=range(-1w,0d)).date)==6))"))</f>
        <v>#NAME?</v>
      </c>
      <c r="BA220" s="109" t="e" cm="1">
        <f t="array" aca="1" ref="BA220" ca="1">IF(_xll.BQL(E220,"first(last(matches(px_last(dates=range(-1M,0D)),dayofweek(px_last(dates=range(-1M,0D)).date)==6),2),1)")="#N/A","-",_xll.BQL(E220,"first(last(matches(px_last(dates=range(-1M,0D)),dayofweek(px_last(dates=range(-1M,0D)).date)==6),2),1)"))</f>
        <v>#NAME?</v>
      </c>
      <c r="BB220" s="109" t="str">
        <f t="shared" ca="1" si="61"/>
        <v>-</v>
      </c>
    </row>
    <row r="221" spans="5:54">
      <c r="AZ221" s="109"/>
      <c r="BA221" s="109"/>
      <c r="BB221" s="109"/>
    </row>
    <row r="222" spans="5:54" ht="14.25" thickBot="1">
      <c r="M222" s="168"/>
      <c r="N222" s="168"/>
      <c r="O222" s="168"/>
      <c r="AZ222" s="109"/>
      <c r="BA222" s="109"/>
      <c r="BB222" s="168" t="s">
        <v>1185</v>
      </c>
    </row>
    <row r="223" spans="5:54" ht="16.5" customHeight="1">
      <c r="E223" s="96"/>
      <c r="G223" s="97"/>
      <c r="I223" s="134"/>
      <c r="J223" s="134"/>
      <c r="K223" s="135"/>
      <c r="L223" s="169"/>
      <c r="M223" s="170"/>
      <c r="N223" s="170"/>
      <c r="O223" s="171"/>
      <c r="P223" s="139"/>
      <c r="Q223" s="140"/>
      <c r="R223" s="140"/>
      <c r="S223" s="141"/>
      <c r="T223" s="142"/>
      <c r="U223" s="132"/>
      <c r="V223" s="132"/>
      <c r="W223" s="143"/>
      <c r="X223" s="132"/>
      <c r="Y223" s="132"/>
      <c r="Z223" s="143"/>
      <c r="AA223" s="107"/>
      <c r="AB223" s="93"/>
      <c r="AC223" s="93"/>
      <c r="AD223" s="93"/>
      <c r="AE223" s="93"/>
      <c r="AF223" s="93"/>
      <c r="AG223" s="93"/>
      <c r="AH223" s="95"/>
      <c r="AI223" s="95"/>
      <c r="AJ223" s="95"/>
      <c r="AK223" s="95"/>
      <c r="AL223" s="95"/>
      <c r="AM223" s="95"/>
      <c r="AO223" s="108"/>
      <c r="AP223" s="108"/>
      <c r="AQ223" s="109"/>
      <c r="AR223" s="109"/>
      <c r="AT223" s="66" t="str">
        <f t="shared" ref="AT223:AV229" ca="1" si="64">IF(AND(AW223&lt;=$E$1,AW223&gt;=$F$1),1,"")</f>
        <v/>
      </c>
      <c r="AU223" s="66" t="str">
        <f t="shared" ca="1" si="64"/>
        <v/>
      </c>
      <c r="AV223" s="66" t="str">
        <f t="shared" ca="1" si="64"/>
        <v/>
      </c>
      <c r="AW223" s="73" t="str" cm="1">
        <f t="array" aca="1" ref="AW223" ca="1">IF(ISERROR(DATEVALUE(_xll.BDP($E223,AW$6))),"",DATEVALUE(_xll.BDP($E223,AW$6)))</f>
        <v/>
      </c>
      <c r="AX223" s="73" t="str" cm="1">
        <f t="array" aca="1" ref="AX223" ca="1">IF(ISERROR(DATEVALUE(_xll.BDP($E223,AX$2))),"",DATEVALUE(_xll.BDP($E223,AX$2)))</f>
        <v/>
      </c>
      <c r="AY223" s="73" t="str" cm="1">
        <f t="array" aca="1" ref="AY223" ca="1">IF(ISERROR(DATEVALUE(_xll.BDP($E223,AY$6))),"",DATEVALUE(_xll.BDP($E223,AY$6)))</f>
        <v/>
      </c>
      <c r="AZ223" s="109" t="e" cm="1">
        <f t="array" aca="1" ref="AZ223" ca="1">_xll.BQL($E223, "last(matches(px_last(dates=range(-1w,0d)), dayofweek(px_last(dates=range(-1w,0d)).date)==6))")</f>
        <v>#NAME?</v>
      </c>
      <c r="BA223" s="109" t="e" cm="1">
        <f t="array" aca="1" ref="BA223" ca="1">_xll.BQL(E223,"first(last(matches(px_last(dates=range(-1M,0D)),dayofweek(px_last(dates=range(-1M,0D)).date)==6),2),1)")</f>
        <v>#NAME?</v>
      </c>
      <c r="BB223" s="109" t="e">
        <f ca="1">AZ223-BA223</f>
        <v>#NAME?</v>
      </c>
    </row>
    <row r="224" spans="5:54" ht="16.5" customHeight="1">
      <c r="E224" s="96"/>
      <c r="G224" s="97"/>
      <c r="I224" s="112"/>
      <c r="J224" s="126"/>
      <c r="K224" s="127"/>
      <c r="L224" s="172"/>
      <c r="M224" s="173"/>
      <c r="N224" s="173"/>
      <c r="O224" s="174"/>
      <c r="P224" s="114"/>
      <c r="Q224" s="115"/>
      <c r="R224" s="115"/>
      <c r="S224" s="116"/>
      <c r="T224" s="129"/>
      <c r="U224" s="125"/>
      <c r="V224" s="117"/>
      <c r="W224" s="130"/>
      <c r="X224" s="125"/>
      <c r="Y224" s="125"/>
      <c r="Z224" s="130"/>
      <c r="AA224" s="107"/>
      <c r="AB224" s="93"/>
      <c r="AC224" s="93"/>
      <c r="AD224" s="93"/>
      <c r="AE224" s="93"/>
      <c r="AF224" s="93"/>
      <c r="AG224" s="93"/>
      <c r="AH224" s="95"/>
      <c r="AI224" s="95"/>
      <c r="AJ224" s="95"/>
      <c r="AK224" s="95"/>
      <c r="AL224" s="95"/>
      <c r="AM224" s="95"/>
      <c r="AO224" s="108"/>
      <c r="AP224" s="108"/>
      <c r="AQ224" s="109"/>
      <c r="AR224" s="109"/>
      <c r="AT224" s="66" t="str">
        <f t="shared" ca="1" si="64"/>
        <v/>
      </c>
      <c r="AU224" s="66" t="str">
        <f t="shared" ca="1" si="64"/>
        <v/>
      </c>
      <c r="AV224" s="66" t="str">
        <f t="shared" ca="1" si="64"/>
        <v/>
      </c>
      <c r="AW224" s="73" t="str" cm="1">
        <f t="array" aca="1" ref="AW224" ca="1">IF(ISERROR(DATEVALUE(_xll.BDP($E224,AW$6))),"",DATEVALUE(_xll.BDP($E224,AW$6)))</f>
        <v/>
      </c>
      <c r="AX224" s="73" t="str" cm="1">
        <f t="array" aca="1" ref="AX224" ca="1">IF(ISERROR(DATEVALUE(_xll.BDP($E224,AX$2))),"",DATEVALUE(_xll.BDP($E224,AX$2)))</f>
        <v/>
      </c>
      <c r="AY224" s="73" t="str" cm="1">
        <f t="array" aca="1" ref="AY224" ca="1">IF(ISERROR(DATEVALUE(_xll.BDP($E224,AY$6))),"",DATEVALUE(_xll.BDP($E224,AY$6)))</f>
        <v/>
      </c>
      <c r="AZ224" s="109" t="e" cm="1">
        <f t="array" aca="1" ref="AZ224" ca="1">_xll.BQL($E224, "last(matches(px_last(dates=range(-1w,0d)), dayofweek(px_last(dates=range(-1w,0d)).date)==6))")</f>
        <v>#NAME?</v>
      </c>
      <c r="BA224" s="109" t="e" cm="1">
        <f t="array" aca="1" ref="BA224" ca="1">_xll.BQL(E224,"first(last(matches(px_last(dates=range(-1M,0D)),dayofweek(px_last(dates=range(-1M,0D)).date)==6),2),1)")</f>
        <v>#NAME?</v>
      </c>
      <c r="BB224" s="109" t="e">
        <f t="shared" ref="BB224:BB229" ca="1" si="65">AZ224-BA224</f>
        <v>#NAME?</v>
      </c>
    </row>
    <row r="225" spans="5:54" ht="16.5" customHeight="1">
      <c r="E225" s="96"/>
      <c r="G225" s="97"/>
      <c r="I225" s="112"/>
      <c r="J225" s="126"/>
      <c r="K225" s="127"/>
      <c r="L225" s="172"/>
      <c r="M225" s="173"/>
      <c r="N225" s="173"/>
      <c r="O225" s="174"/>
      <c r="P225" s="114"/>
      <c r="Q225" s="115"/>
      <c r="R225" s="115"/>
      <c r="S225" s="116"/>
      <c r="T225" s="129"/>
      <c r="U225" s="125"/>
      <c r="V225" s="117"/>
      <c r="W225" s="130"/>
      <c r="X225" s="125"/>
      <c r="Y225" s="125"/>
      <c r="Z225" s="130"/>
      <c r="AA225" s="107"/>
      <c r="AB225" s="93"/>
      <c r="AC225" s="93"/>
      <c r="AD225" s="93"/>
      <c r="AE225" s="93"/>
      <c r="AF225" s="93"/>
      <c r="AG225" s="93"/>
      <c r="AH225" s="95"/>
      <c r="AI225" s="95"/>
      <c r="AJ225" s="95"/>
      <c r="AK225" s="95"/>
      <c r="AL225" s="95"/>
      <c r="AM225" s="95"/>
      <c r="AO225" s="108"/>
      <c r="AP225" s="108"/>
      <c r="AQ225" s="109"/>
      <c r="AR225" s="109"/>
      <c r="AT225" s="66" t="str">
        <f t="shared" ca="1" si="64"/>
        <v/>
      </c>
      <c r="AU225" s="66" t="str">
        <f t="shared" ca="1" si="64"/>
        <v/>
      </c>
      <c r="AV225" s="66" t="str">
        <f t="shared" ca="1" si="64"/>
        <v/>
      </c>
      <c r="AW225" s="73" t="str" cm="1">
        <f t="array" aca="1" ref="AW225" ca="1">IF(ISERROR(DATEVALUE(_xll.BDP($E225,AW$6))),"",DATEVALUE(_xll.BDP($E225,AW$6)))</f>
        <v/>
      </c>
      <c r="AX225" s="73" t="str" cm="1">
        <f t="array" aca="1" ref="AX225" ca="1">IF(ISERROR(DATEVALUE(_xll.BDP($E225,AX$2))),"",DATEVALUE(_xll.BDP($E225,AX$2)))</f>
        <v/>
      </c>
      <c r="AY225" s="73" t="str" cm="1">
        <f t="array" aca="1" ref="AY225" ca="1">IF(ISERROR(DATEVALUE(_xll.BDP($E225,AY$6))),"",DATEVALUE(_xll.BDP($E225,AY$6)))</f>
        <v/>
      </c>
      <c r="AZ225" s="109" t="e" cm="1">
        <f t="array" aca="1" ref="AZ225" ca="1">_xll.BQL($E225, "last(matches(px_last(dates=range(-1w,0d)), dayofweek(px_last(dates=range(-1w,0d)).date)==6))")</f>
        <v>#NAME?</v>
      </c>
      <c r="BA225" s="109" t="e" cm="1">
        <f t="array" aca="1" ref="BA225" ca="1">_xll.BQL(E225,"first(last(matches(px_last(dates=range(-1M,0D)),dayofweek(px_last(dates=range(-1M,0D)).date)==6),2),1)")</f>
        <v>#NAME?</v>
      </c>
      <c r="BB225" s="109" t="e">
        <f t="shared" ca="1" si="65"/>
        <v>#NAME?</v>
      </c>
    </row>
    <row r="226" spans="5:54" ht="16.5" customHeight="1">
      <c r="E226" s="96"/>
      <c r="G226" s="97"/>
      <c r="I226" s="112"/>
      <c r="J226" s="126"/>
      <c r="K226" s="127"/>
      <c r="L226" s="172"/>
      <c r="M226" s="173"/>
      <c r="N226" s="173"/>
      <c r="O226" s="174"/>
      <c r="P226" s="114"/>
      <c r="Q226" s="115"/>
      <c r="R226" s="115"/>
      <c r="S226" s="116"/>
      <c r="T226" s="129"/>
      <c r="U226" s="125"/>
      <c r="V226" s="117"/>
      <c r="W226" s="130"/>
      <c r="X226" s="125"/>
      <c r="Y226" s="125"/>
      <c r="Z226" s="130"/>
      <c r="AA226" s="107"/>
      <c r="AB226" s="93"/>
      <c r="AC226" s="93"/>
      <c r="AD226" s="93"/>
      <c r="AE226" s="93"/>
      <c r="AF226" s="93"/>
      <c r="AG226" s="93"/>
      <c r="AH226" s="95"/>
      <c r="AI226" s="95"/>
      <c r="AJ226" s="95"/>
      <c r="AK226" s="95"/>
      <c r="AL226" s="95"/>
      <c r="AM226" s="95"/>
      <c r="AO226" s="108"/>
      <c r="AP226" s="108"/>
      <c r="AQ226" s="109"/>
      <c r="AR226" s="109"/>
      <c r="AT226" s="66" t="str">
        <f t="shared" ca="1" si="64"/>
        <v/>
      </c>
      <c r="AU226" s="66" t="str">
        <f t="shared" ca="1" si="64"/>
        <v/>
      </c>
      <c r="AV226" s="66" t="str">
        <f t="shared" ca="1" si="64"/>
        <v/>
      </c>
      <c r="AW226" s="73" t="str" cm="1">
        <f t="array" aca="1" ref="AW226" ca="1">IF(ISERROR(DATEVALUE(_xll.BDP($E226,AW$6))),"",DATEVALUE(_xll.BDP($E226,AW$6)))</f>
        <v/>
      </c>
      <c r="AX226" s="73" t="str" cm="1">
        <f t="array" aca="1" ref="AX226" ca="1">IF(ISERROR(DATEVALUE(_xll.BDP($E226,AX$2))),"",DATEVALUE(_xll.BDP($E226,AX$2)))</f>
        <v/>
      </c>
      <c r="AY226" s="73" t="str" cm="1">
        <f t="array" aca="1" ref="AY226" ca="1">IF(ISERROR(DATEVALUE(_xll.BDP($E226,AY$6))),"",DATEVALUE(_xll.BDP($E226,AY$6)))</f>
        <v/>
      </c>
      <c r="AZ226" s="109" t="e" cm="1">
        <f t="array" aca="1" ref="AZ226" ca="1">_xll.BQL($E226, "last(matches(px_last(dates=range(-1w,0d)), dayofweek(px_last(dates=range(-1w,0d)).date)==6))")</f>
        <v>#NAME?</v>
      </c>
      <c r="BA226" s="109" t="e" cm="1">
        <f t="array" aca="1" ref="BA226" ca="1">_xll.BQL(E226,"first(last(matches(px_last(dates=range(-1M,0D)),dayofweek(px_last(dates=range(-1M,0D)).date)==6),2),1)")</f>
        <v>#NAME?</v>
      </c>
      <c r="BB226" s="109" t="e">
        <f t="shared" ca="1" si="65"/>
        <v>#NAME?</v>
      </c>
    </row>
    <row r="227" spans="5:54" ht="16.5" customHeight="1">
      <c r="E227" s="96"/>
      <c r="G227" s="97"/>
      <c r="I227" s="112"/>
      <c r="J227" s="126"/>
      <c r="K227" s="127"/>
      <c r="L227" s="172"/>
      <c r="M227" s="173"/>
      <c r="N227" s="173"/>
      <c r="O227" s="174"/>
      <c r="P227" s="114"/>
      <c r="Q227" s="115"/>
      <c r="R227" s="115"/>
      <c r="S227" s="116"/>
      <c r="T227" s="129"/>
      <c r="U227" s="125"/>
      <c r="V227" s="117"/>
      <c r="W227" s="130"/>
      <c r="X227" s="125"/>
      <c r="Y227" s="125"/>
      <c r="Z227" s="130"/>
      <c r="AA227" s="107"/>
      <c r="AB227" s="93"/>
      <c r="AC227" s="93"/>
      <c r="AD227" s="93"/>
      <c r="AE227" s="93"/>
      <c r="AF227" s="93"/>
      <c r="AG227" s="93"/>
      <c r="AH227" s="95"/>
      <c r="AI227" s="95"/>
      <c r="AJ227" s="95"/>
      <c r="AK227" s="95"/>
      <c r="AL227" s="95"/>
      <c r="AM227" s="95"/>
      <c r="AO227" s="108"/>
      <c r="AP227" s="108"/>
      <c r="AQ227" s="109"/>
      <c r="AR227" s="109"/>
      <c r="AT227" s="66" t="str">
        <f t="shared" ca="1" si="64"/>
        <v/>
      </c>
      <c r="AU227" s="66" t="str">
        <f t="shared" ca="1" si="64"/>
        <v/>
      </c>
      <c r="AV227" s="66" t="str">
        <f t="shared" ca="1" si="64"/>
        <v/>
      </c>
      <c r="AW227" s="73" t="str" cm="1">
        <f t="array" aca="1" ref="AW227" ca="1">IF(ISERROR(DATEVALUE(_xll.BDP($E227,AW$6))),"",DATEVALUE(_xll.BDP($E227,AW$6)))</f>
        <v/>
      </c>
      <c r="AX227" s="73" t="str" cm="1">
        <f t="array" aca="1" ref="AX227" ca="1">IF(ISERROR(DATEVALUE(_xll.BDP($E227,AX$2))),"",DATEVALUE(_xll.BDP($E227,AX$2)))</f>
        <v/>
      </c>
      <c r="AY227" s="73" t="str" cm="1">
        <f t="array" aca="1" ref="AY227" ca="1">IF(ISERROR(DATEVALUE(_xll.BDP($E227,AY$6))),"",DATEVALUE(_xll.BDP($E227,AY$6)))</f>
        <v/>
      </c>
      <c r="AZ227" s="109" t="e" cm="1">
        <f t="array" aca="1" ref="AZ227" ca="1">_xll.BQL($E227, "last(matches(px_last(dates=range(-1w,0d)), dayofweek(px_last(dates=range(-1w,0d)).date)==6))")</f>
        <v>#NAME?</v>
      </c>
      <c r="BA227" s="109" t="e" cm="1">
        <f t="array" aca="1" ref="BA227" ca="1">_xll.BQL(E227,"first(last(matches(px_last(dates=range(-1M,0D)),dayofweek(px_last(dates=range(-1M,0D)).date)==6),2),1)")</f>
        <v>#NAME?</v>
      </c>
      <c r="BB227" s="109" t="e">
        <f t="shared" ca="1" si="65"/>
        <v>#NAME?</v>
      </c>
    </row>
    <row r="228" spans="5:54" ht="16.5" customHeight="1">
      <c r="E228" s="96"/>
      <c r="G228" s="97"/>
      <c r="I228" s="112"/>
      <c r="J228" s="126"/>
      <c r="K228" s="127"/>
      <c r="L228" s="172"/>
      <c r="M228" s="173"/>
      <c r="N228" s="173"/>
      <c r="O228" s="174"/>
      <c r="P228" s="114"/>
      <c r="Q228" s="115"/>
      <c r="R228" s="115"/>
      <c r="S228" s="116"/>
      <c r="T228" s="129"/>
      <c r="U228" s="125"/>
      <c r="V228" s="117"/>
      <c r="W228" s="130"/>
      <c r="X228" s="125"/>
      <c r="Y228" s="125"/>
      <c r="Z228" s="130"/>
      <c r="AA228" s="107"/>
      <c r="AB228" s="93"/>
      <c r="AC228" s="93"/>
      <c r="AD228" s="93"/>
      <c r="AE228" s="93"/>
      <c r="AF228" s="93"/>
      <c r="AG228" s="93"/>
      <c r="AH228" s="95"/>
      <c r="AI228" s="95"/>
      <c r="AJ228" s="95"/>
      <c r="AK228" s="95"/>
      <c r="AL228" s="95"/>
      <c r="AM228" s="95"/>
      <c r="AO228" s="108"/>
      <c r="AP228" s="108"/>
      <c r="AQ228" s="109"/>
      <c r="AR228" s="109"/>
      <c r="AT228" s="66" t="str">
        <f t="shared" ca="1" si="64"/>
        <v/>
      </c>
      <c r="AU228" s="66" t="str">
        <f t="shared" ca="1" si="64"/>
        <v/>
      </c>
      <c r="AV228" s="66" t="str">
        <f t="shared" ca="1" si="64"/>
        <v/>
      </c>
      <c r="AW228" s="73" t="str" cm="1">
        <f t="array" aca="1" ref="AW228" ca="1">IF(ISERROR(DATEVALUE(_xll.BDP($E228,AW$6))),"",DATEVALUE(_xll.BDP($E228,AW$6)))</f>
        <v/>
      </c>
      <c r="AX228" s="73" t="str" cm="1">
        <f t="array" aca="1" ref="AX228" ca="1">IF(ISERROR(DATEVALUE(_xll.BDP($E228,AX$2))),"",DATEVALUE(_xll.BDP($E228,AX$2)))</f>
        <v/>
      </c>
      <c r="AY228" s="73" t="str" cm="1">
        <f t="array" aca="1" ref="AY228" ca="1">IF(ISERROR(DATEVALUE(_xll.BDP($E228,AY$6))),"",DATEVALUE(_xll.BDP($E228,AY$6)))</f>
        <v/>
      </c>
      <c r="AZ228" s="109" t="e" cm="1">
        <f t="array" aca="1" ref="AZ228" ca="1">_xll.BQL($E228, "last(matches(px_last(dates=range(-1w,0d)), dayofweek(px_last(dates=range(-1w,0d)).date)==6))")</f>
        <v>#NAME?</v>
      </c>
      <c r="BA228" s="109" t="e" cm="1">
        <f t="array" aca="1" ref="BA228" ca="1">_xll.BQL(E228,"first(last(matches(px_last(dates=range(-1M,0D)),dayofweek(px_last(dates=range(-1M,0D)).date)==6),2),1)")</f>
        <v>#NAME?</v>
      </c>
      <c r="BB228" s="109" t="e">
        <f t="shared" ca="1" si="65"/>
        <v>#NAME?</v>
      </c>
    </row>
    <row r="229" spans="5:54" ht="16.5" customHeight="1" thickBot="1">
      <c r="E229" s="96"/>
      <c r="G229" s="97"/>
      <c r="I229" s="118"/>
      <c r="J229" s="146"/>
      <c r="K229" s="147"/>
      <c r="L229" s="175"/>
      <c r="M229" s="176"/>
      <c r="N229" s="176"/>
      <c r="O229" s="177"/>
      <c r="P229" s="151"/>
      <c r="Q229" s="152"/>
      <c r="R229" s="152"/>
      <c r="S229" s="153"/>
      <c r="T229" s="154"/>
      <c r="U229" s="155"/>
      <c r="V229" s="119"/>
      <c r="W229" s="156"/>
      <c r="X229" s="155"/>
      <c r="Y229" s="155"/>
      <c r="Z229" s="156"/>
      <c r="AA229" s="107"/>
      <c r="AB229" s="93"/>
      <c r="AC229" s="93"/>
      <c r="AD229" s="93"/>
      <c r="AE229" s="93"/>
      <c r="AF229" s="93"/>
      <c r="AG229" s="93"/>
      <c r="AH229" s="95"/>
      <c r="AI229" s="95"/>
      <c r="AJ229" s="95"/>
      <c r="AK229" s="95"/>
      <c r="AL229" s="95"/>
      <c r="AM229" s="95"/>
      <c r="AO229" s="108"/>
      <c r="AP229" s="108"/>
      <c r="AQ229" s="109"/>
      <c r="AR229" s="109"/>
      <c r="AT229" s="66" t="str">
        <f t="shared" ca="1" si="64"/>
        <v/>
      </c>
      <c r="AU229" s="66" t="str">
        <f t="shared" ca="1" si="64"/>
        <v/>
      </c>
      <c r="AV229" s="66" t="str">
        <f t="shared" ca="1" si="64"/>
        <v/>
      </c>
      <c r="AW229" s="73" t="str" cm="1">
        <f t="array" aca="1" ref="AW229" ca="1">IF(ISERROR(DATEVALUE(_xll.BDP($E229,AW$6))),"",DATEVALUE(_xll.BDP($E229,AW$6)))</f>
        <v/>
      </c>
      <c r="AX229" s="73" t="str" cm="1">
        <f t="array" aca="1" ref="AX229" ca="1">IF(ISERROR(DATEVALUE(_xll.BDP($E229,AX$2))),"",DATEVALUE(_xll.BDP($E229,AX$2)))</f>
        <v/>
      </c>
      <c r="AY229" s="73" t="str" cm="1">
        <f t="array" aca="1" ref="AY229" ca="1">IF(ISERROR(DATEVALUE(_xll.BDP($E229,AY$6))),"",DATEVALUE(_xll.BDP($E229,AY$6)))</f>
        <v/>
      </c>
      <c r="AZ229" s="109" t="e" cm="1">
        <f t="array" aca="1" ref="AZ229" ca="1">_xll.BQL($E229, "last(matches(px_last(dates=range(-1w,0d)), dayofweek(px_last(dates=range(-1w,0d)).date)==6))")</f>
        <v>#NAME?</v>
      </c>
      <c r="BA229" s="109" t="e" cm="1">
        <f t="array" aca="1" ref="BA229" ca="1">_xll.BQL(E229,"first(last(matches(px_last(dates=range(-1M,0D)),dayofweek(px_last(dates=range(-1M,0D)).date)==6),2),1)")</f>
        <v>#NAME?</v>
      </c>
      <c r="BB229" s="109" t="e">
        <f t="shared" ca="1" si="65"/>
        <v>#NAME?</v>
      </c>
    </row>
    <row r="230" spans="5:54">
      <c r="AZ230" s="109"/>
      <c r="BA230" s="109"/>
      <c r="BB230" s="109"/>
    </row>
  </sheetData>
  <autoFilter ref="E1:BB230" xr:uid="{00000000-0009-0000-0000-000001000000}"/>
  <mergeCells count="20">
    <mergeCell ref="I187:I192"/>
    <mergeCell ref="I193:I194"/>
    <mergeCell ref="I67:I70"/>
    <mergeCell ref="I75:I81"/>
    <mergeCell ref="I82:I148"/>
    <mergeCell ref="I150:I161"/>
    <mergeCell ref="I162:I180"/>
    <mergeCell ref="I181:I185"/>
    <mergeCell ref="AH5:AJ5"/>
    <mergeCell ref="AK5:AM5"/>
    <mergeCell ref="I7:I15"/>
    <mergeCell ref="I16:I28"/>
    <mergeCell ref="I35:I44"/>
    <mergeCell ref="I45:I66"/>
    <mergeCell ref="AB4:AG4"/>
    <mergeCell ref="L5:O5"/>
    <mergeCell ref="P5:S5"/>
    <mergeCell ref="T5:W5"/>
    <mergeCell ref="X5:Z5"/>
    <mergeCell ref="AB5:AG5"/>
  </mergeCells>
  <phoneticPr fontId="21" type="noConversion"/>
  <conditionalFormatting sqref="M195:M286 N222:O222">
    <cfRule type="cellIs" dxfId="32" priority="10" operator="greaterThan">
      <formula>10</formula>
    </cfRule>
    <cfRule type="cellIs" dxfId="31" priority="11" operator="lessThan">
      <formula>-10</formula>
    </cfRule>
  </conditionalFormatting>
  <conditionalFormatting sqref="N7:N221">
    <cfRule type="cellIs" dxfId="30" priority="2" operator="greaterThan">
      <formula>15</formula>
    </cfRule>
    <cfRule type="cellIs" dxfId="29" priority="3" operator="lessThan">
      <formula>-15</formula>
    </cfRule>
  </conditionalFormatting>
  <conditionalFormatting sqref="N223:N286">
    <cfRule type="cellIs" dxfId="28" priority="8" operator="greaterThan">
      <formula>15</formula>
    </cfRule>
    <cfRule type="cellIs" dxfId="27" priority="12" operator="lessThan">
      <formula>-15</formula>
    </cfRule>
  </conditionalFormatting>
  <conditionalFormatting sqref="P195:P286">
    <cfRule type="cellIs" dxfId="26" priority="13" operator="greaterThan">
      <formula>500</formula>
    </cfRule>
  </conditionalFormatting>
  <conditionalFormatting sqref="R7:R286">
    <cfRule type="cellIs" dxfId="25" priority="1" operator="greaterThan">
      <formula>150</formula>
    </cfRule>
  </conditionalFormatting>
  <conditionalFormatting sqref="BB222">
    <cfRule type="cellIs" dxfId="24" priority="6" operator="greaterThan">
      <formula>10</formula>
    </cfRule>
    <cfRule type="cellIs" dxfId="23" priority="7" operator="lessThan">
      <formula>-10</formula>
    </cfRule>
  </conditionalFormatting>
  <pageMargins left="0.9055118110236221" right="0.31496062992125984" top="0.15748031496062992" bottom="0.15748031496062992" header="0.31496062992125984" footer="0.31496062992125984"/>
  <pageSetup paperSize="9" scale="4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0864-5E49-4C64-B3B1-7654317A6BC9}">
  <sheetPr codeName="工作表6">
    <tabColor rgb="FFFFC000"/>
    <pageSetUpPr fitToPage="1"/>
  </sheetPr>
  <dimension ref="A1:AA107"/>
  <sheetViews>
    <sheetView topLeftCell="A76" zoomScale="90" zoomScaleNormal="90" workbookViewId="0">
      <selection activeCell="E89" sqref="E89"/>
    </sheetView>
  </sheetViews>
  <sheetFormatPr defaultColWidth="9" defaultRowHeight="12.75"/>
  <cols>
    <col min="1" max="1" width="9" style="225" bestFit="1" customWidth="1"/>
    <col min="2" max="2" width="29.125" style="225" customWidth="1"/>
    <col min="3" max="3" width="30.5" style="225" customWidth="1"/>
    <col min="4" max="4" width="13.875" style="366" hidden="1" customWidth="1"/>
    <col min="5" max="6" width="13.875" style="366" customWidth="1"/>
    <col min="7" max="7" width="14.125" style="363" hidden="1" customWidth="1"/>
    <col min="8" max="9" width="8.625" style="363" hidden="1" customWidth="1"/>
    <col min="10" max="10" width="7.375" style="367" customWidth="1"/>
    <col min="11" max="11" width="7.75" style="367" hidden="1" customWidth="1"/>
    <col min="12" max="13" width="7.375" style="367" customWidth="1"/>
    <col min="14" max="14" width="8" style="224" customWidth="1"/>
    <col min="15" max="15" width="9.375" style="224" bestFit="1" customWidth="1"/>
    <col min="16" max="16" width="7.625" style="224" customWidth="1"/>
    <col min="17" max="17" width="8.25" style="224" customWidth="1"/>
    <col min="18" max="20" width="8.25" style="224" hidden="1" customWidth="1"/>
    <col min="21" max="26" width="5" style="225" hidden="1" customWidth="1"/>
    <col min="27" max="16384" width="9" style="225"/>
  </cols>
  <sheetData>
    <row r="1" spans="1:27" ht="39" thickBot="1">
      <c r="A1" s="215" t="s">
        <v>1650</v>
      </c>
      <c r="B1" s="216"/>
      <c r="C1" s="216"/>
      <c r="D1" s="217"/>
      <c r="E1" s="217"/>
      <c r="F1" s="217"/>
      <c r="G1" s="218"/>
      <c r="H1" s="218"/>
      <c r="I1" s="218"/>
      <c r="J1" s="219"/>
      <c r="K1" s="219"/>
      <c r="L1" s="219"/>
      <c r="M1" s="219"/>
      <c r="N1" s="220"/>
      <c r="O1" s="221"/>
      <c r="P1" s="222"/>
      <c r="Q1" s="223"/>
    </row>
    <row r="2" spans="1:27" ht="19.5" customHeight="1" thickBot="1">
      <c r="A2" s="226" t="s">
        <v>1651</v>
      </c>
      <c r="B2" s="227" t="s">
        <v>1652</v>
      </c>
      <c r="C2" s="228" t="s">
        <v>1653</v>
      </c>
      <c r="D2" s="654" t="s">
        <v>1654</v>
      </c>
      <c r="E2" s="655"/>
      <c r="F2" s="655"/>
      <c r="G2" s="655"/>
      <c r="H2" s="655"/>
      <c r="I2" s="656"/>
      <c r="J2" s="654" t="s">
        <v>1655</v>
      </c>
      <c r="K2" s="655"/>
      <c r="L2" s="655"/>
      <c r="M2" s="656"/>
      <c r="N2" s="657" t="s">
        <v>1656</v>
      </c>
      <c r="O2" s="658"/>
      <c r="P2" s="658"/>
      <c r="Q2" s="659"/>
      <c r="R2" s="660" t="s">
        <v>1657</v>
      </c>
      <c r="S2" s="661"/>
      <c r="T2" s="661"/>
      <c r="U2" s="650" t="s">
        <v>914</v>
      </c>
      <c r="V2" s="650"/>
      <c r="W2" s="650"/>
      <c r="X2" s="650" t="s">
        <v>915</v>
      </c>
      <c r="Y2" s="650"/>
      <c r="Z2" s="650"/>
    </row>
    <row r="3" spans="1:27" ht="14.25" thickBot="1">
      <c r="A3" s="229"/>
      <c r="B3" s="230"/>
      <c r="C3" s="231"/>
      <c r="D3" s="232" t="s">
        <v>1658</v>
      </c>
      <c r="E3" s="233" t="s">
        <v>927</v>
      </c>
      <c r="F3" s="234" t="s">
        <v>918</v>
      </c>
      <c r="G3" s="234" t="s">
        <v>1659</v>
      </c>
      <c r="H3" s="234" t="s">
        <v>918</v>
      </c>
      <c r="I3" s="235" t="s">
        <v>919</v>
      </c>
      <c r="J3" s="236" t="s">
        <v>920</v>
      </c>
      <c r="K3" s="234" t="s">
        <v>1660</v>
      </c>
      <c r="L3" s="234" t="s">
        <v>921</v>
      </c>
      <c r="M3" s="235" t="s">
        <v>922</v>
      </c>
      <c r="N3" s="237" t="s">
        <v>923</v>
      </c>
      <c r="O3" s="238" t="s">
        <v>55</v>
      </c>
      <c r="P3" s="239" t="s">
        <v>76</v>
      </c>
      <c r="Q3" s="240" t="s">
        <v>396</v>
      </c>
      <c r="R3" s="241" t="s">
        <v>55</v>
      </c>
      <c r="S3" s="239" t="s">
        <v>76</v>
      </c>
      <c r="T3" s="240" t="s">
        <v>396</v>
      </c>
      <c r="U3" s="242" t="s">
        <v>881</v>
      </c>
      <c r="V3" s="243" t="s">
        <v>882</v>
      </c>
      <c r="W3" s="243" t="s">
        <v>883</v>
      </c>
      <c r="X3" s="242" t="s">
        <v>881</v>
      </c>
      <c r="Y3" s="243" t="s">
        <v>882</v>
      </c>
      <c r="Z3" s="243" t="s">
        <v>883</v>
      </c>
    </row>
    <row r="4" spans="1:27" ht="16.5" customHeight="1">
      <c r="A4" s="652" t="s">
        <v>1045</v>
      </c>
      <c r="B4" s="245" t="s">
        <v>1661</v>
      </c>
      <c r="C4" s="246" t="s">
        <v>1662</v>
      </c>
      <c r="D4" s="247">
        <f>VLOOKUP(B4,'[2]市場監控 '!$F$7:$V$194,3,0)</f>
        <v>4.5599999999999996</v>
      </c>
      <c r="E4" s="248">
        <f>VLOOKUP($B4,'[2]市場監控 '!$F$7:$AX$230,43,0)</f>
        <v>4.57</v>
      </c>
      <c r="F4" s="249">
        <f>VLOOKUP($B4,'[2]市場監控 '!$F$7:$AX$230,45,0)</f>
        <v>1.330376940133049</v>
      </c>
      <c r="G4" s="250">
        <f>VLOOKUP(B4,'[2]市場監控 '!$F$7:$V$194,4,0)</f>
        <v>0.44052859999999999</v>
      </c>
      <c r="H4" s="250">
        <f>VLOOKUP(B4,'[2]市場監控 '!$F$7:$V$194,5,0)</f>
        <v>-0.86956520000000004</v>
      </c>
      <c r="I4" s="251">
        <f>VLOOKUP(B4,'[2]市場監控 '!$F$7:$V$194,6,0)</f>
        <v>15.113350000000001</v>
      </c>
      <c r="J4" s="252">
        <f>IF(ISNUMBER(VLOOKUP(B4,'[2]市場監控 '!$F$7:$V$194,7,)),VLOOKUP(B4,'[2]市場監控 '!$F$7:$V$194,7,),"-")</f>
        <v>46.964799999999997</v>
      </c>
      <c r="K4" s="253">
        <v>1</v>
      </c>
      <c r="L4" s="253">
        <f>IF(ISNUMBER(VLOOKUP(B4,'[2]市場監控 '!$F$7:$V$194,9,0)),VLOOKUP(B4,'[2]市場監控 '!$F$7:$V$194,9,0),"-")</f>
        <v>0.28892000000000001</v>
      </c>
      <c r="M4" s="254">
        <f>IF(ISNUMBER(VLOOKUP(B4,'[2]市場監控 '!$F$7:$V$194,10,0)),VLOOKUP(B4,'[2]市場監控 '!$F$7:$V$194,10,0),"-")</f>
        <v>-18.118539999999999</v>
      </c>
      <c r="N4" s="255" t="str">
        <f>VLOOKUP(B4,'[2]市場監控 '!$F$7:$AJ$194,31,0)</f>
        <v/>
      </c>
      <c r="O4" s="256" t="str">
        <f>VLOOKUP(B4,'[2]市場監控 '!$F$7:$V$194,12,0)</f>
        <v>A</v>
      </c>
      <c r="P4" s="256" t="str">
        <f>VLOOKUP(B4,'[2]市場監控 '!$F$7:$V$194,13,0)</f>
        <v>-</v>
      </c>
      <c r="Q4" s="257" t="str">
        <f>VLOOKUP(B4,'[2]市場監控 '!$F$7:$V$194,14,0)</f>
        <v>A</v>
      </c>
      <c r="R4" s="258" t="s">
        <v>935</v>
      </c>
      <c r="S4" s="259" t="s">
        <v>935</v>
      </c>
      <c r="T4" s="260" t="s">
        <v>935</v>
      </c>
      <c r="U4" s="243" t="e">
        <f>IF(O55=#REF!, 0,1)</f>
        <v>#REF!</v>
      </c>
      <c r="V4" s="243" t="e">
        <f>IF(P55=#REF!, 0,1)</f>
        <v>#REF!</v>
      </c>
      <c r="W4" s="243" t="e">
        <f>IF(Q55=#REF!, 0,1)</f>
        <v>#REF!</v>
      </c>
      <c r="X4" s="243" t="e">
        <f>IF(R4=#REF!, 0,1)</f>
        <v>#REF!</v>
      </c>
      <c r="Y4" s="243" t="e">
        <f>IF(S4=#REF!, 0,1)</f>
        <v>#REF!</v>
      </c>
      <c r="Z4" s="243" t="e">
        <f>IF(T4=#REF!, 0,1)</f>
        <v>#REF!</v>
      </c>
      <c r="AA4" s="225" t="e">
        <f ca="1">MATCH(C4,'市場監控 '!$K$7:$K$194,0)</f>
        <v>#N/A</v>
      </c>
    </row>
    <row r="5" spans="1:27" ht="16.5" customHeight="1">
      <c r="A5" s="652"/>
      <c r="B5" s="245" t="s">
        <v>1663</v>
      </c>
      <c r="C5" s="246" t="s">
        <v>1664</v>
      </c>
      <c r="D5" s="247">
        <f>VLOOKUP(B5,'[2]市場監控 '!$F$7:$V$194,3,0)</f>
        <v>6.1</v>
      </c>
      <c r="E5" s="261">
        <f>VLOOKUP($B5,'[2]市場監控 '!$F$7:$AX$230,43,0)</f>
        <v>6.16</v>
      </c>
      <c r="F5" s="249">
        <f>VLOOKUP($B5,'[2]市場監控 '!$F$7:$AX$230,45,0)</f>
        <v>3.0100334448160515</v>
      </c>
      <c r="G5" s="250">
        <f>VLOOKUP(B5,'[2]市場監控 '!$F$7:$V$194,4,0)</f>
        <v>0.3289474</v>
      </c>
      <c r="H5" s="250">
        <f>VLOOKUP(B5,'[2]市場監控 '!$F$7:$V$194,5,0)</f>
        <v>-0.97402599999999995</v>
      </c>
      <c r="I5" s="251">
        <f>VLOOKUP(B5,'[2]市場監控 '!$F$7:$V$194,6,0)</f>
        <v>17.082529999999998</v>
      </c>
      <c r="J5" s="252">
        <f>IF(ISNUMBER(VLOOKUP(B5,'[2]市場監控 '!$F$7:$V$194,7,)),VLOOKUP(B5,'[2]市場監控 '!$F$7:$V$194,7,),"-")</f>
        <v>51.37914</v>
      </c>
      <c r="K5" s="253">
        <v>1</v>
      </c>
      <c r="L5" s="253">
        <f>IF(ISNUMBER(VLOOKUP(B5,'[2]市場監控 '!$F$7:$V$194,9,0)),VLOOKUP(B5,'[2]市場監控 '!$F$7:$V$194,9,0),"-")</f>
        <v>-0.10264</v>
      </c>
      <c r="M5" s="254">
        <f>IF(ISNUMBER(VLOOKUP(B5,'[2]市場監控 '!$F$7:$V$194,10,0)),VLOOKUP(B5,'[2]市場監控 '!$F$7:$V$194,10,0),"-")</f>
        <v>0.65073999999999999</v>
      </c>
      <c r="N5" s="255" t="str">
        <f>VLOOKUP(B5,'[2]市場監控 '!$F$7:$AJ$194,31,0)</f>
        <v/>
      </c>
      <c r="O5" s="256" t="str">
        <f>VLOOKUP(B5,'[2]市場監控 '!$F$7:$V$194,12,0)</f>
        <v>A</v>
      </c>
      <c r="P5" s="256" t="str">
        <f>VLOOKUP(B5,'[2]市場監控 '!$F$7:$V$194,13,0)</f>
        <v>-</v>
      </c>
      <c r="Q5" s="257" t="str">
        <f>VLOOKUP(B5,'[2]市場監控 '!$F$7:$V$194,14,0)</f>
        <v>A</v>
      </c>
      <c r="R5" s="262" t="s">
        <v>935</v>
      </c>
      <c r="S5" s="256" t="s">
        <v>935</v>
      </c>
      <c r="T5" s="257" t="s">
        <v>940</v>
      </c>
      <c r="U5" s="243" t="e">
        <f>IF(O56=#REF!, 0,1)</f>
        <v>#REF!</v>
      </c>
      <c r="V5" s="243" t="e">
        <f>IF(P56=#REF!, 0,1)</f>
        <v>#REF!</v>
      </c>
      <c r="W5" s="243" t="e">
        <f>IF(Q56=#REF!, 0,1)</f>
        <v>#REF!</v>
      </c>
      <c r="X5" s="243" t="e">
        <f>IF(R5=#REF!, 0,1)</f>
        <v>#REF!</v>
      </c>
      <c r="Y5" s="243" t="e">
        <f>IF(S5=#REF!, 0,1)</f>
        <v>#REF!</v>
      </c>
      <c r="Z5" s="243" t="e">
        <f>IF(T5=#REF!, 0,1)</f>
        <v>#REF!</v>
      </c>
      <c r="AA5" s="225" t="e">
        <f ca="1">MATCH(C5,'市場監控 '!$K$7:$K$194,0)</f>
        <v>#N/A</v>
      </c>
    </row>
    <row r="6" spans="1:27" ht="16.5" customHeight="1" thickBot="1">
      <c r="A6" s="652"/>
      <c r="B6" s="245" t="s">
        <v>1665</v>
      </c>
      <c r="C6" s="246" t="s">
        <v>1666</v>
      </c>
      <c r="D6" s="247">
        <f>VLOOKUP(B6,'[2]市場監控 '!$F$7:$V$194,3,0)</f>
        <v>7.93</v>
      </c>
      <c r="E6" s="261">
        <f>VLOOKUP($B6,'[2]市場監控 '!$F$7:$AX$230,43,0)</f>
        <v>7.94</v>
      </c>
      <c r="F6" s="249">
        <f>VLOOKUP($B6,'[2]市場監控 '!$F$7:$AX$230,45,0)</f>
        <v>0.63371356147021718</v>
      </c>
      <c r="G6" s="250">
        <f>VLOOKUP(B6,'[2]市場監控 '!$F$7:$V$194,4,0)</f>
        <v>0</v>
      </c>
      <c r="H6" s="250">
        <f>VLOOKUP(B6,'[2]市場監控 '!$F$7:$V$194,5,0)</f>
        <v>-0.875</v>
      </c>
      <c r="I6" s="251">
        <f>VLOOKUP(B6,'[2]市場監控 '!$F$7:$V$194,6,0)</f>
        <v>22.530860000000001</v>
      </c>
      <c r="J6" s="252">
        <f>IF(ISNUMBER(VLOOKUP(B6,'[2]市場監控 '!$F$7:$V$194,7,)),VLOOKUP(B6,'[2]市場監控 '!$F$7:$V$194,7,),"-")</f>
        <v>51.37914</v>
      </c>
      <c r="K6" s="253">
        <v>1</v>
      </c>
      <c r="L6" s="253">
        <f>IF(ISNUMBER(VLOOKUP(B6,'[2]市場監控 '!$F$7:$V$194,9,0)),VLOOKUP(B6,'[2]市場監控 '!$F$7:$V$194,9,0),"-")</f>
        <v>-0.10264</v>
      </c>
      <c r="M6" s="254">
        <f>IF(ISNUMBER(VLOOKUP(B6,'[2]市場監控 '!$F$7:$V$194,10,0)),VLOOKUP(B6,'[2]市場監控 '!$F$7:$V$194,10,0),"-")</f>
        <v>0.65073999999999999</v>
      </c>
      <c r="N6" s="255" t="str">
        <f>VLOOKUP(B6,'[2]市場監控 '!$F$7:$AJ$194,31,0)</f>
        <v/>
      </c>
      <c r="O6" s="256" t="str">
        <f>VLOOKUP(B6,'[2]市場監控 '!$F$7:$V$194,12,0)</f>
        <v>A</v>
      </c>
      <c r="P6" s="256" t="str">
        <f>VLOOKUP(B6,'[2]市場監控 '!$F$7:$V$194,13,0)</f>
        <v>-</v>
      </c>
      <c r="Q6" s="257" t="str">
        <f>VLOOKUP(B6,'[2]市場監控 '!$F$7:$V$194,14,0)</f>
        <v>A</v>
      </c>
      <c r="R6" s="263" t="s">
        <v>940</v>
      </c>
      <c r="S6" s="264" t="s">
        <v>940</v>
      </c>
      <c r="T6" s="265" t="s">
        <v>940</v>
      </c>
      <c r="U6" s="243" t="e">
        <f>IF(O65=#REF!, 0,1)</f>
        <v>#REF!</v>
      </c>
      <c r="V6" s="243" t="e">
        <f>IF(P65=#REF!, 0,1)</f>
        <v>#REF!</v>
      </c>
      <c r="W6" s="243" t="e">
        <f>IF(Q65=#REF!, 0,1)</f>
        <v>#REF!</v>
      </c>
      <c r="X6" s="243" t="e">
        <f>IF(R6=#REF!, 0,1)</f>
        <v>#REF!</v>
      </c>
      <c r="Y6" s="243" t="e">
        <f>IF(S6=#REF!, 0,1)</f>
        <v>#REF!</v>
      </c>
      <c r="Z6" s="243" t="e">
        <f>IF(T6=#REF!, 0,1)</f>
        <v>#REF!</v>
      </c>
      <c r="AA6" s="225" t="e">
        <f ca="1">MATCH(C6,'市場監控 '!$K$7:$K$194,0)</f>
        <v>#N/A</v>
      </c>
    </row>
    <row r="7" spans="1:27" ht="16.5" customHeight="1">
      <c r="A7" s="652"/>
      <c r="B7" s="245" t="s">
        <v>1667</v>
      </c>
      <c r="C7" s="246" t="s">
        <v>1668</v>
      </c>
      <c r="D7" s="247">
        <f>VLOOKUP(B7,'[2]市場監控 '!$F$7:$V$194,3,0)</f>
        <v>7.09</v>
      </c>
      <c r="E7" s="261">
        <f>VLOOKUP($B7,'[2]市場監控 '!$F$7:$AX$230,43,0)</f>
        <v>7.04</v>
      </c>
      <c r="F7" s="249">
        <f>VLOOKUP($B7,'[2]市場監控 '!$F$7:$AX$230,45,0)</f>
        <v>0.57142857142857828</v>
      </c>
      <c r="G7" s="250">
        <f>VLOOKUP(B7,'[2]市場監控 '!$F$7:$V$194,4,0)</f>
        <v>0.56737590000000004</v>
      </c>
      <c r="H7" s="250">
        <f>VLOOKUP(B7,'[2]市場監控 '!$F$7:$V$194,5,0)</f>
        <v>-1.253482</v>
      </c>
      <c r="I7" s="251">
        <f>VLOOKUP(B7,'[2]市場監控 '!$F$7:$V$194,6,0)</f>
        <v>10.95462</v>
      </c>
      <c r="J7" s="252">
        <f>IF(ISNUMBER(VLOOKUP(B7,'[2]市場監控 '!$F$7:$V$194,7,)),VLOOKUP(B7,'[2]市場監控 '!$F$7:$V$194,7,),"-")</f>
        <v>51.37914</v>
      </c>
      <c r="K7" s="253">
        <v>1</v>
      </c>
      <c r="L7" s="253">
        <f>IF(ISNUMBER(VLOOKUP(B7,'[2]市場監控 '!$F$7:$V$194,9,0)),VLOOKUP(B7,'[2]市場監控 '!$F$7:$V$194,9,0),"-")</f>
        <v>-0.10264</v>
      </c>
      <c r="M7" s="254">
        <f>IF(ISNUMBER(VLOOKUP(B7,'[2]市場監控 '!$F$7:$V$194,10,0)),VLOOKUP(B7,'[2]市場監控 '!$F$7:$V$194,10,0),"-")</f>
        <v>0.65073999999999999</v>
      </c>
      <c r="N7" s="255" t="str">
        <f>VLOOKUP(B7,'[2]市場監控 '!$F$7:$AJ$194,31,0)</f>
        <v/>
      </c>
      <c r="O7" s="256" t="str">
        <f>VLOOKUP(B7,'[2]市場監控 '!$F$7:$V$194,12,0)</f>
        <v>A-</v>
      </c>
      <c r="P7" s="256" t="str">
        <f>VLOOKUP(B7,'[2]市場監控 '!$F$7:$V$194,13,0)</f>
        <v>-</v>
      </c>
      <c r="Q7" s="257" t="str">
        <f>VLOOKUP(B7,'[2]市場監控 '!$F$7:$V$194,14,0)</f>
        <v>A</v>
      </c>
      <c r="R7" s="258" t="s">
        <v>935</v>
      </c>
      <c r="S7" s="259" t="s">
        <v>935</v>
      </c>
      <c r="T7" s="260" t="s">
        <v>940</v>
      </c>
      <c r="U7" s="243" t="e">
        <f>IF(O66=#REF!, 0,1)</f>
        <v>#REF!</v>
      </c>
      <c r="V7" s="243" t="e">
        <f>IF(P66=#REF!, 0,1)</f>
        <v>#REF!</v>
      </c>
      <c r="W7" s="243" t="e">
        <f>IF(Q66=#REF!, 0,1)</f>
        <v>#REF!</v>
      </c>
      <c r="X7" s="243" t="e">
        <f>IF(R7=#REF!, 0,1)</f>
        <v>#REF!</v>
      </c>
      <c r="Y7" s="243" t="e">
        <f>IF(S7=#REF!, 0,1)</f>
        <v>#REF!</v>
      </c>
      <c r="Z7" s="243" t="e">
        <f>IF(T7=#REF!, 0,1)</f>
        <v>#REF!</v>
      </c>
      <c r="AA7" s="225" t="e">
        <f ca="1">MATCH(C7,'市場監控 '!$K$7:$K$194,0)</f>
        <v>#N/A</v>
      </c>
    </row>
    <row r="8" spans="1:27" ht="16.5" customHeight="1">
      <c r="A8" s="652"/>
      <c r="B8" s="245" t="s">
        <v>1669</v>
      </c>
      <c r="C8" s="246" t="s">
        <v>1670</v>
      </c>
      <c r="D8" s="247">
        <f>VLOOKUP(B8,'[2]市場監控 '!$F$7:$V$194,3,0)</f>
        <v>6.83</v>
      </c>
      <c r="E8" s="261">
        <f>VLOOKUP($B8,'[2]市場監控 '!$F$7:$AX$230,43,0)</f>
        <v>6.71</v>
      </c>
      <c r="F8" s="249">
        <f>VLOOKUP($B8,'[2]市場監控 '!$F$7:$AX$230,45,0)</f>
        <v>6.0031595576619301</v>
      </c>
      <c r="G8" s="250">
        <f>VLOOKUP(B8,'[2]市場監控 '!$F$7:$V$194,4,0)</f>
        <v>1.3353120000000001</v>
      </c>
      <c r="H8" s="250">
        <f>VLOOKUP(B8,'[2]市場監控 '!$F$7:$V$194,5,0)</f>
        <v>4.4342509999999997</v>
      </c>
      <c r="I8" s="251">
        <f>VLOOKUP(B8,'[2]市場監控 '!$F$7:$V$194,6,0)</f>
        <v>27.902619999999999</v>
      </c>
      <c r="J8" s="252">
        <f>IF(ISNUMBER(VLOOKUP(B8,'[2]市場監控 '!$F$7:$V$194,7,)),VLOOKUP(B8,'[2]市場監控 '!$F$7:$V$194,7,),"-")</f>
        <v>51.37914</v>
      </c>
      <c r="K8" s="253">
        <v>1</v>
      </c>
      <c r="L8" s="253">
        <f>IF(ISNUMBER(VLOOKUP(B8,'[2]市場監控 '!$F$7:$V$194,9,0)),VLOOKUP(B8,'[2]市場監控 '!$F$7:$V$194,9,0),"-")</f>
        <v>-0.10264</v>
      </c>
      <c r="M8" s="254">
        <f>IF(ISNUMBER(VLOOKUP(B8,'[2]市場監控 '!$F$7:$V$194,10,0)),VLOOKUP(B8,'[2]市場監控 '!$F$7:$V$194,10,0),"-")</f>
        <v>0.65073999999999999</v>
      </c>
      <c r="N8" s="255" t="str">
        <f>VLOOKUP(B8,'[2]市場監控 '!$F$7:$AJ$194,31,0)</f>
        <v/>
      </c>
      <c r="O8" s="256" t="str">
        <f>VLOOKUP(B8,'[2]市場監控 '!$F$7:$V$194,12,0)</f>
        <v>A</v>
      </c>
      <c r="P8" s="256" t="str">
        <f>VLOOKUP(B8,'[2]市場監控 '!$F$7:$V$194,13,0)</f>
        <v>-</v>
      </c>
      <c r="Q8" s="257" t="str">
        <f>VLOOKUP(B8,'[2]市場監控 '!$F$7:$V$194,14,0)</f>
        <v>A</v>
      </c>
      <c r="R8" s="262" t="s">
        <v>935</v>
      </c>
      <c r="S8" s="256" t="s">
        <v>940</v>
      </c>
      <c r="T8" s="257" t="s">
        <v>940</v>
      </c>
      <c r="U8" s="243" t="e">
        <f>IF(O67=#REF!, 0,1)</f>
        <v>#REF!</v>
      </c>
      <c r="V8" s="243" t="e">
        <f>IF(P67=#REF!, 0,1)</f>
        <v>#REF!</v>
      </c>
      <c r="W8" s="243" t="e">
        <f>IF(Q67=#REF!, 0,1)</f>
        <v>#REF!</v>
      </c>
      <c r="X8" s="243" t="e">
        <f>IF(R8=#REF!, 0,1)</f>
        <v>#REF!</v>
      </c>
      <c r="Y8" s="243" t="e">
        <f>IF(S8=#REF!, 0,1)</f>
        <v>#REF!</v>
      </c>
      <c r="Z8" s="243" t="e">
        <f>IF(T8=#REF!, 0,1)</f>
        <v>#REF!</v>
      </c>
      <c r="AA8" s="225" t="e">
        <f ca="1">MATCH(C8,'市場監控 '!$K$7:$K$194,0)</f>
        <v>#N/A</v>
      </c>
    </row>
    <row r="9" spans="1:27" ht="16.5" customHeight="1">
      <c r="A9" s="652"/>
      <c r="B9" s="245" t="s">
        <v>1671</v>
      </c>
      <c r="C9" s="246" t="s">
        <v>1672</v>
      </c>
      <c r="D9" s="247">
        <f>VLOOKUP(B9,'[2]市場監控 '!$F$7:$V$194,3,0)</f>
        <v>92.31</v>
      </c>
      <c r="E9" s="261">
        <f>VLOOKUP($B9,'[2]市場監控 '!$F$7:$AX$230,43,0)</f>
        <v>92.73</v>
      </c>
      <c r="F9" s="249">
        <f>VLOOKUP($B9,'[2]市場監控 '!$F$7:$AX$230,45,0)</f>
        <v>0.98007187193727141</v>
      </c>
      <c r="G9" s="250">
        <f>VLOOKUP(B9,'[2]市場監控 '!$F$7:$V$194,4,0)</f>
        <v>-0.45292789999999999</v>
      </c>
      <c r="H9" s="250">
        <f>VLOOKUP(B9,'[2]市場監控 '!$F$7:$V$194,5,0)</f>
        <v>0.2497828</v>
      </c>
      <c r="I9" s="251">
        <f>VLOOKUP(B9,'[2]市場監控 '!$F$7:$V$194,6,0)</f>
        <v>31.140789999999999</v>
      </c>
      <c r="J9" s="252">
        <f>IF(ISNUMBER(VLOOKUP(B9,'[2]市場監控 '!$F$7:$V$194,7,)),VLOOKUP(B9,'[2]市場監控 '!$F$7:$V$194,7,),"-")</f>
        <v>53.691929999999999</v>
      </c>
      <c r="K9" s="253">
        <v>1</v>
      </c>
      <c r="L9" s="253">
        <f>IF(ISNUMBER(VLOOKUP(B9,'[2]市場監控 '!$F$7:$V$194,9,0)),VLOOKUP(B9,'[2]市場監控 '!$F$7:$V$194,9,0),"-")</f>
        <v>-0.64741000000000004</v>
      </c>
      <c r="M9" s="254">
        <f>IF(ISNUMBER(VLOOKUP(B9,'[2]市場監控 '!$F$7:$V$194,10,0)),VLOOKUP(B9,'[2]市場監控 '!$F$7:$V$194,10,0),"-")</f>
        <v>-2.3124600000000002</v>
      </c>
      <c r="N9" s="255" t="str">
        <f>VLOOKUP(B9,'[2]市場監控 '!$F$7:$AJ$194,31,0)</f>
        <v/>
      </c>
      <c r="O9" s="256" t="str">
        <f>VLOOKUP(B9,'[2]市場監控 '!$F$7:$V$194,12,0)</f>
        <v>BBB+</v>
      </c>
      <c r="P9" s="256" t="str">
        <f>VLOOKUP(B9,'[2]市場監控 '!$F$7:$V$194,13,0)</f>
        <v>A3</v>
      </c>
      <c r="Q9" s="257" t="str">
        <f>VLOOKUP(B9,'[2]市場監控 '!$F$7:$V$194,14,0)</f>
        <v>A</v>
      </c>
      <c r="R9" s="263" t="s">
        <v>936</v>
      </c>
      <c r="S9" s="264" t="s">
        <v>935</v>
      </c>
      <c r="T9" s="265" t="s">
        <v>940</v>
      </c>
      <c r="U9" s="243" t="e">
        <f>IF(O68=#REF!, 0,1)</f>
        <v>#REF!</v>
      </c>
      <c r="V9" s="243" t="e">
        <f>IF(P68=#REF!, 0,1)</f>
        <v>#REF!</v>
      </c>
      <c r="W9" s="243" t="e">
        <f>IF(Q68=#REF!, 0,1)</f>
        <v>#REF!</v>
      </c>
      <c r="X9" s="243" t="e">
        <f>IF(R9=#REF!, 0,1)</f>
        <v>#REF!</v>
      </c>
      <c r="Y9" s="243" t="e">
        <f>IF(S9=#REF!, 0,1)</f>
        <v>#REF!</v>
      </c>
      <c r="Z9" s="243" t="e">
        <f>IF(T9=#REF!, 0,1)</f>
        <v>#REF!</v>
      </c>
      <c r="AA9" s="225" t="e">
        <f ca="1">MATCH(C9,'市場監控 '!$K$7:$K$194,0)</f>
        <v>#N/A</v>
      </c>
    </row>
    <row r="10" spans="1:27" ht="16.5" customHeight="1">
      <c r="A10" s="652"/>
      <c r="B10" s="245" t="s">
        <v>1673</v>
      </c>
      <c r="C10" s="246" t="s">
        <v>1674</v>
      </c>
      <c r="D10" s="247">
        <f>VLOOKUP(B10,'[2]市場監控 '!$F$7:$V$194,3,0)</f>
        <v>46.16</v>
      </c>
      <c r="E10" s="261">
        <f>VLOOKUP($B10,'[2]市場監控 '!$F$7:$AX$230,43,0)</f>
        <v>46.01</v>
      </c>
      <c r="F10" s="249">
        <f>VLOOKUP($B10,'[2]市場監控 '!$F$7:$AX$230,45,0)</f>
        <v>0.76653526062198107</v>
      </c>
      <c r="G10" s="250">
        <f>VLOOKUP(B10,'[2]市場監控 '!$F$7:$V$194,4,0)</f>
        <v>0.32601609999999998</v>
      </c>
      <c r="H10" s="250">
        <f>VLOOKUP(B10,'[2]市場監控 '!$F$7:$V$194,5,0)</f>
        <v>0.67611779999999999</v>
      </c>
      <c r="I10" s="251">
        <f>VLOOKUP(B10,'[2]市場監控 '!$F$7:$V$194,6,0)</f>
        <v>5.0284399999999998</v>
      </c>
      <c r="J10" s="252">
        <f>IF(ISNUMBER(VLOOKUP(B10,'[2]市場監控 '!$F$7:$V$194,7,)),VLOOKUP(B10,'[2]市場監控 '!$F$7:$V$194,7,),"-")</f>
        <v>65.175089999999997</v>
      </c>
      <c r="K10" s="253">
        <v>1</v>
      </c>
      <c r="L10" s="253">
        <f>IF(ISNUMBER(VLOOKUP(B10,'[2]市場監控 '!$F$7:$V$194,9,0)),VLOOKUP(B10,'[2]市場監控 '!$F$7:$V$194,9,0),"-")</f>
        <v>-0.61612</v>
      </c>
      <c r="M10" s="254">
        <f>IF(ISNUMBER(VLOOKUP(B10,'[2]市場監控 '!$F$7:$V$194,10,0)),VLOOKUP(B10,'[2]市場監控 '!$F$7:$V$194,10,0),"-")</f>
        <v>9.3344100000000001</v>
      </c>
      <c r="N10" s="255" t="str">
        <f>VLOOKUP(B10,'[2]市場監控 '!$F$7:$AJ$194,31,0)</f>
        <v/>
      </c>
      <c r="O10" s="256" t="str">
        <f>VLOOKUP(B10,'[2]市場監控 '!$F$7:$V$194,12,0)</f>
        <v>A-</v>
      </c>
      <c r="P10" s="256" t="str">
        <f>VLOOKUP(B10,'[2]市場監控 '!$F$7:$V$194,13,0)</f>
        <v>A1</v>
      </c>
      <c r="Q10" s="257" t="str">
        <f>VLOOKUP(B10,'[2]市場監控 '!$F$7:$V$194,14,0)</f>
        <v>AA-</v>
      </c>
      <c r="R10" s="263" t="s">
        <v>940</v>
      </c>
      <c r="S10" s="264" t="s">
        <v>940</v>
      </c>
      <c r="T10" s="265" t="s">
        <v>935</v>
      </c>
      <c r="U10" s="243" t="e">
        <f>IF(O70=#REF!, 0,1)</f>
        <v>#REF!</v>
      </c>
      <c r="V10" s="243" t="e">
        <f>IF(P70=#REF!, 0,1)</f>
        <v>#REF!</v>
      </c>
      <c r="W10" s="243" t="e">
        <f>IF(Q70=#REF!, 0,1)</f>
        <v>#REF!</v>
      </c>
      <c r="X10" s="243" t="e">
        <f>IF(R10=#REF!, 0,1)</f>
        <v>#REF!</v>
      </c>
      <c r="Y10" s="243" t="e">
        <f>IF(S10=#REF!, 0,1)</f>
        <v>#REF!</v>
      </c>
      <c r="Z10" s="243" t="e">
        <f>IF(T10=#REF!, 0,1)</f>
        <v>#REF!</v>
      </c>
      <c r="AA10" s="225" t="e">
        <f ca="1">MATCH(C10,'市場監控 '!$K$7:$K$194,0)</f>
        <v>#N/A</v>
      </c>
    </row>
    <row r="11" spans="1:27" ht="16.5" customHeight="1">
      <c r="A11" s="652"/>
      <c r="B11" s="245" t="s">
        <v>1675</v>
      </c>
      <c r="C11" s="246" t="s">
        <v>1676</v>
      </c>
      <c r="D11" s="247">
        <f>VLOOKUP(B11,'[2]市場監控 '!$F$7:$V$194,3,0)</f>
        <v>289.56</v>
      </c>
      <c r="E11" s="261">
        <f>VLOOKUP($B11,'[2]市場監控 '!$F$7:$AX$230,43,0)</f>
        <v>288.76</v>
      </c>
      <c r="F11" s="249">
        <f>VLOOKUP($B11,'[2]市場監控 '!$F$7:$AX$230,45,0)</f>
        <v>-0.21080277844973683</v>
      </c>
      <c r="G11" s="250">
        <f>VLOOKUP(B11,'[2]市場監控 '!$F$7:$V$194,4,0)</f>
        <v>0.27704669999999998</v>
      </c>
      <c r="H11" s="250">
        <f>VLOOKUP(B11,'[2]市場監控 '!$F$7:$V$194,5,0)</f>
        <v>-1.597227</v>
      </c>
      <c r="I11" s="251">
        <f>VLOOKUP(B11,'[2]市場監控 '!$F$7:$V$194,6,0)</f>
        <v>20.795960000000001</v>
      </c>
      <c r="J11" s="252">
        <f>IF(ISNUMBER(VLOOKUP(B11,'[2]市場監控 '!$F$7:$V$194,7,)),VLOOKUP(B11,'[2]市場監控 '!$F$7:$V$194,7,),"-")</f>
        <v>39.645530000000001</v>
      </c>
      <c r="K11" s="253">
        <v>1</v>
      </c>
      <c r="L11" s="253">
        <f>IF(ISNUMBER(VLOOKUP(B11,'[2]市場監控 '!$F$7:$V$194,9,0)),VLOOKUP(B11,'[2]市場監控 '!$F$7:$V$194,9,0),"-")</f>
        <v>-0.25900000000000001</v>
      </c>
      <c r="M11" s="254">
        <f>IF(ISNUMBER(VLOOKUP(B11,'[2]市場監控 '!$F$7:$V$194,10,0)),VLOOKUP(B11,'[2]市場監控 '!$F$7:$V$194,10,0),"-")</f>
        <v>-3.6146099999999999</v>
      </c>
      <c r="N11" s="255" t="str">
        <f>VLOOKUP(B11,'[2]市場監控 '!$F$7:$AJ$194,31,0)</f>
        <v/>
      </c>
      <c r="O11" s="256" t="str">
        <f>VLOOKUP(B11,'[2]市場監控 '!$F$7:$V$194,12,0)</f>
        <v>A</v>
      </c>
      <c r="P11" s="256" t="str">
        <f>VLOOKUP(B11,'[2]市場監控 '!$F$7:$V$194,13,0)</f>
        <v>A1</v>
      </c>
      <c r="Q11" s="257" t="str">
        <f>VLOOKUP(B11,'[2]市場監控 '!$F$7:$V$194,14,0)</f>
        <v>AA-</v>
      </c>
      <c r="R11" s="262" t="s">
        <v>940</v>
      </c>
      <c r="S11" s="256" t="s">
        <v>940</v>
      </c>
      <c r="T11" s="257" t="s">
        <v>940</v>
      </c>
      <c r="U11" s="243" t="e">
        <f>IF(#REF!=#REF!, 0,1)</f>
        <v>#REF!</v>
      </c>
      <c r="V11" s="243" t="e">
        <f>IF(#REF!=#REF!, 0,1)</f>
        <v>#REF!</v>
      </c>
      <c r="W11" s="243" t="e">
        <f>IF(#REF!=#REF!, 0,1)</f>
        <v>#REF!</v>
      </c>
      <c r="X11" s="243" t="e">
        <f>IF(R11=#REF!, 0,1)</f>
        <v>#REF!</v>
      </c>
      <c r="Y11" s="243" t="e">
        <f>IF(S11=#REF!, 0,1)</f>
        <v>#REF!</v>
      </c>
      <c r="Z11" s="243" t="e">
        <f>IF(T11=#REF!, 0,1)</f>
        <v>#REF!</v>
      </c>
      <c r="AA11" s="225" t="e">
        <f ca="1">MATCH(C11,'市場監控 '!$K$7:$K$194,0)</f>
        <v>#N/A</v>
      </c>
    </row>
    <row r="12" spans="1:27" ht="16.5" customHeight="1">
      <c r="A12" s="652"/>
      <c r="B12" s="245" t="s">
        <v>1677</v>
      </c>
      <c r="C12" s="246" t="s">
        <v>1678</v>
      </c>
      <c r="D12" s="247">
        <f>VLOOKUP(B12,'[2]市場監控 '!$F$7:$V$194,3,0)</f>
        <v>77.59</v>
      </c>
      <c r="E12" s="261">
        <f>VLOOKUP($B12,'[2]市場監控 '!$F$7:$AX$230,43,0)</f>
        <v>77.849999999999994</v>
      </c>
      <c r="F12" s="249">
        <f>VLOOKUP($B12,'[2]市場監控 '!$F$7:$AX$230,45,0)</f>
        <v>8.999742864488347E-2</v>
      </c>
      <c r="G12" s="250">
        <f>VLOOKUP(B12,'[2]市場監控 '!$F$7:$V$194,4,0)</f>
        <v>-0.33397559999999998</v>
      </c>
      <c r="H12" s="250">
        <f>VLOOKUP(B12,'[2]市場監控 '!$F$7:$V$194,5,0)</f>
        <v>1.2889919999999999E-2</v>
      </c>
      <c r="I12" s="251">
        <f>VLOOKUP(B12,'[2]市場監控 '!$F$7:$V$194,6,0)</f>
        <v>10.464130000000001</v>
      </c>
      <c r="J12" s="252" t="str">
        <f>IF(ISNUMBER(VLOOKUP(B12,'[2]市場監控 '!$F$7:$V$194,7,)),VLOOKUP(B12,'[2]市場監控 '!$F$7:$V$194,7,),"-")</f>
        <v>-</v>
      </c>
      <c r="K12" s="253">
        <v>1</v>
      </c>
      <c r="L12" s="253" t="str">
        <f>IF(ISNUMBER(VLOOKUP(B12,'[2]市場監控 '!$F$7:$V$194,9,0)),VLOOKUP(B12,'[2]市場監控 '!$F$7:$V$194,9,0),"-")</f>
        <v>-</v>
      </c>
      <c r="M12" s="254" t="str">
        <f>IF(ISNUMBER(VLOOKUP(B12,'[2]市場監控 '!$F$7:$V$194,10,0)),VLOOKUP(B12,'[2]市場監控 '!$F$7:$V$194,10,0),"-")</f>
        <v>-</v>
      </c>
      <c r="N12" s="255" t="str">
        <f>VLOOKUP(B12,'[2]市場監控 '!$F$7:$AJ$194,31,0)</f>
        <v/>
      </c>
      <c r="O12" s="256" t="str">
        <f>VLOOKUP(B12,'[2]市場監控 '!$F$7:$V$194,12,0)</f>
        <v>BBB+</v>
      </c>
      <c r="P12" s="256" t="str">
        <f>VLOOKUP(B12,'[2]市場監控 '!$F$7:$V$194,13,0)</f>
        <v>A1</v>
      </c>
      <c r="Q12" s="257" t="str">
        <f>VLOOKUP(B12,'[2]市場監控 '!$F$7:$V$194,14,0)</f>
        <v>A+</v>
      </c>
      <c r="R12" s="262" t="s">
        <v>940</v>
      </c>
      <c r="S12" s="256" t="s">
        <v>940</v>
      </c>
      <c r="T12" s="257" t="s">
        <v>940</v>
      </c>
      <c r="U12" s="243" t="e">
        <f>IF(#REF!=#REF!, 0,1)</f>
        <v>#REF!</v>
      </c>
      <c r="V12" s="243" t="e">
        <f>IF(#REF!=#REF!, 0,1)</f>
        <v>#REF!</v>
      </c>
      <c r="W12" s="243" t="e">
        <f>IF(#REF!=#REF!, 0,1)</f>
        <v>#REF!</v>
      </c>
      <c r="X12" s="243" t="e">
        <f>IF(R12=#REF!, 0,1)</f>
        <v>#REF!</v>
      </c>
      <c r="Y12" s="243" t="e">
        <f>IF(S12=#REF!, 0,1)</f>
        <v>#REF!</v>
      </c>
      <c r="Z12" s="243" t="e">
        <f>IF(T12=#REF!, 0,1)</f>
        <v>#REF!</v>
      </c>
      <c r="AA12" s="225" t="e">
        <f ca="1">MATCH(C12,'市場監控 '!$K$7:$K$194,0)</f>
        <v>#N/A</v>
      </c>
    </row>
    <row r="13" spans="1:27" ht="16.5" customHeight="1">
      <c r="A13" s="652"/>
      <c r="B13" s="245" t="s">
        <v>1679</v>
      </c>
      <c r="C13" s="246" t="s">
        <v>1680</v>
      </c>
      <c r="D13" s="247">
        <f>VLOOKUP(B13,'[2]市場監控 '!$F$7:$V$194,3,0)</f>
        <v>719.24</v>
      </c>
      <c r="E13" s="261">
        <f>VLOOKUP($B13,'[2]市場監控 '!$F$7:$AX$230,43,0)</f>
        <v>721.27</v>
      </c>
      <c r="F13" s="249">
        <f>VLOOKUP($B13,'[2]市場監控 '!$F$7:$AX$230,45,0)</f>
        <v>1.6488859450089377</v>
      </c>
      <c r="G13" s="250">
        <f>VLOOKUP(B13,'[2]市場監控 '!$F$7:$V$194,4,0)</f>
        <v>-0.28144799999999998</v>
      </c>
      <c r="H13" s="250">
        <f>VLOOKUP(B13,'[2]市場監控 '!$F$7:$V$194,5,0)</f>
        <v>-0.93522309999999997</v>
      </c>
      <c r="I13" s="251">
        <f>VLOOKUP(B13,'[2]市場監控 '!$F$7:$V$194,6,0)</f>
        <v>25.60511</v>
      </c>
      <c r="J13" s="252">
        <f>IF(ISNUMBER(VLOOKUP(B13,'[2]市場監控 '!$F$7:$V$194,7,)),VLOOKUP(B13,'[2]市場監控 '!$F$7:$V$194,7,),"-")</f>
        <v>65.175089999999997</v>
      </c>
      <c r="K13" s="253">
        <v>1</v>
      </c>
      <c r="L13" s="253">
        <f>IF(ISNUMBER(VLOOKUP(B13,'[2]市場監控 '!$F$7:$V$194,9,0)),VLOOKUP(B13,'[2]市場監控 '!$F$7:$V$194,9,0),"-")</f>
        <v>-0.61612</v>
      </c>
      <c r="M13" s="254">
        <f>IF(ISNUMBER(VLOOKUP(B13,'[2]市場監控 '!$F$7:$V$194,10,0)),VLOOKUP(B13,'[2]市場監控 '!$F$7:$V$194,10,0),"-")</f>
        <v>-4.6579600000000001</v>
      </c>
      <c r="N13" s="255" t="str">
        <f>VLOOKUP(B13,'[2]市場監控 '!$F$7:$AJ$194,31,0)</f>
        <v/>
      </c>
      <c r="O13" s="256" t="str">
        <f>VLOOKUP(B13,'[2]市場監控 '!$F$7:$V$194,12,0)</f>
        <v>BBB+</v>
      </c>
      <c r="P13" s="256" t="str">
        <f>VLOOKUP(B13,'[2]市場監控 '!$F$7:$V$194,13,0)</f>
        <v>A2</v>
      </c>
      <c r="Q13" s="257" t="str">
        <f>VLOOKUP(B13,'[2]市場監控 '!$F$7:$V$194,14,0)</f>
        <v>A</v>
      </c>
      <c r="R13" s="262" t="s">
        <v>940</v>
      </c>
      <c r="S13" s="256" t="s">
        <v>940</v>
      </c>
      <c r="T13" s="257" t="s">
        <v>940</v>
      </c>
      <c r="U13" s="243" t="e">
        <f>IF(O4=#REF!, 0,1)</f>
        <v>#REF!</v>
      </c>
      <c r="V13" s="243" t="e">
        <f>IF(P4=#REF!, 0,1)</f>
        <v>#REF!</v>
      </c>
      <c r="W13" s="243" t="e">
        <f>IF(Q4=#REF!, 0,1)</f>
        <v>#REF!</v>
      </c>
      <c r="X13" s="243" t="e">
        <f>IF(R13=#REF!, 0,1)</f>
        <v>#REF!</v>
      </c>
      <c r="Y13" s="243" t="e">
        <f>IF(S13=#REF!, 0,1)</f>
        <v>#REF!</v>
      </c>
      <c r="Z13" s="243" t="e">
        <f>IF(T13=#REF!, 0,1)</f>
        <v>#REF!</v>
      </c>
      <c r="AA13" s="225" t="e">
        <f ca="1">MATCH(C13,'市場監控 '!$K$7:$K$194,0)</f>
        <v>#N/A</v>
      </c>
    </row>
    <row r="14" spans="1:27" ht="16.5" customHeight="1">
      <c r="A14" s="652"/>
      <c r="B14" s="245" t="s">
        <v>1681</v>
      </c>
      <c r="C14" s="246" t="s">
        <v>1682</v>
      </c>
      <c r="D14" s="266">
        <f>VLOOKUP(B14,'[2]市場監控 '!$F$7:$V$194,3,0)</f>
        <v>143.88</v>
      </c>
      <c r="E14" s="261">
        <f>VLOOKUP($B14,'[2]市場監控 '!$F$7:$AX$230,43,0)</f>
        <v>143.18</v>
      </c>
      <c r="F14" s="249">
        <f>VLOOKUP($B14,'[2]市場監控 '!$F$7:$AX$230,45,0)</f>
        <v>2.9405420950463723</v>
      </c>
      <c r="G14" s="250">
        <f>VLOOKUP(B14,'[2]市場監控 '!$F$7:$V$194,4,0)</f>
        <v>0.48889510000000003</v>
      </c>
      <c r="H14" s="250">
        <f>VLOOKUP(B14,'[2]市場監控 '!$F$7:$V$194,5,0)</f>
        <v>1.782683</v>
      </c>
      <c r="I14" s="251">
        <f>VLOOKUP(B14,'[2]市場監控 '!$F$7:$V$194,6,0)</f>
        <v>14.444800000000001</v>
      </c>
      <c r="J14" s="252">
        <f>IF(ISNUMBER(VLOOKUP(B14,'[2]市場監控 '!$F$7:$V$194,7,)),VLOOKUP(B14,'[2]市場監控 '!$F$7:$V$194,7,),"-")</f>
        <v>54.320880000000002</v>
      </c>
      <c r="K14" s="267">
        <v>1</v>
      </c>
      <c r="L14" s="253">
        <f>IF(ISNUMBER(VLOOKUP(B14,'[2]市場監控 '!$F$7:$V$194,9,0)),VLOOKUP(B14,'[2]市場監控 '!$F$7:$V$194,9,0),"-")</f>
        <v>-1.2605200000000001</v>
      </c>
      <c r="M14" s="254">
        <f>IF(ISNUMBER(VLOOKUP(B14,'[2]市場監控 '!$F$7:$V$194,10,0)),VLOOKUP(B14,'[2]市場監控 '!$F$7:$V$194,10,0),"-")</f>
        <v>-3.5376699999999999</v>
      </c>
      <c r="N14" s="255" t="str">
        <f>VLOOKUP(B14,'[2]市場監控 '!$F$7:$AJ$194,31,0)</f>
        <v/>
      </c>
      <c r="O14" s="256" t="str">
        <f>VLOOKUP(B14,'[2]市場監控 '!$F$7:$V$194,12,0)</f>
        <v>A-</v>
      </c>
      <c r="P14" s="256" t="str">
        <f>VLOOKUP(B14,'[2]市場監控 '!$F$7:$V$194,13,0)</f>
        <v>A1</v>
      </c>
      <c r="Q14" s="257" t="str">
        <f>VLOOKUP(B14,'[2]市場監控 '!$F$7:$V$194,14,0)</f>
        <v>A+</v>
      </c>
      <c r="R14" s="262" t="s">
        <v>940</v>
      </c>
      <c r="S14" s="256" t="s">
        <v>940</v>
      </c>
      <c r="T14" s="257" t="s">
        <v>940</v>
      </c>
      <c r="U14" s="243" t="e">
        <f>IF(O5=#REF!, 0,1)</f>
        <v>#REF!</v>
      </c>
      <c r="V14" s="243" t="e">
        <f>IF(P5=#REF!, 0,1)</f>
        <v>#REF!</v>
      </c>
      <c r="W14" s="243" t="e">
        <f>IF(Q5=#REF!, 0,1)</f>
        <v>#REF!</v>
      </c>
      <c r="X14" s="243" t="e">
        <f>IF(R14=#REF!, 0,1)</f>
        <v>#REF!</v>
      </c>
      <c r="Y14" s="243" t="e">
        <f>IF(S14=#REF!, 0,1)</f>
        <v>#REF!</v>
      </c>
      <c r="Z14" s="243" t="e">
        <f>IF(T14=#REF!, 0,1)</f>
        <v>#REF!</v>
      </c>
      <c r="AA14" s="225" t="e">
        <f ca="1">MATCH(C14,'市場監控 '!$K$7:$K$194,0)</f>
        <v>#N/A</v>
      </c>
    </row>
    <row r="15" spans="1:27" ht="16.5" customHeight="1">
      <c r="A15" s="652"/>
      <c r="B15" s="245" t="s">
        <v>1683</v>
      </c>
      <c r="C15" s="246" t="s">
        <v>1684</v>
      </c>
      <c r="D15" s="266">
        <f>VLOOKUP(B15,'[2]市場監控 '!$F$7:$V$194,3,0)</f>
        <v>81.55</v>
      </c>
      <c r="E15" s="261">
        <f>VLOOKUP($B15,'[2]市場監控 '!$F$7:$AX$230,43,0)</f>
        <v>81.5</v>
      </c>
      <c r="F15" s="249">
        <f>VLOOKUP($B15,'[2]市場監控 '!$F$7:$AX$230,45,0)</f>
        <v>6.4941852868156236</v>
      </c>
      <c r="G15" s="250">
        <f>VLOOKUP(B15,'[2]市場監控 '!$F$7:$V$194,4,0)</f>
        <v>6.1349689999999998E-2</v>
      </c>
      <c r="H15" s="250">
        <f>VLOOKUP(B15,'[2]市場監控 '!$F$7:$V$194,5,0)</f>
        <v>3.8853499999999999</v>
      </c>
      <c r="I15" s="251">
        <f>VLOOKUP(B15,'[2]市場監控 '!$F$7:$V$194,6,0)</f>
        <v>37.706850000000003</v>
      </c>
      <c r="J15" s="252">
        <f>IF(ISNUMBER(VLOOKUP(B15,'[2]市場監控 '!$F$7:$V$194,7,)),VLOOKUP(B15,'[2]市場監控 '!$F$7:$V$194,7,),"-")</f>
        <v>41.47963</v>
      </c>
      <c r="K15" s="253">
        <v>1</v>
      </c>
      <c r="L15" s="253">
        <f>IF(ISNUMBER(VLOOKUP(B15,'[2]市場監控 '!$F$7:$V$194,9,0)),VLOOKUP(B15,'[2]市場監控 '!$F$7:$V$194,9,0),"-")</f>
        <v>-0.71214</v>
      </c>
      <c r="M15" s="254">
        <f>IF(ISNUMBER(VLOOKUP(B15,'[2]市場監控 '!$F$7:$V$194,10,0)),VLOOKUP(B15,'[2]市場監控 '!$F$7:$V$194,10,0),"-")</f>
        <v>-6.4954499999999999</v>
      </c>
      <c r="N15" s="255" t="str">
        <f>VLOOKUP(B15,'[2]市場監控 '!$F$7:$AJ$194,31,0)</f>
        <v/>
      </c>
      <c r="O15" s="256" t="str">
        <f>VLOOKUP(B15,'[2]市場監控 '!$F$7:$V$194,12,0)</f>
        <v>A+</v>
      </c>
      <c r="P15" s="256" t="str">
        <f>VLOOKUP(B15,'[2]市場監控 '!$F$7:$V$194,13,0)</f>
        <v>A1</v>
      </c>
      <c r="Q15" s="257" t="str">
        <f>VLOOKUP(B15,'[2]市場監控 '!$F$7:$V$194,14,0)</f>
        <v>A+</v>
      </c>
      <c r="R15" s="262" t="s">
        <v>940</v>
      </c>
      <c r="S15" s="256" t="s">
        <v>940</v>
      </c>
      <c r="T15" s="257" t="s">
        <v>940</v>
      </c>
      <c r="U15" s="243" t="e">
        <f>IF(O6=#REF!, 0,1)</f>
        <v>#REF!</v>
      </c>
      <c r="V15" s="243" t="e">
        <f>IF(P6=#REF!, 0,1)</f>
        <v>#REF!</v>
      </c>
      <c r="W15" s="243" t="e">
        <f>IF(Q6=#REF!, 0,1)</f>
        <v>#REF!</v>
      </c>
      <c r="X15" s="243" t="e">
        <f>IF(R15=#REF!, 0,1)</f>
        <v>#REF!</v>
      </c>
      <c r="Y15" s="243" t="e">
        <f>IF(S15=#REF!, 0,1)</f>
        <v>#REF!</v>
      </c>
      <c r="Z15" s="243" t="e">
        <f>IF(T15=#REF!, 0,1)</f>
        <v>#REF!</v>
      </c>
      <c r="AA15" s="225" t="e">
        <f ca="1">MATCH(C15,'市場監控 '!$K$7:$K$194,0)</f>
        <v>#N/A</v>
      </c>
    </row>
    <row r="16" spans="1:27" ht="16.5" customHeight="1">
      <c r="A16" s="652"/>
      <c r="B16" s="245" t="s">
        <v>1685</v>
      </c>
      <c r="C16" s="246" t="s">
        <v>1686</v>
      </c>
      <c r="D16" s="266">
        <f>VLOOKUP(B16,'[2]市場監控 '!$F$7:$V$194,3,0)</f>
        <v>57.58</v>
      </c>
      <c r="E16" s="261">
        <f>VLOOKUP($B16,'[2]市場監控 '!$F$7:$AX$230,43,0)</f>
        <v>57.56</v>
      </c>
      <c r="F16" s="249">
        <f>VLOOKUP($B16,'[2]市場監控 '!$F$7:$AX$230,45,0)</f>
        <v>6.632085957762146</v>
      </c>
      <c r="G16" s="250">
        <f>VLOOKUP(B16,'[2]市場監控 '!$F$7:$V$194,4,0)</f>
        <v>3.4746350000000002E-2</v>
      </c>
      <c r="H16" s="250">
        <f>VLOOKUP(B16,'[2]市場監控 '!$F$7:$V$194,5,0)</f>
        <v>5.0729930000000003</v>
      </c>
      <c r="I16" s="251">
        <f>VLOOKUP(B16,'[2]市場監控 '!$F$7:$V$194,6,0)</f>
        <v>112.0029</v>
      </c>
      <c r="J16" s="252">
        <f>IF(ISNUMBER(VLOOKUP(B16,'[2]市場監控 '!$F$7:$V$194,7,)),VLOOKUP(B16,'[2]市場監控 '!$F$7:$V$194,7,),"-")</f>
        <v>45.563609999999997</v>
      </c>
      <c r="K16" s="253">
        <v>1</v>
      </c>
      <c r="L16" s="253">
        <f>IF(ISNUMBER(VLOOKUP(B16,'[2]市場監控 '!$F$7:$V$194,9,0)),VLOOKUP(B16,'[2]市場監控 '!$F$7:$V$194,9,0),"-")</f>
        <v>-0.40012999999999999</v>
      </c>
      <c r="M16" s="254">
        <f>IF(ISNUMBER(VLOOKUP(B16,'[2]市場監控 '!$F$7:$V$194,10,0)),VLOOKUP(B16,'[2]市場監控 '!$F$7:$V$194,10,0),"-")</f>
        <v>-8.4896700000000003</v>
      </c>
      <c r="N16" s="255" t="str">
        <f>VLOOKUP(B16,'[2]市場監控 '!$F$7:$AJ$194,31,0)</f>
        <v/>
      </c>
      <c r="O16" s="256" t="str">
        <f>VLOOKUP(B16,'[2]市場監控 '!$F$7:$V$194,12,0)</f>
        <v>A</v>
      </c>
      <c r="P16" s="256" t="str">
        <f>VLOOKUP(B16,'[2]市場監控 '!$F$7:$V$194,13,0)</f>
        <v>-</v>
      </c>
      <c r="Q16" s="257" t="str">
        <f>VLOOKUP(B16,'[2]市場監控 '!$F$7:$V$194,14,0)</f>
        <v>A-</v>
      </c>
      <c r="R16" s="262" t="s">
        <v>940</v>
      </c>
      <c r="S16" s="256" t="s">
        <v>940</v>
      </c>
      <c r="T16" s="257" t="s">
        <v>940</v>
      </c>
      <c r="U16" s="243" t="e">
        <f>IF(O7=#REF!, 0,1)</f>
        <v>#REF!</v>
      </c>
      <c r="V16" s="243" t="e">
        <f>IF(P7=#REF!, 0,1)</f>
        <v>#REF!</v>
      </c>
      <c r="W16" s="243" t="e">
        <f>IF(Q7=#REF!, 0,1)</f>
        <v>#REF!</v>
      </c>
      <c r="X16" s="243" t="e">
        <f>IF(R16=#REF!, 0,1)</f>
        <v>#REF!</v>
      </c>
      <c r="Y16" s="243" t="e">
        <f>IF(S16=#REF!, 0,1)</f>
        <v>#REF!</v>
      </c>
      <c r="Z16" s="243" t="e">
        <f>IF(T16=#REF!, 0,1)</f>
        <v>#REF!</v>
      </c>
      <c r="AA16" s="225" t="e">
        <f ca="1">MATCH(C16,'市場監控 '!$K$7:$K$194,0)</f>
        <v>#N/A</v>
      </c>
    </row>
    <row r="17" spans="1:27" ht="16.5" customHeight="1">
      <c r="A17" s="652"/>
      <c r="B17" s="245" t="s">
        <v>1687</v>
      </c>
      <c r="C17" s="246" t="s">
        <v>1688</v>
      </c>
      <c r="D17" s="266">
        <f>VLOOKUP(B17,'[2]市場監控 '!$F$7:$V$194,3,0)</f>
        <v>17.045000000000002</v>
      </c>
      <c r="E17" s="261">
        <f>VLOOKUP($B17,'[2]市場監控 '!$F$7:$AX$230,43,0)</f>
        <v>16.920000000000002</v>
      </c>
      <c r="F17" s="249">
        <f>VLOOKUP($B17,'[2]市場監控 '!$F$7:$AX$230,45,0)</f>
        <v>6.281407035175901</v>
      </c>
      <c r="G17" s="250">
        <f>VLOOKUP(B17,'[2]市場監控 '!$F$7:$V$194,4,0)</f>
        <v>0.7387707</v>
      </c>
      <c r="H17" s="250">
        <f>VLOOKUP(B17,'[2]市場監控 '!$F$7:$V$194,5,0)</f>
        <v>6.1663030000000001</v>
      </c>
      <c r="I17" s="251">
        <f>VLOOKUP(B17,'[2]市場監控 '!$F$7:$V$194,6,0)</f>
        <v>28.25433</v>
      </c>
      <c r="J17" s="252">
        <f>IF(ISNUMBER(VLOOKUP(B17,'[2]市場監控 '!$F$7:$V$194,7,)),VLOOKUP(B17,'[2]市場監控 '!$F$7:$V$194,7,),"-")</f>
        <v>37.989879999999999</v>
      </c>
      <c r="K17" s="253">
        <v>1</v>
      </c>
      <c r="L17" s="253">
        <f>IF(ISNUMBER(VLOOKUP(B17,'[2]市場監控 '!$F$7:$V$194,9,0)),VLOOKUP(B17,'[2]市場監控 '!$F$7:$V$194,9,0),"-")</f>
        <v>-0.55037999999999998</v>
      </c>
      <c r="M17" s="254">
        <f>IF(ISNUMBER(VLOOKUP(B17,'[2]市場監控 '!$F$7:$V$194,10,0)),VLOOKUP(B17,'[2]市場監控 '!$F$7:$V$194,10,0),"-")</f>
        <v>-6.5935100000000002</v>
      </c>
      <c r="N17" s="255" t="str">
        <f>VLOOKUP(B17,'[2]市場監控 '!$F$7:$AJ$194,31,0)</f>
        <v/>
      </c>
      <c r="O17" s="256" t="str">
        <f>VLOOKUP(B17,'[2]市場監控 '!$F$7:$V$194,12,0)</f>
        <v>A+</v>
      </c>
      <c r="P17" s="256" t="str">
        <f>VLOOKUP(B17,'[2]市場監控 '!$F$7:$V$194,13,0)</f>
        <v>A1</v>
      </c>
      <c r="Q17" s="257" t="str">
        <f>VLOOKUP(B17,'[2]市場監控 '!$F$7:$V$194,14,0)</f>
        <v>A+</v>
      </c>
      <c r="R17" s="262" t="s">
        <v>940</v>
      </c>
      <c r="S17" s="256" t="s">
        <v>940</v>
      </c>
      <c r="T17" s="257" t="s">
        <v>940</v>
      </c>
      <c r="U17" s="243" t="e">
        <f>IF(O8=#REF!, 0,1)</f>
        <v>#REF!</v>
      </c>
      <c r="V17" s="243" t="e">
        <f>IF(P8=#REF!, 0,1)</f>
        <v>#REF!</v>
      </c>
      <c r="W17" s="243" t="e">
        <f>IF(Q8=#REF!, 0,1)</f>
        <v>#REF!</v>
      </c>
      <c r="X17" s="243" t="e">
        <f>IF(R17=#REF!, 0,1)</f>
        <v>#REF!</v>
      </c>
      <c r="Y17" s="243" t="e">
        <f>IF(S17=#REF!, 0,1)</f>
        <v>#REF!</v>
      </c>
      <c r="Z17" s="243" t="e">
        <f>IF(T17=#REF!, 0,1)</f>
        <v>#REF!</v>
      </c>
      <c r="AA17" s="225" t="e">
        <f ca="1">MATCH(C17,'市場監控 '!$K$7:$K$194,0)</f>
        <v>#N/A</v>
      </c>
    </row>
    <row r="18" spans="1:27" ht="16.5" customHeight="1">
      <c r="A18" s="652"/>
      <c r="B18" s="245" t="s">
        <v>1689</v>
      </c>
      <c r="C18" s="246" t="s">
        <v>1690</v>
      </c>
      <c r="D18" s="268" t="str">
        <f>VLOOKUP(B18,'[2]市場監控 '!$F$7:$V$194,3,0)</f>
        <v>-</v>
      </c>
      <c r="E18" s="261" t="str">
        <f>VLOOKUP($B18,'[2]市場監控 '!$F$7:$AX$230,43,0)</f>
        <v>-</v>
      </c>
      <c r="F18" s="249" t="str">
        <f>VLOOKUP($B18,'[2]市場監控 '!$F$7:$AX$230,45,0)</f>
        <v>-</v>
      </c>
      <c r="G18" s="250" t="str">
        <f>VLOOKUP(B18,'[2]市場監控 '!$F$7:$V$194,4,0)</f>
        <v>-</v>
      </c>
      <c r="H18" s="250" t="str">
        <f>VLOOKUP(B18,'[2]市場監控 '!$F$7:$V$194,5,0)</f>
        <v>-</v>
      </c>
      <c r="I18" s="251" t="str">
        <f>VLOOKUP(B18,'[2]市場監控 '!$F$7:$V$194,6,0)</f>
        <v>-</v>
      </c>
      <c r="J18" s="252">
        <f>IF(ISNUMBER(VLOOKUP(B18,'[2]市場監控 '!$F$7:$V$194,7,)),VLOOKUP(B18,'[2]市場監控 '!$F$7:$V$194,7,),"-")</f>
        <v>45.397129999999997</v>
      </c>
      <c r="K18" s="253">
        <v>2</v>
      </c>
      <c r="L18" s="253">
        <f>IF(ISNUMBER(VLOOKUP(B18,'[2]市場監控 '!$F$7:$V$194,9,0)),VLOOKUP(B18,'[2]市場監控 '!$F$7:$V$194,9,0),"-")</f>
        <v>-0.81062999999999996</v>
      </c>
      <c r="M18" s="254">
        <f>IF(ISNUMBER(VLOOKUP(B18,'[2]市場監控 '!$F$7:$V$194,10,0)),VLOOKUP(B18,'[2]市場監控 '!$F$7:$V$194,10,0),"-")</f>
        <v>-8.4399800000000003</v>
      </c>
      <c r="N18" s="255" t="str">
        <f>VLOOKUP(B18,'[2]市場監控 '!$F$7:$AJ$194,31,0)</f>
        <v/>
      </c>
      <c r="O18" s="256" t="str">
        <f>VLOOKUP(B18,'[2]市場監控 '!$F$7:$V$194,12,0)</f>
        <v>A+</v>
      </c>
      <c r="P18" s="256" t="str">
        <f>VLOOKUP(B18,'[2]市場監控 '!$F$7:$V$194,13,0)</f>
        <v>A1</v>
      </c>
      <c r="Q18" s="257" t="str">
        <f>VLOOKUP(B18,'[2]市場監控 '!$F$7:$V$194,14,0)</f>
        <v>A</v>
      </c>
      <c r="R18" s="262"/>
      <c r="S18" s="256"/>
      <c r="T18" s="257"/>
      <c r="U18" s="243"/>
      <c r="V18" s="243"/>
      <c r="W18" s="243"/>
      <c r="X18" s="243"/>
      <c r="Y18" s="243"/>
      <c r="Z18" s="243"/>
      <c r="AA18" s="225" t="e">
        <f ca="1">MATCH(C18,'市場監控 '!$K$7:$K$194,0)</f>
        <v>#N/A</v>
      </c>
    </row>
    <row r="19" spans="1:27" ht="16.5" customHeight="1">
      <c r="A19" s="652"/>
      <c r="B19" s="245" t="s">
        <v>1691</v>
      </c>
      <c r="C19" s="246" t="s">
        <v>1692</v>
      </c>
      <c r="D19" s="268"/>
      <c r="E19" s="261" t="str">
        <f>VLOOKUP($B19,'[2]市場監控 '!$F$7:$AX$230,43,0)</f>
        <v>-</v>
      </c>
      <c r="F19" s="249" t="str">
        <f>VLOOKUP($B19,'[2]市場監控 '!$F$7:$AX$230,45,0)</f>
        <v>-</v>
      </c>
      <c r="G19" s="250"/>
      <c r="H19" s="250"/>
      <c r="I19" s="251"/>
      <c r="J19" s="252">
        <f>IF(ISNUMBER(VLOOKUP(B19,'[2]市場監控 '!$F$7:$V$194,7,)),VLOOKUP(B19,'[2]市場監控 '!$F$7:$V$194,7,),"-")</f>
        <v>45.397129999999997</v>
      </c>
      <c r="K19" s="253">
        <v>3</v>
      </c>
      <c r="L19" s="253">
        <f>IF(ISNUMBER(VLOOKUP(B19,'[2]市場監控 '!$F$7:$V$194,9,0)),VLOOKUP(B19,'[2]市場監控 '!$F$7:$V$194,9,0),"-")</f>
        <v>-0.81062999999999996</v>
      </c>
      <c r="M19" s="254">
        <f>IF(ISNUMBER(VLOOKUP(B19,'[2]市場監控 '!$F$7:$V$194,10,0)),VLOOKUP(B19,'[2]市場監控 '!$F$7:$V$194,10,0),"-")</f>
        <v>-8.4399800000000003</v>
      </c>
      <c r="N19" s="255" t="str">
        <f>VLOOKUP(B19,'[2]市場監控 '!$F$7:$AJ$194,31,0)</f>
        <v/>
      </c>
      <c r="O19" s="256" t="str">
        <f>VLOOKUP(B19,'[2]市場監控 '!$F$7:$V$194,12,0)</f>
        <v>A+</v>
      </c>
      <c r="P19" s="256" t="str">
        <f>VLOOKUP(B19,'[2]市場監控 '!$F$7:$V$194,13,0)</f>
        <v>-</v>
      </c>
      <c r="Q19" s="257" t="str">
        <f>VLOOKUP(B19,'[2]市場監控 '!$F$7:$V$194,14,0)</f>
        <v>A</v>
      </c>
      <c r="R19" s="262"/>
      <c r="S19" s="256"/>
      <c r="T19" s="257"/>
      <c r="U19" s="243"/>
      <c r="V19" s="243"/>
      <c r="W19" s="243"/>
      <c r="X19" s="243"/>
      <c r="Y19" s="243"/>
      <c r="Z19" s="243"/>
      <c r="AA19" s="225" t="e">
        <f ca="1">MATCH(C19,'市場監控 '!$K$7:$K$194,0)</f>
        <v>#N/A</v>
      </c>
    </row>
    <row r="20" spans="1:27" ht="16.5" customHeight="1">
      <c r="A20" s="652"/>
      <c r="B20" s="245" t="s">
        <v>1693</v>
      </c>
      <c r="C20" s="246" t="s">
        <v>1694</v>
      </c>
      <c r="D20" s="266">
        <f>VLOOKUP(B20,'[2]市場監控 '!$F$7:$V$194,3,0)</f>
        <v>949.5</v>
      </c>
      <c r="E20" s="261">
        <f>VLOOKUP($B20,'[2]市場監控 '!$F$7:$AX$230,43,0)</f>
        <v>939.3</v>
      </c>
      <c r="F20" s="249">
        <f>VLOOKUP($B20,'[2]市場監控 '!$F$7:$AX$230,45,0)</f>
        <v>2.331408650179756</v>
      </c>
      <c r="G20" s="250">
        <f>VLOOKUP(B20,'[2]市場監控 '!$F$7:$V$194,4,0)</f>
        <v>1.085915</v>
      </c>
      <c r="H20" s="250">
        <f>VLOOKUP(B20,'[2]市場監控 '!$F$7:$V$194,5,0)</f>
        <v>2.7375029999999998</v>
      </c>
      <c r="I20" s="251">
        <f>VLOOKUP(B20,'[2]市場監控 '!$F$7:$V$194,6,0)</f>
        <v>20.909210000000002</v>
      </c>
      <c r="J20" s="252">
        <f>IF(ISNUMBER(VLOOKUP(B20,'[2]市場監控 '!$F$7:$V$194,7,)),VLOOKUP(B20,'[2]市場監控 '!$F$7:$V$194,7,),"-")</f>
        <v>45.397129999999997</v>
      </c>
      <c r="K20" s="253">
        <v>4</v>
      </c>
      <c r="L20" s="253">
        <f>IF(ISNUMBER(VLOOKUP(B20,'[2]市場監控 '!$F$7:$V$194,9,0)),VLOOKUP(B20,'[2]市場監控 '!$F$7:$V$194,9,0),"-")</f>
        <v>-0.81062999999999996</v>
      </c>
      <c r="M20" s="254">
        <f>IF(ISNUMBER(VLOOKUP(B20,'[2]市場監控 '!$F$7:$V$194,10,0)),VLOOKUP(B20,'[2]市場監控 '!$F$7:$V$194,10,0),"-")</f>
        <v>-6.3006000000000002</v>
      </c>
      <c r="N20" s="255" t="str">
        <f>VLOOKUP(B20,'[2]市場監控 '!$F$7:$AJ$194,31,0)</f>
        <v/>
      </c>
      <c r="O20" s="256" t="str">
        <f>VLOOKUP(B20,'[2]市場監控 '!$F$7:$V$194,12,0)</f>
        <v>A-</v>
      </c>
      <c r="P20" s="256" t="str">
        <f>VLOOKUP(B20,'[2]市場監控 '!$F$7:$V$194,13,0)</f>
        <v>-</v>
      </c>
      <c r="Q20" s="257" t="str">
        <f>VLOOKUP(B20,'[2]市場監控 '!$F$7:$V$194,14,0)</f>
        <v>A+</v>
      </c>
      <c r="R20" s="262" t="s">
        <v>940</v>
      </c>
      <c r="S20" s="256" t="s">
        <v>940</v>
      </c>
      <c r="T20" s="257" t="s">
        <v>940</v>
      </c>
      <c r="U20" s="243" t="e">
        <f>IF(O10=#REF!, 0,1)</f>
        <v>#REF!</v>
      </c>
      <c r="V20" s="243" t="e">
        <f>IF(P10=#REF!, 0,1)</f>
        <v>#REF!</v>
      </c>
      <c r="W20" s="243" t="e">
        <f>IF(Q10=#REF!, 0,1)</f>
        <v>#REF!</v>
      </c>
      <c r="X20" s="243" t="e">
        <f>IF(R20=#REF!, 0,1)</f>
        <v>#REF!</v>
      </c>
      <c r="Y20" s="243" t="e">
        <f>IF(S20=#REF!, 0,1)</f>
        <v>#REF!</v>
      </c>
      <c r="Z20" s="243" t="e">
        <f>IF(T20=#REF!, 0,1)</f>
        <v>#REF!</v>
      </c>
      <c r="AA20" s="225" t="e">
        <f ca="1">MATCH(C20,'市場監控 '!$K$7:$K$194,0)</f>
        <v>#N/A</v>
      </c>
    </row>
    <row r="21" spans="1:27" ht="16.5" customHeight="1">
      <c r="A21" s="652"/>
      <c r="B21" s="245" t="s">
        <v>1695</v>
      </c>
      <c r="C21" s="246" t="s">
        <v>1696</v>
      </c>
      <c r="D21" s="266">
        <f>VLOOKUP(B21,'[2]市場監控 '!$F$7:$V$194,3,0)</f>
        <v>1395</v>
      </c>
      <c r="E21" s="261">
        <f>VLOOKUP($B21,'[2]市場監控 '!$F$7:$AX$230,43,0)</f>
        <v>1387.5</v>
      </c>
      <c r="F21" s="249">
        <f>VLOOKUP($B21,'[2]市場監控 '!$F$7:$AX$230,45,0)</f>
        <v>2.3985239852398532</v>
      </c>
      <c r="G21" s="250">
        <f>VLOOKUP(B21,'[2]市場監控 '!$F$7:$V$194,4,0)</f>
        <v>0.54054049999999998</v>
      </c>
      <c r="H21" s="250">
        <f>VLOOKUP(B21,'[2]市場監控 '!$F$7:$V$194,5,0)</f>
        <v>1.9364269999999999</v>
      </c>
      <c r="I21" s="251">
        <f>VLOOKUP(B21,'[2]市場監控 '!$F$7:$V$194,6,0)</f>
        <v>41.108640000000001</v>
      </c>
      <c r="J21" s="252">
        <f>IF(ISNUMBER(VLOOKUP(B21,'[2]市場監控 '!$F$7:$V$194,7,)),VLOOKUP(B21,'[2]市場監控 '!$F$7:$V$194,7,),"-")</f>
        <v>53.132980000000003</v>
      </c>
      <c r="K21" s="253">
        <v>1</v>
      </c>
      <c r="L21" s="253">
        <f>IF(ISNUMBER(VLOOKUP(B21,'[2]市場監控 '!$F$7:$V$194,9,0)),VLOOKUP(B21,'[2]市場監控 '!$F$7:$V$194,9,0),"-")</f>
        <v>-1.1157900000000001</v>
      </c>
      <c r="M21" s="254">
        <f>IF(ISNUMBER(VLOOKUP(B21,'[2]市場監控 '!$F$7:$V$194,10,0)),VLOOKUP(B21,'[2]市場監控 '!$F$7:$V$194,10,0),"-")</f>
        <v>-7.5985100000000001</v>
      </c>
      <c r="N21" s="255" t="str">
        <f>VLOOKUP(B21,'[2]市場監控 '!$F$7:$AJ$194,31,0)</f>
        <v/>
      </c>
      <c r="O21" s="256" t="str">
        <f>VLOOKUP(B21,'[2]市場監控 '!$F$7:$V$194,12,0)</f>
        <v>BBB+</v>
      </c>
      <c r="P21" s="256" t="str">
        <f>VLOOKUP(B21,'[2]市場監控 '!$F$7:$V$194,13,0)</f>
        <v>-</v>
      </c>
      <c r="Q21" s="257" t="str">
        <f>VLOOKUP(B21,'[2]市場監控 '!$F$7:$V$194,14,0)</f>
        <v>A</v>
      </c>
      <c r="R21" s="262" t="s">
        <v>940</v>
      </c>
      <c r="S21" s="256" t="s">
        <v>940</v>
      </c>
      <c r="T21" s="257" t="s">
        <v>935</v>
      </c>
      <c r="U21" s="243" t="e">
        <f>IF(O11=#REF!, 0,1)</f>
        <v>#REF!</v>
      </c>
      <c r="V21" s="243" t="e">
        <f>IF(P11=#REF!, 0,1)</f>
        <v>#REF!</v>
      </c>
      <c r="W21" s="243" t="e">
        <f>IF(Q11=#REF!, 0,1)</f>
        <v>#REF!</v>
      </c>
      <c r="X21" s="243" t="e">
        <f>IF(R21=#REF!, 0,1)</f>
        <v>#REF!</v>
      </c>
      <c r="Y21" s="243" t="e">
        <f>IF(S21=#REF!, 0,1)</f>
        <v>#REF!</v>
      </c>
      <c r="Z21" s="243" t="e">
        <f>IF(T21=#REF!, 0,1)</f>
        <v>#REF!</v>
      </c>
      <c r="AA21" s="225" t="e">
        <f ca="1">MATCH(C21,'市場監控 '!$K$7:$K$194,0)</f>
        <v>#N/A</v>
      </c>
    </row>
    <row r="22" spans="1:27" ht="16.5" customHeight="1">
      <c r="A22" s="652"/>
      <c r="B22" s="245" t="s">
        <v>1697</v>
      </c>
      <c r="C22" s="246" t="s">
        <v>1698</v>
      </c>
      <c r="D22" s="266">
        <f>VLOOKUP(B22,'[2]市場監控 '!$F$7:$V$194,3,0)</f>
        <v>371</v>
      </c>
      <c r="E22" s="261">
        <f>VLOOKUP($B22,'[2]市場監控 '!$F$7:$AX$230,43,0)</f>
        <v>367.95</v>
      </c>
      <c r="F22" s="249">
        <f>VLOOKUP($B22,'[2]市場監控 '!$F$7:$AX$230,45,0)</f>
        <v>3.1683723538483033</v>
      </c>
      <c r="G22" s="250">
        <f>VLOOKUP(B22,'[2]市場監控 '!$F$7:$V$194,4,0)</f>
        <v>0.82891700000000001</v>
      </c>
      <c r="H22" s="250">
        <f>VLOOKUP(B22,'[2]市場監控 '!$F$7:$V$194,5,0)</f>
        <v>2.358946</v>
      </c>
      <c r="I22" s="251">
        <f>VLOOKUP(B22,'[2]市場監控 '!$F$7:$V$194,6,0)</f>
        <v>38.355400000000003</v>
      </c>
      <c r="J22" s="252">
        <f>IF(ISNUMBER(VLOOKUP(B22,'[2]市場監控 '!$F$7:$V$194,7,)),VLOOKUP(B22,'[2]市場監控 '!$F$7:$V$194,7,),"-")</f>
        <v>60.056249999999999</v>
      </c>
      <c r="K22" s="253">
        <v>1</v>
      </c>
      <c r="L22" s="253">
        <f>IF(ISNUMBER(VLOOKUP(B22,'[2]市場監控 '!$F$7:$V$194,9,0)),VLOOKUP(B22,'[2]市場監控 '!$F$7:$V$194,9,0),"-")</f>
        <v>-1.45339</v>
      </c>
      <c r="M22" s="254">
        <f>IF(ISNUMBER(VLOOKUP(B22,'[2]市場監控 '!$F$7:$V$194,10,0)),VLOOKUP(B22,'[2]市場監控 '!$F$7:$V$194,10,0),"-")</f>
        <v>-4.9120600000000003</v>
      </c>
      <c r="N22" s="255" t="str">
        <f>VLOOKUP(B22,'[2]市場監控 '!$F$7:$AJ$194,31,0)</f>
        <v/>
      </c>
      <c r="O22" s="256" t="str">
        <f>VLOOKUP(B22,'[2]市場監控 '!$F$7:$V$194,12,0)</f>
        <v>BBB+</v>
      </c>
      <c r="P22" s="256" t="str">
        <f>VLOOKUP(B22,'[2]市場監控 '!$F$7:$V$194,13,0)</f>
        <v>Baa1</v>
      </c>
      <c r="Q22" s="257" t="str">
        <f>VLOOKUP(B22,'[2]市場監控 '!$F$7:$V$194,14,0)</f>
        <v>A</v>
      </c>
      <c r="R22" s="262" t="s">
        <v>940</v>
      </c>
      <c r="S22" s="256" t="s">
        <v>935</v>
      </c>
      <c r="T22" s="257" t="s">
        <v>935</v>
      </c>
      <c r="U22" s="243" t="e">
        <f>IF(O12=#REF!, 0,1)</f>
        <v>#REF!</v>
      </c>
      <c r="V22" s="243" t="e">
        <f>IF(P12=#REF!, 0,1)</f>
        <v>#REF!</v>
      </c>
      <c r="W22" s="243" t="e">
        <f>IF(Q12=#REF!, 0,1)</f>
        <v>#REF!</v>
      </c>
      <c r="X22" s="243" t="e">
        <f>IF(R22=#REF!, 0,1)</f>
        <v>#REF!</v>
      </c>
      <c r="Y22" s="243" t="e">
        <f>IF(S22=#REF!, 0,1)</f>
        <v>#REF!</v>
      </c>
      <c r="Z22" s="243" t="e">
        <f>IF(T22=#REF!, 0,1)</f>
        <v>#REF!</v>
      </c>
      <c r="AA22" s="225" t="e">
        <f ca="1">MATCH(C22,'市場監控 '!$K$7:$K$194,0)</f>
        <v>#N/A</v>
      </c>
    </row>
    <row r="23" spans="1:27" ht="16.5" customHeight="1">
      <c r="A23" s="652"/>
      <c r="B23" s="245" t="s">
        <v>1699</v>
      </c>
      <c r="C23" s="269" t="s">
        <v>1700</v>
      </c>
      <c r="D23" s="266">
        <f>VLOOKUP(B23,'[2]市場監控 '!$F$7:$V$194,3,0)</f>
        <v>533</v>
      </c>
      <c r="E23" s="261">
        <f>VLOOKUP($B23,'[2]市場監控 '!$F$7:$AX$230,43,0)</f>
        <v>522.79999999999995</v>
      </c>
      <c r="F23" s="249">
        <f>VLOOKUP($B23,'[2]市場監控 '!$F$7:$AX$230,45,0)</f>
        <v>2.1892103205629176</v>
      </c>
      <c r="G23" s="250">
        <f>VLOOKUP(B23,'[2]市場監控 '!$F$7:$V$194,4,0)</f>
        <v>1.951033</v>
      </c>
      <c r="H23" s="250">
        <f>VLOOKUP(B23,'[2]市場監控 '!$F$7:$V$194,5,0)</f>
        <v>0.98522169999999998</v>
      </c>
      <c r="I23" s="251">
        <f>VLOOKUP(B23,'[2]市場監控 '!$F$7:$V$194,6,0)</f>
        <v>32.554090000000002</v>
      </c>
      <c r="J23" s="252">
        <f>IF(ISNUMBER(VLOOKUP(B23,'[2]市場監控 '!$F$7:$V$194,7,)),VLOOKUP(B23,'[2]市場監控 '!$F$7:$V$194,7,),"-")</f>
        <v>45.397129999999997</v>
      </c>
      <c r="K23" s="253">
        <v>1</v>
      </c>
      <c r="L23" s="253">
        <f>IF(ISNUMBER(VLOOKUP(B23,'[2]市場監控 '!$F$7:$V$194,9,0)),VLOOKUP(B23,'[2]市場監控 '!$F$7:$V$194,9,0),"-")</f>
        <v>-0.81062999999999996</v>
      </c>
      <c r="M23" s="254">
        <f>IF(ISNUMBER(VLOOKUP(B23,'[2]市場監控 '!$F$7:$V$194,10,0)),VLOOKUP(B23,'[2]市場監控 '!$F$7:$V$194,10,0),"-")</f>
        <v>-11.829650000000001</v>
      </c>
      <c r="N23" s="255" t="str">
        <f>VLOOKUP(B23,'[2]市場監控 '!$F$7:$AJ$194,31,0)</f>
        <v/>
      </c>
      <c r="O23" s="256" t="str">
        <f>VLOOKUP(B23,'[2]市場監控 '!$F$7:$V$194,12,0)</f>
        <v>BBB+</v>
      </c>
      <c r="P23" s="256" t="str">
        <f>VLOOKUP(B23,'[2]市場監控 '!$F$7:$V$194,13,0)</f>
        <v>-</v>
      </c>
      <c r="Q23" s="257" t="str">
        <f>VLOOKUP(B23,'[2]市場監控 '!$F$7:$V$194,14,0)</f>
        <v>A+</v>
      </c>
      <c r="R23" s="262" t="s">
        <v>940</v>
      </c>
      <c r="S23" s="256" t="s">
        <v>940</v>
      </c>
      <c r="T23" s="257" t="s">
        <v>935</v>
      </c>
      <c r="U23" s="243" t="e">
        <f>IF(O13=#REF!, 0,1)</f>
        <v>#REF!</v>
      </c>
      <c r="V23" s="243" t="e">
        <f>IF(P13=#REF!, 0,1)</f>
        <v>#REF!</v>
      </c>
      <c r="W23" s="243" t="e">
        <f>IF(Q13=#REF!, 0,1)</f>
        <v>#REF!</v>
      </c>
      <c r="X23" s="243" t="e">
        <f>IF(R23=#REF!, 0,1)</f>
        <v>#REF!</v>
      </c>
      <c r="Y23" s="243" t="e">
        <f>IF(S23=#REF!, 0,1)</f>
        <v>#REF!</v>
      </c>
      <c r="Z23" s="243" t="e">
        <f>IF(T23=#REF!, 0,1)</f>
        <v>#REF!</v>
      </c>
      <c r="AA23" s="225" t="e">
        <f ca="1">MATCH(C23,'市場監控 '!$K$7:$K$194,0)</f>
        <v>#N/A</v>
      </c>
    </row>
    <row r="24" spans="1:27" ht="16.5" customHeight="1">
      <c r="A24" s="652"/>
      <c r="B24" s="245" t="s">
        <v>1701</v>
      </c>
      <c r="C24" s="246" t="s">
        <v>1702</v>
      </c>
      <c r="D24" s="266">
        <f>VLOOKUP(B24,'[2]市場監控 '!$F$7:$V$194,3,0)</f>
        <v>82.44</v>
      </c>
      <c r="E24" s="261">
        <f>VLOOKUP($B24,'[2]市場監控 '!$F$7:$AX$230,43,0)</f>
        <v>80.94</v>
      </c>
      <c r="F24" s="249">
        <f>VLOOKUP($B24,'[2]市場監控 '!$F$7:$AX$230,45,0)</f>
        <v>6.8655928175336722</v>
      </c>
      <c r="G24" s="250">
        <f>VLOOKUP(B24,'[2]市場監控 '!$F$7:$V$194,4,0)</f>
        <v>1.8532249999999999</v>
      </c>
      <c r="H24" s="250">
        <f>VLOOKUP(B24,'[2]市場監控 '!$F$7:$V$194,5,0)</f>
        <v>-0.1453488</v>
      </c>
      <c r="I24" s="251">
        <f>VLOOKUP(B24,'[2]市場監控 '!$F$7:$V$194,6,0)</f>
        <v>50.49288</v>
      </c>
      <c r="J24" s="252">
        <f>IF(ISNUMBER(VLOOKUP(B24,'[2]市場監控 '!$F$7:$V$194,7,)),VLOOKUP(B24,'[2]市場監控 '!$F$7:$V$194,7,),"-")</f>
        <v>45.397129999999997</v>
      </c>
      <c r="K24" s="253">
        <v>1</v>
      </c>
      <c r="L24" s="253">
        <f>IF(ISNUMBER(VLOOKUP(B24,'[2]市場監控 '!$F$7:$V$194,9,0)),VLOOKUP(B24,'[2]市場監控 '!$F$7:$V$194,9,0),"-")</f>
        <v>-0.81062999999999996</v>
      </c>
      <c r="M24" s="254">
        <f>IF(ISNUMBER(VLOOKUP(B24,'[2]市場監控 '!$F$7:$V$194,10,0)),VLOOKUP(B24,'[2]市場監控 '!$F$7:$V$194,10,0),"-")</f>
        <v>-14.04039</v>
      </c>
      <c r="N24" s="255" t="str">
        <f>VLOOKUP(B24,'[2]市場監控 '!$F$7:$AJ$194,31,0)</f>
        <v/>
      </c>
      <c r="O24" s="256" t="str">
        <f>VLOOKUP(B24,'[2]市場監控 '!$F$7:$V$194,12,0)</f>
        <v>BBB+</v>
      </c>
      <c r="P24" s="256" t="str">
        <f>VLOOKUP(B24,'[2]市場監控 '!$F$7:$V$194,13,0)</f>
        <v>-</v>
      </c>
      <c r="Q24" s="257" t="str">
        <f>VLOOKUP(B24,'[2]市場監控 '!$F$7:$V$194,14,0)</f>
        <v>A+</v>
      </c>
      <c r="R24" s="262" t="s">
        <v>940</v>
      </c>
      <c r="S24" s="256" t="s">
        <v>940</v>
      </c>
      <c r="T24" s="257" t="s">
        <v>935</v>
      </c>
      <c r="U24" s="243" t="e">
        <f>IF(O14=#REF!, 0,1)</f>
        <v>#REF!</v>
      </c>
      <c r="V24" s="243" t="e">
        <f>IF(P14=#REF!, 0,1)</f>
        <v>#REF!</v>
      </c>
      <c r="W24" s="243" t="e">
        <f>IF(Q14=#REF!, 0,1)</f>
        <v>#REF!</v>
      </c>
      <c r="X24" s="243" t="e">
        <f>IF(R24=#REF!, 0,1)</f>
        <v>#REF!</v>
      </c>
      <c r="Y24" s="243" t="e">
        <f>IF(S24=#REF!, 0,1)</f>
        <v>#REF!</v>
      </c>
      <c r="Z24" s="243" t="e">
        <f>IF(T24=#REF!, 0,1)</f>
        <v>#REF!</v>
      </c>
      <c r="AA24" s="225" t="e">
        <f ca="1">MATCH(C24,'市場監控 '!$K$7:$K$194,0)</f>
        <v>#N/A</v>
      </c>
    </row>
    <row r="25" spans="1:27" ht="16.5" customHeight="1">
      <c r="A25" s="652"/>
      <c r="B25" s="245" t="s">
        <v>1703</v>
      </c>
      <c r="C25" s="246" t="s">
        <v>1704</v>
      </c>
      <c r="D25" s="266">
        <f>VLOOKUP(B25,'[2]市場監控 '!$F$7:$V$194,3,0)</f>
        <v>31.145</v>
      </c>
      <c r="E25" s="261">
        <f>VLOOKUP($B25,'[2]市場監控 '!$F$7:$AX$230,43,0)</f>
        <v>31.12</v>
      </c>
      <c r="F25" s="249">
        <f>VLOOKUP($B25,'[2]市場監控 '!$F$7:$AX$230,45,0)</f>
        <v>10.62922147173837</v>
      </c>
      <c r="G25" s="250">
        <f>VLOOKUP(B25,'[2]市場監控 '!$F$7:$V$194,4,0)</f>
        <v>8.033419E-2</v>
      </c>
      <c r="H25" s="250">
        <f>VLOOKUP(B25,'[2]市場監控 '!$F$7:$V$194,5,0)</f>
        <v>6.8989190000000002</v>
      </c>
      <c r="I25" s="251">
        <f>VLOOKUP(B25,'[2]市場監控 '!$F$7:$V$194,6,0)</f>
        <v>87.169479999999993</v>
      </c>
      <c r="J25" s="252">
        <f>IF(ISNUMBER(VLOOKUP(B25,'[2]市場監控 '!$F$7:$V$194,7,)),VLOOKUP(B25,'[2]市場監控 '!$F$7:$V$194,7,),"-")</f>
        <v>51.527630000000002</v>
      </c>
      <c r="K25" s="253">
        <v>1</v>
      </c>
      <c r="L25" s="253">
        <f>IF(ISNUMBER(VLOOKUP(B25,'[2]市場監控 '!$F$7:$V$194,9,0)),VLOOKUP(B25,'[2]市場監控 '!$F$7:$V$194,9,0),"-")</f>
        <v>-0.84719</v>
      </c>
      <c r="M25" s="254">
        <f>IF(ISNUMBER(VLOOKUP(B25,'[2]市場監控 '!$F$7:$V$194,10,0)),VLOOKUP(B25,'[2]市場監控 '!$F$7:$V$194,10,0),"-")</f>
        <v>-10.11913</v>
      </c>
      <c r="N25" s="255" t="str">
        <f>VLOOKUP(B25,'[2]市場監控 '!$F$7:$AJ$194,31,0)</f>
        <v/>
      </c>
      <c r="O25" s="256" t="str">
        <f>VLOOKUP(B25,'[2]市場監控 '!$F$7:$V$194,12,0)</f>
        <v>A</v>
      </c>
      <c r="P25" s="256" t="str">
        <f>VLOOKUP(B25,'[2]市場監控 '!$F$7:$V$194,13,0)</f>
        <v>A1</v>
      </c>
      <c r="Q25" s="257" t="str">
        <f>VLOOKUP(B25,'[2]市場監控 '!$F$7:$V$194,14,0)</f>
        <v>A-</v>
      </c>
      <c r="R25" s="262" t="s">
        <v>935</v>
      </c>
      <c r="S25" s="256" t="s">
        <v>940</v>
      </c>
      <c r="T25" s="257" t="s">
        <v>935</v>
      </c>
      <c r="U25" s="243" t="e">
        <f>IF(O15=#REF!, 0,1)</f>
        <v>#REF!</v>
      </c>
      <c r="V25" s="243" t="e">
        <f>IF(P15=#REF!, 0,1)</f>
        <v>#REF!</v>
      </c>
      <c r="W25" s="243" t="e">
        <f>IF(Q15=#REF!, 0,1)</f>
        <v>#REF!</v>
      </c>
      <c r="X25" s="243" t="e">
        <f>IF(R25=#REF!, 0,1)</f>
        <v>#REF!</v>
      </c>
      <c r="Y25" s="243" t="e">
        <f>IF(S25=#REF!, 0,1)</f>
        <v>#REF!</v>
      </c>
      <c r="Z25" s="243" t="e">
        <f>IF(T25=#REF!, 0,1)</f>
        <v>#REF!</v>
      </c>
      <c r="AA25" s="225" t="e">
        <f ca="1">MATCH(C25,'市場監控 '!$K$7:$K$194,0)</f>
        <v>#N/A</v>
      </c>
    </row>
    <row r="26" spans="1:27" ht="16.5" customHeight="1">
      <c r="A26" s="652"/>
      <c r="B26" s="245" t="s">
        <v>1705</v>
      </c>
      <c r="C26" s="246" t="s">
        <v>1706</v>
      </c>
      <c r="D26" s="266">
        <f>VLOOKUP(B26,'[2]市場監控 '!$F$7:$V$194,3,0)</f>
        <v>35.75</v>
      </c>
      <c r="E26" s="261">
        <f>VLOOKUP($B26,'[2]市場監控 '!$F$7:$AX$230,43,0)</f>
        <v>34.53</v>
      </c>
      <c r="F26" s="249">
        <f>VLOOKUP($B26,'[2]市場監控 '!$F$7:$AX$230,45,0)</f>
        <v>8.7559055118110241</v>
      </c>
      <c r="G26" s="250">
        <f>VLOOKUP(B26,'[2]市場監控 '!$F$7:$V$194,4,0)</f>
        <v>3.5331600000000001</v>
      </c>
      <c r="H26" s="250">
        <f>VLOOKUP(B26,'[2]市場監控 '!$F$7:$V$194,5,0)</f>
        <v>7.5187970000000002</v>
      </c>
      <c r="I26" s="251">
        <f>VLOOKUP(B26,'[2]市場監控 '!$F$7:$V$194,6,0)</f>
        <v>127.345</v>
      </c>
      <c r="J26" s="252">
        <f>IF(ISNUMBER(VLOOKUP(B26,'[2]市場監控 '!$F$7:$V$194,7,)),VLOOKUP(B26,'[2]市場監控 '!$F$7:$V$194,7,),"-")</f>
        <v>41.518300000000004</v>
      </c>
      <c r="K26" s="253">
        <v>1</v>
      </c>
      <c r="L26" s="253">
        <f>IF(ISNUMBER(VLOOKUP(B26,'[2]市場監控 '!$F$7:$V$194,9,0)),VLOOKUP(B26,'[2]市場監控 '!$F$7:$V$194,9,0),"-")</f>
        <v>-1.5624499999999999</v>
      </c>
      <c r="M26" s="254">
        <f>IF(ISNUMBER(VLOOKUP(B26,'[2]市場監控 '!$F$7:$V$194,10,0)),VLOOKUP(B26,'[2]市場監控 '!$F$7:$V$194,10,0),"-")</f>
        <v>-11.448700000000001</v>
      </c>
      <c r="N26" s="255" t="str">
        <f>VLOOKUP(B26,'[2]市場監控 '!$F$7:$AJ$194,31,0)</f>
        <v/>
      </c>
      <c r="O26" s="256" t="str">
        <f>VLOOKUP(B26,'[2]市場監控 '!$F$7:$V$194,12,0)</f>
        <v>A</v>
      </c>
      <c r="P26" s="256" t="str">
        <f>VLOOKUP(B26,'[2]市場監控 '!$F$7:$V$194,13,0)</f>
        <v>A1</v>
      </c>
      <c r="Q26" s="257" t="str">
        <f>VLOOKUP(B26,'[2]市場監控 '!$F$7:$V$194,14,0)</f>
        <v>WD</v>
      </c>
      <c r="R26" s="262" t="s">
        <v>935</v>
      </c>
      <c r="S26" s="256" t="s">
        <v>940</v>
      </c>
      <c r="T26" s="257" t="s">
        <v>940</v>
      </c>
      <c r="U26" s="243" t="e">
        <f>IF(O16=#REF!, 0,1)</f>
        <v>#REF!</v>
      </c>
      <c r="V26" s="243" t="e">
        <f>IF(P16=#REF!, 0,1)</f>
        <v>#REF!</v>
      </c>
      <c r="W26" s="243" t="e">
        <f>IF(Q16=#REF!, 0,1)</f>
        <v>#REF!</v>
      </c>
      <c r="X26" s="243" t="e">
        <f>IF(R26=#REF!, 0,1)</f>
        <v>#REF!</v>
      </c>
      <c r="Y26" s="243" t="e">
        <f>IF(S26=#REF!, 0,1)</f>
        <v>#REF!</v>
      </c>
      <c r="Z26" s="243" t="e">
        <f>IF(T26=#REF!, 0,1)</f>
        <v>#REF!</v>
      </c>
      <c r="AA26" s="225" t="e">
        <f ca="1">MATCH(C26,'市場監控 '!$K$7:$K$194,0)</f>
        <v>#N/A</v>
      </c>
    </row>
    <row r="27" spans="1:27" ht="16.5" customHeight="1">
      <c r="A27" s="652"/>
      <c r="B27" s="245" t="s">
        <v>1707</v>
      </c>
      <c r="C27" s="246" t="s">
        <v>1708</v>
      </c>
      <c r="D27" s="266">
        <f>VLOOKUP(B27,'[2]市場監控 '!$F$7:$V$194,3,0)</f>
        <v>20.76</v>
      </c>
      <c r="E27" s="261">
        <f>VLOOKUP($B27,'[2]市場監控 '!$F$7:$AX$230,43,0)</f>
        <v>20.51</v>
      </c>
      <c r="F27" s="249">
        <f>VLOOKUP($B27,'[2]市場監控 '!$F$7:$AX$230,45,0)</f>
        <v>4.7818534791049361</v>
      </c>
      <c r="G27" s="250">
        <f>VLOOKUP(B27,'[2]市場監控 '!$F$7:$V$194,4,0)</f>
        <v>1.2189179999999999</v>
      </c>
      <c r="H27" s="250">
        <f>VLOOKUP(B27,'[2]市場監控 '!$F$7:$V$194,5,0)</f>
        <v>6.5161619999999996</v>
      </c>
      <c r="I27" s="251">
        <f>VLOOKUP(B27,'[2]市場監控 '!$F$7:$V$194,6,0)</f>
        <v>38.668529999999997</v>
      </c>
      <c r="J27" s="252">
        <f>IF(ISNUMBER(VLOOKUP(B27,'[2]市場監控 '!$F$7:$V$194,7,)),VLOOKUP(B27,'[2]市場監控 '!$F$7:$V$194,7,),"-")</f>
        <v>45.397129999999997</v>
      </c>
      <c r="K27" s="253">
        <v>1</v>
      </c>
      <c r="L27" s="253">
        <f>IF(ISNUMBER(VLOOKUP(B27,'[2]市場監控 '!$F$7:$V$194,9,0)),VLOOKUP(B27,'[2]市場監控 '!$F$7:$V$194,9,0),"-")</f>
        <v>-0.81062999999999996</v>
      </c>
      <c r="M27" s="254">
        <f>IF(ISNUMBER(VLOOKUP(B27,'[2]市場監控 '!$F$7:$V$194,10,0)),VLOOKUP(B27,'[2]市場監控 '!$F$7:$V$194,10,0),"-")</f>
        <v>-4.42692</v>
      </c>
      <c r="N27" s="255" t="str">
        <f>VLOOKUP(B27,'[2]市場監控 '!$F$7:$AJ$194,31,0)</f>
        <v/>
      </c>
      <c r="O27" s="256" t="str">
        <f>VLOOKUP(B27,'[2]市場監控 '!$F$7:$V$194,12,0)</f>
        <v>A-</v>
      </c>
      <c r="P27" s="256" t="str">
        <f>VLOOKUP(B27,'[2]市場監控 '!$F$7:$V$194,13,0)</f>
        <v>-</v>
      </c>
      <c r="Q27" s="257" t="str">
        <f>VLOOKUP(B27,'[2]市場監控 '!$F$7:$V$194,14,0)</f>
        <v>A+</v>
      </c>
      <c r="R27" s="256" t="s">
        <v>935</v>
      </c>
      <c r="S27" s="256" t="s">
        <v>940</v>
      </c>
      <c r="T27" s="257" t="s">
        <v>935</v>
      </c>
      <c r="U27" s="243" t="e">
        <f>IF(O17=#REF!, 0,1)</f>
        <v>#REF!</v>
      </c>
      <c r="V27" s="243" t="e">
        <f>IF(P17=#REF!, 0,1)</f>
        <v>#REF!</v>
      </c>
      <c r="W27" s="243" t="e">
        <f>IF(Q17=#REF!, 0,1)</f>
        <v>#REF!</v>
      </c>
      <c r="X27" s="243" t="e">
        <f>IF(R27=#REF!, 0,1)</f>
        <v>#REF!</v>
      </c>
      <c r="Y27" s="243" t="e">
        <f>IF(S27=#REF!, 0,1)</f>
        <v>#REF!</v>
      </c>
      <c r="Z27" s="243" t="e">
        <f>IF(T27=#REF!, 0,1)</f>
        <v>#REF!</v>
      </c>
      <c r="AA27" s="225" t="e">
        <f ca="1">MATCH(C27,'市場監控 '!$K$7:$K$194,0)</f>
        <v>#N/A</v>
      </c>
    </row>
    <row r="28" spans="1:27" ht="16.5" customHeight="1">
      <c r="A28" s="652"/>
      <c r="B28" s="245" t="s">
        <v>1709</v>
      </c>
      <c r="C28" s="246" t="s">
        <v>1710</v>
      </c>
      <c r="D28" s="266">
        <f>VLOOKUP(B28,'[2]市場監控 '!$F$7:$V$194,3,0)</f>
        <v>26.03</v>
      </c>
      <c r="E28" s="261">
        <f>VLOOKUP($B28,'[2]市場監控 '!$F$7:$AX$230,43,0)</f>
        <v>25.75</v>
      </c>
      <c r="F28" s="249">
        <f>VLOOKUP($B28,'[2]市場監控 '!$F$7:$AX$230,45,0)</f>
        <v>4.4624746450304231</v>
      </c>
      <c r="G28" s="250">
        <f>VLOOKUP(B28,'[2]市場監控 '!$F$7:$V$194,4,0)</f>
        <v>1.0873790000000001</v>
      </c>
      <c r="H28" s="250">
        <f>VLOOKUP(B28,'[2]市場監控 '!$F$7:$V$194,5,0)</f>
        <v>3.9536739999999999</v>
      </c>
      <c r="I28" s="251">
        <f>VLOOKUP(B28,'[2]市場監控 '!$F$7:$V$194,6,0)</f>
        <v>74.815309999999997</v>
      </c>
      <c r="J28" s="252">
        <f>IF(ISNUMBER(VLOOKUP(B28,'[2]市場監控 '!$F$7:$V$194,7,)),VLOOKUP(B28,'[2]市場監控 '!$F$7:$V$194,7,),"-")</f>
        <v>45.397129999999997</v>
      </c>
      <c r="K28" s="253">
        <v>1</v>
      </c>
      <c r="L28" s="253">
        <f>IF(ISNUMBER(VLOOKUP(B28,'[2]市場監控 '!$F$7:$V$194,9,0)),VLOOKUP(B28,'[2]市場監控 '!$F$7:$V$194,9,0),"-")</f>
        <v>-0.81062999999999996</v>
      </c>
      <c r="M28" s="254">
        <f>IF(ISNUMBER(VLOOKUP(B28,'[2]市場監控 '!$F$7:$V$194,10,0)),VLOOKUP(B28,'[2]市場監控 '!$F$7:$V$194,10,0),"-")</f>
        <v>-8.4399800000000003</v>
      </c>
      <c r="N28" s="255" t="str">
        <f>VLOOKUP(B28,'[2]市場監控 '!$F$7:$AJ$194,31,0)</f>
        <v/>
      </c>
      <c r="O28" s="256" t="str">
        <f>VLOOKUP(B28,'[2]市場監控 '!$F$7:$V$194,12,0)</f>
        <v>A</v>
      </c>
      <c r="P28" s="256" t="str">
        <f>VLOOKUP(B28,'[2]市場監控 '!$F$7:$V$194,13,0)</f>
        <v>Aa3</v>
      </c>
      <c r="Q28" s="257" t="str">
        <f>VLOOKUP(B28,'[2]市場監控 '!$F$7:$V$194,14,0)</f>
        <v>A</v>
      </c>
      <c r="R28" s="256" t="s">
        <v>935</v>
      </c>
      <c r="S28" s="256" t="s">
        <v>940</v>
      </c>
      <c r="T28" s="257" t="s">
        <v>935</v>
      </c>
      <c r="U28" s="243" t="e">
        <f>IF(#REF!=#REF!, 0,1)</f>
        <v>#REF!</v>
      </c>
      <c r="V28" s="243" t="e">
        <f>IF(#REF!=#REF!, 0,1)</f>
        <v>#REF!</v>
      </c>
      <c r="W28" s="243" t="e">
        <f>IF(#REF!=#REF!, 0,1)</f>
        <v>#REF!</v>
      </c>
      <c r="X28" s="243" t="e">
        <f>IF(R28=#REF!, 0,1)</f>
        <v>#REF!</v>
      </c>
      <c r="Y28" s="243" t="e">
        <f>IF(S28=#REF!, 0,1)</f>
        <v>#REF!</v>
      </c>
      <c r="Z28" s="243" t="e">
        <f>IF(T28=#REF!, 0,1)</f>
        <v>#REF!</v>
      </c>
      <c r="AA28" s="225" t="e">
        <f ca="1">MATCH(C28,'市場監控 '!$K$7:$K$194,0)</f>
        <v>#N/A</v>
      </c>
    </row>
    <row r="29" spans="1:27" ht="16.5" customHeight="1">
      <c r="A29" s="652"/>
      <c r="B29" s="245" t="s">
        <v>1711</v>
      </c>
      <c r="C29" s="246" t="s">
        <v>1712</v>
      </c>
      <c r="D29" s="266">
        <f>VLOOKUP(B29,'[2]市場監控 '!$F$7:$V$194,3,0)</f>
        <v>31.91</v>
      </c>
      <c r="E29" s="261">
        <f>VLOOKUP($B29,'[2]市場監控 '!$F$7:$AX$230,43,0)</f>
        <v>31.94</v>
      </c>
      <c r="F29" s="249" t="str">
        <f>VLOOKUP($B29,'[2]市場監控 '!$F$7:$AX$230,45,0)</f>
        <v>-</v>
      </c>
      <c r="G29" s="250">
        <f>VLOOKUP(B29,'[2]市場監控 '!$F$7:$V$194,4,0)</f>
        <v>-9.3926109999999993E-2</v>
      </c>
      <c r="H29" s="250">
        <f>VLOOKUP(B29,'[2]市場監控 '!$F$7:$V$194,5,0)</f>
        <v>5.5923230000000004</v>
      </c>
      <c r="I29" s="251">
        <f>VLOOKUP(B29,'[2]市場監控 '!$F$7:$V$194,6,0)</f>
        <v>16.903230000000001</v>
      </c>
      <c r="J29" s="252">
        <f>IF(ISNUMBER(VLOOKUP(B29,'[2]市場監控 '!$F$7:$V$194,7,)),VLOOKUP(B29,'[2]市場監控 '!$F$7:$V$194,7,),"-")</f>
        <v>45.397129999999997</v>
      </c>
      <c r="K29" s="253">
        <v>1</v>
      </c>
      <c r="L29" s="253">
        <f>IF(ISNUMBER(VLOOKUP(B29,'[2]市場監控 '!$F$7:$V$194,9,0)),VLOOKUP(B29,'[2]市場監控 '!$F$7:$V$194,9,0),"-")</f>
        <v>-0.81062999999999996</v>
      </c>
      <c r="M29" s="254">
        <f>IF(ISNUMBER(VLOOKUP(B29,'[2]市場監控 '!$F$7:$V$194,10,0)),VLOOKUP(B29,'[2]市場監控 '!$F$7:$V$194,10,0),"-")</f>
        <v>-11.2836</v>
      </c>
      <c r="N29" s="255" t="str">
        <f>VLOOKUP(B29,'[2]市場監控 '!$F$7:$AJ$194,31,0)</f>
        <v/>
      </c>
      <c r="O29" s="256" t="str">
        <f>VLOOKUP(B29,'[2]市場監控 '!$F$7:$V$194,12,0)</f>
        <v>A-</v>
      </c>
      <c r="P29" s="256" t="str">
        <f>VLOOKUP(B29,'[2]市場監控 '!$F$7:$V$194,13,0)</f>
        <v>-</v>
      </c>
      <c r="Q29" s="257" t="str">
        <f>VLOOKUP(B29,'[2]市場監控 '!$F$7:$V$194,14,0)</f>
        <v>A</v>
      </c>
      <c r="R29" s="256" t="s">
        <v>940</v>
      </c>
      <c r="S29" s="256" t="s">
        <v>935</v>
      </c>
      <c r="T29" s="257" t="s">
        <v>935</v>
      </c>
      <c r="U29" s="243" t="e">
        <f>IF(O20=#REF!, 0,1)</f>
        <v>#REF!</v>
      </c>
      <c r="V29" s="243" t="e">
        <f>IF(P20=#REF!, 0,1)</f>
        <v>#REF!</v>
      </c>
      <c r="W29" s="243" t="e">
        <f>IF(Q20=#REF!, 0,1)</f>
        <v>#REF!</v>
      </c>
      <c r="X29" s="243" t="e">
        <f>IF(R29=#REF!, 0,1)</f>
        <v>#REF!</v>
      </c>
      <c r="Y29" s="243" t="e">
        <f>IF(S29=#REF!, 0,1)</f>
        <v>#REF!</v>
      </c>
      <c r="Z29" s="243" t="e">
        <f>IF(T29=#REF!, 0,1)</f>
        <v>#REF!</v>
      </c>
      <c r="AA29" s="225" t="e">
        <f ca="1">MATCH(C29,'市場監控 '!$K$7:$K$194,0)</f>
        <v>#N/A</v>
      </c>
    </row>
    <row r="30" spans="1:27" ht="16.5" customHeight="1">
      <c r="A30" s="652"/>
      <c r="B30" s="245" t="s">
        <v>1713</v>
      </c>
      <c r="C30" s="246" t="s">
        <v>1714</v>
      </c>
      <c r="D30" s="266">
        <f>VLOOKUP(B30,'[2]市場監控 '!$F$7:$V$194,3,0)</f>
        <v>8</v>
      </c>
      <c r="E30" s="261">
        <f>VLOOKUP($B30,'[2]市場監控 '!$F$7:$AX$230,43,0)</f>
        <v>7.9550000000000001</v>
      </c>
      <c r="F30" s="249">
        <f>VLOOKUP($B30,'[2]市場監控 '!$F$7:$AX$230,45,0)</f>
        <v>10.56289089645588</v>
      </c>
      <c r="G30" s="250">
        <f>VLOOKUP(B30,'[2]市場監控 '!$F$7:$V$194,4,0)</f>
        <v>0.56568200000000002</v>
      </c>
      <c r="H30" s="250">
        <f>VLOOKUP(B30,'[2]市場監控 '!$F$7:$V$194,5,0)</f>
        <v>6.9518719999999998</v>
      </c>
      <c r="I30" s="251">
        <f>VLOOKUP(B30,'[2]市場監控 '!$F$7:$V$194,6,0)</f>
        <v>79.191400000000002</v>
      </c>
      <c r="J30" s="252">
        <f>IF(ISNUMBER(VLOOKUP(B30,'[2]市場監控 '!$F$7:$V$194,7,)),VLOOKUP(B30,'[2]市場監控 '!$F$7:$V$194,7,),"-")</f>
        <v>40.023780000000002</v>
      </c>
      <c r="K30" s="253">
        <v>1</v>
      </c>
      <c r="L30" s="253">
        <f>IF(ISNUMBER(VLOOKUP(B30,'[2]市場監控 '!$F$7:$V$194,9,0)),VLOOKUP(B30,'[2]市場監控 '!$F$7:$V$194,9,0),"-")</f>
        <v>-0.71364000000000005</v>
      </c>
      <c r="M30" s="254">
        <f>IF(ISNUMBER(VLOOKUP(B30,'[2]市場監控 '!$F$7:$V$194,10,0)),VLOOKUP(B30,'[2]市場監控 '!$F$7:$V$194,10,0),"-")</f>
        <v>-7.9233000000000002</v>
      </c>
      <c r="N30" s="255" t="str">
        <f>VLOOKUP(B30,'[2]市場監控 '!$F$7:$AJ$194,31,0)</f>
        <v/>
      </c>
      <c r="O30" s="256" t="str">
        <f>VLOOKUP(B30,'[2]市場監控 '!$F$7:$V$194,12,0)</f>
        <v>A+</v>
      </c>
      <c r="P30" s="256" t="str">
        <f>VLOOKUP(B30,'[2]市場監控 '!$F$7:$V$194,13,0)</f>
        <v>A2</v>
      </c>
      <c r="Q30" s="257" t="str">
        <f>VLOOKUP(B30,'[2]市場監控 '!$F$7:$V$194,14,0)</f>
        <v>A</v>
      </c>
      <c r="R30" s="256" t="s">
        <v>935</v>
      </c>
      <c r="S30" s="256" t="s">
        <v>940</v>
      </c>
      <c r="T30" s="257" t="s">
        <v>935</v>
      </c>
      <c r="U30" s="243" t="e">
        <f>IF(O22=#REF!, 0,1)</f>
        <v>#REF!</v>
      </c>
      <c r="V30" s="243" t="e">
        <f>IF(P22=#REF!, 0,1)</f>
        <v>#REF!</v>
      </c>
      <c r="W30" s="243" t="e">
        <f>IF(Q22=#REF!, 0,1)</f>
        <v>#REF!</v>
      </c>
      <c r="X30" s="243" t="e">
        <f>IF(R30=#REF!, 0,1)</f>
        <v>#REF!</v>
      </c>
      <c r="Y30" s="243" t="e">
        <f>IF(S30=#REF!, 0,1)</f>
        <v>#REF!</v>
      </c>
      <c r="Z30" s="243" t="e">
        <f>IF(T30=#REF!, 0,1)</f>
        <v>#REF!</v>
      </c>
      <c r="AA30" s="225" t="e">
        <f ca="1">MATCH(C30,'市場監控 '!$K$7:$K$194,0)</f>
        <v>#N/A</v>
      </c>
    </row>
    <row r="31" spans="1:27" ht="16.5" customHeight="1">
      <c r="A31" s="652"/>
      <c r="B31" s="245" t="s">
        <v>1715</v>
      </c>
      <c r="C31" s="246" t="s">
        <v>1716</v>
      </c>
      <c r="D31" s="266">
        <f>VLOOKUP(B31,'[2]市場監控 '!$F$7:$V$194,3,0)</f>
        <v>16.059999999999999</v>
      </c>
      <c r="E31" s="261">
        <f>VLOOKUP($B31,'[2]市場監控 '!$F$7:$AX$230,43,0)</f>
        <v>15.94</v>
      </c>
      <c r="F31" s="249">
        <f>VLOOKUP($B31,'[2]市場監控 '!$F$7:$AX$230,45,0)</f>
        <v>11.041448972483447</v>
      </c>
      <c r="G31" s="250">
        <f>VLOOKUP(B31,'[2]市場監控 '!$F$7:$V$194,4,0)</f>
        <v>0.75282309999999997</v>
      </c>
      <c r="H31" s="250">
        <f>VLOOKUP(B31,'[2]市場監控 '!$F$7:$V$194,5,0)</f>
        <v>8.5135140000000007</v>
      </c>
      <c r="I31" s="251">
        <f>VLOOKUP(B31,'[2]市場監控 '!$F$7:$V$194,6,0)</f>
        <v>69.911140000000003</v>
      </c>
      <c r="J31" s="252">
        <f>IF(ISNUMBER(VLOOKUP(B31,'[2]市場監控 '!$F$7:$V$194,7,)),VLOOKUP(B31,'[2]市場監控 '!$F$7:$V$194,7,),"-")</f>
        <v>41.066699999999997</v>
      </c>
      <c r="K31" s="253">
        <v>1</v>
      </c>
      <c r="L31" s="253">
        <f>IF(ISNUMBER(VLOOKUP(B31,'[2]市場監控 '!$F$7:$V$194,9,0)),VLOOKUP(B31,'[2]市場監控 '!$F$7:$V$194,9,0),"-")</f>
        <v>-0.69371000000000005</v>
      </c>
      <c r="M31" s="254">
        <f>IF(ISNUMBER(VLOOKUP(B31,'[2]市場監控 '!$F$7:$V$194,10,0)),VLOOKUP(B31,'[2]市場監控 '!$F$7:$V$194,10,0),"-")</f>
        <v>-5.9353800000000003</v>
      </c>
      <c r="N31" s="255" t="str">
        <f>VLOOKUP(B31,'[2]市場監控 '!$F$7:$AJ$194,31,0)</f>
        <v/>
      </c>
      <c r="O31" s="256" t="str">
        <f>VLOOKUP(B31,'[2]市場監控 '!$F$7:$V$194,12,0)</f>
        <v>A</v>
      </c>
      <c r="P31" s="256" t="str">
        <f>VLOOKUP(B31,'[2]市場監控 '!$F$7:$V$194,13,0)</f>
        <v>A3 *+</v>
      </c>
      <c r="Q31" s="257" t="str">
        <f>VLOOKUP(B31,'[2]市場監控 '!$F$7:$V$194,14,0)</f>
        <v>BBB+ *+</v>
      </c>
      <c r="R31" s="256" t="s">
        <v>935</v>
      </c>
      <c r="S31" s="256" t="s">
        <v>948</v>
      </c>
      <c r="T31" s="257" t="s">
        <v>935</v>
      </c>
      <c r="U31" s="243" t="e">
        <f>IF(O23=#REF!, 0,1)</f>
        <v>#REF!</v>
      </c>
      <c r="V31" s="243" t="e">
        <f>IF(P23=#REF!, 0,1)</f>
        <v>#REF!</v>
      </c>
      <c r="W31" s="243" t="e">
        <f>IF(Q23=#REF!, 0,1)</f>
        <v>#REF!</v>
      </c>
      <c r="X31" s="243" t="e">
        <f>IF(R31=#REF!, 0,1)</f>
        <v>#REF!</v>
      </c>
      <c r="Y31" s="243" t="e">
        <f>IF(S31=#REF!, 0,1)</f>
        <v>#REF!</v>
      </c>
      <c r="Z31" s="243" t="e">
        <f>IF(T31=#REF!, 0,1)</f>
        <v>#REF!</v>
      </c>
      <c r="AA31" s="225" t="e">
        <f ca="1">MATCH(C31,'市場監控 '!$K$7:$K$194,0)</f>
        <v>#N/A</v>
      </c>
    </row>
    <row r="32" spans="1:27" ht="16.5" customHeight="1">
      <c r="A32" s="652"/>
      <c r="B32" s="245" t="s">
        <v>1717</v>
      </c>
      <c r="C32" s="246" t="s">
        <v>1718</v>
      </c>
      <c r="D32" s="266"/>
      <c r="E32" s="261">
        <f>VLOOKUP($B32,'[2]市場監控 '!$F$7:$AX$230,43,0)</f>
        <v>2129.5</v>
      </c>
      <c r="F32" s="249">
        <f>VLOOKUP($B32,'[2]市場監控 '!$F$7:$AX$230,45,0)</f>
        <v>0.11753643629526245</v>
      </c>
      <c r="G32" s="250">
        <f>VLOOKUP(B32,'[2]市場監控 '!$F$7:$V$194,4,0)</f>
        <v>3.6393520000000001</v>
      </c>
      <c r="H32" s="250">
        <f>VLOOKUP(B32,'[2]市場監控 '!$F$7:$V$194,5,0)</f>
        <v>7.8163169999999997</v>
      </c>
      <c r="I32" s="251">
        <f>VLOOKUP(B32,'[2]市場監控 '!$F$7:$V$194,6,0)</f>
        <v>19.52871</v>
      </c>
      <c r="J32" s="252">
        <f>IF(ISNUMBER(VLOOKUP(B32,'[2]市場監控 '!$F$7:$V$194,7,)),VLOOKUP(B32,'[2]市場監控 '!$F$7:$V$194,7,),"-")</f>
        <v>42.825150000000001</v>
      </c>
      <c r="K32" s="253">
        <v>2</v>
      </c>
      <c r="L32" s="253">
        <f>IF(ISNUMBER(VLOOKUP(B32,'[2]市場監控 '!$F$7:$V$194,9,0)),VLOOKUP(B32,'[2]市場監控 '!$F$7:$V$194,9,0),"-")</f>
        <v>0.36657000000000001</v>
      </c>
      <c r="M32" s="254">
        <f>IF(ISNUMBER(VLOOKUP(B32,'[2]市場監控 '!$F$7:$V$194,10,0)),VLOOKUP(B32,'[2]市場監控 '!$F$7:$V$194,10,0),"-")</f>
        <v>2.1902699999999999</v>
      </c>
      <c r="N32" s="255" t="str">
        <f>VLOOKUP(B32,'[2]市場監控 '!$F$7:$AJ$194,31,0)</f>
        <v/>
      </c>
      <c r="O32" s="256" t="str">
        <f>VLOOKUP(B32,'[2]市場監控 '!$F$7:$V$194,12,0)</f>
        <v>A-</v>
      </c>
      <c r="P32" s="256" t="str">
        <f>VLOOKUP(B32,'[2]市場監控 '!$F$7:$V$194,13,0)</f>
        <v>-</v>
      </c>
      <c r="Q32" s="257" t="str">
        <f>VLOOKUP(B32,'[2]市場監控 '!$F$7:$V$194,14,0)</f>
        <v>A-</v>
      </c>
      <c r="R32" s="256"/>
      <c r="S32" s="256"/>
      <c r="T32" s="257"/>
      <c r="U32" s="243"/>
      <c r="V32" s="243"/>
      <c r="W32" s="243"/>
      <c r="X32" s="243"/>
      <c r="Y32" s="243"/>
      <c r="Z32" s="243"/>
      <c r="AA32" s="225" t="e">
        <f ca="1">MATCH(C32,'市場監控 '!$K$7:$K$194,0)</f>
        <v>#N/A</v>
      </c>
    </row>
    <row r="33" spans="1:27" ht="16.5" customHeight="1">
      <c r="A33" s="652"/>
      <c r="B33" s="245" t="s">
        <v>1719</v>
      </c>
      <c r="C33" s="246" t="s">
        <v>1720</v>
      </c>
      <c r="D33" s="266"/>
      <c r="E33" s="261">
        <f>VLOOKUP($B33,'[2]市場監控 '!$F$7:$AX$230,43,0)</f>
        <v>3851</v>
      </c>
      <c r="F33" s="249">
        <f>VLOOKUP($B33,'[2]市場監控 '!$F$7:$AX$230,45,0)</f>
        <v>0.73240910279885885</v>
      </c>
      <c r="G33" s="250">
        <f>VLOOKUP(B33,'[2]市場監控 '!$F$7:$V$194,4,0)</f>
        <v>2.9343029999999999</v>
      </c>
      <c r="H33" s="250">
        <f>VLOOKUP(B33,'[2]市場監控 '!$F$7:$V$194,5,0)</f>
        <v>6.731287</v>
      </c>
      <c r="I33" s="251">
        <f>VLOOKUP(B33,'[2]市場監控 '!$F$7:$V$194,6,0)</f>
        <v>5.3400639999999999</v>
      </c>
      <c r="J33" s="252">
        <f>IF(ISNUMBER(VLOOKUP(B33,'[2]市場監控 '!$F$7:$V$194,7,)),VLOOKUP(B33,'[2]市場監控 '!$F$7:$V$194,7,),"-")</f>
        <v>42.825150000000001</v>
      </c>
      <c r="K33" s="253">
        <v>3</v>
      </c>
      <c r="L33" s="253">
        <f>IF(ISNUMBER(VLOOKUP(B33,'[2]市場監控 '!$F$7:$V$194,9,0)),VLOOKUP(B33,'[2]市場監控 '!$F$7:$V$194,9,0),"-")</f>
        <v>0.36657000000000001</v>
      </c>
      <c r="M33" s="254">
        <f>IF(ISNUMBER(VLOOKUP(B33,'[2]市場監控 '!$F$7:$V$194,10,0)),VLOOKUP(B33,'[2]市場監控 '!$F$7:$V$194,10,0),"-")</f>
        <v>2.1902699999999999</v>
      </c>
      <c r="N33" s="255" t="str">
        <f>VLOOKUP(B33,'[2]市場監控 '!$F$7:$AJ$194,31,0)</f>
        <v/>
      </c>
      <c r="O33" s="256" t="str">
        <f>VLOOKUP(B33,'[2]市場監控 '!$F$7:$V$194,12,0)</f>
        <v>A-</v>
      </c>
      <c r="P33" s="256" t="str">
        <f>VLOOKUP(B33,'[2]市場監控 '!$F$7:$V$194,13,0)</f>
        <v>-</v>
      </c>
      <c r="Q33" s="257" t="str">
        <f>VLOOKUP(B33,'[2]市場監控 '!$F$7:$V$194,14,0)</f>
        <v>A-</v>
      </c>
      <c r="R33" s="256"/>
      <c r="S33" s="256"/>
      <c r="T33" s="257"/>
      <c r="U33" s="243"/>
      <c r="V33" s="243"/>
      <c r="W33" s="243"/>
      <c r="X33" s="243"/>
      <c r="Y33" s="243"/>
      <c r="Z33" s="243"/>
      <c r="AA33" s="225" t="e">
        <f ca="1">MATCH(C33,'市場監控 '!$K$7:$K$194,0)</f>
        <v>#N/A</v>
      </c>
    </row>
    <row r="34" spans="1:27" ht="16.5" customHeight="1">
      <c r="A34" s="652"/>
      <c r="B34" s="245" t="s">
        <v>1721</v>
      </c>
      <c r="C34" s="246" t="s">
        <v>1722</v>
      </c>
      <c r="D34" s="266"/>
      <c r="E34" s="261">
        <f>VLOOKUP($B34,'[2]市場監控 '!$F$7:$AX$230,43,0)</f>
        <v>4549</v>
      </c>
      <c r="F34" s="249">
        <f>VLOOKUP($B34,'[2]市場監控 '!$F$7:$AX$230,45,0)</f>
        <v>2.1787960467205769</v>
      </c>
      <c r="G34" s="250">
        <f>VLOOKUP(B34,'[2]市場監控 '!$F$7:$V$194,4,0)</f>
        <v>3.8030339999999998</v>
      </c>
      <c r="H34" s="250">
        <f>VLOOKUP(B34,'[2]市場監控 '!$F$7:$V$194,5,0)</f>
        <v>9.8650540000000007</v>
      </c>
      <c r="I34" s="251">
        <f>VLOOKUP(B34,'[2]市場監控 '!$F$7:$V$194,6,0)</f>
        <v>21.89517</v>
      </c>
      <c r="J34" s="252">
        <f>IF(ISNUMBER(VLOOKUP(B34,'[2]市場監控 '!$F$7:$V$194,7,)),VLOOKUP(B34,'[2]市場監控 '!$F$7:$V$194,7,),"-")</f>
        <v>42.825150000000001</v>
      </c>
      <c r="K34" s="253">
        <v>4</v>
      </c>
      <c r="L34" s="253">
        <f>IF(ISNUMBER(VLOOKUP(B34,'[2]市場監控 '!$F$7:$V$194,9,0)),VLOOKUP(B34,'[2]市場監控 '!$F$7:$V$194,9,0),"-")</f>
        <v>0.36657000000000001</v>
      </c>
      <c r="M34" s="254">
        <f>IF(ISNUMBER(VLOOKUP(B34,'[2]市場監控 '!$F$7:$V$194,10,0)),VLOOKUP(B34,'[2]市場監控 '!$F$7:$V$194,10,0),"-")</f>
        <v>2.1902699999999999</v>
      </c>
      <c r="N34" s="255" t="str">
        <f>VLOOKUP(B34,'[2]市場監控 '!$F$7:$AJ$194,31,0)</f>
        <v/>
      </c>
      <c r="O34" s="256" t="str">
        <f>VLOOKUP(B34,'[2]市場監控 '!$F$7:$V$194,12,0)</f>
        <v>A-</v>
      </c>
      <c r="P34" s="256" t="str">
        <f>VLOOKUP(B34,'[2]市場監控 '!$F$7:$V$194,13,0)</f>
        <v>-</v>
      </c>
      <c r="Q34" s="257" t="str">
        <f>VLOOKUP(B34,'[2]市場監控 '!$F$7:$V$194,14,0)</f>
        <v>A-</v>
      </c>
      <c r="R34" s="256"/>
      <c r="S34" s="256"/>
      <c r="T34" s="257"/>
      <c r="U34" s="243"/>
      <c r="V34" s="243"/>
      <c r="W34" s="243"/>
      <c r="X34" s="243"/>
      <c r="Y34" s="243"/>
      <c r="Z34" s="243"/>
      <c r="AA34" s="225" t="e">
        <f ca="1">MATCH(C34,'市場監控 '!$K$7:$K$194,0)</f>
        <v>#N/A</v>
      </c>
    </row>
    <row r="35" spans="1:27" ht="16.5" customHeight="1">
      <c r="A35" s="652"/>
      <c r="B35" s="245" t="s">
        <v>1723</v>
      </c>
      <c r="C35" s="246" t="s">
        <v>1724</v>
      </c>
      <c r="D35" s="266">
        <f>VLOOKUP(B35,'[2]市場監控 '!$F$7:$V$194,3,0)</f>
        <v>31.98</v>
      </c>
      <c r="E35" s="261">
        <f>VLOOKUP($B35,'[2]市場監控 '!$F$7:$AX$230,43,0)</f>
        <v>30.88</v>
      </c>
      <c r="F35" s="249">
        <f>VLOOKUP($B35,'[2]市場監控 '!$F$7:$AX$230,45,0)</f>
        <v>3.2393909944916643E-2</v>
      </c>
      <c r="G35" s="250">
        <f>VLOOKUP(B35,'[2]市場監控 '!$F$7:$V$194,4,0)</f>
        <v>2.3687580000000001</v>
      </c>
      <c r="H35" s="250">
        <f>VLOOKUP(B35,'[2]市場監控 '!$F$7:$V$194,5,0)</f>
        <v>3.7301329999999999</v>
      </c>
      <c r="I35" s="251">
        <f>VLOOKUP(B35,'[2]市場監控 '!$F$7:$V$194,6,0)</f>
        <v>12.088290000000001</v>
      </c>
      <c r="J35" s="252">
        <f>IF(ISNUMBER(VLOOKUP(B35,'[2]市場監控 '!$F$7:$V$194,7,)),VLOOKUP(B35,'[2]市場監控 '!$F$7:$V$194,7,),"-")</f>
        <v>30.61872</v>
      </c>
      <c r="K35" s="253">
        <v>1</v>
      </c>
      <c r="L35" s="253">
        <f>IF(ISNUMBER(VLOOKUP(B35,'[2]市場監控 '!$F$7:$V$194,9,0)),VLOOKUP(B35,'[2]市場監控 '!$F$7:$V$194,9,0),"-")</f>
        <v>0.23916999999999999</v>
      </c>
      <c r="M35" s="254">
        <f>IF(ISNUMBER(VLOOKUP(B35,'[2]市場監控 '!$F$7:$V$194,10,0)),VLOOKUP(B35,'[2]市場監控 '!$F$7:$V$194,10,0),"-")</f>
        <v>8.8389600000000002</v>
      </c>
      <c r="N35" s="255" t="str">
        <f>VLOOKUP(B35,'[2]市場監控 '!$F$7:$AJ$194,31,0)</f>
        <v/>
      </c>
      <c r="O35" s="256" t="str">
        <f>VLOOKUP(B35,'[2]市場監控 '!$F$7:$V$194,12,0)</f>
        <v>-</v>
      </c>
      <c r="P35" s="256" t="str">
        <f>VLOOKUP(B35,'[2]市場監控 '!$F$7:$V$194,13,0)</f>
        <v>-</v>
      </c>
      <c r="Q35" s="257" t="str">
        <f>VLOOKUP(B35,'[2]市場監控 '!$F$7:$V$194,14,0)</f>
        <v>-</v>
      </c>
      <c r="R35" s="256" t="s">
        <v>935</v>
      </c>
      <c r="S35" s="256" t="s">
        <v>935</v>
      </c>
      <c r="T35" s="257" t="s">
        <v>935</v>
      </c>
      <c r="U35" s="243" t="e">
        <f>IF(O24=#REF!, 0,1)</f>
        <v>#REF!</v>
      </c>
      <c r="V35" s="243" t="e">
        <f>IF(P24=#REF!, 0,1)</f>
        <v>#REF!</v>
      </c>
      <c r="W35" s="243" t="e">
        <f>IF(Q24=#REF!, 0,1)</f>
        <v>#REF!</v>
      </c>
      <c r="X35" s="243" t="e">
        <f>IF(R35=#REF!, 0,1)</f>
        <v>#REF!</v>
      </c>
      <c r="Y35" s="243" t="e">
        <f>IF(S35=#REF!, 0,1)</f>
        <v>#REF!</v>
      </c>
      <c r="Z35" s="243" t="e">
        <f>IF(T35=#REF!, 0,1)</f>
        <v>#REF!</v>
      </c>
      <c r="AA35" s="225" t="e">
        <f ca="1">MATCH(C35,'市場監控 '!$K$7:$K$194,0)</f>
        <v>#N/A</v>
      </c>
    </row>
    <row r="36" spans="1:27" ht="16.5" customHeight="1">
      <c r="A36" s="652"/>
      <c r="B36" s="245" t="s">
        <v>1725</v>
      </c>
      <c r="C36" s="246" t="s">
        <v>1726</v>
      </c>
      <c r="D36" s="266">
        <f>VLOOKUP(B36,'[2]市場監控 '!$F$7:$V$194,3,0)</f>
        <v>179.85</v>
      </c>
      <c r="E36" s="261">
        <f>VLOOKUP($B36,'[2]市場監控 '!$F$7:$AX$230,43,0)</f>
        <v>176.61</v>
      </c>
      <c r="F36" s="249">
        <f>VLOOKUP($B36,'[2]市場監控 '!$F$7:$AX$230,45,0)</f>
        <v>0.88541071632584067</v>
      </c>
      <c r="G36" s="250">
        <f>VLOOKUP(B36,'[2]市場監控 '!$F$7:$V$194,4,0)</f>
        <v>0.69988799999999995</v>
      </c>
      <c r="H36" s="250">
        <f>VLOOKUP(B36,'[2]市場監控 '!$F$7:$V$194,5,0)</f>
        <v>1.41536</v>
      </c>
      <c r="I36" s="251">
        <f>VLOOKUP(B36,'[2]市場監控 '!$F$7:$V$194,6,0)</f>
        <v>17.350729999999999</v>
      </c>
      <c r="J36" s="252">
        <f>IF(ISNUMBER(VLOOKUP(B36,'[2]市場監控 '!$F$7:$V$194,7,)),VLOOKUP(B36,'[2]市場監控 '!$F$7:$V$194,7,),"-")</f>
        <v>31.694520000000001</v>
      </c>
      <c r="K36" s="253">
        <v>1</v>
      </c>
      <c r="L36" s="253">
        <f>IF(ISNUMBER(VLOOKUP(B36,'[2]市場監控 '!$F$7:$V$194,9,0)),VLOOKUP(B36,'[2]市場監控 '!$F$7:$V$194,9,0),"-")</f>
        <v>8.9609999999999995E-2</v>
      </c>
      <c r="M36" s="254">
        <f>IF(ISNUMBER(VLOOKUP(B36,'[2]市場監控 '!$F$7:$V$194,10,0)),VLOOKUP(B36,'[2]市場監控 '!$F$7:$V$194,10,0),"-")</f>
        <v>9.4395399999999992</v>
      </c>
      <c r="N36" s="255" t="str">
        <f>VLOOKUP(B36,'[2]市場監控 '!$F$7:$AJ$194,31,0)</f>
        <v/>
      </c>
      <c r="O36" s="256" t="str">
        <f>VLOOKUP(B36,'[2]市場監控 '!$F$7:$V$194,12,0)</f>
        <v>AA-</v>
      </c>
      <c r="P36" s="256" t="str">
        <f>VLOOKUP(B36,'[2]市場監控 '!$F$7:$V$194,13,0)</f>
        <v>-</v>
      </c>
      <c r="Q36" s="257" t="str">
        <f>VLOOKUP(B36,'[2]市場監控 '!$F$7:$V$194,14,0)</f>
        <v>AA-</v>
      </c>
      <c r="R36" s="256" t="s">
        <v>935</v>
      </c>
      <c r="S36" s="256" t="s">
        <v>935</v>
      </c>
      <c r="T36" s="257" t="s">
        <v>935</v>
      </c>
      <c r="U36" s="243" t="e">
        <f>IF(O25=#REF!, 0,1)</f>
        <v>#REF!</v>
      </c>
      <c r="V36" s="243" t="e">
        <f>IF(P25=#REF!, 0,1)</f>
        <v>#REF!</v>
      </c>
      <c r="W36" s="243" t="e">
        <f>IF(Q25=#REF!, 0,1)</f>
        <v>#REF!</v>
      </c>
      <c r="X36" s="243" t="e">
        <f>IF(R36=#REF!, 0,1)</f>
        <v>#REF!</v>
      </c>
      <c r="Y36" s="243" t="e">
        <f>IF(S36=#REF!, 0,1)</f>
        <v>#REF!</v>
      </c>
      <c r="Z36" s="243" t="e">
        <f>IF(T36=#REF!, 0,1)</f>
        <v>#REF!</v>
      </c>
      <c r="AA36" s="225" t="e">
        <f ca="1">MATCH(C36,'市場監控 '!$K$7:$K$194,0)</f>
        <v>#N/A</v>
      </c>
    </row>
    <row r="37" spans="1:27" ht="16.5" customHeight="1">
      <c r="A37" s="652"/>
      <c r="B37" s="245" t="s">
        <v>1727</v>
      </c>
      <c r="C37" s="246" t="s">
        <v>1728</v>
      </c>
      <c r="D37" s="266">
        <f>VLOOKUP(B37,'[2]市場監控 '!$F$7:$V$194,3,0)</f>
        <v>38.97</v>
      </c>
      <c r="E37" s="261">
        <f>VLOOKUP($B37,'[2]市場監控 '!$F$7:$AX$230,43,0)</f>
        <v>38.49</v>
      </c>
      <c r="F37" s="249">
        <f>VLOOKUP($B37,'[2]市場監控 '!$F$7:$AX$230,45,0)</f>
        <v>0.13007284079085135</v>
      </c>
      <c r="G37" s="250">
        <f>VLOOKUP(B37,'[2]市場監控 '!$F$7:$V$194,4,0)</f>
        <v>0.38639879999999999</v>
      </c>
      <c r="H37" s="250">
        <f>VLOOKUP(B37,'[2]市場監控 '!$F$7:$V$194,5,0)</f>
        <v>0.43814429999999999</v>
      </c>
      <c r="I37" s="251">
        <f>VLOOKUP(B37,'[2]市場監控 '!$F$7:$V$194,6,0)</f>
        <v>5.0404359999999997</v>
      </c>
      <c r="J37" s="252">
        <f>IF(ISNUMBER(VLOOKUP(B37,'[2]市場監控 '!$F$7:$V$194,7,)),VLOOKUP(B37,'[2]市場監控 '!$F$7:$V$194,7,),"-")</f>
        <v>31.791689999999999</v>
      </c>
      <c r="K37" s="253">
        <v>1</v>
      </c>
      <c r="L37" s="253">
        <f>IF(ISNUMBER(VLOOKUP(B37,'[2]市場監控 '!$F$7:$V$194,9,0)),VLOOKUP(B37,'[2]市場監控 '!$F$7:$V$194,9,0),"-")</f>
        <v>0.75041999999999998</v>
      </c>
      <c r="M37" s="254">
        <f>IF(ISNUMBER(VLOOKUP(B37,'[2]市場監控 '!$F$7:$V$194,10,0)),VLOOKUP(B37,'[2]市場監控 '!$F$7:$V$194,10,0),"-")</f>
        <v>10.310180000000001</v>
      </c>
      <c r="N37" s="255" t="str">
        <f>VLOOKUP(B37,'[2]市場監控 '!$F$7:$AJ$194,31,0)</f>
        <v/>
      </c>
      <c r="O37" s="256" t="str">
        <f>VLOOKUP(B37,'[2]市場監控 '!$F$7:$V$194,12,0)</f>
        <v>AA-</v>
      </c>
      <c r="P37" s="256" t="str">
        <f>VLOOKUP(B37,'[2]市場監控 '!$F$7:$V$194,13,0)</f>
        <v>-</v>
      </c>
      <c r="Q37" s="257" t="str">
        <f>VLOOKUP(B37,'[2]市場監控 '!$F$7:$V$194,14,0)</f>
        <v>AA-</v>
      </c>
      <c r="R37" s="256" t="s">
        <v>935</v>
      </c>
      <c r="S37" s="256" t="s">
        <v>940</v>
      </c>
      <c r="T37" s="257" t="s">
        <v>935</v>
      </c>
      <c r="U37" s="243" t="e">
        <f>IF(O26=#REF!, 0,1)</f>
        <v>#REF!</v>
      </c>
      <c r="V37" s="243" t="e">
        <f>IF(P26=#REF!, 0,1)</f>
        <v>#REF!</v>
      </c>
      <c r="W37" s="243" t="e">
        <f>IF(Q26=#REF!, 0,1)</f>
        <v>#REF!</v>
      </c>
      <c r="X37" s="243" t="e">
        <f>IF(R37=#REF!, 0,1)</f>
        <v>#REF!</v>
      </c>
      <c r="Y37" s="243" t="e">
        <f>IF(S37=#REF!, 0,1)</f>
        <v>#REF!</v>
      </c>
      <c r="Z37" s="243" t="e">
        <f>IF(T37=#REF!, 0,1)</f>
        <v>#REF!</v>
      </c>
      <c r="AA37" s="225" t="e">
        <f ca="1">MATCH(C37,'市場監控 '!$K$7:$K$194,0)</f>
        <v>#N/A</v>
      </c>
    </row>
    <row r="38" spans="1:27" ht="16.5" customHeight="1">
      <c r="A38" s="652"/>
      <c r="B38" s="245" t="s">
        <v>1729</v>
      </c>
      <c r="C38" s="246" t="s">
        <v>1730</v>
      </c>
      <c r="D38" s="266">
        <f>VLOOKUP(B38,'[2]市場監控 '!$F$7:$V$194,3,0)</f>
        <v>34.44</v>
      </c>
      <c r="E38" s="261">
        <f>VLOOKUP($B38,'[2]市場監控 '!$F$7:$AX$230,43,0)</f>
        <v>33.659999999999997</v>
      </c>
      <c r="F38" s="249">
        <f>VLOOKUP($B38,'[2]市場監控 '!$F$7:$AX$230,45,0)</f>
        <v>0.62780269058293481</v>
      </c>
      <c r="G38" s="250">
        <f>VLOOKUP(B38,'[2]市場監控 '!$F$7:$V$194,4,0)</f>
        <v>0.37889830000000002</v>
      </c>
      <c r="H38" s="250">
        <f>VLOOKUP(B38,'[2]市場監控 '!$F$7:$V$194,5,0)</f>
        <v>2.317291</v>
      </c>
      <c r="I38" s="251">
        <f>VLOOKUP(B38,'[2]市場監控 '!$F$7:$V$194,6,0)</f>
        <v>6.5748769999999999</v>
      </c>
      <c r="J38" s="252">
        <f>IF(ISNUMBER(VLOOKUP(B38,'[2]市場監控 '!$F$7:$V$194,7,)),VLOOKUP(B38,'[2]市場監控 '!$F$7:$V$194,7,),"-")</f>
        <v>45.397129999999997</v>
      </c>
      <c r="K38" s="253">
        <v>1</v>
      </c>
      <c r="L38" s="253">
        <f>IF(ISNUMBER(VLOOKUP(B38,'[2]市場監控 '!$F$7:$V$194,9,0)),VLOOKUP(B38,'[2]市場監控 '!$F$7:$V$194,9,0),"-")</f>
        <v>-0.81062999999999996</v>
      </c>
      <c r="M38" s="254">
        <f>IF(ISNUMBER(VLOOKUP(B38,'[2]市場監控 '!$F$7:$V$194,10,0)),VLOOKUP(B38,'[2]市場監控 '!$F$7:$V$194,10,0),"-")</f>
        <v>-8.4399800000000003</v>
      </c>
      <c r="N38" s="255" t="str">
        <f>VLOOKUP(B38,'[2]市場監控 '!$F$7:$AJ$194,31,0)</f>
        <v/>
      </c>
      <c r="O38" s="256" t="str">
        <f>VLOOKUP(B38,'[2]市場監控 '!$F$7:$V$194,12,0)</f>
        <v>AA-</v>
      </c>
      <c r="P38" s="256" t="str">
        <f>VLOOKUP(B38,'[2]市場監控 '!$F$7:$V$194,13,0)</f>
        <v>Aa2</v>
      </c>
      <c r="Q38" s="257" t="str">
        <f>VLOOKUP(B38,'[2]市場監控 '!$F$7:$V$194,14,0)</f>
        <v>AA-</v>
      </c>
      <c r="R38" s="256" t="s">
        <v>935</v>
      </c>
      <c r="S38" s="256" t="s">
        <v>940</v>
      </c>
      <c r="T38" s="257" t="s">
        <v>935</v>
      </c>
      <c r="U38" s="243" t="e">
        <f>IF(O27=#REF!, 0,1)</f>
        <v>#REF!</v>
      </c>
      <c r="V38" s="243" t="e">
        <f>IF(P27=#REF!, 0,1)</f>
        <v>#REF!</v>
      </c>
      <c r="W38" s="243" t="e">
        <f>IF(Q27=#REF!, 0,1)</f>
        <v>#REF!</v>
      </c>
      <c r="X38" s="243" t="e">
        <f>IF(R38=#REF!, 0,1)</f>
        <v>#REF!</v>
      </c>
      <c r="Y38" s="243" t="e">
        <f>IF(S38=#REF!, 0,1)</f>
        <v>#REF!</v>
      </c>
      <c r="Z38" s="243" t="e">
        <f>IF(T38=#REF!, 0,1)</f>
        <v>#REF!</v>
      </c>
      <c r="AA38" s="225" t="e">
        <f ca="1">MATCH(C38,'市場監控 '!$K$7:$K$194,0)</f>
        <v>#N/A</v>
      </c>
    </row>
    <row r="39" spans="1:27" ht="16.5" customHeight="1" thickBot="1">
      <c r="A39" s="652"/>
      <c r="B39" s="270" t="s">
        <v>1731</v>
      </c>
      <c r="C39" s="271" t="s">
        <v>1732</v>
      </c>
      <c r="D39" s="272">
        <f>VLOOKUP(B39,'[2]市場監控 '!$F$7:$V$194,3,0)</f>
        <v>212.43</v>
      </c>
      <c r="E39" s="273">
        <f>VLOOKUP($B39,'[2]市場監控 '!$F$7:$AX$230,43,0)</f>
        <v>214.2</v>
      </c>
      <c r="F39" s="274">
        <f>VLOOKUP($B39,'[2]市場監控 '!$F$7:$AX$230,45,0)</f>
        <v>0.19646365422396617</v>
      </c>
      <c r="G39" s="250">
        <f>VLOOKUP(B39,'[2]市場監控 '!$F$7:$V$194,4,0)</f>
        <v>-0.49184939999999999</v>
      </c>
      <c r="H39" s="250">
        <f>VLOOKUP(B39,'[2]市場監控 '!$F$7:$V$194,5,0)</f>
        <v>-1.2366919999999999</v>
      </c>
      <c r="I39" s="251">
        <f>VLOOKUP(B39,'[2]市場監控 '!$F$7:$V$194,6,0)</f>
        <v>-4.1777550000000003</v>
      </c>
      <c r="J39" s="252">
        <f>IF(ISNUMBER(VLOOKUP(B39,'[2]市場監控 '!$F$7:$V$194,7,)),VLOOKUP(B39,'[2]市場監控 '!$F$7:$V$194,7,),"-")</f>
        <v>45.397129999999997</v>
      </c>
      <c r="K39" s="253">
        <v>1</v>
      </c>
      <c r="L39" s="253">
        <f>IF(ISNUMBER(VLOOKUP(B39,'[2]市場監控 '!$F$7:$V$194,9,0)),VLOOKUP(B39,'[2]市場監控 '!$F$7:$V$194,9,0),"-")</f>
        <v>-0.81062999999999996</v>
      </c>
      <c r="M39" s="254">
        <f>IF(ISNUMBER(VLOOKUP(B39,'[2]市場監控 '!$F$7:$V$194,10,0)),VLOOKUP(B39,'[2]市場監控 '!$F$7:$V$194,10,0),"-")</f>
        <v>-8.4399800000000003</v>
      </c>
      <c r="N39" s="255" t="str">
        <f>VLOOKUP(B39,'[2]市場監控 '!$F$7:$AJ$194,31,0)</f>
        <v/>
      </c>
      <c r="O39" s="256" t="str">
        <f>VLOOKUP(B39,'[2]市場監控 '!$F$7:$V$194,12,0)</f>
        <v>BBB+</v>
      </c>
      <c r="P39" s="256" t="str">
        <f>VLOOKUP(B39,'[2]市場監控 '!$F$7:$V$194,13,0)</f>
        <v>-</v>
      </c>
      <c r="Q39" s="257" t="str">
        <f>VLOOKUP(B39,'[2]市場監控 '!$F$7:$V$194,14,0)</f>
        <v>A</v>
      </c>
      <c r="R39" s="256" t="s">
        <v>935</v>
      </c>
      <c r="S39" s="256" t="s">
        <v>940</v>
      </c>
      <c r="T39" s="257" t="s">
        <v>935</v>
      </c>
      <c r="U39" s="243" t="e">
        <f>IF(O28=#REF!, 0,1)</f>
        <v>#REF!</v>
      </c>
      <c r="V39" s="243" t="e">
        <f>IF(P28=#REF!, 0,1)</f>
        <v>#REF!</v>
      </c>
      <c r="W39" s="243" t="e">
        <f>IF(Q28=#REF!, 0,1)</f>
        <v>#REF!</v>
      </c>
      <c r="X39" s="243" t="e">
        <f>IF(R39=#REF!, 0,1)</f>
        <v>#REF!</v>
      </c>
      <c r="Y39" s="243" t="e">
        <f>IF(S39=#REF!, 0,1)</f>
        <v>#REF!</v>
      </c>
      <c r="Z39" s="243" t="e">
        <f>IF(T39=#REF!, 0,1)</f>
        <v>#REF!</v>
      </c>
      <c r="AA39" s="225" t="e">
        <f ca="1">MATCH(C39,'市場監控 '!$K$7:$K$194,0)</f>
        <v>#N/A</v>
      </c>
    </row>
    <row r="40" spans="1:27" ht="16.5" customHeight="1">
      <c r="A40" s="651" t="s">
        <v>952</v>
      </c>
      <c r="B40" s="275" t="s">
        <v>1733</v>
      </c>
      <c r="C40" s="276" t="s">
        <v>1734</v>
      </c>
      <c r="D40" s="277">
        <f>VLOOKUP(B40,'[2]市場監控 '!$F$7:$V$194,3,0)</f>
        <v>85.78</v>
      </c>
      <c r="E40" s="278">
        <f>VLOOKUP($B40,'[2]市場監控 '!$F$7:$AX$230,43,0)</f>
        <v>84.58</v>
      </c>
      <c r="F40" s="279">
        <f>VLOOKUP($B40,'[2]市場監控 '!$F$7:$AX$230,45,0)</f>
        <v>2.0757904899830981</v>
      </c>
      <c r="G40" s="280">
        <f>VLOOKUP(B40,'[2]市場監控 '!$F$7:$V$194,4,0)</f>
        <v>1.4187749999999999</v>
      </c>
      <c r="H40" s="280">
        <f>VLOOKUP(B40,'[2]市場監控 '!$F$7:$V$194,5,0)</f>
        <v>3.4990350000000001</v>
      </c>
      <c r="I40" s="281">
        <f>VLOOKUP(B40,'[2]市場監控 '!$F$7:$V$194,6,0)</f>
        <v>25.592970000000001</v>
      </c>
      <c r="J40" s="282">
        <f>IF(ISNUMBER(VLOOKUP(B40,'[2]市場監控 '!$F$7:$V$194,7,)),VLOOKUP(B40,'[2]市場監控 '!$F$7:$V$194,7,),"-")</f>
        <v>48.61242</v>
      </c>
      <c r="K40" s="283">
        <v>1</v>
      </c>
      <c r="L40" s="283">
        <f>IF(ISNUMBER(VLOOKUP(B40,'[2]市場監控 '!$F$7:$V$194,9,0)),VLOOKUP(B40,'[2]市場監控 '!$F$7:$V$194,9,0),"-")</f>
        <v>-0.25413000000000002</v>
      </c>
      <c r="M40" s="284">
        <f>IF(ISNUMBER(VLOOKUP(B40,'[2]市場監控 '!$F$7:$V$194,10,0)),VLOOKUP(B40,'[2]市場監控 '!$F$7:$V$194,10,0),"-")</f>
        <v>-6.9007800000000001</v>
      </c>
      <c r="N40" s="285" t="str">
        <f>VLOOKUP(B40,'[2]市場監控 '!$F$7:$AJ$194,31,0)</f>
        <v/>
      </c>
      <c r="O40" s="259" t="str">
        <f>VLOOKUP(B40,'[2]市場監控 '!$F$7:$V$194,12,0)</f>
        <v>BBB</v>
      </c>
      <c r="P40" s="259" t="str">
        <f>VLOOKUP(B40,'[2]市場監控 '!$F$7:$V$194,13,0)</f>
        <v>Baa2</v>
      </c>
      <c r="Q40" s="260" t="str">
        <f>VLOOKUP(B40,'[2]市場監控 '!$F$7:$V$194,14,0)</f>
        <v>BBB</v>
      </c>
      <c r="R40" s="256" t="s">
        <v>935</v>
      </c>
      <c r="S40" s="256" t="s">
        <v>940</v>
      </c>
      <c r="T40" s="257" t="s">
        <v>940</v>
      </c>
      <c r="U40" s="243" t="e">
        <f>IF(O31=#REF!, 0,1)</f>
        <v>#REF!</v>
      </c>
      <c r="V40" s="243" t="e">
        <f>IF(P31=#REF!, 0,1)</f>
        <v>#REF!</v>
      </c>
      <c r="W40" s="243" t="e">
        <f>IF(Q31=#REF!, 0,1)</f>
        <v>#REF!</v>
      </c>
      <c r="X40" s="243" t="e">
        <f>IF(R40=#REF!, 0,1)</f>
        <v>#REF!</v>
      </c>
      <c r="Y40" s="243" t="e">
        <f>IF(S40=#REF!, 0,1)</f>
        <v>#REF!</v>
      </c>
      <c r="Z40" s="243" t="e">
        <f>IF(T40=#REF!, 0,1)</f>
        <v>#REF!</v>
      </c>
      <c r="AA40" s="225" t="e">
        <f ca="1">MATCH(C40,'市場監控 '!$K$7:$K$194,0)</f>
        <v>#N/A</v>
      </c>
    </row>
    <row r="41" spans="1:27" ht="16.5" customHeight="1">
      <c r="A41" s="652"/>
      <c r="B41" s="245" t="s">
        <v>1735</v>
      </c>
      <c r="C41" s="246" t="s">
        <v>1736</v>
      </c>
      <c r="D41" s="266">
        <f>VLOOKUP(B41,'[2]市場監控 '!$F$7:$V$194,3,0)</f>
        <v>43.18</v>
      </c>
      <c r="E41" s="261">
        <f>VLOOKUP($B41,'[2]市場監控 '!$F$7:$AX$230,43,0)</f>
        <v>43.15</v>
      </c>
      <c r="F41" s="249">
        <f>VLOOKUP($B41,'[2]市場監控 '!$F$7:$AX$230,45,0)</f>
        <v>0.62966417910446104</v>
      </c>
      <c r="G41" s="250">
        <f>VLOOKUP(B41,'[2]市場監控 '!$F$7:$V$194,4,0)</f>
        <v>6.9524909999999995E-2</v>
      </c>
      <c r="H41" s="250">
        <f>VLOOKUP(B41,'[2]市場監控 '!$F$7:$V$194,5,0)</f>
        <v>0.53550640000000005</v>
      </c>
      <c r="I41" s="251">
        <f>VLOOKUP(B41,'[2]市場監控 '!$F$7:$V$194,6,0)</f>
        <v>7.9769899999999998</v>
      </c>
      <c r="J41" s="252">
        <f>IF(ISNUMBER(VLOOKUP(B41,'[2]市場監控 '!$F$7:$V$194,7,)),VLOOKUP(B41,'[2]市場監控 '!$F$7:$V$194,7,),"-")</f>
        <v>65.827269999999999</v>
      </c>
      <c r="K41" s="253">
        <v>1</v>
      </c>
      <c r="L41" s="253">
        <f>IF(ISNUMBER(VLOOKUP(B41,'[2]市場監控 '!$F$7:$V$194,9,0)),VLOOKUP(B41,'[2]市場監控 '!$F$7:$V$194,9,0),"-")</f>
        <v>-3.6510000000000001E-2</v>
      </c>
      <c r="M41" s="254">
        <f>IF(ISNUMBER(VLOOKUP(B41,'[2]市場監控 '!$F$7:$V$194,10,0)),VLOOKUP(B41,'[2]市場監控 '!$F$7:$V$194,10,0),"-")</f>
        <v>-15.21461</v>
      </c>
      <c r="N41" s="255" t="str">
        <f>VLOOKUP(B41,'[2]市場監控 '!$F$7:$AJ$194,31,0)</f>
        <v>Y</v>
      </c>
      <c r="O41" s="256" t="str">
        <f>VLOOKUP(B41,'[2]市場監控 '!$F$7:$V$194,12,0)</f>
        <v>BBB+</v>
      </c>
      <c r="P41" s="256" t="str">
        <f>VLOOKUP(B41,'[2]市場監控 '!$F$7:$V$194,13,0)</f>
        <v>Baa1</v>
      </c>
      <c r="Q41" s="257" t="str">
        <f>VLOOKUP(B41,'[2]市場監控 '!$F$7:$V$194,14,0)</f>
        <v>A-</v>
      </c>
      <c r="R41" s="256"/>
      <c r="S41" s="256"/>
      <c r="T41" s="257"/>
      <c r="U41" s="243"/>
      <c r="V41" s="243"/>
      <c r="W41" s="243"/>
      <c r="X41" s="243"/>
      <c r="Y41" s="243"/>
      <c r="Z41" s="243"/>
      <c r="AA41" s="225" t="e">
        <f ca="1">MATCH(C41,'市場監控 '!$K$7:$K$194,0)</f>
        <v>#N/A</v>
      </c>
    </row>
    <row r="42" spans="1:27" ht="16.5" customHeight="1">
      <c r="A42" s="652"/>
      <c r="B42" s="245" t="s">
        <v>1737</v>
      </c>
      <c r="C42" s="246" t="s">
        <v>1738</v>
      </c>
      <c r="D42" s="266">
        <f>VLOOKUP(B42,'[2]市場監控 '!$F$7:$V$194,3,0)</f>
        <v>29.97</v>
      </c>
      <c r="E42" s="261">
        <f>VLOOKUP($B42,'[2]市場監控 '!$F$7:$AX$230,43,0)</f>
        <v>29.52</v>
      </c>
      <c r="F42" s="249">
        <f>VLOOKUP($B42,'[2]市場監控 '!$F$7:$AX$230,45,0)</f>
        <v>-5.0498552589256951</v>
      </c>
      <c r="G42" s="250">
        <f>VLOOKUP(B42,'[2]市場監控 '!$F$7:$V$194,4,0)</f>
        <v>1.5243899999999999</v>
      </c>
      <c r="H42" s="250">
        <f>VLOOKUP(B42,'[2]市場監控 '!$F$7:$V$194,5,0)</f>
        <v>-4.8873369999999996</v>
      </c>
      <c r="I42" s="251">
        <f>VLOOKUP(B42,'[2]市場監控 '!$F$7:$V$194,6,0)</f>
        <v>3.7383199999999999</v>
      </c>
      <c r="J42" s="252">
        <f>IF(ISNUMBER(VLOOKUP(B42,'[2]市場監控 '!$F$7:$V$194,7,)),VLOOKUP(B42,'[2]市場監控 '!$F$7:$V$194,7,),"-")</f>
        <v>30.98357</v>
      </c>
      <c r="K42" s="253">
        <v>1</v>
      </c>
      <c r="L42" s="253">
        <f>IF(ISNUMBER(VLOOKUP(B42,'[2]市場監控 '!$F$7:$V$194,9,0)),VLOOKUP(B42,'[2]市場監控 '!$F$7:$V$194,9,0),"-")</f>
        <v>-0.83601000000000003</v>
      </c>
      <c r="M42" s="254">
        <f>IF(ISNUMBER(VLOOKUP(B42,'[2]市場監控 '!$F$7:$V$194,10,0)),VLOOKUP(B42,'[2]市場監控 '!$F$7:$V$194,10,0),"-")</f>
        <v>-7.61076</v>
      </c>
      <c r="N42" s="255" t="str">
        <f>VLOOKUP(B42,'[2]市場監控 '!$F$7:$AJ$194,31,0)</f>
        <v/>
      </c>
      <c r="O42" s="256" t="str">
        <f>VLOOKUP(B42,'[2]市場監控 '!$F$7:$V$194,12,0)</f>
        <v>BBB+</v>
      </c>
      <c r="P42" s="256" t="str">
        <f>VLOOKUP(B42,'[2]市場監控 '!$F$7:$V$194,13,0)</f>
        <v>Baa1</v>
      </c>
      <c r="Q42" s="257" t="str">
        <f>VLOOKUP(B42,'[2]市場監控 '!$F$7:$V$194,14,0)</f>
        <v>BBB+</v>
      </c>
      <c r="R42" s="256"/>
      <c r="S42" s="256"/>
      <c r="T42" s="257"/>
      <c r="U42" s="243"/>
      <c r="V42" s="243"/>
      <c r="W42" s="243"/>
      <c r="X42" s="243"/>
      <c r="Y42" s="243"/>
      <c r="Z42" s="243"/>
      <c r="AA42" s="225" t="e">
        <f ca="1">MATCH(C42,'市場監控 '!$K$7:$K$194,0)</f>
        <v>#N/A</v>
      </c>
    </row>
    <row r="43" spans="1:27" ht="16.5" customHeight="1">
      <c r="A43" s="652"/>
      <c r="B43" s="245" t="s">
        <v>1739</v>
      </c>
      <c r="C43" s="246" t="s">
        <v>1740</v>
      </c>
      <c r="D43" s="266">
        <f>VLOOKUP(B43,'[2]市場監控 '!$F$7:$V$194,3,0)</f>
        <v>248.87</v>
      </c>
      <c r="E43" s="261">
        <f>VLOOKUP($B43,'[2]市場監控 '!$F$7:$AX$230,43,0)</f>
        <v>244.98</v>
      </c>
      <c r="F43" s="249">
        <f>VLOOKUP($B43,'[2]市場監控 '!$F$7:$AX$230,45,0)</f>
        <v>3.2799325463743756</v>
      </c>
      <c r="G43" s="250">
        <f>VLOOKUP(B43,'[2]市場監控 '!$F$7:$V$194,4,0)</f>
        <v>1.587885</v>
      </c>
      <c r="H43" s="250">
        <f>VLOOKUP(B43,'[2]市場監控 '!$F$7:$V$194,5,0)</f>
        <v>3.2612749999999999</v>
      </c>
      <c r="I43" s="251">
        <f>VLOOKUP(B43,'[2]市場監控 '!$F$7:$V$194,6,0)</f>
        <v>12.748609999999999</v>
      </c>
      <c r="J43" s="252">
        <f>IF(ISNUMBER(VLOOKUP(B43,'[2]市場監控 '!$F$7:$V$194,7,)),VLOOKUP(B43,'[2]市場監控 '!$F$7:$V$194,7,),"-")</f>
        <v>42.27608</v>
      </c>
      <c r="K43" s="253">
        <v>1</v>
      </c>
      <c r="L43" s="253">
        <f>IF(ISNUMBER(VLOOKUP(B43,'[2]市場監控 '!$F$7:$V$194,9,0)),VLOOKUP(B43,'[2]市場監控 '!$F$7:$V$194,9,0),"-")</f>
        <v>-0.11722</v>
      </c>
      <c r="M43" s="254">
        <f>IF(ISNUMBER(VLOOKUP(B43,'[2]市場監控 '!$F$7:$V$194,10,0)),VLOOKUP(B43,'[2]市場監控 '!$F$7:$V$194,10,0),"-")</f>
        <v>2.0447600000000001</v>
      </c>
      <c r="N43" s="255" t="str">
        <f>VLOOKUP(B43,'[2]市場監控 '!$F$7:$AJ$194,31,0)</f>
        <v/>
      </c>
      <c r="O43" s="256" t="str">
        <f>VLOOKUP(B43,'[2]市場監控 '!$F$7:$V$194,12,0)</f>
        <v>BBB</v>
      </c>
      <c r="P43" s="256" t="str">
        <f>VLOOKUP(B43,'[2]市場監控 '!$F$7:$V$194,13,0)</f>
        <v>-</v>
      </c>
      <c r="Q43" s="257" t="str">
        <f>VLOOKUP(B43,'[2]市場監控 '!$F$7:$V$194,14,0)</f>
        <v>BBB+</v>
      </c>
      <c r="R43" s="256"/>
      <c r="S43" s="256"/>
      <c r="T43" s="257"/>
      <c r="U43" s="243"/>
      <c r="V43" s="243"/>
      <c r="W43" s="243"/>
      <c r="X43" s="243"/>
      <c r="Y43" s="243"/>
      <c r="Z43" s="243"/>
      <c r="AA43" s="225" t="e">
        <f ca="1">MATCH(C43,'市場監控 '!$K$7:$K$194,0)</f>
        <v>#N/A</v>
      </c>
    </row>
    <row r="44" spans="1:27" ht="16.5" customHeight="1" thickBot="1">
      <c r="A44" s="653"/>
      <c r="B44" s="286" t="s">
        <v>1741</v>
      </c>
      <c r="C44" s="287" t="s">
        <v>1742</v>
      </c>
      <c r="D44" s="288">
        <f>VLOOKUP(B44,'[2]市場監控 '!$F$7:$V$194,3,0)</f>
        <v>28.14</v>
      </c>
      <c r="E44" s="289">
        <f>VLOOKUP($B44,'[2]市場監控 '!$F$7:$AX$230,43,0)</f>
        <v>28.08</v>
      </c>
      <c r="F44" s="290">
        <f>VLOOKUP($B44,'[2]市場監控 '!$F$7:$AX$230,45,0)</f>
        <v>1.189189189189177</v>
      </c>
      <c r="G44" s="291">
        <f>VLOOKUP(B44,'[2]市場監控 '!$F$7:$V$194,4,0)</f>
        <v>0.21367520000000001</v>
      </c>
      <c r="H44" s="291">
        <f>VLOOKUP(B44,'[2]市場監控 '!$F$7:$V$194,5,0)</f>
        <v>1.66185</v>
      </c>
      <c r="I44" s="292">
        <f>VLOOKUP(B44,'[2]市場監控 '!$F$7:$V$194,6,0)</f>
        <v>23.583659999999998</v>
      </c>
      <c r="J44" s="293">
        <f>IF(ISNUMBER(VLOOKUP(B44,'[2]市場監控 '!$F$7:$V$194,7,)),VLOOKUP(B44,'[2]市場監控 '!$F$7:$V$194,7,),"-")</f>
        <v>65.827269999999999</v>
      </c>
      <c r="K44" s="294">
        <v>1</v>
      </c>
      <c r="L44" s="294">
        <f>IF(ISNUMBER(VLOOKUP(B44,'[2]市場監控 '!$F$7:$V$194,9,0)),VLOOKUP(B44,'[2]市場監控 '!$F$7:$V$194,9,0),"-")</f>
        <v>-3.6510000000000001E-2</v>
      </c>
      <c r="M44" s="295">
        <f>IF(ISNUMBER(VLOOKUP(B44,'[2]市場監控 '!$F$7:$V$194,10,0)),VLOOKUP(B44,'[2]市場監控 '!$F$7:$V$194,10,0),"-")</f>
        <v>-15.21461</v>
      </c>
      <c r="N44" s="296" t="str">
        <f>VLOOKUP(B44,'[2]市場監控 '!$F$7:$AJ$194,31,0)</f>
        <v/>
      </c>
      <c r="O44" s="297" t="str">
        <f>VLOOKUP(B44,'[2]市場監控 '!$F$7:$V$194,12,0)</f>
        <v>BBB</v>
      </c>
      <c r="P44" s="297" t="str">
        <f>VLOOKUP(B44,'[2]市場監控 '!$F$7:$V$194,13,0)</f>
        <v>Baa2</v>
      </c>
      <c r="Q44" s="298" t="str">
        <f>VLOOKUP(B44,'[2]市場監控 '!$F$7:$V$194,14,0)</f>
        <v>BBB+</v>
      </c>
      <c r="R44" s="256" t="s">
        <v>935</v>
      </c>
      <c r="S44" s="256" t="s">
        <v>940</v>
      </c>
      <c r="T44" s="257" t="s">
        <v>935</v>
      </c>
      <c r="U44" s="243" t="e">
        <f>IF(O35=#REF!, 0,1)</f>
        <v>#REF!</v>
      </c>
      <c r="V44" s="243" t="e">
        <f>IF(P35=#REF!, 0,1)</f>
        <v>#REF!</v>
      </c>
      <c r="W44" s="243" t="e">
        <f>IF(Q35=#REF!, 0,1)</f>
        <v>#REF!</v>
      </c>
      <c r="X44" s="243" t="e">
        <f>IF(R44=#REF!, 0,1)</f>
        <v>#REF!</v>
      </c>
      <c r="Y44" s="243" t="e">
        <f>IF(S44=#REF!, 0,1)</f>
        <v>#REF!</v>
      </c>
      <c r="Z44" s="243" t="e">
        <f>IF(T44=#REF!, 0,1)</f>
        <v>#REF!</v>
      </c>
      <c r="AA44" s="225" t="e">
        <f ca="1">MATCH(C44,'市場監控 '!$K$7:$K$194,0)</f>
        <v>#N/A</v>
      </c>
    </row>
    <row r="45" spans="1:27" ht="16.5" customHeight="1">
      <c r="A45" s="651" t="s">
        <v>1148</v>
      </c>
      <c r="B45" s="299" t="s">
        <v>1743</v>
      </c>
      <c r="C45" s="300" t="s">
        <v>1744</v>
      </c>
      <c r="D45" s="301">
        <f>VLOOKUP(B45,'[2]市場監控 '!$F$7:$V$194,3,0)</f>
        <v>221.3</v>
      </c>
      <c r="E45" s="302">
        <f>VLOOKUP($B45,'[2]市場監控 '!$F$7:$AX$230,43,0)</f>
        <v>222.69</v>
      </c>
      <c r="F45" s="303">
        <f>VLOOKUP($B45,'[2]市場監控 '!$F$7:$AX$230,45,0)</f>
        <v>3.6973224679860195</v>
      </c>
      <c r="G45" s="304">
        <f>VLOOKUP(B45,'[2]市場監控 '!$F$7:$V$194,4,0)</f>
        <v>-0.62418609999999997</v>
      </c>
      <c r="H45" s="304">
        <f>VLOOKUP(B45,'[2]市場監控 '!$F$7:$V$194,5,0)</f>
        <v>4.5594140000000003</v>
      </c>
      <c r="I45" s="305">
        <f>VLOOKUP(B45,'[2]市場監控 '!$F$7:$V$194,6,0)</f>
        <v>0.87059600000000004</v>
      </c>
      <c r="J45" s="306">
        <f>IF(ISNUMBER(VLOOKUP(B45,'[2]市場監控 '!$F$7:$V$194,7,)),VLOOKUP(B45,'[2]市場監控 '!$F$7:$V$194,7,),"-")</f>
        <v>65.827269999999999</v>
      </c>
      <c r="K45" s="307">
        <v>1</v>
      </c>
      <c r="L45" s="307">
        <f>IF(ISNUMBER(VLOOKUP(B45,'[2]市場監控 '!$F$7:$V$194,9,0)),VLOOKUP(B45,'[2]市場監控 '!$F$7:$V$194,9,0),"-")</f>
        <v>-3.6510000000000001E-2</v>
      </c>
      <c r="M45" s="308">
        <f>IF(ISNUMBER(VLOOKUP(B45,'[2]市場監控 '!$F$7:$V$194,10,0)),VLOOKUP(B45,'[2]市場監控 '!$F$7:$V$194,10,0),"-")</f>
        <v>-15.21461</v>
      </c>
      <c r="N45" s="309" t="str">
        <f>VLOOKUP(B45,'[2]市場監控 '!$F$7:$AJ$194,31,0)</f>
        <v/>
      </c>
      <c r="O45" s="310" t="str">
        <f>VLOOKUP(B45,'[2]市場監控 '!$F$7:$V$194,12,0)</f>
        <v>AA</v>
      </c>
      <c r="P45" s="310" t="str">
        <f>VLOOKUP(B45,'[2]市場監控 '!$F$7:$V$194,13,0)</f>
        <v>A1</v>
      </c>
      <c r="Q45" s="311" t="str">
        <f>VLOOKUP(B45,'[2]市場監控 '!$F$7:$V$194,14,0)</f>
        <v>AA-</v>
      </c>
      <c r="R45" s="256"/>
      <c r="S45" s="256"/>
      <c r="T45" s="257"/>
      <c r="U45" s="243"/>
      <c r="V45" s="243"/>
      <c r="W45" s="243"/>
      <c r="X45" s="243"/>
      <c r="Y45" s="243"/>
      <c r="Z45" s="243"/>
      <c r="AA45" s="225" t="e">
        <f ca="1">MATCH(C45,'市場監控 '!$K$7:$K$194,0)</f>
        <v>#N/A</v>
      </c>
    </row>
    <row r="46" spans="1:27" ht="16.5" customHeight="1">
      <c r="A46" s="652"/>
      <c r="B46" s="299" t="s">
        <v>1745</v>
      </c>
      <c r="C46" s="300" t="s">
        <v>1746</v>
      </c>
      <c r="D46" s="301">
        <f>VLOOKUP(B46,'[2]市場監控 '!$F$7:$V$194,3,0)</f>
        <v>1180</v>
      </c>
      <c r="E46" s="302">
        <f>VLOOKUP($B46,'[2]市場監控 '!$F$7:$AX$230,43,0)</f>
        <v>1175</v>
      </c>
      <c r="F46" s="303">
        <f>VLOOKUP($B46,'[2]市場監控 '!$F$7:$AX$230,45,0)</f>
        <v>3.0701754385964897</v>
      </c>
      <c r="G46" s="304">
        <f>VLOOKUP(B46,'[2]市場監控 '!$F$7:$V$194,4,0)</f>
        <v>0</v>
      </c>
      <c r="H46" s="304">
        <f>VLOOKUP(B46,'[2]市場監控 '!$F$7:$V$194,5,0)</f>
        <v>2.6086960000000001</v>
      </c>
      <c r="I46" s="305">
        <f>VLOOKUP(B46,'[2]市場監控 '!$F$7:$V$194,6,0)</f>
        <v>9.3023260000000008</v>
      </c>
      <c r="J46" s="306">
        <f>IF(ISNUMBER(VLOOKUP(B46,'[2]市場監控 '!$F$7:$V$194,7,)),VLOOKUP(B46,'[2]市場監控 '!$F$7:$V$194,7,),"-")</f>
        <v>34.91431</v>
      </c>
      <c r="K46" s="307">
        <v>1</v>
      </c>
      <c r="L46" s="307">
        <f>IF(ISNUMBER(VLOOKUP(B46,'[2]市場監控 '!$F$7:$V$194,9,0)),VLOOKUP(B46,'[2]市場監控 '!$F$7:$V$194,9,0),"-")</f>
        <v>-1.5907100000000001</v>
      </c>
      <c r="M46" s="308">
        <f>IF(ISNUMBER(VLOOKUP(B46,'[2]市場監控 '!$F$7:$V$194,10,0)),VLOOKUP(B46,'[2]市場監控 '!$F$7:$V$194,10,0),"-")</f>
        <v>-1.68438</v>
      </c>
      <c r="N46" s="309" t="str">
        <f>VLOOKUP(B46,'[2]市場監控 '!$F$7:$AJ$194,31,0)</f>
        <v/>
      </c>
      <c r="O46" s="310" t="str">
        <f>VLOOKUP(B46,'[2]市場監控 '!$F$7:$V$194,12,0)</f>
        <v>AA-</v>
      </c>
      <c r="P46" s="310" t="str">
        <f>VLOOKUP(B46,'[2]市場監控 '!$F$7:$V$194,13,0)</f>
        <v>Aa3</v>
      </c>
      <c r="Q46" s="311" t="str">
        <f>VLOOKUP(B46,'[2]市場監控 '!$F$7:$V$194,14,0)</f>
        <v>NR</v>
      </c>
      <c r="R46" s="256"/>
      <c r="S46" s="256"/>
      <c r="T46" s="257"/>
      <c r="U46" s="243"/>
      <c r="V46" s="243"/>
      <c r="W46" s="243"/>
      <c r="X46" s="243"/>
      <c r="Y46" s="243"/>
      <c r="Z46" s="243"/>
      <c r="AA46" s="225" t="e">
        <f ca="1">MATCH(C46,'市場監控 '!$K$7:$K$194,0)</f>
        <v>#N/A</v>
      </c>
    </row>
    <row r="47" spans="1:27" ht="16.5" customHeight="1">
      <c r="A47" s="652"/>
      <c r="B47" s="299" t="s">
        <v>1747</v>
      </c>
      <c r="C47" s="300" t="s">
        <v>1748</v>
      </c>
      <c r="D47" s="301">
        <f>VLOOKUP(B47,'[2]市場監控 '!$F$7:$V$194,3,0)</f>
        <v>227.18</v>
      </c>
      <c r="E47" s="302">
        <f>VLOOKUP($B47,'[2]市場監控 '!$F$7:$AX$230,43,0)</f>
        <v>229.35</v>
      </c>
      <c r="F47" s="303">
        <f>VLOOKUP($B47,'[2]市場監控 '!$F$7:$AX$230,45,0)</f>
        <v>13.326415653720725</v>
      </c>
      <c r="G47" s="304">
        <f>VLOOKUP(B47,'[2]市場監控 '!$F$7:$V$194,4,0)</f>
        <v>-0.83373350000000002</v>
      </c>
      <c r="H47" s="304">
        <f>VLOOKUP(B47,'[2]市場監控 '!$F$7:$V$194,5,0)</f>
        <v>11.71871</v>
      </c>
      <c r="I47" s="305">
        <f>VLOOKUP(B47,'[2]市場監控 '!$F$7:$V$194,6,0)</f>
        <v>-9.2804079999999995</v>
      </c>
      <c r="J47" s="306">
        <f>IF(ISNUMBER(VLOOKUP(B47,'[2]市場監控 '!$F$7:$V$194,7,)),VLOOKUP(B47,'[2]市場監控 '!$F$7:$V$194,7,),"-")</f>
        <v>56.84628</v>
      </c>
      <c r="K47" s="307">
        <v>1</v>
      </c>
      <c r="L47" s="307">
        <f>IF(ISNUMBER(VLOOKUP(B47,'[2]市場監控 '!$F$7:$V$194,9,0)),VLOOKUP(B47,'[2]市場監控 '!$F$7:$V$194,9,0),"-")</f>
        <v>0.15779000000000001</v>
      </c>
      <c r="M47" s="308">
        <f>IF(ISNUMBER(VLOOKUP(B47,'[2]市場監控 '!$F$7:$V$194,10,0)),VLOOKUP(B47,'[2]市場監控 '!$F$7:$V$194,10,0),"-")</f>
        <v>2.1927699999999999</v>
      </c>
      <c r="N47" s="309" t="str">
        <f>VLOOKUP(B47,'[2]市場監控 '!$F$7:$AJ$194,31,0)</f>
        <v/>
      </c>
      <c r="O47" s="310" t="str">
        <f>VLOOKUP(B47,'[2]市場監控 '!$F$7:$V$194,12,0)</f>
        <v>AA+</v>
      </c>
      <c r="P47" s="310" t="str">
        <f>VLOOKUP(B47,'[2]市場監控 '!$F$7:$V$194,13,0)</f>
        <v>Aaa</v>
      </c>
      <c r="Q47" s="311" t="str">
        <f>VLOOKUP(B47,'[2]市場監控 '!$F$7:$V$194,14,0)</f>
        <v>-</v>
      </c>
      <c r="R47" s="256"/>
      <c r="S47" s="256"/>
      <c r="T47" s="257"/>
      <c r="U47" s="243"/>
      <c r="V47" s="243"/>
      <c r="W47" s="243"/>
      <c r="X47" s="243"/>
      <c r="Y47" s="243"/>
      <c r="Z47" s="243"/>
      <c r="AA47" s="225" t="e">
        <f ca="1">MATCH(C47,'市場監控 '!$K$7:$K$194,0)</f>
        <v>#N/A</v>
      </c>
    </row>
    <row r="48" spans="1:27" ht="16.5" customHeight="1">
      <c r="A48" s="652"/>
      <c r="B48" s="299" t="s">
        <v>1749</v>
      </c>
      <c r="C48" s="300" t="s">
        <v>1750</v>
      </c>
      <c r="D48" s="301">
        <f>VLOOKUP(B48,'[2]市場監控 '!$F$7:$V$194,3,0)</f>
        <v>521.77</v>
      </c>
      <c r="E48" s="302">
        <f>VLOOKUP($B48,'[2]市場監控 '!$F$7:$AX$230,43,0)</f>
        <v>522.04</v>
      </c>
      <c r="F48" s="303">
        <f>VLOOKUP($B48,'[2]市場監控 '!$F$7:$AX$230,45,0)</f>
        <v>-0.39495525748413085</v>
      </c>
      <c r="G48" s="304">
        <f>VLOOKUP(B48,'[2]市場監控 '!$F$7:$V$194,4,0)</f>
        <v>-5.1720170000000003E-2</v>
      </c>
      <c r="H48" s="304">
        <f>VLOOKUP(B48,'[2]市場監控 '!$F$7:$V$194,5,0)</f>
        <v>-2.589426</v>
      </c>
      <c r="I48" s="305">
        <f>VLOOKUP(B48,'[2]市場監控 '!$F$7:$V$194,6,0)</f>
        <v>23.78885</v>
      </c>
      <c r="J48" s="306">
        <f>IF(ISNUMBER(VLOOKUP(B48,'[2]市場監控 '!$F$7:$V$194,7,)),VLOOKUP(B48,'[2]市場監控 '!$F$7:$V$194,7,),"-")</f>
        <v>56.84628</v>
      </c>
      <c r="K48" s="307">
        <v>1</v>
      </c>
      <c r="L48" s="307">
        <f>IF(ISNUMBER(VLOOKUP(B48,'[2]市場監控 '!$F$7:$V$194,9,0)),VLOOKUP(B48,'[2]市場監控 '!$F$7:$V$194,9,0),"-")</f>
        <v>0.15779000000000001</v>
      </c>
      <c r="M48" s="308">
        <f>IF(ISNUMBER(VLOOKUP(B48,'[2]市場監控 '!$F$7:$V$194,10,0)),VLOOKUP(B48,'[2]市場監控 '!$F$7:$V$194,10,0),"-")</f>
        <v>2.1927699999999999</v>
      </c>
      <c r="N48" s="309" t="str">
        <f>VLOOKUP(B48,'[2]市場監控 '!$F$7:$AJ$194,31,0)</f>
        <v/>
      </c>
      <c r="O48" s="310" t="str">
        <f>VLOOKUP(B48,'[2]市場監控 '!$F$7:$V$194,12,0)</f>
        <v>AAA</v>
      </c>
      <c r="P48" s="310" t="str">
        <f>VLOOKUP(B48,'[2]市場監控 '!$F$7:$V$194,13,0)</f>
        <v>Aaa</v>
      </c>
      <c r="Q48" s="311" t="str">
        <f>VLOOKUP(B48,'[2]市場監控 '!$F$7:$V$194,14,0)</f>
        <v>WD</v>
      </c>
      <c r="R48" s="256"/>
      <c r="S48" s="256"/>
      <c r="T48" s="257"/>
      <c r="U48" s="243"/>
      <c r="V48" s="243"/>
      <c r="W48" s="243"/>
      <c r="X48" s="243"/>
      <c r="Y48" s="243"/>
      <c r="Z48" s="243"/>
      <c r="AA48" s="225" t="e">
        <f ca="1">MATCH(C48,'市場監控 '!$K$7:$K$194,0)</f>
        <v>#N/A</v>
      </c>
    </row>
    <row r="49" spans="1:27" ht="16.5" customHeight="1">
      <c r="A49" s="652"/>
      <c r="B49" s="299" t="s">
        <v>1751</v>
      </c>
      <c r="C49" s="300" t="s">
        <v>1752</v>
      </c>
      <c r="D49" s="301">
        <f>VLOOKUP(B49,'[2]市場監控 '!$F$7:$V$194,3,0)</f>
        <v>182.06</v>
      </c>
      <c r="E49" s="302">
        <f>VLOOKUP($B49,'[2]市場監控 '!$F$7:$AX$230,43,0)</f>
        <v>182.7</v>
      </c>
      <c r="F49" s="303">
        <f>VLOOKUP($B49,'[2]市場監控 '!$F$7:$AX$230,45,0)</f>
        <v>5.1692378540179496</v>
      </c>
      <c r="G49" s="304">
        <f>VLOOKUP(B49,'[2]市場監控 '!$F$7:$V$194,4,0)</f>
        <v>-0.35030099999999997</v>
      </c>
      <c r="H49" s="304">
        <f>VLOOKUP(B49,'[2]市場監控 '!$F$7:$V$194,5,0)</f>
        <v>1.144444</v>
      </c>
      <c r="I49" s="305">
        <f>VLOOKUP(B49,'[2]市場監控 '!$F$7:$V$194,6,0)</f>
        <v>35.572279999999999</v>
      </c>
      <c r="J49" s="306" t="str">
        <f>IF(ISNUMBER(VLOOKUP(B49,'[2]市場監控 '!$F$7:$V$194,7,)),VLOOKUP(B49,'[2]市場監控 '!$F$7:$V$194,7,),"-")</f>
        <v>-</v>
      </c>
      <c r="K49" s="307">
        <v>0</v>
      </c>
      <c r="L49" s="307" t="str">
        <f>IF(ISNUMBER(VLOOKUP(B49,'[2]市場監控 '!$F$7:$V$194,9,0)),VLOOKUP(B49,'[2]市場監控 '!$F$7:$V$194,9,0),"-")</f>
        <v>-</v>
      </c>
      <c r="M49" s="308" t="str">
        <f>IF(ISNUMBER(VLOOKUP(B49,'[2]市場監控 '!$F$7:$V$194,10,0)),VLOOKUP(B49,'[2]市場監控 '!$F$7:$V$194,10,0),"-")</f>
        <v>-</v>
      </c>
      <c r="N49" s="309" t="str">
        <f>VLOOKUP(B49,'[2]市場監控 '!$F$7:$AJ$194,31,0)</f>
        <v/>
      </c>
      <c r="O49" s="310" t="str">
        <f>VLOOKUP(B49,'[2]市場監控 '!$F$7:$V$194,12,0)</f>
        <v>AA-</v>
      </c>
      <c r="P49" s="310" t="str">
        <f>VLOOKUP(B49,'[2]市場監控 '!$F$7:$V$194,13,0)</f>
        <v>Aa2</v>
      </c>
      <c r="Q49" s="311" t="str">
        <f>VLOOKUP(B49,'[2]市場監控 '!$F$7:$V$194,14,0)</f>
        <v>WD</v>
      </c>
      <c r="R49" s="256"/>
      <c r="S49" s="256"/>
      <c r="T49" s="257"/>
      <c r="U49" s="243"/>
      <c r="V49" s="243"/>
      <c r="W49" s="243"/>
      <c r="X49" s="243"/>
      <c r="Y49" s="243"/>
      <c r="Z49" s="243"/>
      <c r="AA49" s="225" t="e">
        <f ca="1">MATCH(C49,'市場監控 '!$K$7:$K$194,0)</f>
        <v>#N/A</v>
      </c>
    </row>
    <row r="50" spans="1:27" ht="16.5" customHeight="1">
      <c r="A50" s="652"/>
      <c r="B50" s="299" t="s">
        <v>1753</v>
      </c>
      <c r="C50" s="300" t="s">
        <v>1754</v>
      </c>
      <c r="D50" s="301">
        <f>VLOOKUP(B50,'[2]市場監控 '!$F$7:$V$194,3,0)</f>
        <v>765.87</v>
      </c>
      <c r="E50" s="302">
        <f>VLOOKUP($B50,'[2]市場監控 '!$F$7:$AX$230,43,0)</f>
        <v>769.3</v>
      </c>
      <c r="F50" s="303">
        <f>VLOOKUP($B50,'[2]市場監控 '!$F$7:$AX$230,45,0)</f>
        <v>2.5719657071239022</v>
      </c>
      <c r="G50" s="304">
        <f>VLOOKUP(B50,'[2]市場監控 '!$F$7:$V$194,4,0)</f>
        <v>-0.44585989999999998</v>
      </c>
      <c r="H50" s="304">
        <f>VLOOKUP(B50,'[2]市場監控 '!$F$7:$V$194,5,0)</f>
        <v>-1.3524480000000001</v>
      </c>
      <c r="I50" s="305">
        <f>VLOOKUP(B50,'[2]市場監控 '!$F$7:$V$194,6,0)</f>
        <v>30.803909999999998</v>
      </c>
      <c r="J50" s="306" t="str">
        <f>IF(ISNUMBER(VLOOKUP(B50,'[2]市場監控 '!$F$7:$V$194,7,)),VLOOKUP(B50,'[2]市場監控 '!$F$7:$V$194,7,),"-")</f>
        <v>-</v>
      </c>
      <c r="K50" s="307">
        <v>1</v>
      </c>
      <c r="L50" s="307" t="str">
        <f>IF(ISNUMBER(VLOOKUP(B50,'[2]市場監控 '!$F$7:$V$194,9,0)),VLOOKUP(B50,'[2]市場監控 '!$F$7:$V$194,9,0),"-")</f>
        <v>-</v>
      </c>
      <c r="M50" s="308" t="str">
        <f>IF(ISNUMBER(VLOOKUP(B50,'[2]市場監控 '!$F$7:$V$194,10,0)),VLOOKUP(B50,'[2]市場監控 '!$F$7:$V$194,10,0),"-")</f>
        <v>-</v>
      </c>
      <c r="N50" s="309" t="str">
        <f>VLOOKUP(B50,'[2]市場監控 '!$F$7:$AJ$194,31,0)</f>
        <v/>
      </c>
      <c r="O50" s="310" t="str">
        <f>VLOOKUP(B50,'[2]市場監控 '!$F$7:$V$194,12,0)</f>
        <v>AA-</v>
      </c>
      <c r="P50" s="310" t="str">
        <f>VLOOKUP(B50,'[2]市場監控 '!$F$7:$V$194,13,0)</f>
        <v>Aa3</v>
      </c>
      <c r="Q50" s="311" t="str">
        <f>VLOOKUP(B50,'[2]市場監控 '!$F$7:$V$194,14,0)</f>
        <v>-</v>
      </c>
      <c r="R50" s="256"/>
      <c r="S50" s="256"/>
      <c r="T50" s="257"/>
      <c r="U50" s="243"/>
      <c r="V50" s="243"/>
      <c r="W50" s="243"/>
      <c r="X50" s="243"/>
      <c r="Y50" s="243"/>
      <c r="Z50" s="243"/>
      <c r="AA50" s="225" t="e">
        <f ca="1">MATCH(C50,'市場監控 '!$K$7:$K$194,0)</f>
        <v>#N/A</v>
      </c>
    </row>
    <row r="51" spans="1:27" ht="16.5" customHeight="1">
      <c r="A51" s="652"/>
      <c r="B51" s="299" t="s">
        <v>1755</v>
      </c>
      <c r="C51" s="300" t="s">
        <v>1756</v>
      </c>
      <c r="D51" s="301">
        <f>VLOOKUP(B51,'[2]市場監控 '!$F$7:$V$194,3,0)</f>
        <v>201</v>
      </c>
      <c r="E51" s="302">
        <f>VLOOKUP($B51,'[2]市場監控 '!$F$7:$AX$230,43,0)</f>
        <v>201.42</v>
      </c>
      <c r="F51" s="303">
        <f>VLOOKUP($B51,'[2]市場監控 '!$F$7:$AX$230,45,0)</f>
        <v>6.4981758578755322</v>
      </c>
      <c r="G51" s="304">
        <f>VLOOKUP(B51,'[2]市場監控 '!$F$7:$V$194,4,0)</f>
        <v>-0.2085195</v>
      </c>
      <c r="H51" s="304">
        <f>VLOOKUP(B51,'[2]市場監控 '!$F$7:$V$194,5,0)</f>
        <v>3.0557829999999999</v>
      </c>
      <c r="I51" s="305">
        <f>VLOOKUP(B51,'[2]市場監控 '!$F$7:$V$194,6,0)</f>
        <v>6.1806640000000002</v>
      </c>
      <c r="J51" s="306">
        <f>IF(ISNUMBER(VLOOKUP(B51,'[2]市場監控 '!$F$7:$V$194,7,)),VLOOKUP(B51,'[2]市場監控 '!$F$7:$V$194,7,),"-")</f>
        <v>65.827269999999999</v>
      </c>
      <c r="K51" s="307">
        <v>1</v>
      </c>
      <c r="L51" s="307">
        <f>IF(ISNUMBER(VLOOKUP(B51,'[2]市場監控 '!$F$7:$V$194,9,0)),VLOOKUP(B51,'[2]市場監控 '!$F$7:$V$194,9,0),"-")</f>
        <v>-3.6510000000000001E-2</v>
      </c>
      <c r="M51" s="308">
        <f>IF(ISNUMBER(VLOOKUP(B51,'[2]市場監控 '!$F$7:$V$194,10,0)),VLOOKUP(B51,'[2]市場監控 '!$F$7:$V$194,10,0),"-")</f>
        <v>-15.21461</v>
      </c>
      <c r="N51" s="309" t="str">
        <f>VLOOKUP(B51,'[2]市場監控 '!$F$7:$AJ$194,31,0)</f>
        <v/>
      </c>
      <c r="O51" s="310" t="str">
        <f>VLOOKUP(B51,'[2]市場監控 '!$F$7:$V$194,12,0)</f>
        <v>AA+</v>
      </c>
      <c r="P51" s="310" t="str">
        <f>VLOOKUP(B51,'[2]市場監控 '!$F$7:$V$194,13,0)</f>
        <v>Aa2</v>
      </c>
      <c r="Q51" s="311" t="str">
        <f>VLOOKUP(B51,'[2]市場監控 '!$F$7:$V$194,14,0)</f>
        <v>-</v>
      </c>
      <c r="R51" s="256"/>
      <c r="S51" s="256"/>
      <c r="T51" s="257"/>
      <c r="U51" s="243"/>
      <c r="V51" s="243"/>
      <c r="W51" s="243"/>
      <c r="X51" s="243"/>
      <c r="Y51" s="243"/>
      <c r="Z51" s="243"/>
      <c r="AA51" s="225" t="e">
        <f ca="1">MATCH(C51,'市場監控 '!$K$7:$K$194,0)</f>
        <v>#N/A</v>
      </c>
    </row>
    <row r="52" spans="1:27" ht="16.5" customHeight="1">
      <c r="A52" s="652"/>
      <c r="B52" s="299" t="s">
        <v>1757</v>
      </c>
      <c r="C52" s="300" t="s">
        <v>1758</v>
      </c>
      <c r="D52" s="301"/>
      <c r="E52" s="302">
        <f>VLOOKUP($B52,'[2]市場監控 '!$F$7:$AX$230,43,0)</f>
        <v>250.05</v>
      </c>
      <c r="F52" s="303">
        <f>VLOOKUP($B52,'[2]市場監控 '!$F$7:$AX$230,45,0)</f>
        <v>2.3034121593977774</v>
      </c>
      <c r="G52" s="304">
        <f>VLOOKUP(B52,'[2]市場監控 '!$F$7:$V$194,4,0)</f>
        <v>1.05179</v>
      </c>
      <c r="H52" s="304">
        <f>VLOOKUP(B52,'[2]市場監控 '!$F$7:$V$194,5,0)</f>
        <v>5.9398880000000001E-2</v>
      </c>
      <c r="I52" s="305">
        <f>VLOOKUP(B52,'[2]市場監控 '!$F$7:$V$194,6,0)</f>
        <v>51.632260000000002</v>
      </c>
      <c r="J52" s="306">
        <f>IF(ISNUMBER(VLOOKUP(B52,'[2]市場監控 '!$F$7:$V$194,7,)),VLOOKUP(B52,'[2]市場監控 '!$F$7:$V$194,7,),"-")</f>
        <v>56.84628</v>
      </c>
      <c r="K52" s="307">
        <v>2</v>
      </c>
      <c r="L52" s="307">
        <f>IF(ISNUMBER(VLOOKUP(B52,'[2]市場監控 '!$F$7:$V$194,9,0)),VLOOKUP(B52,'[2]市場監控 '!$F$7:$V$194,9,0),"-")</f>
        <v>0.15779000000000001</v>
      </c>
      <c r="M52" s="308">
        <f>IF(ISNUMBER(VLOOKUP(B52,'[2]市場監控 '!$F$7:$V$194,10,0)),VLOOKUP(B52,'[2]市場監控 '!$F$7:$V$194,10,0),"-")</f>
        <v>2.1927699999999999</v>
      </c>
      <c r="N52" s="309" t="str">
        <f>VLOOKUP(B52,'[2]市場監控 '!$F$7:$AJ$194,31,0)</f>
        <v/>
      </c>
      <c r="O52" s="310" t="str">
        <f>VLOOKUP(B52,'[2]市場監控 '!$F$7:$V$194,12,0)</f>
        <v>BBB</v>
      </c>
      <c r="P52" s="310" t="str">
        <f>VLOOKUP(B52,'[2]市場監控 '!$F$7:$V$194,13,0)</f>
        <v>Baa2</v>
      </c>
      <c r="Q52" s="311" t="str">
        <f>VLOOKUP(B52,'[2]市場監控 '!$F$7:$V$194,14,0)</f>
        <v>BBB</v>
      </c>
      <c r="R52" s="256"/>
      <c r="S52" s="256"/>
      <c r="T52" s="257"/>
      <c r="U52" s="243"/>
      <c r="V52" s="243"/>
      <c r="W52" s="243"/>
      <c r="X52" s="243"/>
      <c r="Y52" s="243"/>
      <c r="Z52" s="243"/>
      <c r="AA52" s="225" t="e">
        <f ca="1">MATCH(C52,'市場監控 '!$K$7:$K$194,0)</f>
        <v>#N/A</v>
      </c>
    </row>
    <row r="53" spans="1:27" ht="16.5" customHeight="1">
      <c r="A53" s="652"/>
      <c r="B53" s="299" t="s">
        <v>1759</v>
      </c>
      <c r="C53" s="300" t="s">
        <v>1760</v>
      </c>
      <c r="D53" s="301">
        <f>VLOOKUP(B53,'[2]市場監控 '!$F$7:$V$194,3,0)</f>
        <v>303.89999999999998</v>
      </c>
      <c r="E53" s="302">
        <f>VLOOKUP($B53,'[2]市場監控 '!$F$7:$AX$230,43,0)</f>
        <v>304.97000000000003</v>
      </c>
      <c r="F53" s="303">
        <f>VLOOKUP($B53,'[2]市場監控 '!$F$7:$AX$230,45,0)</f>
        <v>5.6575665188470126</v>
      </c>
      <c r="G53" s="304">
        <f>VLOOKUP(B53,'[2]市場監控 '!$F$7:$V$194,4,0)</f>
        <v>-0.3508542</v>
      </c>
      <c r="H53" s="304">
        <f>VLOOKUP(B53,'[2]市場監控 '!$F$7:$V$194,5,0)</f>
        <v>2.0757759999999998</v>
      </c>
      <c r="I53" s="305">
        <f>VLOOKUP(B53,'[2]市場監控 '!$F$7:$V$194,6,0)</f>
        <v>31.081779999999998</v>
      </c>
      <c r="J53" s="306">
        <f>IF(ISNUMBER(VLOOKUP(B53,'[2]市場監控 '!$F$7:$V$194,7,)),VLOOKUP(B53,'[2]市場監控 '!$F$7:$V$194,7,),"-")</f>
        <v>62.546950000000002</v>
      </c>
      <c r="K53" s="307">
        <v>1</v>
      </c>
      <c r="L53" s="307">
        <f>IF(ISNUMBER(VLOOKUP(B53,'[2]市場監控 '!$F$7:$V$194,9,0)),VLOOKUP(B53,'[2]市場監控 '!$F$7:$V$194,9,0),"-")</f>
        <v>-1.9538800000000001</v>
      </c>
      <c r="M53" s="308">
        <f>IF(ISNUMBER(VLOOKUP(B53,'[2]市場監控 '!$F$7:$V$194,10,0)),VLOOKUP(B53,'[2]市場監控 '!$F$7:$V$194,10,0),"-")</f>
        <v>-9.5894300000000001</v>
      </c>
      <c r="N53" s="309" t="str">
        <f>VLOOKUP(B53,'[2]市場監控 '!$F$7:$AJ$194,31,0)</f>
        <v/>
      </c>
      <c r="O53" s="310" t="str">
        <f>VLOOKUP(B53,'[2]市場監控 '!$F$7:$V$194,12,0)</f>
        <v>BBB+</v>
      </c>
      <c r="P53" s="310" t="str">
        <f>VLOOKUP(B53,'[2]市場監控 '!$F$7:$V$194,13,0)</f>
        <v>Baa1</v>
      </c>
      <c r="Q53" s="311" t="str">
        <f>VLOOKUP(B53,'[2]市場監控 '!$F$7:$V$194,14,0)</f>
        <v>BBB</v>
      </c>
      <c r="R53" s="256"/>
      <c r="S53" s="256"/>
      <c r="T53" s="257"/>
      <c r="U53" s="243"/>
      <c r="V53" s="243"/>
      <c r="W53" s="243"/>
      <c r="X53" s="243"/>
      <c r="Y53" s="243"/>
      <c r="Z53" s="243"/>
      <c r="AA53" s="225" t="e">
        <f ca="1">MATCH(C53,'市場監控 '!$K$7:$K$194,0)</f>
        <v>#N/A</v>
      </c>
    </row>
    <row r="54" spans="1:27" ht="16.5" customHeight="1" thickBot="1">
      <c r="A54" s="653"/>
      <c r="B54" s="299" t="s">
        <v>1761</v>
      </c>
      <c r="C54" s="300" t="s">
        <v>1762</v>
      </c>
      <c r="D54" s="301"/>
      <c r="E54" s="302">
        <f>VLOOKUP($B54,'[2]市場監控 '!$F$7:$AX$230,43,0)</f>
        <v>19.95</v>
      </c>
      <c r="F54" s="303">
        <f>VLOOKUP($B54,'[2]市場監控 '!$F$7:$AX$230,45,0)</f>
        <v>3.3143448990160529</v>
      </c>
      <c r="G54" s="304">
        <f>VLOOKUP(B54,'[2]市場監控 '!$F$7:$V$194,4,0)</f>
        <v>3.508772</v>
      </c>
      <c r="H54" s="304">
        <f>VLOOKUP(B54,'[2]市場監控 '!$F$7:$V$194,5,0)</f>
        <v>5.8974359999999999</v>
      </c>
      <c r="I54" s="305">
        <f>VLOOKUP(B54,'[2]市場監控 '!$F$7:$V$194,6,0)</f>
        <v>2.9925229999999998</v>
      </c>
      <c r="J54" s="306">
        <f>IF(ISNUMBER(VLOOKUP(B54,'[2]市場監控 '!$F$7:$V$194,7,)),VLOOKUP(B54,'[2]市場監控 '!$F$7:$V$194,7,),"-")</f>
        <v>56.84628</v>
      </c>
      <c r="K54" s="307">
        <v>1</v>
      </c>
      <c r="L54" s="307">
        <f>IF(ISNUMBER(VLOOKUP(B54,'[2]市場監控 '!$F$7:$V$194,9,0)),VLOOKUP(B54,'[2]市場監控 '!$F$7:$V$194,9,0),"-")</f>
        <v>0.15779000000000001</v>
      </c>
      <c r="M54" s="308">
        <f>IF(ISNUMBER(VLOOKUP(B54,'[2]市場監控 '!$F$7:$V$194,10,0)),VLOOKUP(B54,'[2]市場監控 '!$F$7:$V$194,10,0),"-")</f>
        <v>2.1927699999999999</v>
      </c>
      <c r="N54" s="309" t="str">
        <f>VLOOKUP(B54,'[2]市場監控 '!$F$7:$AJ$194,31,0)</f>
        <v/>
      </c>
      <c r="O54" s="310" t="str">
        <f>VLOOKUP(B54,'[2]市場監控 '!$F$7:$V$194,12,0)</f>
        <v>BBB</v>
      </c>
      <c r="P54" s="310" t="str">
        <f>VLOOKUP(B54,'[2]市場監控 '!$F$7:$V$194,13,0)</f>
        <v>Baa1</v>
      </c>
      <c r="Q54" s="311" t="str">
        <f>VLOOKUP(B54,'[2]市場監控 '!$F$7:$V$194,14,0)</f>
        <v>BBB</v>
      </c>
      <c r="R54" s="256"/>
      <c r="S54" s="256"/>
      <c r="T54" s="257"/>
      <c r="U54" s="243"/>
      <c r="V54" s="243"/>
      <c r="W54" s="243"/>
      <c r="X54" s="243"/>
      <c r="Y54" s="243"/>
      <c r="Z54" s="243"/>
      <c r="AA54" s="225" t="e">
        <f ca="1">MATCH(C54,'市場監控 '!$K$7:$K$194,0)</f>
        <v>#N/A</v>
      </c>
    </row>
    <row r="55" spans="1:27" ht="16.5" customHeight="1">
      <c r="A55" s="651" t="s">
        <v>979</v>
      </c>
      <c r="B55" s="275" t="s">
        <v>1763</v>
      </c>
      <c r="C55" s="276" t="s">
        <v>1764</v>
      </c>
      <c r="D55" s="312">
        <f>VLOOKUP(B55,'[2]市場監控 '!$F$7:$V$194,3,0)</f>
        <v>339.03</v>
      </c>
      <c r="E55" s="313">
        <f>VLOOKUP($B55,'[2]市場監控 '!$F$7:$AX$230,43,0)</f>
        <v>329.65</v>
      </c>
      <c r="F55" s="314">
        <f>VLOOKUP($B55,'[2]市場監控 '!$F$7:$AX$230,45,0)</f>
        <v>8.9283944090142953</v>
      </c>
      <c r="G55" s="315">
        <f>VLOOKUP(B55,'[2]市場監控 '!$F$7:$V$194,4,0)</f>
        <v>2.8454419999999998</v>
      </c>
      <c r="H55" s="315">
        <f>VLOOKUP(B55,'[2]市場監控 '!$F$7:$V$194,5,0)</f>
        <v>9.6262039999999995</v>
      </c>
      <c r="I55" s="316">
        <f>VLOOKUP(B55,'[2]市場監控 '!$F$7:$V$194,6,0)</f>
        <v>-16.04843</v>
      </c>
      <c r="J55" s="317">
        <f>IF(ISNUMBER(VLOOKUP(B55,'[2]市場監控 '!$F$7:$V$194,7,)),VLOOKUP(B55,'[2]市場監控 '!$F$7:$V$194,7,),"-")</f>
        <v>235.0718</v>
      </c>
      <c r="K55" s="318">
        <v>1</v>
      </c>
      <c r="L55" s="318">
        <f>IF(ISNUMBER(VLOOKUP(B55,'[2]市場監控 '!$F$7:$V$194,9,0)),VLOOKUP(B55,'[2]市場監控 '!$F$7:$V$194,9,0),"-")</f>
        <v>-3.7082999999999999</v>
      </c>
      <c r="M55" s="319">
        <f>IF(ISNUMBER(VLOOKUP(B55,'[2]市場監控 '!$F$7:$V$194,10,0)),VLOOKUP(B55,'[2]市場監控 '!$F$7:$V$194,10,0),"-")</f>
        <v>-7.4827000000000004</v>
      </c>
      <c r="N55" s="320" t="str">
        <f>VLOOKUP(B55,'[2]市場監控 '!$F$7:$AJ$194,31,0)</f>
        <v/>
      </c>
      <c r="O55" s="321" t="str">
        <f>VLOOKUP(B55,'[2]市場監控 '!$F$7:$V$194,12,0)</f>
        <v>BBB</v>
      </c>
      <c r="P55" s="321" t="str">
        <f>VLOOKUP(B55,'[2]市場監控 '!$F$7:$V$194,13,0)</f>
        <v>Baa3</v>
      </c>
      <c r="Q55" s="322" t="str">
        <f>VLOOKUP(B55,'[2]市場監控 '!$F$7:$V$194,14,0)</f>
        <v>-</v>
      </c>
      <c r="R55" s="256" t="s">
        <v>935</v>
      </c>
      <c r="S55" s="256" t="s">
        <v>940</v>
      </c>
      <c r="T55" s="257" t="s">
        <v>935</v>
      </c>
      <c r="U55" s="243" t="e">
        <f>IF(O36=#REF!, 0,1)</f>
        <v>#REF!</v>
      </c>
      <c r="V55" s="243" t="e">
        <f>IF(P36=#REF!, 0,1)</f>
        <v>#REF!</v>
      </c>
      <c r="W55" s="243" t="e">
        <f>IF(Q36=#REF!, 0,1)</f>
        <v>#REF!</v>
      </c>
      <c r="X55" s="243" t="e">
        <f>IF(R55=#REF!, 0,1)</f>
        <v>#REF!</v>
      </c>
      <c r="Y55" s="243" t="e">
        <f>IF(S55=#REF!, 0,1)</f>
        <v>#REF!</v>
      </c>
      <c r="Z55" s="243" t="e">
        <f>IF(T55=#REF!, 0,1)</f>
        <v>#REF!</v>
      </c>
      <c r="AA55" s="225" t="e">
        <f ca="1">MATCH(C55,'市場監控 '!$K$7:$K$194,0)</f>
        <v>#N/A</v>
      </c>
    </row>
    <row r="56" spans="1:27" ht="16.5" customHeight="1" thickBot="1">
      <c r="A56" s="653"/>
      <c r="B56" s="286" t="s">
        <v>1765</v>
      </c>
      <c r="C56" s="287" t="s">
        <v>1766</v>
      </c>
      <c r="D56" s="323">
        <f>VLOOKUP(B56,'[2]市場監控 '!$F$7:$V$194,3,0)</f>
        <v>2841</v>
      </c>
      <c r="E56" s="324">
        <f>VLOOKUP($B56,'[2]市場監控 '!$F$7:$AX$230,43,0)</f>
        <v>2773</v>
      </c>
      <c r="F56" s="325">
        <f>VLOOKUP($B56,'[2]市場監控 '!$F$7:$AX$230,45,0)</f>
        <v>1.7801431455312988</v>
      </c>
      <c r="G56" s="234">
        <f>VLOOKUP(B56,'[2]市場監控 '!$F$7:$V$194,4,0)</f>
        <v>2.4522179999999998</v>
      </c>
      <c r="H56" s="234">
        <f>VLOOKUP(B56,'[2]市場監控 '!$F$7:$V$194,5,0)</f>
        <v>6.2056069999999997</v>
      </c>
      <c r="I56" s="235">
        <f>VLOOKUP(B56,'[2]市場監控 '!$F$7:$V$194,6,0)</f>
        <v>-9.6948509999999999</v>
      </c>
      <c r="J56" s="326">
        <f>IF(ISNUMBER(VLOOKUP(B56,'[2]市場監控 '!$F$7:$V$194,7,)),VLOOKUP(B56,'[2]市場監控 '!$F$7:$V$194,7,),"-")</f>
        <v>10.68141</v>
      </c>
      <c r="K56" s="327">
        <v>1</v>
      </c>
      <c r="L56" s="327">
        <f>IF(ISNUMBER(VLOOKUP(B56,'[2]市場監控 '!$F$7:$V$194,9,0)),VLOOKUP(B56,'[2]市場監控 '!$F$7:$V$194,9,0),"-")</f>
        <v>0</v>
      </c>
      <c r="M56" s="328">
        <f>IF(ISNUMBER(VLOOKUP(B56,'[2]市場監控 '!$F$7:$V$194,10,0)),VLOOKUP(B56,'[2]市場監控 '!$F$7:$V$194,10,0),"-")</f>
        <v>0</v>
      </c>
      <c r="N56" s="329" t="str">
        <f>VLOOKUP(B56,'[2]市場監控 '!$F$7:$AJ$194,31,0)</f>
        <v/>
      </c>
      <c r="O56" s="330" t="str">
        <f>VLOOKUP(B56,'[2]市場監控 '!$F$7:$V$194,12,0)</f>
        <v>A+</v>
      </c>
      <c r="P56" s="330" t="str">
        <f>VLOOKUP(B56,'[2]市場監控 '!$F$7:$V$194,13,0)</f>
        <v>A1</v>
      </c>
      <c r="Q56" s="331" t="str">
        <f>VLOOKUP(B56,'[2]市場監控 '!$F$7:$V$194,14,0)</f>
        <v>A+</v>
      </c>
      <c r="R56" s="256" t="s">
        <v>935</v>
      </c>
      <c r="S56" s="256" t="s">
        <v>940</v>
      </c>
      <c r="T56" s="257" t="s">
        <v>935</v>
      </c>
      <c r="U56" s="243" t="e">
        <f>IF(O37=#REF!, 0,1)</f>
        <v>#REF!</v>
      </c>
      <c r="V56" s="243" t="e">
        <f>IF(P37=#REF!, 0,1)</f>
        <v>#REF!</v>
      </c>
      <c r="W56" s="243" t="e">
        <f>IF(Q37=#REF!, 0,1)</f>
        <v>#REF!</v>
      </c>
      <c r="X56" s="243" t="e">
        <f>IF(R56=#REF!, 0,1)</f>
        <v>#REF!</v>
      </c>
      <c r="Y56" s="243" t="e">
        <f>IF(S56=#REF!, 0,1)</f>
        <v>#REF!</v>
      </c>
      <c r="Z56" s="243" t="e">
        <f>IF(T56=#REF!, 0,1)</f>
        <v>#REF!</v>
      </c>
      <c r="AA56" s="225" t="e">
        <f ca="1">MATCH(C56,'市場監控 '!$K$7:$K$194,0)</f>
        <v>#N/A</v>
      </c>
    </row>
    <row r="57" spans="1:27" ht="16.5" customHeight="1">
      <c r="A57" s="651" t="s">
        <v>993</v>
      </c>
      <c r="B57" s="299" t="s">
        <v>1767</v>
      </c>
      <c r="C57" s="300" t="s">
        <v>1768</v>
      </c>
      <c r="D57" s="301">
        <f>VLOOKUP(B57,'[2]市場監控 '!$F$7:$V$194,3,0)</f>
        <v>103.93</v>
      </c>
      <c r="E57" s="302">
        <f>VLOOKUP($B57,'[2]市場監控 '!$F$7:$AX$230,43,0)</f>
        <v>103.73</v>
      </c>
      <c r="F57" s="303">
        <f>VLOOKUP($B57,'[2]市場監控 '!$F$7:$AX$230,45,0)</f>
        <v>5.3203370900599234</v>
      </c>
      <c r="G57" s="304">
        <f>VLOOKUP(B57,'[2]市場監控 '!$F$7:$V$194,4,0)</f>
        <v>0.19280829999999999</v>
      </c>
      <c r="H57" s="304">
        <f>VLOOKUP(B57,'[2]市場監控 '!$F$7:$V$194,5,0)</f>
        <v>4.3578669999999997</v>
      </c>
      <c r="I57" s="305">
        <f>VLOOKUP(B57,'[2]市場監控 '!$F$7:$V$194,6,0)</f>
        <v>15.03044</v>
      </c>
      <c r="J57" s="306">
        <f>IF(ISNUMBER(VLOOKUP(B57,'[2]市場監控 '!$F$7:$V$194,7,)),VLOOKUP(B57,'[2]市場監控 '!$F$7:$V$194,7,),"-")</f>
        <v>27.371780000000001</v>
      </c>
      <c r="K57" s="307">
        <v>1</v>
      </c>
      <c r="L57" s="307">
        <f>IF(ISNUMBER(VLOOKUP(B57,'[2]市場監控 '!$F$7:$V$194,9,0)),VLOOKUP(B57,'[2]市場監控 '!$F$7:$V$194,9,0),"-")</f>
        <v>0.38938</v>
      </c>
      <c r="M57" s="308">
        <f>IF(ISNUMBER(VLOOKUP(B57,'[2]市場監控 '!$F$7:$V$194,10,0)),VLOOKUP(B57,'[2]市場監控 '!$F$7:$V$194,10,0),"-")</f>
        <v>-1.8614299999999999</v>
      </c>
      <c r="N57" s="309" t="str">
        <f>VLOOKUP(B57,'[2]市場監控 '!$F$7:$AJ$194,31,0)</f>
        <v/>
      </c>
      <c r="O57" s="310" t="str">
        <f>VLOOKUP(B57,'[2]市場監控 '!$F$7:$V$194,12,0)</f>
        <v>AA</v>
      </c>
      <c r="P57" s="310" t="str">
        <f>VLOOKUP(B57,'[2]市場監控 '!$F$7:$V$194,13,0)</f>
        <v>Aa2</v>
      </c>
      <c r="Q57" s="311" t="str">
        <f>VLOOKUP(B57,'[2]市場監控 '!$F$7:$V$194,14,0)</f>
        <v>AA</v>
      </c>
      <c r="R57" s="256"/>
      <c r="S57" s="256"/>
      <c r="T57" s="257"/>
      <c r="U57" s="243"/>
      <c r="V57" s="243"/>
      <c r="W57" s="243"/>
      <c r="X57" s="243"/>
      <c r="Y57" s="243"/>
      <c r="Z57" s="243"/>
      <c r="AA57" s="225" t="e">
        <f ca="1">MATCH(C57,'市場監控 '!$K$7:$K$194,0)</f>
        <v>#N/A</v>
      </c>
    </row>
    <row r="58" spans="1:27" ht="16.5" customHeight="1">
      <c r="A58" s="652"/>
      <c r="B58" s="299" t="s">
        <v>1769</v>
      </c>
      <c r="C58" s="300" t="s">
        <v>1770</v>
      </c>
      <c r="D58" s="301">
        <f>VLOOKUP(B58,'[2]市場監控 '!$F$7:$V$194,3,0)</f>
        <v>988.74</v>
      </c>
      <c r="E58" s="302">
        <f>VLOOKUP($B58,'[2]市場監控 '!$F$7:$AX$230,43,0)</f>
        <v>980.98</v>
      </c>
      <c r="F58" s="303">
        <f>VLOOKUP($B58,'[2]市場監控 '!$F$7:$AX$230,45,0)</f>
        <v>2.9878637718893097</v>
      </c>
      <c r="G58" s="304">
        <f>VLOOKUP(B58,'[2]市場監控 '!$F$7:$V$194,4,0)</f>
        <v>0.79104569999999996</v>
      </c>
      <c r="H58" s="304">
        <f>VLOOKUP(B58,'[2]市場監控 '!$F$7:$V$194,5,0)</f>
        <v>3.4928880000000002</v>
      </c>
      <c r="I58" s="305">
        <f>VLOOKUP(B58,'[2]市場監控 '!$F$7:$V$194,6,0)</f>
        <v>7.9092380000000002</v>
      </c>
      <c r="J58" s="306">
        <f>IF(ISNUMBER(VLOOKUP(B58,'[2]市場監控 '!$F$7:$V$194,7,)),VLOOKUP(B58,'[2]市場監控 '!$F$7:$V$194,7,),"-")</f>
        <v>196.58779999999999</v>
      </c>
      <c r="K58" s="307">
        <v>1</v>
      </c>
      <c r="L58" s="307">
        <f>IF(ISNUMBER(VLOOKUP(B58,'[2]市場監控 '!$F$7:$V$194,9,0)),VLOOKUP(B58,'[2]市場監控 '!$F$7:$V$194,9,0),"-")</f>
        <v>-2.2115</v>
      </c>
      <c r="M58" s="308">
        <f>IF(ISNUMBER(VLOOKUP(B58,'[2]市場監控 '!$F$7:$V$194,10,0)),VLOOKUP(B58,'[2]市場監控 '!$F$7:$V$194,10,0),"-")</f>
        <v>30.007999999999999</v>
      </c>
      <c r="N58" s="255" t="str">
        <f>VLOOKUP(B58,'[2]市場監控 '!$F$7:$AJ$194,31,0)</f>
        <v/>
      </c>
      <c r="O58" s="310" t="str">
        <f>VLOOKUP(B58,'[2]市場監控 '!$F$7:$V$194,12,0)</f>
        <v>AA</v>
      </c>
      <c r="P58" s="310" t="str">
        <f>VLOOKUP(B58,'[2]市場監控 '!$F$7:$V$194,13,0)</f>
        <v>Aa3</v>
      </c>
      <c r="Q58" s="311" t="str">
        <f>VLOOKUP(B58,'[2]市場監控 '!$F$7:$V$194,14,0)</f>
        <v>WD</v>
      </c>
      <c r="R58" s="256"/>
      <c r="S58" s="256"/>
      <c r="T58" s="257"/>
      <c r="U58" s="243"/>
      <c r="V58" s="243"/>
      <c r="W58" s="243"/>
      <c r="X58" s="243"/>
      <c r="Y58" s="243"/>
      <c r="Z58" s="243"/>
      <c r="AA58" s="225" t="e">
        <f ca="1">MATCH(C58,'市場監控 '!$K$7:$K$194,0)</f>
        <v>#N/A</v>
      </c>
    </row>
    <row r="59" spans="1:27" ht="16.5" customHeight="1">
      <c r="A59" s="652"/>
      <c r="B59" s="299" t="s">
        <v>1771</v>
      </c>
      <c r="C59" s="300" t="s">
        <v>1772</v>
      </c>
      <c r="D59" s="301">
        <f>VLOOKUP(B59,'[2]市場監控 '!$F$7:$V$194,3,0)</f>
        <v>131.36000000000001</v>
      </c>
      <c r="E59" s="302">
        <f>VLOOKUP($B59,'[2]市場監控 '!$F$7:$AX$230,43,0)</f>
        <v>134.28</v>
      </c>
      <c r="F59" s="303">
        <f>VLOOKUP($B59,'[2]市場監控 '!$F$7:$AX$230,45,0)</f>
        <v>5.491397596040537</v>
      </c>
      <c r="G59" s="304">
        <f>VLOOKUP(B59,'[2]市場監控 '!$F$7:$V$194,4,0)</f>
        <v>-2.1745610000000002</v>
      </c>
      <c r="H59" s="304">
        <f>VLOOKUP(B59,'[2]市場監控 '!$F$7:$V$194,5,0)</f>
        <v>1.1005929999999999</v>
      </c>
      <c r="I59" s="305">
        <f>VLOOKUP(B59,'[2]市場監控 '!$F$7:$V$194,6,0)</f>
        <v>16.134740000000001</v>
      </c>
      <c r="J59" s="306">
        <f>IF(ISNUMBER(VLOOKUP(B59,'[2]市場監控 '!$F$7:$V$194,7,)),VLOOKUP(B59,'[2]市場監控 '!$F$7:$V$194,7,),"-")</f>
        <v>37.681609999999999</v>
      </c>
      <c r="K59" s="307">
        <v>1</v>
      </c>
      <c r="L59" s="307">
        <f>IF(ISNUMBER(VLOOKUP(B59,'[2]市場監控 '!$F$7:$V$194,9,0)),VLOOKUP(B59,'[2]市場監控 '!$F$7:$V$194,9,0),"-")</f>
        <v>-0.81322000000000005</v>
      </c>
      <c r="M59" s="308">
        <f>IF(ISNUMBER(VLOOKUP(B59,'[2]市場監控 '!$F$7:$V$194,10,0)),VLOOKUP(B59,'[2]市場監控 '!$F$7:$V$194,10,0),"-")</f>
        <v>-2.2461799999999998</v>
      </c>
      <c r="N59" s="255" t="str">
        <f>VLOOKUP(B59,'[2]市場監控 '!$F$7:$AJ$194,31,0)</f>
        <v/>
      </c>
      <c r="O59" s="310" t="str">
        <f>VLOOKUP(B59,'[2]市場監控 '!$F$7:$V$194,12,0)</f>
        <v>AA-</v>
      </c>
      <c r="P59" s="310" t="str">
        <f>VLOOKUP(B59,'[2]市場監控 '!$F$7:$V$194,13,0)</f>
        <v>Aa3</v>
      </c>
      <c r="Q59" s="311" t="str">
        <f>VLOOKUP(B59,'[2]市場監控 '!$F$7:$V$194,14,0)</f>
        <v>WD</v>
      </c>
      <c r="R59" s="256"/>
      <c r="S59" s="256"/>
      <c r="T59" s="257"/>
      <c r="U59" s="243"/>
      <c r="V59" s="243"/>
      <c r="W59" s="243"/>
      <c r="X59" s="243"/>
      <c r="Y59" s="243"/>
      <c r="Z59" s="243"/>
      <c r="AA59" s="225" t="e">
        <f ca="1">MATCH(C59,'市場監控 '!$K$7:$K$194,0)</f>
        <v>#N/A</v>
      </c>
    </row>
    <row r="60" spans="1:27" ht="16.5" customHeight="1">
      <c r="A60" s="652"/>
      <c r="B60" s="299" t="s">
        <v>1773</v>
      </c>
      <c r="C60" s="300" t="s">
        <v>1774</v>
      </c>
      <c r="D60" s="301"/>
      <c r="E60" s="302">
        <f>VLOOKUP($B60,'[2]市場監控 '!$F$7:$AX$230,43,0)</f>
        <v>305.45</v>
      </c>
      <c r="F60" s="303">
        <f>VLOOKUP($B60,'[2]市場監控 '!$F$7:$AX$230,45,0)</f>
        <v>0.84519132358282789</v>
      </c>
      <c r="G60" s="304">
        <f>VLOOKUP(B60,'[2]市場監控 '!$F$7:$V$194,4,0)</f>
        <v>-0.35685050000000001</v>
      </c>
      <c r="H60" s="304">
        <f>VLOOKUP(B60,'[2]市場監控 '!$F$7:$V$194,5,0)</f>
        <v>4.2730829999999997E-2</v>
      </c>
      <c r="I60" s="305">
        <f>VLOOKUP(B60,'[2]市場監控 '!$F$7:$V$194,6,0)</f>
        <v>4.9915430000000001</v>
      </c>
      <c r="J60" s="306">
        <f>IF(ISNUMBER(VLOOKUP(B60,'[2]市場監控 '!$F$7:$V$194,7,)),VLOOKUP(B60,'[2]市場監控 '!$F$7:$V$194,7,),"-")</f>
        <v>27.082439999999998</v>
      </c>
      <c r="K60" s="307">
        <v>2</v>
      </c>
      <c r="L60" s="307">
        <f>IF(ISNUMBER(VLOOKUP(B60,'[2]市場監控 '!$F$7:$V$194,9,0)),VLOOKUP(B60,'[2]市場監控 '!$F$7:$V$194,9,0),"-")</f>
        <v>-0.79113</v>
      </c>
      <c r="M60" s="308">
        <f>IF(ISNUMBER(VLOOKUP(B60,'[2]市場監控 '!$F$7:$V$194,10,0)),VLOOKUP(B60,'[2]市場監控 '!$F$7:$V$194,10,0),"-")</f>
        <v>-1.5100899999999999</v>
      </c>
      <c r="N60" s="255" t="str">
        <f>VLOOKUP(B60,'[2]市場監控 '!$F$7:$AJ$194,31,0)</f>
        <v/>
      </c>
      <c r="O60" s="310" t="str">
        <f>VLOOKUP(B60,'[2]市場監控 '!$F$7:$V$194,12,0)</f>
        <v>BBB+</v>
      </c>
      <c r="P60" s="310" t="str">
        <f>VLOOKUP(B60,'[2]市場監控 '!$F$7:$V$194,13,0)</f>
        <v>Baa1</v>
      </c>
      <c r="Q60" s="311" t="str">
        <f>VLOOKUP(B60,'[2]市場監控 '!$F$7:$V$194,14,0)</f>
        <v>WD</v>
      </c>
      <c r="R60" s="256"/>
      <c r="S60" s="256"/>
      <c r="T60" s="257"/>
      <c r="U60" s="243"/>
      <c r="V60" s="243"/>
      <c r="W60" s="243"/>
      <c r="X60" s="243"/>
      <c r="Y60" s="243"/>
      <c r="Z60" s="243"/>
      <c r="AA60" s="225" t="e">
        <f ca="1">MATCH(C60,'市場監控 '!$K$7:$K$194,0)</f>
        <v>#N/A</v>
      </c>
    </row>
    <row r="61" spans="1:27" ht="16.5" customHeight="1">
      <c r="A61" s="652"/>
      <c r="B61" s="245" t="s">
        <v>1775</v>
      </c>
      <c r="C61" s="246" t="s">
        <v>1776</v>
      </c>
      <c r="D61" s="266">
        <f>VLOOKUP(B61,'[2]市場監控 '!$F$7:$V$194,3,0)</f>
        <v>72.12</v>
      </c>
      <c r="E61" s="261">
        <f>VLOOKUP($B61,'[2]市場監控 '!$F$7:$AX$230,43,0)</f>
        <v>72.099999999999994</v>
      </c>
      <c r="F61" s="249" t="str">
        <f>VLOOKUP($B61,'[2]市場監控 '!$F$7:$AX$230,45,0)</f>
        <v>-</v>
      </c>
      <c r="G61" s="250">
        <f>VLOOKUP(B61,'[2]市場監控 '!$F$7:$V$194,4,0)</f>
        <v>2.773925E-2</v>
      </c>
      <c r="H61" s="250">
        <f>VLOOKUP(B61,'[2]市場監控 '!$F$7:$V$194,5,0)</f>
        <v>1.1500699999999999</v>
      </c>
      <c r="I61" s="251">
        <f>VLOOKUP(B61,'[2]市場監控 '!$F$7:$V$194,6,0)</f>
        <v>-3.6858939999999998</v>
      </c>
      <c r="J61" s="252">
        <f>IF(ISNUMBER(VLOOKUP(B61,'[2]市場監控 '!$F$7:$V$194,7,)),VLOOKUP(B61,'[2]市場監控 '!$F$7:$V$194,7,),"-")</f>
        <v>25.99277</v>
      </c>
      <c r="K61" s="253">
        <v>1</v>
      </c>
      <c r="L61" s="253">
        <f>IF(ISNUMBER(VLOOKUP(B61,'[2]市場監控 '!$F$7:$V$194,9,0)),VLOOKUP(B61,'[2]市場監控 '!$F$7:$V$194,9,0),"-")</f>
        <v>-0.94950000000000001</v>
      </c>
      <c r="M61" s="254">
        <f>IF(ISNUMBER(VLOOKUP(B61,'[2]市場監控 '!$F$7:$V$194,10,0)),VLOOKUP(B61,'[2]市場監控 '!$F$7:$V$194,10,0),"-")</f>
        <v>-4.7849199999999996</v>
      </c>
      <c r="N61" s="255" t="str">
        <f>VLOOKUP(B61,'[2]市場監控 '!$F$7:$AJ$194,31,0)</f>
        <v/>
      </c>
      <c r="O61" s="256" t="str">
        <f>VLOOKUP(B61,'[2]市場監控 '!$F$7:$V$194,12,0)</f>
        <v>AA-</v>
      </c>
      <c r="P61" s="256" t="str">
        <f>VLOOKUP(B61,'[2]市場監控 '!$F$7:$V$194,13,0)</f>
        <v>Aa3</v>
      </c>
      <c r="Q61" s="257" t="str">
        <f>VLOOKUP(B61,'[2]市場監控 '!$F$7:$V$194,14,0)</f>
        <v>A+u</v>
      </c>
      <c r="R61" s="256"/>
      <c r="S61" s="256"/>
      <c r="T61" s="257"/>
      <c r="U61" s="243"/>
      <c r="V61" s="243"/>
      <c r="W61" s="243"/>
      <c r="X61" s="243"/>
      <c r="Y61" s="243"/>
      <c r="Z61" s="243"/>
      <c r="AA61" s="225" t="e">
        <f ca="1">MATCH(C61,'市場監控 '!$K$7:$K$194,0)</f>
        <v>#N/A</v>
      </c>
    </row>
    <row r="62" spans="1:27" ht="16.5" customHeight="1">
      <c r="A62" s="652"/>
      <c r="B62" s="245" t="s">
        <v>1777</v>
      </c>
      <c r="C62" s="246" t="s">
        <v>1778</v>
      </c>
      <c r="D62" s="266">
        <f>VLOOKUP(B62,'[2]市場監控 '!$F$7:$V$194,3,0)</f>
        <v>154.97999999999999</v>
      </c>
      <c r="E62" s="261">
        <f>VLOOKUP($B62,'[2]市場監控 '!$F$7:$AX$230,43,0)</f>
        <v>153.51</v>
      </c>
      <c r="F62" s="249">
        <f>VLOOKUP($B62,'[2]市場監控 '!$F$7:$AX$230,45,0)</f>
        <v>1.8984400929306311</v>
      </c>
      <c r="G62" s="250">
        <f>VLOOKUP(B62,'[2]市場監控 '!$F$7:$V$194,4,0)</f>
        <v>0.95759229999999995</v>
      </c>
      <c r="H62" s="250">
        <f>VLOOKUP(B62,'[2]市場監控 '!$F$7:$V$194,5,0)</f>
        <v>2.7991510000000002</v>
      </c>
      <c r="I62" s="251">
        <f>VLOOKUP(B62,'[2]市場監控 '!$F$7:$V$194,6,0)</f>
        <v>-7.5574079999999997</v>
      </c>
      <c r="J62" s="252">
        <f>IF(ISNUMBER(VLOOKUP(B62,'[2]市場監控 '!$F$7:$V$194,7,)),VLOOKUP(B62,'[2]市場監控 '!$F$7:$V$194,7,),"-")</f>
        <v>23.301929999999999</v>
      </c>
      <c r="K62" s="253">
        <v>1</v>
      </c>
      <c r="L62" s="253">
        <f>IF(ISNUMBER(VLOOKUP(B62,'[2]市場監控 '!$F$7:$V$194,9,0)),VLOOKUP(B62,'[2]市場監控 '!$F$7:$V$194,9,0),"-")</f>
        <v>-0.54425000000000001</v>
      </c>
      <c r="M62" s="254">
        <f>IF(ISNUMBER(VLOOKUP(B62,'[2]市場監控 '!$F$7:$V$194,10,0)),VLOOKUP(B62,'[2]市場監控 '!$F$7:$V$194,10,0),"-")</f>
        <v>-0.46096999999999999</v>
      </c>
      <c r="N62" s="255" t="str">
        <f>VLOOKUP(B62,'[2]市場監控 '!$F$7:$AJ$194,31,0)</f>
        <v/>
      </c>
      <c r="O62" s="256" t="str">
        <f>VLOOKUP(B62,'[2]市場監控 '!$F$7:$V$194,12,0)</f>
        <v>AA-</v>
      </c>
      <c r="P62" s="256" t="str">
        <f>VLOOKUP(B62,'[2]市場監控 '!$F$7:$V$194,13,0)</f>
        <v>Aa3</v>
      </c>
      <c r="Q62" s="257" t="str">
        <f>VLOOKUP(B62,'[2]市場監控 '!$F$7:$V$194,14,0)</f>
        <v>-</v>
      </c>
      <c r="R62" s="256"/>
      <c r="S62" s="256"/>
      <c r="T62" s="257"/>
      <c r="U62" s="243"/>
      <c r="V62" s="243"/>
      <c r="W62" s="243"/>
      <c r="X62" s="243"/>
      <c r="Y62" s="243"/>
      <c r="Z62" s="243"/>
      <c r="AA62" s="225" t="e">
        <f ca="1">MATCH(C62,'市場監控 '!$K$7:$K$194,0)</f>
        <v>#N/A</v>
      </c>
    </row>
    <row r="63" spans="1:27" ht="16.5" customHeight="1">
      <c r="A63" s="652"/>
      <c r="B63" s="245" t="s">
        <v>1779</v>
      </c>
      <c r="C63" s="246" t="s">
        <v>1780</v>
      </c>
      <c r="D63" s="266">
        <f>VLOOKUP(B63,'[2]市場監控 '!$F$7:$V$194,3,0)</f>
        <v>70.75</v>
      </c>
      <c r="E63" s="261">
        <f>VLOOKUP($B63,'[2]市場監控 '!$F$7:$AX$230,43,0)</f>
        <v>70.34</v>
      </c>
      <c r="F63" s="249">
        <f>VLOOKUP($B63,'[2]市場監控 '!$F$7:$AX$230,45,0)</f>
        <v>2.1492884112692456</v>
      </c>
      <c r="G63" s="250">
        <f>VLOOKUP(B63,'[2]市場監控 '!$F$7:$V$194,4,0)</f>
        <v>0.58288309999999999</v>
      </c>
      <c r="H63" s="250">
        <f>VLOOKUP(B63,'[2]市場監控 '!$F$7:$V$194,5,0)</f>
        <v>2.5957080000000001</v>
      </c>
      <c r="I63" s="251">
        <f>VLOOKUP(B63,'[2]市場監控 '!$F$7:$V$194,6,0)</f>
        <v>13.636369999999999</v>
      </c>
      <c r="J63" s="252">
        <f>IF(ISNUMBER(VLOOKUP(B63,'[2]市場監控 '!$F$7:$V$194,7,)),VLOOKUP(B63,'[2]市場監控 '!$F$7:$V$194,7,),"-")</f>
        <v>43.209490000000002</v>
      </c>
      <c r="K63" s="253">
        <v>1</v>
      </c>
      <c r="L63" s="253">
        <f>IF(ISNUMBER(VLOOKUP(B63,'[2]市場監控 '!$F$7:$V$194,9,0)),VLOOKUP(B63,'[2]市場監控 '!$F$7:$V$194,9,0),"-")</f>
        <v>-1.2456100000000001</v>
      </c>
      <c r="M63" s="254">
        <f>IF(ISNUMBER(VLOOKUP(B63,'[2]市場監控 '!$F$7:$V$194,10,0)),VLOOKUP(B63,'[2]市場監控 '!$F$7:$V$194,10,0),"-")</f>
        <v>-9.4500000000000001E-3</v>
      </c>
      <c r="N63" s="255" t="str">
        <f>VLOOKUP(B63,'[2]市場監控 '!$F$7:$AJ$194,31,0)</f>
        <v/>
      </c>
      <c r="O63" s="256" t="str">
        <f>VLOOKUP(B63,'[2]市場監控 '!$F$7:$V$194,12,0)</f>
        <v>A+</v>
      </c>
      <c r="P63" s="256" t="str">
        <f>VLOOKUP(B63,'[2]市場監控 '!$F$7:$V$194,13,0)</f>
        <v>A1</v>
      </c>
      <c r="Q63" s="257" t="str">
        <f>VLOOKUP(B63,'[2]市場監控 '!$F$7:$V$194,14,0)</f>
        <v>WD</v>
      </c>
      <c r="R63" s="256"/>
      <c r="S63" s="256"/>
      <c r="T63" s="257"/>
      <c r="U63" s="243"/>
      <c r="V63" s="243"/>
      <c r="W63" s="243"/>
      <c r="X63" s="243"/>
      <c r="Y63" s="243"/>
      <c r="Z63" s="243"/>
      <c r="AA63" s="225" t="e">
        <f ca="1">MATCH(C63,'市場監控 '!$K$7:$K$194,0)</f>
        <v>#N/A</v>
      </c>
    </row>
    <row r="64" spans="1:27" ht="16.5" customHeight="1">
      <c r="A64" s="652"/>
      <c r="B64" s="299" t="s">
        <v>1781</v>
      </c>
      <c r="C64" s="300" t="s">
        <v>1782</v>
      </c>
      <c r="D64" s="301"/>
      <c r="E64" s="261">
        <f>VLOOKUP($B64,'[2]市場監控 '!$F$7:$AX$230,43,0)</f>
        <v>153.30000000000001</v>
      </c>
      <c r="F64" s="249">
        <f>VLOOKUP($B64,'[2]市場監控 '!$F$7:$AX$230,45,0)</f>
        <v>6.1560833737275944</v>
      </c>
      <c r="G64" s="250">
        <f>VLOOKUP(B64,'[2]市場監控 '!$F$7:$V$194,4,0)</f>
        <v>1.3111550000000001</v>
      </c>
      <c r="H64" s="250">
        <f>VLOOKUP(B64,'[2]市場監控 '!$F$7:$V$194,5,0)</f>
        <v>5.031447</v>
      </c>
      <c r="I64" s="251">
        <f>VLOOKUP(B64,'[2]市場監控 '!$F$7:$V$194,6,0)</f>
        <v>20.311409999999999</v>
      </c>
      <c r="J64" s="252">
        <f>IF(ISNUMBER(VLOOKUP(B64,'[2]市場監控 '!$F$7:$V$194,7,)),VLOOKUP(B64,'[2]市場監控 '!$F$7:$V$194,7,),"-")</f>
        <v>36.973649999999999</v>
      </c>
      <c r="K64" s="253">
        <v>2</v>
      </c>
      <c r="L64" s="253">
        <f>IF(ISNUMBER(VLOOKUP(B64,'[2]市場監控 '!$F$7:$V$194,9,0)),VLOOKUP(B64,'[2]市場監控 '!$F$7:$V$194,9,0),"-")</f>
        <v>-0.86460000000000004</v>
      </c>
      <c r="M64" s="254">
        <f>IF(ISNUMBER(VLOOKUP(B64,'[2]市場監控 '!$F$7:$V$194,10,0)),VLOOKUP(B64,'[2]市場監控 '!$F$7:$V$194,10,0),"-")</f>
        <v>-1.6257600000000001</v>
      </c>
      <c r="N64" s="255" t="str">
        <f>VLOOKUP(B64,'[2]市場監控 '!$F$7:$AJ$194,31,0)</f>
        <v/>
      </c>
      <c r="O64" s="256" t="str">
        <f>VLOOKUP(B64,'[2]市場監控 '!$F$7:$V$194,12,0)</f>
        <v>BBB+</v>
      </c>
      <c r="P64" s="256" t="str">
        <f>VLOOKUP(B64,'[2]市場監控 '!$F$7:$V$194,13,0)</f>
        <v>A3</v>
      </c>
      <c r="Q64" s="257" t="str">
        <f>VLOOKUP(B64,'[2]市場監控 '!$F$7:$V$194,14,0)</f>
        <v>A-</v>
      </c>
      <c r="R64" s="256"/>
      <c r="S64" s="256"/>
      <c r="T64" s="257"/>
      <c r="U64" s="243"/>
      <c r="V64" s="243"/>
      <c r="W64" s="243"/>
      <c r="X64" s="243"/>
      <c r="Y64" s="243"/>
      <c r="Z64" s="243"/>
      <c r="AA64" s="225" t="e">
        <f ca="1">MATCH(C64,'市場監控 '!$K$7:$K$194,0)</f>
        <v>#N/A</v>
      </c>
    </row>
    <row r="65" spans="1:27" ht="16.5" customHeight="1" thickBot="1">
      <c r="A65" s="653"/>
      <c r="B65" s="230" t="s">
        <v>1783</v>
      </c>
      <c r="C65" s="332" t="s">
        <v>1784</v>
      </c>
      <c r="D65" s="323">
        <f>VLOOKUP(B65,'[2]市場監控 '!$F$7:$V$194,3,0)</f>
        <v>252.37</v>
      </c>
      <c r="E65" s="324">
        <f>VLOOKUP($B65,'[2]市場監控 '!$F$7:$AX$230,43,0)</f>
        <v>250.89</v>
      </c>
      <c r="F65" s="325">
        <f>VLOOKUP($B65,'[2]市場監控 '!$F$7:$AX$230,45,0)</f>
        <v>5.5179375026285893</v>
      </c>
      <c r="G65" s="234">
        <f>VLOOKUP(B65,'[2]市場監控 '!$F$7:$V$194,4,0)</f>
        <v>0.58989999999999998</v>
      </c>
      <c r="H65" s="234">
        <f>VLOOKUP(B65,'[2]市場監控 '!$F$7:$V$194,5,0)</f>
        <v>4.7265329999999999</v>
      </c>
      <c r="I65" s="235">
        <f>VLOOKUP(B65,'[2]市場監控 '!$F$7:$V$194,6,0)</f>
        <v>-50.110700000000001</v>
      </c>
      <c r="J65" s="326">
        <f>IF(ISNUMBER(VLOOKUP(B65,'[2]市場監控 '!$F$7:$V$194,7,)),VLOOKUP(B65,'[2]市場監控 '!$F$7:$V$194,7,),"-")</f>
        <v>58.822040000000001</v>
      </c>
      <c r="K65" s="327">
        <v>1</v>
      </c>
      <c r="L65" s="327">
        <f>IF(ISNUMBER(VLOOKUP(B65,'[2]市場監控 '!$F$7:$V$194,9,0)),VLOOKUP(B65,'[2]市場監控 '!$F$7:$V$194,9,0),"-")</f>
        <v>-1.9588699999999999</v>
      </c>
      <c r="M65" s="328">
        <f>IF(ISNUMBER(VLOOKUP(B65,'[2]市場監控 '!$F$7:$V$194,10,0)),VLOOKUP(B65,'[2]市場監控 '!$F$7:$V$194,10,0),"-")</f>
        <v>15.2821</v>
      </c>
      <c r="N65" s="329" t="str">
        <f>VLOOKUP(B65,'[2]市場監控 '!$F$7:$AJ$194,31,0)</f>
        <v/>
      </c>
      <c r="O65" s="330" t="str">
        <f>VLOOKUP(B65,'[2]市場監控 '!$F$7:$V$194,12,0)</f>
        <v>NR</v>
      </c>
      <c r="P65" s="330" t="str">
        <f>VLOOKUP(B65,'[2]市場監控 '!$F$7:$V$194,13,0)</f>
        <v>A2</v>
      </c>
      <c r="Q65" s="331" t="str">
        <f>VLOOKUP(B65,'[2]市場監控 '!$F$7:$V$194,14,0)</f>
        <v>A</v>
      </c>
      <c r="R65" s="256" t="s">
        <v>935</v>
      </c>
      <c r="S65" s="256" t="s">
        <v>940</v>
      </c>
      <c r="T65" s="257" t="s">
        <v>935</v>
      </c>
      <c r="U65" s="243" t="e">
        <f>IF(O38=#REF!, 0,1)</f>
        <v>#REF!</v>
      </c>
      <c r="V65" s="243" t="e">
        <f>IF(P38=#REF!, 0,1)</f>
        <v>#REF!</v>
      </c>
      <c r="W65" s="243" t="e">
        <f>IF(Q38=#REF!, 0,1)</f>
        <v>#REF!</v>
      </c>
      <c r="X65" s="243" t="e">
        <f>IF(R65=#REF!, 0,1)</f>
        <v>#REF!</v>
      </c>
      <c r="Y65" s="243" t="e">
        <f>IF(S65=#REF!, 0,1)</f>
        <v>#REF!</v>
      </c>
      <c r="Z65" s="243" t="e">
        <f>IF(T65=#REF!, 0,1)</f>
        <v>#REF!</v>
      </c>
      <c r="AA65" s="225" t="e">
        <f ca="1">MATCH(C65,'市場監控 '!$K$7:$K$194,0)</f>
        <v>#N/A</v>
      </c>
    </row>
    <row r="66" spans="1:27" ht="16.5" customHeight="1">
      <c r="A66" s="651" t="s">
        <v>1034</v>
      </c>
      <c r="B66" s="275" t="s">
        <v>1785</v>
      </c>
      <c r="C66" s="276" t="s">
        <v>1786</v>
      </c>
      <c r="D66" s="333" t="str">
        <f>VLOOKUP(B66,'[2]市場監控 '!$F$7:$V$194,3,0)</f>
        <v>-</v>
      </c>
      <c r="E66" s="334" t="str">
        <f>VLOOKUP($B66,'[2]市場監控 '!$F$7:$AX$230,43,0)</f>
        <v>-</v>
      </c>
      <c r="F66" s="335" t="str">
        <f>VLOOKUP($B66,'[2]市場監控 '!$F$7:$AX$230,45,0)</f>
        <v>-</v>
      </c>
      <c r="G66" s="336" t="str">
        <f>VLOOKUP(B66,'[2]市場監控 '!$F$7:$V$194,4,0)</f>
        <v>-</v>
      </c>
      <c r="H66" s="336" t="str">
        <f>VLOOKUP(B66,'[2]市場監控 '!$F$7:$V$194,5,0)</f>
        <v>-</v>
      </c>
      <c r="I66" s="337" t="str">
        <f>VLOOKUP(B66,'[2]市場監控 '!$F$7:$V$194,6,0)</f>
        <v>-</v>
      </c>
      <c r="J66" s="338">
        <f>IF(ISNUMBER(VLOOKUP(B66,'[2]市場監控 '!$F$7:$V$194,7,)),VLOOKUP(B66,'[2]市場監控 '!$F$7:$V$194,7,),"-")</f>
        <v>373.37990000000002</v>
      </c>
      <c r="K66" s="339">
        <v>1</v>
      </c>
      <c r="L66" s="339">
        <f>IF(ISNUMBER(VLOOKUP(B66,'[2]市場監控 '!$F$7:$V$194,9,0)),VLOOKUP(B66,'[2]市場監控 '!$F$7:$V$194,9,0),"-")</f>
        <v>10.7029</v>
      </c>
      <c r="M66" s="340">
        <f>IF(ISNUMBER(VLOOKUP(B66,'[2]市場監控 '!$F$7:$V$194,10,0)),VLOOKUP(B66,'[2]市場監控 '!$F$7:$V$194,10,0),"-")</f>
        <v>-56.855899999999998</v>
      </c>
      <c r="N66" s="341" t="str">
        <f>VLOOKUP(B66,'[2]市場監控 '!$F$7:$AJ$194,31,0)</f>
        <v/>
      </c>
      <c r="O66" s="342" t="str">
        <f>VLOOKUP(B66,'[2]市場監控 '!$F$7:$V$194,12,0)</f>
        <v>BBB</v>
      </c>
      <c r="P66" s="342" t="str">
        <f>VLOOKUP(B66,'[2]市場監控 '!$F$7:$V$194,13,0)</f>
        <v>B3</v>
      </c>
      <c r="Q66" s="343" t="str">
        <f>VLOOKUP(B66,'[2]市場監控 '!$F$7:$V$194,14,0)</f>
        <v>BBu</v>
      </c>
      <c r="R66" s="256" t="s">
        <v>940</v>
      </c>
      <c r="S66" s="256" t="s">
        <v>940</v>
      </c>
      <c r="T66" s="257" t="s">
        <v>935</v>
      </c>
      <c r="U66" s="243" t="e">
        <f>IF(O39=#REF!, 0,1)</f>
        <v>#REF!</v>
      </c>
      <c r="V66" s="243" t="e">
        <f>IF(P39=#REF!, 0,1)</f>
        <v>#REF!</v>
      </c>
      <c r="W66" s="243" t="e">
        <f>IF(Q39=#REF!, 0,1)</f>
        <v>#REF!</v>
      </c>
      <c r="X66" s="243" t="e">
        <f>IF(R66=#REF!, 0,1)</f>
        <v>#REF!</v>
      </c>
      <c r="Y66" s="243" t="e">
        <f>IF(S66=#REF!, 0,1)</f>
        <v>#REF!</v>
      </c>
      <c r="Z66" s="243" t="e">
        <f>IF(T66=#REF!, 0,1)</f>
        <v>#REF!</v>
      </c>
      <c r="AA66" s="225" t="e">
        <f ca="1">MATCH(C66,'市場監控 '!$K$7:$K$194,0)</f>
        <v>#N/A</v>
      </c>
    </row>
    <row r="67" spans="1:27" ht="16.5" customHeight="1" thickBot="1">
      <c r="A67" s="652"/>
      <c r="B67" s="245" t="s">
        <v>1787</v>
      </c>
      <c r="C67" s="246" t="s">
        <v>1788</v>
      </c>
      <c r="D67" s="268" t="str">
        <f>VLOOKUP(B67,'[2]市場監控 '!$F$7:$V$194,3,0)</f>
        <v>-</v>
      </c>
      <c r="E67" s="344" t="str">
        <f>VLOOKUP($B67,'[2]市場監控 '!$F$7:$AX$230,43,0)</f>
        <v>-</v>
      </c>
      <c r="F67" s="345" t="str">
        <f>VLOOKUP($B67,'[2]市場監控 '!$F$7:$AX$230,45,0)</f>
        <v>-</v>
      </c>
      <c r="G67" s="250" t="str">
        <f>VLOOKUP(B67,'[2]市場監控 '!$F$7:$V$194,4,0)</f>
        <v>-</v>
      </c>
      <c r="H67" s="250" t="str">
        <f>VLOOKUP(B67,'[2]市場監控 '!$F$7:$V$194,5,0)</f>
        <v>-</v>
      </c>
      <c r="I67" s="251" t="str">
        <f>VLOOKUP(B67,'[2]市場監控 '!$F$7:$V$194,6,0)</f>
        <v>-</v>
      </c>
      <c r="J67" s="252">
        <f>IF(ISNUMBER(VLOOKUP(B67,'[2]市場監控 '!$F$7:$V$194,7,)),VLOOKUP(B67,'[2]市場監控 '!$F$7:$V$194,7,),"-")</f>
        <v>69.307749999999999</v>
      </c>
      <c r="K67" s="253">
        <v>1</v>
      </c>
      <c r="L67" s="253">
        <f>IF(ISNUMBER(VLOOKUP(B67,'[2]市場監控 '!$F$7:$V$194,9,0)),VLOOKUP(B67,'[2]市場監控 '!$F$7:$V$194,9,0),"-")</f>
        <v>-2.02488</v>
      </c>
      <c r="M67" s="254">
        <f>IF(ISNUMBER(VLOOKUP(B67,'[2]市場監控 '!$F$7:$V$194,10,0)),VLOOKUP(B67,'[2]市場監控 '!$F$7:$V$194,10,0),"-")</f>
        <v>-9.3630099999999992</v>
      </c>
      <c r="N67" s="255" t="str">
        <f>VLOOKUP(B67,'[2]市場監控 '!$F$7:$AJ$194,31,0)</f>
        <v/>
      </c>
      <c r="O67" s="256" t="str">
        <f>VLOOKUP(B67,'[2]市場監控 '!$F$7:$V$194,12,0)</f>
        <v>BBB</v>
      </c>
      <c r="P67" s="256" t="str">
        <f>VLOOKUP(B67,'[2]市場監控 '!$F$7:$V$194,13,0)</f>
        <v>Baa2</v>
      </c>
      <c r="Q67" s="257" t="str">
        <f>VLOOKUP(B67,'[2]市場監控 '!$F$7:$V$194,14,0)</f>
        <v>BBB</v>
      </c>
      <c r="R67" s="256" t="s">
        <v>936</v>
      </c>
      <c r="S67" s="256" t="s">
        <v>935</v>
      </c>
      <c r="T67" s="257" t="s">
        <v>940</v>
      </c>
      <c r="U67" s="243" t="e">
        <f>IF(#REF!=#REF!, 0,1)</f>
        <v>#REF!</v>
      </c>
      <c r="V67" s="243" t="e">
        <f>IF(#REF!=#REF!, 0,1)</f>
        <v>#REF!</v>
      </c>
      <c r="W67" s="243" t="e">
        <f>IF(#REF!=#REF!, 0,1)</f>
        <v>#REF!</v>
      </c>
      <c r="X67" s="243" t="e">
        <f>IF(R67=#REF!, 0,1)</f>
        <v>#REF!</v>
      </c>
      <c r="Y67" s="243" t="e">
        <f>IF(S67=#REF!, 0,1)</f>
        <v>#REF!</v>
      </c>
      <c r="Z67" s="243" t="e">
        <f>IF(T67=#REF!, 0,1)</f>
        <v>#REF!</v>
      </c>
      <c r="AA67" s="225" t="e">
        <f ca="1">MATCH(C67,'市場監控 '!$K$7:$K$194,0)</f>
        <v>#N/A</v>
      </c>
    </row>
    <row r="68" spans="1:27" ht="16.5" customHeight="1">
      <c r="A68" s="652"/>
      <c r="B68" s="270" t="s">
        <v>1789</v>
      </c>
      <c r="C68" s="246" t="s">
        <v>1790</v>
      </c>
      <c r="D68" s="266">
        <f>VLOOKUP(B68,'[2]市場監控 '!$F$7:$V$194,3,0)</f>
        <v>24.05</v>
      </c>
      <c r="E68" s="261" t="str">
        <f>VLOOKUP($B68,'[2]市場監控 '!$F$7:$AX$230,43,0)</f>
        <v>-</v>
      </c>
      <c r="F68" s="249" t="str">
        <f>VLOOKUP($B68,'[2]市場監控 '!$F$7:$AX$230,45,0)</f>
        <v>-</v>
      </c>
      <c r="G68" s="250">
        <f>VLOOKUP(B68,'[2]市場監控 '!$F$7:$V$194,4,0)</f>
        <v>0</v>
      </c>
      <c r="H68" s="250">
        <f>VLOOKUP(B68,'[2]市場監控 '!$F$7:$V$194,5,0)</f>
        <v>-0.29021560000000002</v>
      </c>
      <c r="I68" s="251">
        <f>VLOOKUP(B68,'[2]市場監控 '!$F$7:$V$194,6,0)</f>
        <v>-14.2377</v>
      </c>
      <c r="J68" s="252">
        <f>IF(ISNUMBER(VLOOKUP(B68,'[2]市場監控 '!$F$7:$V$194,7,)),VLOOKUP(B68,'[2]市場監控 '!$F$7:$V$194,7,),"-")</f>
        <v>32.660260000000001</v>
      </c>
      <c r="K68" s="253">
        <v>1</v>
      </c>
      <c r="L68" s="253">
        <f>IF(ISNUMBER(VLOOKUP(B68,'[2]市場監控 '!$F$7:$V$194,9,0)),VLOOKUP(B68,'[2]市場監控 '!$F$7:$V$194,9,0),"-")</f>
        <v>0.29418</v>
      </c>
      <c r="M68" s="254">
        <f>IF(ISNUMBER(VLOOKUP(B68,'[2]市場監控 '!$F$7:$V$194,10,0)),VLOOKUP(B68,'[2]市場監控 '!$F$7:$V$194,10,0),"-")</f>
        <v>2.68248</v>
      </c>
      <c r="N68" s="255" t="str">
        <f>VLOOKUP(B68,'[2]市場監控 '!$F$7:$AJ$194,31,0)</f>
        <v/>
      </c>
      <c r="O68" s="256" t="str">
        <f>VLOOKUP(B68,'[2]市場監控 '!$F$7:$V$194,12,0)</f>
        <v>-</v>
      </c>
      <c r="P68" s="256" t="str">
        <f>VLOOKUP(B68,'[2]市場監控 '!$F$7:$V$194,13,0)</f>
        <v>Aa3</v>
      </c>
      <c r="Q68" s="257" t="str">
        <f>VLOOKUP(B68,'[2]市場監控 '!$F$7:$V$194,14,0)</f>
        <v>A+</v>
      </c>
      <c r="R68" s="259" t="s">
        <v>935</v>
      </c>
      <c r="S68" s="259" t="s">
        <v>940</v>
      </c>
      <c r="T68" s="257" t="s">
        <v>940</v>
      </c>
      <c r="U68" s="243" t="e">
        <f>IF(#REF!=#REF!, 0,1)</f>
        <v>#REF!</v>
      </c>
      <c r="V68" s="243" t="e">
        <f>IF(#REF!=#REF!, 0,1)</f>
        <v>#REF!</v>
      </c>
      <c r="W68" s="243" t="e">
        <f>IF(#REF!=#REF!, 0,1)</f>
        <v>#REF!</v>
      </c>
      <c r="X68" s="243" t="e">
        <f>IF(R68=#REF!, 0,1)</f>
        <v>#REF!</v>
      </c>
      <c r="Y68" s="243" t="e">
        <f>IF(S68=#REF!, 0,1)</f>
        <v>#REF!</v>
      </c>
      <c r="Z68" s="243" t="e">
        <f>IF(T68=#REF!, 0,1)</f>
        <v>#REF!</v>
      </c>
      <c r="AA68" s="225" t="e">
        <f ca="1">MATCH(C68,'市場監控 '!$K$7:$K$194,0)</f>
        <v>#N/A</v>
      </c>
    </row>
    <row r="69" spans="1:27" ht="16.5" customHeight="1">
      <c r="A69" s="652"/>
      <c r="B69" s="270" t="s">
        <v>1791</v>
      </c>
      <c r="C69" s="271" t="s">
        <v>1792</v>
      </c>
      <c r="D69" s="266">
        <f>VLOOKUP(B69,'[2]市場監控 '!$F$7:$V$194,3,0)</f>
        <v>2644.5</v>
      </c>
      <c r="E69" s="261">
        <f>VLOOKUP($B69,'[2]市場監控 '!$F$7:$AX$230,43,0)</f>
        <v>2653</v>
      </c>
      <c r="F69" s="249">
        <f>VLOOKUP($B69,'[2]市場監控 '!$F$7:$AX$230,45,0)</f>
        <v>-1.9948282231252334</v>
      </c>
      <c r="G69" s="250">
        <f>VLOOKUP(B69,'[2]市場監控 '!$F$7:$V$194,4,0)</f>
        <v>-0.32039200000000001</v>
      </c>
      <c r="H69" s="250">
        <f>VLOOKUP(B69,'[2]市場監控 '!$F$7:$V$194,5,0)</f>
        <v>-1.39821</v>
      </c>
      <c r="I69" s="251">
        <f>VLOOKUP(B69,'[2]市場監控 '!$F$7:$V$194,6,0)</f>
        <v>6.8053309999999998</v>
      </c>
      <c r="J69" s="252">
        <f>IF(ISNUMBER(VLOOKUP(B69,'[2]市場監控 '!$F$7:$V$194,7,)),VLOOKUP(B69,'[2]市場監控 '!$F$7:$V$194,7,),"-")</f>
        <v>52.01717</v>
      </c>
      <c r="K69" s="253">
        <v>1</v>
      </c>
      <c r="L69" s="253">
        <f>IF(ISNUMBER(VLOOKUP(B69,'[2]市場監控 '!$F$7:$V$194,9,0)),VLOOKUP(B69,'[2]市場監控 '!$F$7:$V$194,9,0),"-")</f>
        <v>-2.4849100000000002</v>
      </c>
      <c r="M69" s="254">
        <f>IF(ISNUMBER(VLOOKUP(B69,'[2]市場監控 '!$F$7:$V$194,10,0)),VLOOKUP(B69,'[2]市場監控 '!$F$7:$V$194,10,0),"-")</f>
        <v>20.3109</v>
      </c>
      <c r="N69" s="255" t="str">
        <f>VLOOKUP(B69,'[2]市場監控 '!$F$7:$AJ$194,31,0)</f>
        <v/>
      </c>
      <c r="O69" s="256" t="str">
        <f>VLOOKUP(B69,'[2]市場監控 '!$F$7:$V$194,12,0)</f>
        <v>A+</v>
      </c>
      <c r="P69" s="256" t="str">
        <f>VLOOKUP(B69,'[2]市場監控 '!$F$7:$V$194,13,0)</f>
        <v>Aa2</v>
      </c>
      <c r="Q69" s="257" t="str">
        <f>VLOOKUP(B69,'[2]市場監控 '!$F$7:$V$194,14,0)</f>
        <v>AA-</v>
      </c>
      <c r="R69" s="342"/>
      <c r="S69" s="342"/>
      <c r="T69" s="257"/>
      <c r="U69" s="243"/>
      <c r="V69" s="243"/>
      <c r="W69" s="243"/>
      <c r="X69" s="243"/>
      <c r="Y69" s="243"/>
      <c r="Z69" s="243"/>
      <c r="AA69" s="225" t="e">
        <f ca="1">MATCH(C69,'市場監控 '!$K$7:$K$194,0)</f>
        <v>#N/A</v>
      </c>
    </row>
    <row r="70" spans="1:27" ht="16.5" customHeight="1" thickBot="1">
      <c r="A70" s="653"/>
      <c r="B70" s="286" t="s">
        <v>1793</v>
      </c>
      <c r="C70" s="287" t="s">
        <v>1794</v>
      </c>
      <c r="D70" s="288">
        <f>VLOOKUP(B70,'[2]市場監控 '!$F$7:$V$194,3,0)</f>
        <v>105.83</v>
      </c>
      <c r="E70" s="289">
        <f>VLOOKUP($B70,'[2]市場監控 '!$F$7:$AX$230,43,0)</f>
        <v>106.8</v>
      </c>
      <c r="F70" s="290">
        <f>VLOOKUP($B70,'[2]市場監控 '!$F$7:$AX$230,45,0)</f>
        <v>-2.5902955125866489</v>
      </c>
      <c r="G70" s="291">
        <f>VLOOKUP(B70,'[2]市場監控 '!$F$7:$V$194,4,0)</f>
        <v>-0.90823969999999998</v>
      </c>
      <c r="H70" s="291">
        <f>VLOOKUP(B70,'[2]市場監控 '!$F$7:$V$194,5,0)</f>
        <v>-1.434293</v>
      </c>
      <c r="I70" s="292">
        <f>VLOOKUP(B70,'[2]市場監控 '!$F$7:$V$194,6,0)</f>
        <v>-1.617551</v>
      </c>
      <c r="J70" s="293">
        <f>IF(ISNUMBER(VLOOKUP(B70,'[2]市場監控 '!$F$7:$V$194,7,)),VLOOKUP(B70,'[2]市場監控 '!$F$7:$V$194,7,),"-")</f>
        <v>104.69929999999999</v>
      </c>
      <c r="K70" s="294">
        <v>1</v>
      </c>
      <c r="L70" s="294">
        <f>IF(ISNUMBER(VLOOKUP(B70,'[2]市場監控 '!$F$7:$V$194,9,0)),VLOOKUP(B70,'[2]市場監控 '!$F$7:$V$194,9,0),"-")</f>
        <v>-2.9512999999999998</v>
      </c>
      <c r="M70" s="295">
        <f>IF(ISNUMBER(VLOOKUP(B70,'[2]市場監控 '!$F$7:$V$194,10,0)),VLOOKUP(B70,'[2]市場監控 '!$F$7:$V$194,10,0),"-")</f>
        <v>16.463539999999998</v>
      </c>
      <c r="N70" s="296" t="str">
        <f>VLOOKUP(B70,'[2]市場監控 '!$F$7:$AJ$194,31,0)</f>
        <v/>
      </c>
      <c r="O70" s="297" t="str">
        <f>VLOOKUP(B70,'[2]市場監控 '!$F$7:$V$194,12,0)</f>
        <v>AA-</v>
      </c>
      <c r="P70" s="297" t="str">
        <f>VLOOKUP(B70,'[2]市場監控 '!$F$7:$V$194,13,0)</f>
        <v>Aa2</v>
      </c>
      <c r="Q70" s="298" t="str">
        <f>VLOOKUP(B70,'[2]市場監控 '!$F$7:$V$194,14,0)</f>
        <v>WD</v>
      </c>
      <c r="R70" s="256" t="s">
        <v>935</v>
      </c>
      <c r="S70" s="256" t="s">
        <v>935</v>
      </c>
      <c r="T70" s="257" t="s">
        <v>940</v>
      </c>
      <c r="U70" s="243" t="e">
        <f>IF(#REF!=#REF!, 0,1)</f>
        <v>#REF!</v>
      </c>
      <c r="V70" s="243" t="e">
        <f>IF(#REF!=#REF!, 0,1)</f>
        <v>#REF!</v>
      </c>
      <c r="W70" s="243" t="e">
        <f>IF(#REF!=#REF!, 0,1)</f>
        <v>#REF!</v>
      </c>
      <c r="X70" s="243" t="e">
        <f>IF(R70=#REF!, 0,1)</f>
        <v>#REF!</v>
      </c>
      <c r="Y70" s="243" t="e">
        <f>IF(S70=#REF!, 0,1)</f>
        <v>#REF!</v>
      </c>
      <c r="Z70" s="243" t="e">
        <f>IF(T70=#REF!, 0,1)</f>
        <v>#REF!</v>
      </c>
      <c r="AA70" s="225" t="e">
        <f ca="1">MATCH(C70,'市場監控 '!$K$7:$K$194,0)</f>
        <v>#N/A</v>
      </c>
    </row>
    <row r="71" spans="1:27" ht="16.5" customHeight="1">
      <c r="A71" s="662" t="s">
        <v>1176</v>
      </c>
      <c r="B71" s="275" t="s">
        <v>1795</v>
      </c>
      <c r="C71" s="276" t="s">
        <v>1796</v>
      </c>
      <c r="D71" s="346">
        <f>VLOOKUP(B71,'[2]市場監控 '!$F$7:$V$194,3,0)</f>
        <v>173.82</v>
      </c>
      <c r="E71" s="347">
        <f>VLOOKUP($B71,'[2]市場監控 '!$F$7:$AX$230,43,0)</f>
        <v>173.33</v>
      </c>
      <c r="F71" s="348">
        <f>VLOOKUP($B71,'[2]市場監控 '!$F$7:$AX$230,45,0)</f>
        <v>3.5857287993784626</v>
      </c>
      <c r="G71" s="336">
        <f>VLOOKUP(B71,'[2]市場監控 '!$F$7:$V$194,4,0)</f>
        <v>0.2826977</v>
      </c>
      <c r="H71" s="336">
        <f>VLOOKUP(B71,'[2]市場監控 '!$F$7:$V$194,5,0)</f>
        <v>1.625351</v>
      </c>
      <c r="I71" s="337">
        <f>VLOOKUP(B71,'[2]市場監控 '!$F$7:$V$194,6,0)</f>
        <v>20.190850000000001</v>
      </c>
      <c r="J71" s="338">
        <f>IF(ISNUMBER(VLOOKUP(B71,'[2]市場監控 '!$F$7:$V$194,7,)),VLOOKUP(B71,'[2]市場監控 '!$F$7:$V$194,7,),"-")</f>
        <v>21.162420000000001</v>
      </c>
      <c r="K71" s="339">
        <v>1</v>
      </c>
      <c r="L71" s="339">
        <f>IF(ISNUMBER(VLOOKUP(B71,'[2]市場監控 '!$F$7:$V$194,9,0)),VLOOKUP(B71,'[2]市場監控 '!$F$7:$V$194,9,0),"-")</f>
        <v>-0.97529999999999994</v>
      </c>
      <c r="M71" s="340">
        <f>IF(ISNUMBER(VLOOKUP(B71,'[2]市場監控 '!$F$7:$V$194,10,0)),VLOOKUP(B71,'[2]市場監控 '!$F$7:$V$194,10,0),"-")</f>
        <v>-1.2662899999999999</v>
      </c>
      <c r="N71" s="341" t="str">
        <f>VLOOKUP(B71,'[2]市場監控 '!$F$7:$AJ$194,31,0)</f>
        <v/>
      </c>
      <c r="O71" s="342" t="str">
        <f>VLOOKUP(B71,'[2]市場監控 '!$F$7:$V$194,12,0)</f>
        <v>AAA</v>
      </c>
      <c r="P71" s="342" t="str">
        <f>VLOOKUP(B71,'[2]市場監控 '!$F$7:$V$194,13,0)</f>
        <v>Aaa</v>
      </c>
      <c r="Q71" s="343" t="str">
        <f>VLOOKUP(B71,'[2]市場監控 '!$F$7:$V$194,14,0)</f>
        <v>WD</v>
      </c>
      <c r="R71" s="349"/>
      <c r="S71" s="349"/>
      <c r="T71" s="349"/>
      <c r="U71" s="243"/>
      <c r="V71" s="243"/>
      <c r="W71" s="243"/>
      <c r="X71" s="243"/>
      <c r="Y71" s="243"/>
      <c r="Z71" s="243"/>
      <c r="AA71" s="225" t="e">
        <f ca="1">MATCH(C71,'市場監控 '!$K$7:$K$194,0)</f>
        <v>#N/A</v>
      </c>
    </row>
    <row r="72" spans="1:27" ht="16.5" customHeight="1">
      <c r="A72" s="663"/>
      <c r="B72" s="245" t="s">
        <v>1797</v>
      </c>
      <c r="C72" s="246" t="s">
        <v>1798</v>
      </c>
      <c r="D72" s="266">
        <f>VLOOKUP(B72,'[2]市場監控 '!$F$7:$V$194,3,0)</f>
        <v>198.64</v>
      </c>
      <c r="E72" s="261">
        <f>VLOOKUP($B72,'[2]市場監控 '!$F$7:$AX$230,43,0)</f>
        <v>198.05</v>
      </c>
      <c r="F72" s="249">
        <f>VLOOKUP($B72,'[2]市場監控 '!$F$7:$AX$230,45,0)</f>
        <v>1.449646552607331</v>
      </c>
      <c r="G72" s="250">
        <f>VLOOKUP(B72,'[2]市場監控 '!$F$7:$V$194,4,0)</f>
        <v>0.29790460000000002</v>
      </c>
      <c r="H72" s="250">
        <f>VLOOKUP(B72,'[2]市場監控 '!$F$7:$V$194,5,0)</f>
        <v>0.73533139999999997</v>
      </c>
      <c r="I72" s="251">
        <f>VLOOKUP(B72,'[2]市場監控 '!$F$7:$V$194,6,0)</f>
        <v>11.783910000000001</v>
      </c>
      <c r="J72" s="252">
        <f>IF(ISNUMBER(VLOOKUP(B72,'[2]市場監控 '!$F$7:$V$194,7,)),VLOOKUP(B72,'[2]市場監控 '!$F$7:$V$194,7,),"-")</f>
        <v>43.209490000000002</v>
      </c>
      <c r="K72" s="253">
        <v>1</v>
      </c>
      <c r="L72" s="253">
        <f>IF(ISNUMBER(VLOOKUP(B72,'[2]市場監控 '!$F$7:$V$194,9,0)),VLOOKUP(B72,'[2]市場監控 '!$F$7:$V$194,9,0),"-")</f>
        <v>-1.2456100000000001</v>
      </c>
      <c r="M72" s="254">
        <f>IF(ISNUMBER(VLOOKUP(B72,'[2]市場監控 '!$F$7:$V$194,10,0)),VLOOKUP(B72,'[2]市場監控 '!$F$7:$V$194,10,0),"-")</f>
        <v>-9.4500000000000001E-3</v>
      </c>
      <c r="N72" s="255" t="str">
        <f>VLOOKUP(B72,'[2]市場監控 '!$F$7:$AJ$194,31,0)</f>
        <v/>
      </c>
      <c r="O72" s="256" t="str">
        <f>VLOOKUP(B72,'[2]市場監控 '!$F$7:$V$194,12,0)</f>
        <v>A-</v>
      </c>
      <c r="P72" s="256" t="str">
        <f>VLOOKUP(B72,'[2]市場監控 '!$F$7:$V$194,13,0)</f>
        <v>A3</v>
      </c>
      <c r="Q72" s="257" t="str">
        <f>VLOOKUP(B72,'[2]市場監控 '!$F$7:$V$194,14,0)</f>
        <v>-</v>
      </c>
      <c r="R72" s="349"/>
      <c r="S72" s="349"/>
      <c r="T72" s="349"/>
      <c r="U72" s="243"/>
      <c r="V72" s="243"/>
      <c r="W72" s="243"/>
      <c r="X72" s="243"/>
      <c r="Y72" s="243"/>
      <c r="Z72" s="243"/>
      <c r="AA72" s="225" t="e">
        <f ca="1">MATCH(C72,'市場監控 '!$K$7:$K$194,0)</f>
        <v>#N/A</v>
      </c>
    </row>
    <row r="73" spans="1:27" ht="16.5" customHeight="1">
      <c r="A73" s="663"/>
      <c r="B73" s="270" t="s">
        <v>1799</v>
      </c>
      <c r="C73" s="246" t="s">
        <v>1800</v>
      </c>
      <c r="D73" s="266">
        <f>VLOOKUP(B73,'[2]市場監控 '!$F$7:$V$194,3,0)</f>
        <v>635.22</v>
      </c>
      <c r="E73" s="261">
        <f>VLOOKUP($B73,'[2]市場監控 '!$F$7:$AX$230,43,0)</f>
        <v>625.65</v>
      </c>
      <c r="F73" s="249">
        <f>VLOOKUP($B73,'[2]市場監控 '!$F$7:$AX$230,45,0)</f>
        <v>-17.929243241116055</v>
      </c>
      <c r="G73" s="250">
        <f>VLOOKUP(B73,'[2]市場監控 '!$F$7:$V$194,4,0)</f>
        <v>1.529609</v>
      </c>
      <c r="H73" s="250">
        <f>VLOOKUP(B73,'[2]市場監控 '!$F$7:$V$194,5,0)</f>
        <v>-17.396619999999999</v>
      </c>
      <c r="I73" s="251">
        <f>VLOOKUP(B73,'[2]市場監控 '!$F$7:$V$194,6,0)</f>
        <v>-17.71762</v>
      </c>
      <c r="J73" s="252">
        <f>IF(ISNUMBER(VLOOKUP(B73,'[2]市場監控 '!$F$7:$V$194,7,)),VLOOKUP(B73,'[2]市場監控 '!$F$7:$V$194,7,),"-")</f>
        <v>43.209490000000002</v>
      </c>
      <c r="K73" s="253">
        <v>1</v>
      </c>
      <c r="L73" s="253">
        <f>IF(ISNUMBER(VLOOKUP(B73,'[2]市場監控 '!$F$7:$V$194,9,0)),VLOOKUP(B73,'[2]市場監控 '!$F$7:$V$194,9,0),"-")</f>
        <v>-1.2456100000000001</v>
      </c>
      <c r="M73" s="254">
        <f>IF(ISNUMBER(VLOOKUP(B73,'[2]市場監控 '!$F$7:$V$194,10,0)),VLOOKUP(B73,'[2]市場監控 '!$F$7:$V$194,10,0),"-")</f>
        <v>6.2744499999999999</v>
      </c>
      <c r="N73" s="255" t="str">
        <f>VLOOKUP(B73,'[2]市場監控 '!$F$7:$AJ$194,31,0)</f>
        <v/>
      </c>
      <c r="O73" s="256" t="str">
        <f>VLOOKUP(B73,'[2]市場監控 '!$F$7:$V$194,12,0)</f>
        <v>A+</v>
      </c>
      <c r="P73" s="256" t="str">
        <f>VLOOKUP(B73,'[2]市場監控 '!$F$7:$V$194,13,0)</f>
        <v>Aa3</v>
      </c>
      <c r="Q73" s="257" t="str">
        <f>VLOOKUP(B73,'[2]市場監控 '!$F$7:$V$194,14,0)</f>
        <v>WD</v>
      </c>
      <c r="R73" s="349"/>
      <c r="S73" s="349"/>
      <c r="T73" s="349"/>
      <c r="U73" s="243"/>
      <c r="V73" s="243"/>
      <c r="W73" s="243"/>
      <c r="X73" s="243"/>
      <c r="Y73" s="243"/>
      <c r="Z73" s="243"/>
      <c r="AA73" s="225" t="e">
        <f ca="1">MATCH(C73,'市場監控 '!$K$7:$K$194,0)</f>
        <v>#N/A</v>
      </c>
    </row>
    <row r="74" spans="1:27" ht="16.5" customHeight="1" thickBot="1">
      <c r="A74" s="664"/>
      <c r="B74" s="270" t="s">
        <v>1801</v>
      </c>
      <c r="C74" s="271" t="s">
        <v>1802</v>
      </c>
      <c r="D74" s="288">
        <f>VLOOKUP(B74,'[2]市場監控 '!$F$7:$V$194,3,0)</f>
        <v>96.02</v>
      </c>
      <c r="E74" s="289">
        <f>VLOOKUP($B74,'[2]市場監控 '!$F$7:$AX$230,43,0)</f>
        <v>94.06</v>
      </c>
      <c r="F74" s="290" t="str">
        <f>VLOOKUP($B74,'[2]市場監控 '!$F$7:$AX$230,45,0)</f>
        <v>-</v>
      </c>
      <c r="G74" s="291">
        <f>VLOOKUP(B74,'[2]市場監控 '!$F$7:$V$194,4,0)</f>
        <v>2.0837759999999999</v>
      </c>
      <c r="H74" s="291">
        <f>VLOOKUP(B74,'[2]市場監控 '!$F$7:$V$194,5,0)</f>
        <v>1.522521</v>
      </c>
      <c r="I74" s="292">
        <f>VLOOKUP(B74,'[2]市場監控 '!$F$7:$V$194,6,0)</f>
        <v>8.2525399999999998</v>
      </c>
      <c r="J74" s="293">
        <f>IF(ISNUMBER(VLOOKUP(B74,'[2]市場監控 '!$F$7:$V$194,7,)),VLOOKUP(B74,'[2]市場監控 '!$F$7:$V$194,7,),"-")</f>
        <v>64.490139999999997</v>
      </c>
      <c r="K74" s="294">
        <v>1</v>
      </c>
      <c r="L74" s="294">
        <f>IF(ISNUMBER(VLOOKUP(B74,'[2]市場監控 '!$F$7:$V$194,9,0)),VLOOKUP(B74,'[2]市場監控 '!$F$7:$V$194,9,0),"-")</f>
        <v>-1.1123000000000001</v>
      </c>
      <c r="M74" s="295">
        <f>IF(ISNUMBER(VLOOKUP(B74,'[2]市場監控 '!$F$7:$V$194,10,0)),VLOOKUP(B74,'[2]市場監控 '!$F$7:$V$194,10,0),"-")</f>
        <v>-26.108899999999998</v>
      </c>
      <c r="N74" s="296" t="str">
        <f>VLOOKUP(B74,'[2]市場監控 '!$F$7:$AJ$194,31,0)</f>
        <v/>
      </c>
      <c r="O74" s="297" t="str">
        <f>VLOOKUP(B74,'[2]市場監控 '!$F$7:$V$194,12,0)</f>
        <v>AA-</v>
      </c>
      <c r="P74" s="297" t="str">
        <f>VLOOKUP(B74,'[2]市場監控 '!$F$7:$V$194,13,0)</f>
        <v>Aa3</v>
      </c>
      <c r="Q74" s="298" t="str">
        <f>VLOOKUP(B74,'[2]市場監控 '!$F$7:$V$194,14,0)</f>
        <v>AA-u</v>
      </c>
      <c r="R74" s="349"/>
      <c r="S74" s="349"/>
      <c r="T74" s="349"/>
      <c r="U74" s="243"/>
      <c r="V74" s="243"/>
      <c r="W74" s="243"/>
      <c r="X74" s="243"/>
      <c r="Y74" s="243"/>
      <c r="Z74" s="243"/>
      <c r="AA74" s="225" t="e">
        <f ca="1">MATCH(C74,'市場監控 '!$K$7:$K$194,0)</f>
        <v>#N/A</v>
      </c>
    </row>
    <row r="75" spans="1:27" ht="16.5" customHeight="1">
      <c r="A75" s="651" t="s">
        <v>1168</v>
      </c>
      <c r="B75" s="275" t="s">
        <v>1803</v>
      </c>
      <c r="C75" s="276" t="s">
        <v>1804</v>
      </c>
      <c r="D75" s="333" t="str">
        <f>VLOOKUP(B75,'[2]市場監控 '!$F$7:$V$194,3,0)</f>
        <v>-</v>
      </c>
      <c r="E75" s="334" t="str">
        <f>VLOOKUP($B75,'[2]市場監控 '!$F$7:$AX$230,43,0)</f>
        <v>-</v>
      </c>
      <c r="F75" s="335" t="str">
        <f>VLOOKUP($B75,'[2]市場監控 '!$F$7:$AX$230,45,0)</f>
        <v>-</v>
      </c>
      <c r="G75" s="336" t="str">
        <f>VLOOKUP(B75,'[2]市場監控 '!$F$7:$V$194,4,0)</f>
        <v>-</v>
      </c>
      <c r="H75" s="336" t="str">
        <f>VLOOKUP(B75,'[2]市場監控 '!$F$7:$V$194,5,0)</f>
        <v>-</v>
      </c>
      <c r="I75" s="337" t="str">
        <f>VLOOKUP(B75,'[2]市場監控 '!$F$7:$V$194,6,0)</f>
        <v>-</v>
      </c>
      <c r="J75" s="338">
        <f>IF(ISNUMBER(VLOOKUP(B75,'[2]市場監控 '!$F$7:$V$194,7,)),VLOOKUP(B75,'[2]市場監控 '!$F$7:$V$194,7,),"-")</f>
        <v>71.101879999999994</v>
      </c>
      <c r="K75" s="350">
        <v>1</v>
      </c>
      <c r="L75" s="339">
        <f>IF(ISNUMBER(VLOOKUP(B75,'[2]市場監控 '!$F$7:$V$194,9,0)),VLOOKUP(B75,'[2]市場監控 '!$F$7:$V$194,9,0),"-")</f>
        <v>-2.6791299999999998</v>
      </c>
      <c r="M75" s="340">
        <f>IF(ISNUMBER(VLOOKUP(B75,'[2]市場監控 '!$F$7:$V$194,10,0)),VLOOKUP(B75,'[2]市場監控 '!$F$7:$V$194,10,0),"-")</f>
        <v>0.83311000000000002</v>
      </c>
      <c r="N75" s="341" t="str">
        <f>VLOOKUP(B75,'[2]市場監控 '!$F$7:$AJ$194,31,0)</f>
        <v/>
      </c>
      <c r="O75" s="342" t="str">
        <f>VLOOKUP(B75,'[2]市場監控 '!$F$7:$V$194,12,0)</f>
        <v>BBB</v>
      </c>
      <c r="P75" s="342" t="str">
        <f>VLOOKUP(B75,'[2]市場監控 '!$F$7:$V$194,13,0)</f>
        <v>Baa1</v>
      </c>
      <c r="Q75" s="343" t="str">
        <f>VLOOKUP(B75,'[2]市場監控 '!$F$7:$V$194,14,0)</f>
        <v>BBB+</v>
      </c>
      <c r="R75" s="349"/>
      <c r="S75" s="349"/>
      <c r="T75" s="349"/>
      <c r="U75" s="243"/>
      <c r="V75" s="243"/>
      <c r="W75" s="243"/>
      <c r="X75" s="243"/>
      <c r="Y75" s="243"/>
      <c r="Z75" s="243"/>
      <c r="AA75" s="225" t="e">
        <f ca="1">MATCH(C75,'市場監控 '!$K$7:$K$194,0)</f>
        <v>#N/A</v>
      </c>
    </row>
    <row r="76" spans="1:27" ht="16.5" customHeight="1">
      <c r="A76" s="652"/>
      <c r="B76" s="351" t="s">
        <v>1805</v>
      </c>
      <c r="C76" s="352" t="s">
        <v>1806</v>
      </c>
      <c r="D76" s="333"/>
      <c r="E76" s="344" t="str">
        <f>VLOOKUP($B76,'[2]市場監控 '!$F$7:$AX$230,43,0)</f>
        <v>-</v>
      </c>
      <c r="F76" s="345" t="str">
        <f>VLOOKUP($B76,'[2]市場監控 '!$F$7:$AX$230,45,0)</f>
        <v>-</v>
      </c>
      <c r="G76" s="250" t="str">
        <f>VLOOKUP(B76,'[2]市場監控 '!$F$7:$V$194,4,0)</f>
        <v>-</v>
      </c>
      <c r="H76" s="250" t="str">
        <f>VLOOKUP(B76,'[2]市場監控 '!$F$7:$V$194,5,0)</f>
        <v>-</v>
      </c>
      <c r="I76" s="251" t="str">
        <f>VLOOKUP(B76,'[2]市場監控 '!$F$7:$V$194,6,0)</f>
        <v>-</v>
      </c>
      <c r="J76" s="252" t="str">
        <f>IF(ISNUMBER(VLOOKUP(B76,'[2]市場監控 '!$F$7:$V$194,7,)),VLOOKUP(B76,'[2]市場監控 '!$F$7:$V$194,7,),"-")</f>
        <v>-</v>
      </c>
      <c r="K76" s="267">
        <v>0</v>
      </c>
      <c r="L76" s="253" t="str">
        <f>IF(ISNUMBER(VLOOKUP(B76,'[2]市場監控 '!$F$7:$V$194,9,0)),VLOOKUP(B76,'[2]市場監控 '!$F$7:$V$194,9,0),"-")</f>
        <v>-</v>
      </c>
      <c r="M76" s="254" t="str">
        <f>IF(ISNUMBER(VLOOKUP(B76,'[2]市場監控 '!$F$7:$V$194,10,0)),VLOOKUP(B76,'[2]市場監控 '!$F$7:$V$194,10,0),"-")</f>
        <v>-</v>
      </c>
      <c r="N76" s="255" t="str">
        <f>VLOOKUP(B76,'[2]市場監控 '!$F$7:$AJ$194,31,0)</f>
        <v/>
      </c>
      <c r="O76" s="256" t="str">
        <f>VLOOKUP(B76,'[2]市場監控 '!$F$7:$V$194,12,0)</f>
        <v>BBB</v>
      </c>
      <c r="P76" s="256" t="str">
        <f>VLOOKUP(B76,'[2]市場監控 '!$F$7:$V$194,13,0)</f>
        <v>Baa2</v>
      </c>
      <c r="Q76" s="257" t="str">
        <f>VLOOKUP(B76,'[2]市場監控 '!$F$7:$V$194,14,0)</f>
        <v>BBB-</v>
      </c>
      <c r="R76" s="349"/>
      <c r="S76" s="349"/>
      <c r="T76" s="349"/>
      <c r="U76" s="243"/>
      <c r="V76" s="243"/>
      <c r="W76" s="243"/>
      <c r="X76" s="243"/>
      <c r="Y76" s="243"/>
      <c r="Z76" s="243"/>
      <c r="AA76" s="225" t="e">
        <f ca="1">MATCH(C76,'市場監控 '!$K$7:$K$194,0)</f>
        <v>#N/A</v>
      </c>
    </row>
    <row r="77" spans="1:27" ht="16.5" customHeight="1">
      <c r="A77" s="652"/>
      <c r="B77" s="245" t="s">
        <v>1807</v>
      </c>
      <c r="C77" s="246" t="s">
        <v>1808</v>
      </c>
      <c r="D77" s="268">
        <f>VLOOKUP(B77,'[2]市場監控 '!$F$7:$V$194,3,0)</f>
        <v>7.8120000000000003</v>
      </c>
      <c r="E77" s="344">
        <f>VLOOKUP($B77,'[2]市場監控 '!$F$7:$AX$230,43,0)</f>
        <v>7.782</v>
      </c>
      <c r="F77" s="345">
        <f>VLOOKUP($B77,'[2]市場監控 '!$F$7:$AX$230,45,0)</f>
        <v>1.1963589076722903</v>
      </c>
      <c r="G77" s="250">
        <f>VLOOKUP(B77,'[2]市場監控 '!$F$7:$V$194,4,0)</f>
        <v>0.38550499999999999</v>
      </c>
      <c r="H77" s="250">
        <f>VLOOKUP(B77,'[2]市場監控 '!$F$7:$V$194,5,0)</f>
        <v>-0.5347594</v>
      </c>
      <c r="I77" s="251">
        <f>VLOOKUP(B77,'[2]市場監控 '!$F$7:$V$194,6,0)</f>
        <v>13.447570000000001</v>
      </c>
      <c r="J77" s="252">
        <f>IF(ISNUMBER(VLOOKUP(B77,'[2]市場監控 '!$F$7:$V$194,7,)),VLOOKUP(B77,'[2]市場監控 '!$F$7:$V$194,7,),"-")</f>
        <v>50.943759999999997</v>
      </c>
      <c r="K77" s="267">
        <v>1</v>
      </c>
      <c r="L77" s="253">
        <f>IF(ISNUMBER(VLOOKUP(B77,'[2]市場監控 '!$F$7:$V$194,9,0)),VLOOKUP(B77,'[2]市場監控 '!$F$7:$V$194,9,0),"-")</f>
        <v>-1.2467699999999999</v>
      </c>
      <c r="M77" s="254">
        <f>IF(ISNUMBER(VLOOKUP(B77,'[2]市場監控 '!$F$7:$V$194,10,0)),VLOOKUP(B77,'[2]市場監控 '!$F$7:$V$194,10,0),"-")</f>
        <v>-5.1820899999999996</v>
      </c>
      <c r="N77" s="255" t="str">
        <f>VLOOKUP(B77,'[2]市場監控 '!$F$7:$AJ$194,31,0)</f>
        <v/>
      </c>
      <c r="O77" s="256" t="str">
        <f>VLOOKUP(B77,'[2]市場監控 '!$F$7:$V$194,12,0)</f>
        <v>BBB</v>
      </c>
      <c r="P77" s="256" t="str">
        <f>VLOOKUP(B77,'[2]市場監控 '!$F$7:$V$194,13,0)</f>
        <v>Baa1</v>
      </c>
      <c r="Q77" s="257" t="str">
        <f>VLOOKUP(B77,'[2]市場監控 '!$F$7:$V$194,14,0)</f>
        <v>BBB+</v>
      </c>
      <c r="R77" s="349"/>
      <c r="S77" s="349"/>
      <c r="T77" s="349"/>
      <c r="U77" s="243"/>
      <c r="V77" s="243"/>
      <c r="W77" s="243"/>
      <c r="X77" s="243"/>
      <c r="Y77" s="243"/>
      <c r="Z77" s="243"/>
      <c r="AA77" s="225" t="e">
        <f ca="1">MATCH(C77,'市場監控 '!$K$7:$K$194,0)</f>
        <v>#N/A</v>
      </c>
    </row>
    <row r="78" spans="1:27" ht="16.899999999999999" customHeight="1" thickBot="1">
      <c r="A78" s="653"/>
      <c r="B78" s="286" t="s">
        <v>1809</v>
      </c>
      <c r="C78" s="287" t="s">
        <v>1810</v>
      </c>
      <c r="D78" s="353" t="str">
        <f>VLOOKUP(B78,'[2]市場監控 '!$F$7:$V$194,3,0)</f>
        <v>-</v>
      </c>
      <c r="E78" s="354" t="str">
        <f>VLOOKUP($B78,'[2]市場監控 '!$F$7:$AX$230,43,0)</f>
        <v>-</v>
      </c>
      <c r="F78" s="355" t="str">
        <f>VLOOKUP($B78,'[2]市場監控 '!$F$7:$AX$230,45,0)</f>
        <v>-</v>
      </c>
      <c r="G78" s="291" t="str">
        <f>VLOOKUP(B78,'[2]市場監控 '!$F$7:$V$194,4,0)</f>
        <v>-</v>
      </c>
      <c r="H78" s="291" t="str">
        <f>VLOOKUP(B78,'[2]市場監控 '!$F$7:$V$194,5,0)</f>
        <v>-</v>
      </c>
      <c r="I78" s="292" t="str">
        <f>VLOOKUP(B78,'[2]市場監控 '!$F$7:$V$194,6,0)</f>
        <v>-</v>
      </c>
      <c r="J78" s="293">
        <f>IF(ISNUMBER(VLOOKUP(B78,'[2]市場監控 '!$F$7:$V$194,7,)),VLOOKUP(B78,'[2]市場監控 '!$F$7:$V$194,7,),"-")</f>
        <v>72.093440000000001</v>
      </c>
      <c r="K78" s="294">
        <v>1</v>
      </c>
      <c r="L78" s="294">
        <f>IF(ISNUMBER(VLOOKUP(B78,'[2]市場監控 '!$F$7:$V$194,9,0)),VLOOKUP(B78,'[2]市場監控 '!$F$7:$V$194,9,0),"-")</f>
        <v>-2.0916999999999999</v>
      </c>
      <c r="M78" s="295">
        <f>IF(ISNUMBER(VLOOKUP(B78,'[2]市場監控 '!$F$7:$V$194,10,0)),VLOOKUP(B78,'[2]市場監控 '!$F$7:$V$194,10,0),"-")</f>
        <v>-7.6158700000000001</v>
      </c>
      <c r="N78" s="296" t="str">
        <f>VLOOKUP(B78,'[2]市場監控 '!$F$7:$AJ$194,31,0)</f>
        <v/>
      </c>
      <c r="O78" s="297" t="str">
        <f>VLOOKUP(B78,'[2]市場監控 '!$F$7:$V$194,12,0)</f>
        <v>BBB</v>
      </c>
      <c r="P78" s="297" t="str">
        <f>VLOOKUP(B78,'[2]市場監控 '!$F$7:$V$194,13,0)</f>
        <v>Baa2</v>
      </c>
      <c r="Q78" s="298" t="str">
        <f>VLOOKUP(B78,'[2]市場監控 '!$F$7:$V$194,14,0)</f>
        <v>BBB</v>
      </c>
      <c r="AA78" s="225" t="e">
        <f ca="1">MATCH(C78,'市場監控 '!$K$7:$K$194,0)</f>
        <v>#N/A</v>
      </c>
    </row>
    <row r="79" spans="1:27" ht="16.899999999999999" customHeight="1">
      <c r="A79" s="651" t="s">
        <v>931</v>
      </c>
      <c r="B79" s="299" t="s">
        <v>1811</v>
      </c>
      <c r="C79" s="300" t="s">
        <v>1812</v>
      </c>
      <c r="D79" s="301">
        <f>VLOOKUP(B79,'[2]市場監控 '!$F$7:$V$194,3,0)</f>
        <v>40.869999999999997</v>
      </c>
      <c r="E79" s="302">
        <f>VLOOKUP($B79,'[2]市場監控 '!$F$7:$AX$230,43,0)</f>
        <v>40.21</v>
      </c>
      <c r="F79" s="303">
        <f>VLOOKUP($B79,'[2]市場監控 '!$F$7:$AX$230,45,0)</f>
        <v>2.5242223355431026</v>
      </c>
      <c r="G79" s="304">
        <f>VLOOKUP(B79,'[2]市場監控 '!$F$7:$V$194,4,0)</f>
        <v>0</v>
      </c>
      <c r="H79" s="304">
        <f>VLOOKUP(B79,'[2]市場監控 '!$F$7:$V$194,5,0)</f>
        <v>2.6884420000000002</v>
      </c>
      <c r="I79" s="305">
        <f>VLOOKUP(B79,'[2]市場監控 '!$F$7:$V$194,6,0)</f>
        <v>3.3375490000000001</v>
      </c>
      <c r="J79" s="306">
        <f>IF(ISNUMBER(VLOOKUP(B79,'[2]市場監控 '!$F$7:$V$194,7,)),VLOOKUP(B79,'[2]市場監控 '!$F$7:$V$194,7,),"-")</f>
        <v>63.667090000000002</v>
      </c>
      <c r="K79" s="307">
        <v>1</v>
      </c>
      <c r="L79" s="307">
        <f>IF(ISNUMBER(VLOOKUP(B79,'[2]市場監控 '!$F$7:$V$194,9,0)),VLOOKUP(B79,'[2]市場監控 '!$F$7:$V$194,9,0),"-")</f>
        <v>-2.9194900000000001</v>
      </c>
      <c r="M79" s="308">
        <f>IF(ISNUMBER(VLOOKUP(B79,'[2]市場監控 '!$F$7:$V$194,10,0)),VLOOKUP(B79,'[2]市場監控 '!$F$7:$V$194,10,0),"-")</f>
        <v>-1.1179399999999999</v>
      </c>
      <c r="N79" s="309" t="str">
        <f>VLOOKUP(B79,'[2]市場監控 '!$F$7:$AJ$194,31,0)</f>
        <v/>
      </c>
      <c r="O79" s="310" t="str">
        <f>VLOOKUP(B79,'[2]市場監控 '!$F$7:$V$194,12,0)</f>
        <v>A-</v>
      </c>
      <c r="P79" s="310" t="str">
        <f>VLOOKUP(B79,'[2]市場監控 '!$F$7:$V$194,13,0)</f>
        <v>A1</v>
      </c>
      <c r="Q79" s="311" t="str">
        <f>VLOOKUP(B79,'[2]市場監控 '!$F$7:$V$194,14,0)</f>
        <v>A</v>
      </c>
      <c r="AA79" s="225" t="e">
        <f ca="1">MATCH(C79,'市場監控 '!$K$7:$K$194,0)</f>
        <v>#N/A</v>
      </c>
    </row>
    <row r="80" spans="1:27" ht="16.899999999999999" customHeight="1">
      <c r="A80" s="652"/>
      <c r="B80" s="299" t="s">
        <v>1813</v>
      </c>
      <c r="C80" s="300" t="s">
        <v>1814</v>
      </c>
      <c r="D80" s="301" t="str">
        <f>VLOOKUP(B80,'[2]市場監控 '!$F$7:$V$194,3,0)</f>
        <v>-</v>
      </c>
      <c r="E80" s="302" t="str">
        <f>VLOOKUP($B80,'[2]市場監控 '!$F$7:$AX$230,43,0)</f>
        <v>-</v>
      </c>
      <c r="F80" s="303" t="str">
        <f>VLOOKUP($B80,'[2]市場監控 '!$F$7:$AX$230,45,0)</f>
        <v>-</v>
      </c>
      <c r="G80" s="304" t="str">
        <f>VLOOKUP(B80,'[2]市場監控 '!$F$7:$V$194,4,0)</f>
        <v>-</v>
      </c>
      <c r="H80" s="304" t="str">
        <f>VLOOKUP(B80,'[2]市場監控 '!$F$7:$V$194,5,0)</f>
        <v>-</v>
      </c>
      <c r="I80" s="305" t="str">
        <f>VLOOKUP(B80,'[2]市場監控 '!$F$7:$V$194,6,0)</f>
        <v>-</v>
      </c>
      <c r="J80" s="306">
        <f>IF(ISNUMBER(VLOOKUP(B80,'[2]市場監控 '!$F$7:$V$194,7,)),VLOOKUP(B80,'[2]市場監控 '!$F$7:$V$194,7,),"-")</f>
        <v>61.940919999999998</v>
      </c>
      <c r="K80" s="307">
        <v>1</v>
      </c>
      <c r="L80" s="307">
        <f>IF(ISNUMBER(VLOOKUP(B80,'[2]市場監控 '!$F$7:$V$194,9,0)),VLOOKUP(B80,'[2]市場監控 '!$F$7:$V$194,9,0),"-")</f>
        <v>0.30437999999999998</v>
      </c>
      <c r="M80" s="308">
        <f>IF(ISNUMBER(VLOOKUP(B80,'[2]市場監控 '!$F$7:$V$194,10,0)),VLOOKUP(B80,'[2]市場監控 '!$F$7:$V$194,10,0),"-")</f>
        <v>-3.4238400000000002</v>
      </c>
      <c r="N80" s="309" t="str">
        <f>VLOOKUP(B80,'[2]市場監控 '!$F$7:$AJ$194,31,0)</f>
        <v/>
      </c>
      <c r="O80" s="310" t="str">
        <f>VLOOKUP(B80,'[2]市場監控 '!$F$7:$V$194,12,0)</f>
        <v>BBB+</v>
      </c>
      <c r="P80" s="310" t="str">
        <f>VLOOKUP(B80,'[2]市場監控 '!$F$7:$V$194,13,0)</f>
        <v>Baa2</v>
      </c>
      <c r="Q80" s="311" t="str">
        <f>VLOOKUP(B80,'[2]市場監控 '!$F$7:$V$194,14,0)</f>
        <v>BBB+</v>
      </c>
      <c r="AA80" s="225" t="e">
        <f ca="1">MATCH(C80,'市場監控 '!$K$7:$K$194,0)</f>
        <v>#N/A</v>
      </c>
    </row>
    <row r="81" spans="1:27" ht="16.899999999999999" customHeight="1" thickBot="1">
      <c r="A81" s="653"/>
      <c r="B81" s="299" t="s">
        <v>1815</v>
      </c>
      <c r="C81" s="300" t="s">
        <v>1816</v>
      </c>
      <c r="D81" s="301">
        <f>VLOOKUP(B81,'[2]市場監控 '!$F$7:$V$194,3,0)</f>
        <v>4587</v>
      </c>
      <c r="E81" s="302">
        <f>VLOOKUP($B81,'[2]市場監控 '!$F$7:$AX$230,43,0)</f>
        <v>4573</v>
      </c>
      <c r="F81" s="303">
        <f>VLOOKUP($B81,'[2]市場監控 '!$F$7:$AX$230,45,0)</f>
        <v>1.8032056990204826</v>
      </c>
      <c r="G81" s="304">
        <f>VLOOKUP(B81,'[2]市場監控 '!$F$7:$V$194,4,0)</f>
        <v>0.30614479999999999</v>
      </c>
      <c r="H81" s="304">
        <f>VLOOKUP(B81,'[2]市場監控 '!$F$7:$V$194,5,0)</f>
        <v>2.1717339999999998</v>
      </c>
      <c r="I81" s="305">
        <f>VLOOKUP(B81,'[2]市場監控 '!$F$7:$V$194,6,0)</f>
        <v>-2.8795259999999998</v>
      </c>
      <c r="J81" s="306">
        <f>IF(ISNUMBER(VLOOKUP(B81,'[2]市場監控 '!$F$7:$V$194,7,)),VLOOKUP(B81,'[2]市場監控 '!$F$7:$V$194,7,),"-")</f>
        <v>63.667090000000002</v>
      </c>
      <c r="K81" s="307">
        <v>1</v>
      </c>
      <c r="L81" s="307">
        <f>IF(ISNUMBER(VLOOKUP(B81,'[2]市場監控 '!$F$7:$V$194,9,0)),VLOOKUP(B81,'[2]市場監控 '!$F$7:$V$194,9,0),"-")</f>
        <v>-2.9194900000000001</v>
      </c>
      <c r="M81" s="308">
        <f>IF(ISNUMBER(VLOOKUP(B81,'[2]市場監控 '!$F$7:$V$194,10,0)),VLOOKUP(B81,'[2]市場監控 '!$F$7:$V$194,10,0),"-")</f>
        <v>-1.1179399999999999</v>
      </c>
      <c r="N81" s="309" t="str">
        <f>VLOOKUP(B81,'[2]市場監控 '!$F$7:$AJ$194,31,0)</f>
        <v/>
      </c>
      <c r="O81" s="310" t="str">
        <f>VLOOKUP(B81,'[2]市場監控 '!$F$7:$V$194,12,0)</f>
        <v>A</v>
      </c>
      <c r="P81" s="310" t="str">
        <f>VLOOKUP(B81,'[2]市場監控 '!$F$7:$V$194,13,0)</f>
        <v>A1</v>
      </c>
      <c r="Q81" s="311" t="str">
        <f>VLOOKUP(B81,'[2]市場監控 '!$F$7:$V$194,14,0)</f>
        <v>A</v>
      </c>
      <c r="AA81" s="225" t="e">
        <f ca="1">MATCH(C81,'市場監控 '!$K$7:$K$194,0)</f>
        <v>#N/A</v>
      </c>
    </row>
    <row r="82" spans="1:27" ht="16.899999999999999" customHeight="1">
      <c r="A82" s="244"/>
      <c r="B82" s="276" t="s">
        <v>1817</v>
      </c>
      <c r="C82" s="356" t="s">
        <v>1818</v>
      </c>
      <c r="D82" s="357"/>
      <c r="E82" s="312">
        <f>VLOOKUP($B82,'[2]市場監控 '!$F$7:$AX$230,43,0)</f>
        <v>1211.6400000000001</v>
      </c>
      <c r="F82" s="314">
        <f>VLOOKUP($B82,'[2]市場監控 '!$F$7:$AX$230,45,0)</f>
        <v>4.5779388917659425</v>
      </c>
      <c r="G82" s="315">
        <f>VLOOKUP(B82,'[2]市場監控 '!$F$7:$V$194,4,0)</f>
        <v>0.55049349999999997</v>
      </c>
      <c r="H82" s="315">
        <f>VLOOKUP(B82,'[2]市場監控 '!$F$7:$V$194,5,0)</f>
        <v>4.0410250000000003</v>
      </c>
      <c r="I82" s="316">
        <f>VLOOKUP(B82,'[2]市場監控 '!$F$7:$V$194,6,0)</f>
        <v>36.686039999999998</v>
      </c>
      <c r="J82" s="317">
        <f>IF(ISNUMBER(VLOOKUP(B82,'[2]市場監控 '!$F$7:$V$194,7,)),VLOOKUP(B82,'[2]市場監控 '!$F$7:$V$194,7,),"-")</f>
        <v>23.90596</v>
      </c>
      <c r="K82" s="318">
        <v>1</v>
      </c>
      <c r="L82" s="318">
        <f>IF(ISNUMBER(VLOOKUP(B82,'[2]市場監控 '!$F$7:$V$194,9,0)),VLOOKUP(B82,'[2]市場監控 '!$F$7:$V$194,9,0),"-")</f>
        <v>0</v>
      </c>
      <c r="M82" s="319">
        <f>IF(ISNUMBER(VLOOKUP(B82,'[2]市場監控 '!$F$7:$V$194,10,0)),VLOOKUP(B82,'[2]市場監控 '!$F$7:$V$194,10,0),"-")</f>
        <v>-11.62058</v>
      </c>
      <c r="N82" s="320" t="str">
        <f>VLOOKUP(B82,'[2]市場監控 '!$F$7:$AJ$194,31,0)</f>
        <v/>
      </c>
      <c r="O82" s="321" t="str">
        <f>VLOOKUP(B82,'[2]市場監控 '!$F$7:$V$194,12,0)</f>
        <v>A</v>
      </c>
      <c r="P82" s="321" t="str">
        <f>VLOOKUP(B82,'[2]市場監控 '!$F$7:$V$194,13,0)</f>
        <v>A3</v>
      </c>
      <c r="Q82" s="322" t="str">
        <f>VLOOKUP(B82,'[2]市場監控 '!$F$7:$V$194,14,0)</f>
        <v>-</v>
      </c>
      <c r="AA82" s="225" t="e">
        <f ca="1">MATCH(C82,'市場監控 '!$K$7:$K$194,0)</f>
        <v>#N/A</v>
      </c>
    </row>
    <row r="83" spans="1:27" ht="16.899999999999999" customHeight="1">
      <c r="A83" s="244"/>
      <c r="B83" s="246" t="s">
        <v>1819</v>
      </c>
      <c r="C83" s="358" t="s">
        <v>1820</v>
      </c>
      <c r="D83" s="357"/>
      <c r="E83" s="301">
        <f>VLOOKUP($B83,'[2]市場監控 '!$F$7:$AX$230,43,0)</f>
        <v>112.43</v>
      </c>
      <c r="F83" s="303">
        <f>VLOOKUP($B83,'[2]市場監控 '!$F$7:$AX$230,45,0)</f>
        <v>-3.5680590102067034</v>
      </c>
      <c r="G83" s="304">
        <f>VLOOKUP(B83,'[2]市場監控 '!$F$7:$V$194,4,0)</f>
        <v>0.1067331</v>
      </c>
      <c r="H83" s="304">
        <f>VLOOKUP(B83,'[2]市場監控 '!$F$7:$V$194,5,0)</f>
        <v>-5.6975280000000001</v>
      </c>
      <c r="I83" s="305">
        <f>VLOOKUP(B83,'[2]市場監控 '!$F$7:$V$194,6,0)</f>
        <v>1.0776840000000001</v>
      </c>
      <c r="J83" s="306">
        <f>IF(ISNUMBER(VLOOKUP(B83,'[2]市場監控 '!$F$7:$V$194,7,)),VLOOKUP(B83,'[2]市場監控 '!$F$7:$V$194,7,),"-")</f>
        <v>33.094259999999998</v>
      </c>
      <c r="K83" s="307">
        <v>1</v>
      </c>
      <c r="L83" s="307">
        <f>IF(ISNUMBER(VLOOKUP(B83,'[2]市場監控 '!$F$7:$V$194,9,0)),VLOOKUP(B83,'[2]市場監控 '!$F$7:$V$194,9,0),"-")</f>
        <v>0.51014999999999999</v>
      </c>
      <c r="M83" s="308">
        <f>IF(ISNUMBER(VLOOKUP(B83,'[2]市場監控 '!$F$7:$V$194,10,0)),VLOOKUP(B83,'[2]市場監控 '!$F$7:$V$194,10,0),"-")</f>
        <v>-2.43228</v>
      </c>
      <c r="N83" s="309" t="str">
        <f>VLOOKUP(B83,'[2]市場監控 '!$F$7:$AJ$194,31,0)</f>
        <v/>
      </c>
      <c r="O83" s="310" t="str">
        <f>VLOOKUP(B83,'[2]市場監控 '!$F$7:$V$194,12,0)</f>
        <v>A</v>
      </c>
      <c r="P83" s="310" t="str">
        <f>VLOOKUP(B83,'[2]市場監控 '!$F$7:$V$194,13,0)</f>
        <v>A2</v>
      </c>
      <c r="Q83" s="311" t="str">
        <f>VLOOKUP(B83,'[2]市場監控 '!$F$7:$V$194,14,0)</f>
        <v>A-</v>
      </c>
      <c r="AA83" s="225" t="e">
        <f ca="1">MATCH(C83,'市場監控 '!$K$7:$K$194,0)</f>
        <v>#N/A</v>
      </c>
    </row>
    <row r="84" spans="1:27" ht="16.899999999999999" customHeight="1">
      <c r="A84" s="244"/>
      <c r="B84" s="299" t="s">
        <v>1821</v>
      </c>
      <c r="C84" s="300" t="s">
        <v>1822</v>
      </c>
      <c r="D84" s="357"/>
      <c r="E84" s="301">
        <f>VLOOKUP($B84,'[2]市場監控 '!$F$7:$AX$230,43,0)</f>
        <v>3995</v>
      </c>
      <c r="F84" s="303">
        <f>VLOOKUP($B84,'[2]市場監控 '!$F$7:$AX$230,45,0)</f>
        <v>8.5597826086956541</v>
      </c>
      <c r="G84" s="304">
        <f>VLOOKUP(B84,'[2]市場監控 '!$F$7:$V$194,4,0)</f>
        <v>0.75093869999999996</v>
      </c>
      <c r="H84" s="304">
        <f>VLOOKUP(B84,'[2]市場監控 '!$F$7:$V$194,5,0)</f>
        <v>11.28007</v>
      </c>
      <c r="I84" s="305">
        <f>VLOOKUP(B84,'[2]市場監控 '!$F$7:$V$194,6,0)</f>
        <v>19.412289999999999</v>
      </c>
      <c r="J84" s="306">
        <f>IF(ISNUMBER(VLOOKUP(B84,'[2]市場監控 '!$F$7:$V$194,7,)),VLOOKUP(B84,'[2]市場監控 '!$F$7:$V$194,7,),"-")</f>
        <v>53.088329999999999</v>
      </c>
      <c r="K84" s="307">
        <v>1</v>
      </c>
      <c r="L84" s="307">
        <f>IF(ISNUMBER(VLOOKUP(B84,'[2]市場監控 '!$F$7:$V$194,9,0)),VLOOKUP(B84,'[2]市場監控 '!$F$7:$V$194,9,0),"-")</f>
        <v>29.808229999999998</v>
      </c>
      <c r="M84" s="308">
        <f>IF(ISNUMBER(VLOOKUP(B84,'[2]市場監控 '!$F$7:$V$194,10,0)),VLOOKUP(B84,'[2]市場監控 '!$F$7:$V$194,10,0),"-")</f>
        <v>32.911999999999999</v>
      </c>
      <c r="N84" s="309" t="str">
        <f>VLOOKUP(B84,'[2]市場監控 '!$F$7:$AJ$194,31,0)</f>
        <v/>
      </c>
      <c r="O84" s="310" t="str">
        <f>VLOOKUP(B84,'[2]市場監控 '!$F$7:$V$194,12,0)</f>
        <v>A</v>
      </c>
      <c r="P84" s="310" t="str">
        <f>VLOOKUP(B84,'[2]市場監控 '!$F$7:$V$194,13,0)</f>
        <v>A2</v>
      </c>
      <c r="Q84" s="311" t="str">
        <f>VLOOKUP(B84,'[2]市場監控 '!$F$7:$V$194,14,0)</f>
        <v>WD</v>
      </c>
      <c r="AA84" s="225" t="e">
        <f ca="1">MATCH(C84,'市場監控 '!$K$7:$K$194,0)</f>
        <v>#N/A</v>
      </c>
    </row>
    <row r="85" spans="1:27" ht="16.899999999999999" customHeight="1" thickBot="1">
      <c r="A85" s="244"/>
      <c r="B85" s="299" t="s">
        <v>1823</v>
      </c>
      <c r="C85" s="300" t="s">
        <v>1824</v>
      </c>
      <c r="D85" s="357"/>
      <c r="E85" s="323" t="str">
        <f>VLOOKUP($B85,'[2]市場監控 '!$F$7:$AX$230,43,0)</f>
        <v>-</v>
      </c>
      <c r="F85" s="325" t="str">
        <f>VLOOKUP($B85,'[2]市場監控 '!$F$7:$AX$230,45,0)</f>
        <v>-</v>
      </c>
      <c r="G85" s="234" t="str">
        <f>VLOOKUP(B85,'[2]市場監控 '!$F$7:$V$194,4,0)</f>
        <v>-</v>
      </c>
      <c r="H85" s="234" t="str">
        <f>VLOOKUP(B85,'[2]市場監控 '!$F$7:$V$194,5,0)</f>
        <v>-</v>
      </c>
      <c r="I85" s="235">
        <f>VLOOKUP(B85,'[2]市場監控 '!$F$7:$V$194,6,0)</f>
        <v>5.5449330000000003</v>
      </c>
      <c r="J85" s="326">
        <f>IF(ISNUMBER(VLOOKUP(B85,'[2]市場監控 '!$F$7:$V$194,7,)),VLOOKUP(B85,'[2]市場監控 '!$F$7:$V$194,7,),"-")</f>
        <v>65.827269999999999</v>
      </c>
      <c r="K85" s="327">
        <v>1</v>
      </c>
      <c r="L85" s="327">
        <f>IF(ISNUMBER(VLOOKUP(B85,'[2]市場監控 '!$F$7:$V$194,9,0)),VLOOKUP(B85,'[2]市場監控 '!$F$7:$V$194,9,0),"-")</f>
        <v>-3.6510000000000001E-2</v>
      </c>
      <c r="M85" s="328">
        <f>IF(ISNUMBER(VLOOKUP(B85,'[2]市場監控 '!$F$7:$V$194,10,0)),VLOOKUP(B85,'[2]市場監控 '!$F$7:$V$194,10,0),"-")</f>
        <v>-15.21461</v>
      </c>
      <c r="N85" s="329" t="str">
        <f>VLOOKUP(B85,'[2]市場監控 '!$F$7:$AJ$194,31,0)</f>
        <v/>
      </c>
      <c r="O85" s="330" t="str">
        <f>VLOOKUP(B85,'[2]市場監控 '!$F$7:$V$194,12,0)</f>
        <v>BB+</v>
      </c>
      <c r="P85" s="330" t="str">
        <f>VLOOKUP(B85,'[2]市場監控 '!$F$7:$V$194,13,0)</f>
        <v>Baa3</v>
      </c>
      <c r="Q85" s="331" t="str">
        <f>VLOOKUP(B85,'[2]市場監控 '!$F$7:$V$194,14,0)</f>
        <v>BBB-</v>
      </c>
      <c r="AA85" s="225" t="e">
        <f ca="1">MATCH(C85,'市場監控 '!$K$7:$K$194,0)</f>
        <v>#N/A</v>
      </c>
    </row>
    <row r="86" spans="1:27" ht="16.899999999999999" customHeight="1">
      <c r="A86" s="662" t="s">
        <v>1183</v>
      </c>
      <c r="B86" s="275" t="s">
        <v>1825</v>
      </c>
      <c r="C86" s="276" t="s">
        <v>1826</v>
      </c>
      <c r="D86" s="277">
        <f>VLOOKUP(B86,'[2]市場監控 '!$F$7:$V$194,3,0)</f>
        <v>175.8</v>
      </c>
      <c r="E86" s="278">
        <f>VLOOKUP($B86,'[2]市場監控 '!$F$7:$AX$230,43,0)</f>
        <v>176.22</v>
      </c>
      <c r="F86" s="279">
        <f>VLOOKUP($B86,'[2]市場監控 '!$F$7:$AX$230,45,0)</f>
        <v>4.2105263157894868</v>
      </c>
      <c r="G86" s="280">
        <f>VLOOKUP(B86,'[2]市場監控 '!$F$7:$V$194,4,0)</f>
        <v>-0.23833840000000001</v>
      </c>
      <c r="H86" s="280">
        <f>VLOOKUP(B86,'[2]市場監控 '!$F$7:$V$194,5,0)</f>
        <v>2.0194990000000002</v>
      </c>
      <c r="I86" s="281">
        <f>VLOOKUP(B86,'[2]市場監控 '!$F$7:$V$194,6,0)</f>
        <v>14.43159</v>
      </c>
      <c r="J86" s="282">
        <f>IF(ISNUMBER(VLOOKUP(B86,'[2]市場監控 '!$F$7:$V$194,7,)),VLOOKUP(B86,'[2]市場監控 '!$F$7:$V$194,7,),"-")</f>
        <v>31.853539999999999</v>
      </c>
      <c r="K86" s="359">
        <v>1</v>
      </c>
      <c r="L86" s="283">
        <f>IF(ISNUMBER(VLOOKUP(B86,'[2]市場監控 '!$F$7:$V$194,9,0)),VLOOKUP(B86,'[2]市場監控 '!$F$7:$V$194,9,0),"-")</f>
        <v>-1.24695</v>
      </c>
      <c r="M86" s="284">
        <f>IF(ISNUMBER(VLOOKUP(B86,'[2]市場監控 '!$F$7:$V$194,10,0)),VLOOKUP(B86,'[2]市場監控 '!$F$7:$V$194,10,0),"-")</f>
        <v>-14.236800000000001</v>
      </c>
      <c r="N86" s="285" t="str">
        <f>VLOOKUP(B86,'[2]市場監控 '!$F$7:$AJ$194,31,0)</f>
        <v/>
      </c>
      <c r="O86" s="259" t="str">
        <f>VLOOKUP(B86,'[2]市場監控 '!$F$7:$V$194,12,0)</f>
        <v>A</v>
      </c>
      <c r="P86" s="259" t="str">
        <f>VLOOKUP(B86,'[2]市場監控 '!$F$7:$V$194,13,0)</f>
        <v>A2</v>
      </c>
      <c r="Q86" s="260" t="str">
        <f>VLOOKUP(B86,'[2]市場監控 '!$F$7:$V$194,14,0)</f>
        <v>Au</v>
      </c>
      <c r="AA86" s="225" t="e">
        <f ca="1">MATCH(C86,'市場監控 '!$K$7:$K$194,0)</f>
        <v>#N/A</v>
      </c>
    </row>
    <row r="87" spans="1:27" ht="13.5" thickBot="1">
      <c r="A87" s="664"/>
      <c r="B87" s="286" t="s">
        <v>1827</v>
      </c>
      <c r="C87" s="287" t="s">
        <v>1828</v>
      </c>
      <c r="D87" s="323">
        <f>VLOOKUP(B87,'[2]市場監控 '!$F$7:$V$194,3,0)</f>
        <v>225.96</v>
      </c>
      <c r="E87" s="324">
        <f>VLOOKUP($B87,'[2]市場監控 '!$F$7:$AX$230,43,0)</f>
        <v>229.12</v>
      </c>
      <c r="F87" s="325">
        <f>VLOOKUP($B87,'[2]市場監控 '!$F$7:$AX$230,45,0)</f>
        <v>3.2537178909418651</v>
      </c>
      <c r="G87" s="234">
        <f>VLOOKUP(B87,'[2]市場監控 '!$F$7:$V$194,4,0)</f>
        <v>-1.3791899999999999</v>
      </c>
      <c r="H87" s="234">
        <f>VLOOKUP(B87,'[2]市場監控 '!$F$7:$V$194,5,0)</f>
        <v>1.6281369999999999</v>
      </c>
      <c r="I87" s="235">
        <f>VLOOKUP(B87,'[2]市場監控 '!$F$7:$V$194,6,0)</f>
        <v>27.661020000000001</v>
      </c>
      <c r="J87" s="326">
        <f>IF(ISNUMBER(VLOOKUP(B87,'[2]市場監控 '!$F$7:$V$194,7,)),VLOOKUP(B87,'[2]市場監控 '!$F$7:$V$194,7,),"-")</f>
        <v>66.822810000000004</v>
      </c>
      <c r="K87" s="327">
        <v>1</v>
      </c>
      <c r="L87" s="327">
        <f>IF(ISNUMBER(VLOOKUP(B87,'[2]市場監控 '!$F$7:$V$194,9,0)),VLOOKUP(B87,'[2]市場監控 '!$F$7:$V$194,9,0),"-")</f>
        <v>-0.64039000000000001</v>
      </c>
      <c r="M87" s="328">
        <f>IF(ISNUMBER(VLOOKUP(B87,'[2]市場監控 '!$F$7:$V$194,10,0)),VLOOKUP(B87,'[2]市場監控 '!$F$7:$V$194,10,0),"-")</f>
        <v>-42.627989999999997</v>
      </c>
      <c r="N87" s="329" t="str">
        <f>VLOOKUP(B87,'[2]市場監控 '!$F$7:$AJ$194,31,0)</f>
        <v/>
      </c>
      <c r="O87" s="330" t="str">
        <f>VLOOKUP(B87,'[2]市場監控 '!$F$7:$V$194,12,0)</f>
        <v>BBB-</v>
      </c>
      <c r="P87" s="330" t="str">
        <f>VLOOKUP(B87,'[2]市場監控 '!$F$7:$V$194,13,0)</f>
        <v>Baa3</v>
      </c>
      <c r="Q87" s="331" t="str">
        <f>VLOOKUP(B87,'[2]市場監控 '!$F$7:$V$194,14,0)</f>
        <v>BBB-</v>
      </c>
      <c r="AA87" s="225" t="e">
        <f ca="1">MATCH(C87,'市場監控 '!$K$7:$K$194,0)</f>
        <v>#N/A</v>
      </c>
    </row>
    <row r="88" spans="1:27" ht="16.5" customHeight="1" thickBot="1">
      <c r="A88" s="662" t="s">
        <v>1118</v>
      </c>
      <c r="B88" s="245" t="s">
        <v>1829</v>
      </c>
      <c r="C88" s="246" t="s">
        <v>1830</v>
      </c>
      <c r="D88" s="266">
        <f>VLOOKUP(B88,'[2]市場監控 '!$F$7:$V$194,3,0)</f>
        <v>969.7</v>
      </c>
      <c r="E88" s="261">
        <f>VLOOKUP($B88,'[2]市場監控 '!$F$7:$AX$230,43,0)</f>
        <v>965.99</v>
      </c>
      <c r="F88" s="249">
        <f>VLOOKUP($B88,'[2]市場監控 '!$F$7:$AX$230,45,0)</f>
        <v>-0.34456789741368343</v>
      </c>
      <c r="G88" s="250">
        <f>VLOOKUP(B88,'[2]市場監控 '!$F$7:$V$194,4,0)</f>
        <v>-0.3826</v>
      </c>
      <c r="H88" s="250">
        <f>VLOOKUP(B88,'[2]市場監控 '!$F$7:$V$194,5,0)</f>
        <v>-0.37230000000000002</v>
      </c>
      <c r="I88" s="251">
        <f>VLOOKUP(B88,'[2]市場監控 '!$F$7:$V$194,6,0)</f>
        <v>2.7627000000000002</v>
      </c>
      <c r="J88" s="252">
        <f>IF(ISNUMBER(VLOOKUP(B88,'[2]市場監控 '!$F$7:$V$194,7,)),VLOOKUP(B88,'[2]市場監控 '!$F$7:$V$194,7,),"-")</f>
        <v>53.078769999999999</v>
      </c>
      <c r="K88" s="253">
        <v>2</v>
      </c>
      <c r="L88" s="253">
        <f>IF(ISNUMBER(VLOOKUP(B88,'[2]市場監控 '!$F$7:$V$194,9,0)),VLOOKUP(B88,'[2]市場監控 '!$F$7:$V$194,9,0),"-")</f>
        <v>-2.93676</v>
      </c>
      <c r="M88" s="254">
        <f>IF(ISNUMBER(VLOOKUP(B88,'[2]市場監控 '!$F$7:$V$194,10,0)),VLOOKUP(B88,'[2]市場監控 '!$F$7:$V$194,10,0),"-")</f>
        <v>-9.8283699999999996</v>
      </c>
      <c r="N88" s="255" t="str">
        <f>VLOOKUP(B88,'[2]市場監控 '!$F$7:$AJ$194,31,0)</f>
        <v/>
      </c>
      <c r="O88" s="256" t="str">
        <f>VLOOKUP(B88,'[2]市場監控 '!$F$7:$V$194,12,0)</f>
        <v>A</v>
      </c>
      <c r="P88" s="256" t="str">
        <f>VLOOKUP(B88,'[2]市場監控 '!$F$7:$V$194,13,0)</f>
        <v>A2</v>
      </c>
      <c r="Q88" s="257" t="str">
        <f>VLOOKUP(B88,'[2]市場監控 '!$F$7:$V$194,14,0)</f>
        <v>A-</v>
      </c>
      <c r="R88" s="297"/>
      <c r="S88" s="297"/>
      <c r="T88" s="298"/>
      <c r="U88" s="243"/>
      <c r="V88" s="243"/>
      <c r="W88" s="243"/>
      <c r="X88" s="243"/>
      <c r="Y88" s="243"/>
      <c r="Z88" s="243"/>
      <c r="AA88" s="225" t="e">
        <f ca="1">MATCH(C88,'市場監控 '!$K$7:$K$194,0)</f>
        <v>#N/A</v>
      </c>
    </row>
    <row r="89" spans="1:27" ht="16.5" customHeight="1" thickBot="1">
      <c r="A89" s="663"/>
      <c r="B89" s="245" t="s">
        <v>1831</v>
      </c>
      <c r="C89" s="246" t="s">
        <v>1832</v>
      </c>
      <c r="D89" s="266">
        <f>VLOOKUP(B89,'[2]市場監控 '!$F$7:$V$194,3,0)</f>
        <v>18.673400000000001</v>
      </c>
      <c r="E89" s="261">
        <f>VLOOKUP($B89,'[2]市場監控 '!$F$7:$AX$230,43,0)</f>
        <v>18.573499999999999</v>
      </c>
      <c r="F89" s="249">
        <f>VLOOKUP($B89,'[2]市場監控 '!$F$7:$AX$230,45,0)</f>
        <v>-1.5164771070282912</v>
      </c>
      <c r="G89" s="250">
        <f>VLOOKUP(B89,'[2]市場監控 '!$F$7:$V$194,4,0)</f>
        <v>-3.6400000000000002E-2</v>
      </c>
      <c r="H89" s="250">
        <f>VLOOKUP(B89,'[2]市場監控 '!$F$7:$V$194,5,0)</f>
        <v>0.36680000000000001</v>
      </c>
      <c r="I89" s="251">
        <f>VLOOKUP(B89,'[2]市場監控 '!$F$7:$V$194,6,0)</f>
        <v>11.5335</v>
      </c>
      <c r="J89" s="252">
        <f>IF(ISNUMBER(VLOOKUP(B89,'[2]市場監控 '!$F$7:$V$194,7,)),VLOOKUP(B89,'[2]市場監控 '!$F$7:$V$194,7,),"-")</f>
        <v>101.4281</v>
      </c>
      <c r="K89" s="253">
        <v>1</v>
      </c>
      <c r="L89" s="253">
        <f>IF(ISNUMBER(VLOOKUP(B89,'[2]市場監控 '!$F$7:$V$194,9,0)),VLOOKUP(B89,'[2]市場監控 '!$F$7:$V$194,9,0),"-")</f>
        <v>-7.4371999999999998</v>
      </c>
      <c r="M89" s="254">
        <f>IF(ISNUMBER(VLOOKUP(B89,'[2]市場監控 '!$F$7:$V$194,10,0)),VLOOKUP(B89,'[2]市場監控 '!$F$7:$V$194,10,0),"-")</f>
        <v>-39.810200000000002</v>
      </c>
      <c r="N89" s="255" t="str">
        <f>VLOOKUP(B89,'[2]市場監控 '!$F$7:$AJ$194,31,0)</f>
        <v/>
      </c>
      <c r="O89" s="256" t="str">
        <f>VLOOKUP(B89,'[2]市場監控 '!$F$7:$V$194,12,0)</f>
        <v>BBB</v>
      </c>
      <c r="P89" s="256" t="str">
        <f>VLOOKUP(B89,'[2]市場監控 '!$F$7:$V$194,13,0)</f>
        <v>Baa2</v>
      </c>
      <c r="Q89" s="257" t="str">
        <f>VLOOKUP(B89,'[2]市場監控 '!$F$7:$V$194,14,0)</f>
        <v>BBB-</v>
      </c>
      <c r="R89" s="297" t="s">
        <v>935</v>
      </c>
      <c r="S89" s="297" t="s">
        <v>940</v>
      </c>
      <c r="T89" s="298" t="s">
        <v>940</v>
      </c>
      <c r="U89" s="243" t="e">
        <f>IF(O105=#REF!, 0,1)</f>
        <v>#REF!</v>
      </c>
      <c r="V89" s="243" t="e">
        <f>IF(P105=#REF!, 0,1)</f>
        <v>#REF!</v>
      </c>
      <c r="W89" s="243" t="e">
        <f>IF(Q105=#REF!, 0,1)</f>
        <v>#REF!</v>
      </c>
      <c r="X89" s="243" t="e">
        <f>IF(R89=#REF!, 0,1)</f>
        <v>#REF!</v>
      </c>
      <c r="Y89" s="243" t="e">
        <f>IF(S89=#REF!, 0,1)</f>
        <v>#REF!</v>
      </c>
      <c r="Z89" s="243" t="e">
        <f>IF(T89=#REF!, 0,1)</f>
        <v>#REF!</v>
      </c>
      <c r="AA89" s="225" t="e">
        <f ca="1">MATCH(C89,'市場監控 '!$K$7:$K$194,0)</f>
        <v>#N/A</v>
      </c>
    </row>
    <row r="90" spans="1:27" ht="16.5" customHeight="1" thickBot="1">
      <c r="A90" s="663"/>
      <c r="B90" s="245" t="s">
        <v>1833</v>
      </c>
      <c r="C90" s="246" t="s">
        <v>1834</v>
      </c>
      <c r="D90" s="266">
        <f>VLOOKUP(B90,'[2]市場監控 '!$F$7:$V$194,3,0)</f>
        <v>17.741199999999999</v>
      </c>
      <c r="E90" s="261">
        <f>VLOOKUP($B90,'[2]市場監控 '!$F$7:$AX$230,43,0)</f>
        <v>17.7469</v>
      </c>
      <c r="F90" s="249">
        <f>VLOOKUP($B90,'[2]市場監控 '!$F$7:$AX$230,45,0)</f>
        <v>-2.0179545504737106</v>
      </c>
      <c r="G90" s="250">
        <f>VLOOKUP(B90,'[2]市場監控 '!$F$7:$V$194,4,0)</f>
        <v>9.0200000000000002E-2</v>
      </c>
      <c r="H90" s="250">
        <f>VLOOKUP(B90,'[2]市場監控 '!$F$7:$V$194,5,0)</f>
        <v>0.99199999999999999</v>
      </c>
      <c r="I90" s="251">
        <f>VLOOKUP(B90,'[2]市場監控 '!$F$7:$V$194,6,0)</f>
        <v>6.2096999999999998</v>
      </c>
      <c r="J90" s="252">
        <f>IF(ISNUMBER(VLOOKUP(B90,'[2]市場監控 '!$F$7:$V$194,7,)),VLOOKUP(B90,'[2]市場監控 '!$F$7:$V$194,7,),"-")</f>
        <v>181.44</v>
      </c>
      <c r="K90" s="253">
        <v>1</v>
      </c>
      <c r="L90" s="253">
        <f>IF(ISNUMBER(VLOOKUP(B90,'[2]市場監控 '!$F$7:$V$194,9,0)),VLOOKUP(B90,'[2]市場監控 '!$F$7:$V$194,9,0),"-")</f>
        <v>-7.1493000000000002</v>
      </c>
      <c r="M90" s="254">
        <f>IF(ISNUMBER(VLOOKUP(B90,'[2]市場監控 '!$F$7:$V$194,10,0)),VLOOKUP(B90,'[2]市場監控 '!$F$7:$V$194,10,0),"-")</f>
        <v>-11.2295</v>
      </c>
      <c r="N90" s="255" t="str">
        <f>VLOOKUP(B90,'[2]市場監控 '!$F$7:$AJ$194,31,0)</f>
        <v/>
      </c>
      <c r="O90" s="256" t="str">
        <f>VLOOKUP(B90,'[2]市場監控 '!$F$7:$V$194,12,0)</f>
        <v>BB-</v>
      </c>
      <c r="P90" s="256" t="str">
        <f>VLOOKUP(B90,'[2]市場監控 '!$F$7:$V$194,13,0)</f>
        <v>Ba2</v>
      </c>
      <c r="Q90" s="257" t="str">
        <f>VLOOKUP(B90,'[2]市場監控 '!$F$7:$V$194,14,0)</f>
        <v>BB-</v>
      </c>
      <c r="R90" s="297" t="s">
        <v>935</v>
      </c>
      <c r="S90" s="297" t="s">
        <v>940</v>
      </c>
      <c r="T90" s="298" t="s">
        <v>940</v>
      </c>
      <c r="U90" s="243" t="e">
        <f>IF(O106=#REF!, 0,1)</f>
        <v>#REF!</v>
      </c>
      <c r="V90" s="243" t="e">
        <f>IF(P106=#REF!, 0,1)</f>
        <v>#REF!</v>
      </c>
      <c r="W90" s="243" t="e">
        <f>IF(Q106=#REF!, 0,1)</f>
        <v>#REF!</v>
      </c>
      <c r="X90" s="243" t="e">
        <f>IF(R90=#REF!, 0,1)</f>
        <v>#REF!</v>
      </c>
      <c r="Y90" s="243" t="e">
        <f>IF(S90=#REF!, 0,1)</f>
        <v>#REF!</v>
      </c>
      <c r="Z90" s="243" t="e">
        <f>IF(T90=#REF!, 0,1)</f>
        <v>#REF!</v>
      </c>
      <c r="AA90" s="225" t="e">
        <f ca="1">MATCH(C90,'市場監控 '!$K$7:$K$194,0)</f>
        <v>#N/A</v>
      </c>
    </row>
    <row r="91" spans="1:27" ht="16.5" customHeight="1" thickBot="1">
      <c r="A91" s="663"/>
      <c r="B91" s="245" t="s">
        <v>1835</v>
      </c>
      <c r="C91" s="246" t="s">
        <v>1836</v>
      </c>
      <c r="D91" s="266">
        <f>VLOOKUP(B91,'[2]市場監控 '!$F$7:$V$194,3,0)</f>
        <v>16289</v>
      </c>
      <c r="E91" s="261">
        <f>VLOOKUP($B91,'[2]市場監控 '!$F$7:$AX$230,43,0)</f>
        <v>16291</v>
      </c>
      <c r="F91" s="249">
        <f>VLOOKUP($B91,'[2]市場監控 '!$F$7:$AX$230,45,0)</f>
        <v>-1.2247620202510134</v>
      </c>
      <c r="G91" s="250">
        <f>VLOOKUP(B91,'[2]市場監控 '!$F$7:$V$194,4,0)</f>
        <v>-9.2100000000000001E-2</v>
      </c>
      <c r="H91" s="250">
        <f>VLOOKUP(B91,'[2]市場監控 '!$F$7:$V$194,5,0)</f>
        <v>0.56479999999999997</v>
      </c>
      <c r="I91" s="251">
        <f>VLOOKUP(B91,'[2]市場監控 '!$F$7:$V$194,6,0)</f>
        <v>-1.1479999999999999</v>
      </c>
      <c r="J91" s="252">
        <f>IF(ISNUMBER(VLOOKUP(B91,'[2]市場監控 '!$F$7:$V$194,7,)),VLOOKUP(B91,'[2]市場監控 '!$F$7:$V$194,7,),"-")</f>
        <v>73.859219999999993</v>
      </c>
      <c r="K91" s="253">
        <v>1</v>
      </c>
      <c r="L91" s="253">
        <f>IF(ISNUMBER(VLOOKUP(B91,'[2]市場監控 '!$F$7:$V$194,9,0)),VLOOKUP(B91,'[2]市場監控 '!$F$7:$V$194,9,0),"-")</f>
        <v>-0.51719999999999999</v>
      </c>
      <c r="M91" s="254">
        <f>IF(ISNUMBER(VLOOKUP(B91,'[2]市場監控 '!$F$7:$V$194,10,0)),VLOOKUP(B91,'[2]市場監控 '!$F$7:$V$194,10,0),"-")</f>
        <v>-5.0281099999999999</v>
      </c>
      <c r="N91" s="255" t="str">
        <f>VLOOKUP(B91,'[2]市場監控 '!$F$7:$AJ$194,31,0)</f>
        <v/>
      </c>
      <c r="O91" s="256" t="str">
        <f>VLOOKUP(B91,'[2]市場監控 '!$F$7:$V$194,12,0)</f>
        <v>BBB</v>
      </c>
      <c r="P91" s="256" t="str">
        <f>VLOOKUP(B91,'[2]市場監控 '!$F$7:$V$194,13,0)</f>
        <v>Baa2</v>
      </c>
      <c r="Q91" s="257" t="str">
        <f>VLOOKUP(B91,'[2]市場監控 '!$F$7:$V$194,14,0)</f>
        <v>BBB</v>
      </c>
      <c r="R91" s="297" t="s">
        <v>935</v>
      </c>
      <c r="S91" s="297" t="s">
        <v>940</v>
      </c>
      <c r="T91" s="298" t="s">
        <v>940</v>
      </c>
      <c r="U91" s="243" t="e">
        <f>IF(O106=#REF!, 0,1)</f>
        <v>#REF!</v>
      </c>
      <c r="V91" s="243" t="e">
        <f>IF(P106=#REF!, 0,1)</f>
        <v>#REF!</v>
      </c>
      <c r="W91" s="243" t="e">
        <f>IF(Q106=#REF!, 0,1)</f>
        <v>#REF!</v>
      </c>
      <c r="X91" s="243" t="e">
        <f>IF(R91=#REF!, 0,1)</f>
        <v>#REF!</v>
      </c>
      <c r="Y91" s="243" t="e">
        <f>IF(S91=#REF!, 0,1)</f>
        <v>#REF!</v>
      </c>
      <c r="Z91" s="243" t="e">
        <f>IF(T91=#REF!, 0,1)</f>
        <v>#REF!</v>
      </c>
      <c r="AA91" s="225" t="e">
        <f ca="1">MATCH(C91,'市場監控 '!$K$7:$K$194,0)</f>
        <v>#N/A</v>
      </c>
    </row>
    <row r="92" spans="1:27" ht="16.5" customHeight="1" thickBot="1">
      <c r="A92" s="663"/>
      <c r="B92" s="245" t="s">
        <v>1837</v>
      </c>
      <c r="C92" s="246" t="s">
        <v>1838</v>
      </c>
      <c r="D92" s="266">
        <f>VLOOKUP(B92,'[2]市場監控 '!$F$7:$V$194,3,0)</f>
        <v>3.7530000000000001</v>
      </c>
      <c r="E92" s="261">
        <f>VLOOKUP($B92,'[2]市場監控 '!$F$7:$AX$230,43,0)</f>
        <v>3.7532000000000001</v>
      </c>
      <c r="F92" s="249">
        <f>VLOOKUP($B92,'[2]市場監控 '!$F$7:$AX$230,45,0)</f>
        <v>5.0649108309119839E-2</v>
      </c>
      <c r="G92" s="250">
        <f>VLOOKUP(B92,'[2]市場監控 '!$F$7:$V$194,4,0)</f>
        <v>-2.7000000000000001E-3</v>
      </c>
      <c r="H92" s="250">
        <f>VLOOKUP(B92,'[2]市場監控 '!$F$7:$V$194,5,0)</f>
        <v>-2.1299999999999999E-2</v>
      </c>
      <c r="I92" s="251">
        <f>VLOOKUP(B92,'[2]市場監控 '!$F$7:$V$194,6,0)</f>
        <v>6.93E-2</v>
      </c>
      <c r="J92" s="252">
        <f>IF(ISNUMBER(VLOOKUP(B92,'[2]市場監控 '!$F$7:$V$194,7,)),VLOOKUP(B92,'[2]市場監控 '!$F$7:$V$194,7,),"-")</f>
        <v>61.24089</v>
      </c>
      <c r="K92" s="253">
        <v>1</v>
      </c>
      <c r="L92" s="253">
        <f>IF(ISNUMBER(VLOOKUP(B92,'[2]市場監控 '!$F$7:$V$194,9,0)),VLOOKUP(B92,'[2]市場監控 '!$F$7:$V$194,9,0),"-")</f>
        <v>2.5628500000000001</v>
      </c>
      <c r="M92" s="254">
        <f>IF(ISNUMBER(VLOOKUP(B92,'[2]市場監控 '!$F$7:$V$194,10,0)),VLOOKUP(B92,'[2]市場監控 '!$F$7:$V$194,10,0),"-")</f>
        <v>-3.48732</v>
      </c>
      <c r="N92" s="255" t="str">
        <f>VLOOKUP(B92,'[2]市場監控 '!$F$7:$AJ$194,31,0)</f>
        <v/>
      </c>
      <c r="O92" s="256" t="str">
        <f>VLOOKUP(B92,'[2]市場監控 '!$F$7:$V$194,12,0)</f>
        <v>A+u</v>
      </c>
      <c r="P92" s="256" t="str">
        <f>VLOOKUP(B92,'[2]市場監控 '!$F$7:$V$194,13,0)</f>
        <v>Aa3</v>
      </c>
      <c r="Q92" s="257" t="str">
        <f>VLOOKUP(B92,'[2]市場監控 '!$F$7:$V$194,14,0)</f>
        <v>A+</v>
      </c>
      <c r="R92" s="256" t="s">
        <v>940</v>
      </c>
      <c r="S92" s="256" t="s">
        <v>940</v>
      </c>
      <c r="T92" s="257" t="s">
        <v>940</v>
      </c>
      <c r="U92" s="243" t="e">
        <f>IF(O93=#REF!, 0,1)</f>
        <v>#REF!</v>
      </c>
      <c r="V92" s="243" t="e">
        <f>IF(P93=#REF!, 0,1)</f>
        <v>#REF!</v>
      </c>
      <c r="W92" s="243" t="e">
        <f>IF(Q93=#REF!, 0,1)</f>
        <v>#REF!</v>
      </c>
      <c r="X92" s="243" t="e">
        <f>IF(R92=#REF!, 0,1)</f>
        <v>#REF!</v>
      </c>
      <c r="Y92" s="243" t="e">
        <f>IF(S92=#REF!, 0,1)</f>
        <v>#REF!</v>
      </c>
      <c r="Z92" s="243" t="e">
        <f>IF(T92=#REF!, 0,1)</f>
        <v>#REF!</v>
      </c>
      <c r="AA92" s="225" t="e">
        <f ca="1">MATCH(C92,'市場監控 '!$K$7:$K$194,0)</f>
        <v>#N/A</v>
      </c>
    </row>
    <row r="93" spans="1:27" ht="16.5" customHeight="1" thickBot="1">
      <c r="A93" s="664"/>
      <c r="B93" s="286" t="s">
        <v>1839</v>
      </c>
      <c r="C93" s="287" t="s">
        <v>1840</v>
      </c>
      <c r="D93" s="288">
        <f>VLOOKUP(B93,'[2]市場監控 '!$F$7:$V$194,3,0)</f>
        <v>3.6413000000000002</v>
      </c>
      <c r="E93" s="289">
        <f>VLOOKUP($B93,'[2]市場監控 '!$F$7:$AX$230,43,0)</f>
        <v>3.6410999999999998</v>
      </c>
      <c r="F93" s="290" t="str">
        <f>VLOOKUP($B93,'[2]市場監控 '!$F$7:$AX$230,45,0)</f>
        <v>-</v>
      </c>
      <c r="G93" s="291">
        <f>VLOOKUP(B93,'[2]市場監控 '!$F$7:$V$194,4,0)</f>
        <v>-5.4999999999999997E-3</v>
      </c>
      <c r="H93" s="291">
        <f>VLOOKUP(B93,'[2]市場監控 '!$F$7:$V$194,5,0)</f>
        <v>5.4999999999999997E-3</v>
      </c>
      <c r="I93" s="292">
        <f>VLOOKUP(B93,'[2]市場監控 '!$F$7:$V$194,6,0)</f>
        <v>-2.7000000000000001E-3</v>
      </c>
      <c r="J93" s="293">
        <f>IF(ISNUMBER(VLOOKUP(B93,'[2]市場監控 '!$F$7:$V$194,7,)),VLOOKUP(B93,'[2]市場監控 '!$F$7:$V$194,7,),"-")</f>
        <v>28.588149999999999</v>
      </c>
      <c r="K93" s="294">
        <v>1</v>
      </c>
      <c r="L93" s="294">
        <f>IF(ISNUMBER(VLOOKUP(B93,'[2]市場監控 '!$F$7:$V$194,9,0)),VLOOKUP(B93,'[2]市場監控 '!$F$7:$V$194,9,0),"-")</f>
        <v>-0.49308999999999997</v>
      </c>
      <c r="M93" s="295">
        <f>IF(ISNUMBER(VLOOKUP(B93,'[2]市場監控 '!$F$7:$V$194,10,0)),VLOOKUP(B93,'[2]市場監控 '!$F$7:$V$194,10,0),"-")</f>
        <v>-15.21913</v>
      </c>
      <c r="N93" s="296" t="str">
        <f>VLOOKUP(B93,'[2]市場監控 '!$F$7:$AJ$194,31,0)</f>
        <v/>
      </c>
      <c r="O93" s="297" t="str">
        <f>VLOOKUP(B93,'[2]市場監控 '!$F$7:$V$194,12,0)</f>
        <v>AA</v>
      </c>
      <c r="P93" s="297" t="str">
        <f>VLOOKUP(B93,'[2]市場監控 '!$F$7:$V$194,13,0)</f>
        <v>Aa2</v>
      </c>
      <c r="Q93" s="298" t="str">
        <f>VLOOKUP(B93,'[2]市場監控 '!$F$7:$V$194,14,0)</f>
        <v>AA</v>
      </c>
      <c r="R93" s="360" t="s">
        <v>935</v>
      </c>
      <c r="S93" s="360" t="s">
        <v>935</v>
      </c>
      <c r="T93" s="361" t="s">
        <v>935</v>
      </c>
      <c r="U93" s="243" t="e">
        <f>IF(O106=#REF!, 0,1)</f>
        <v>#REF!</v>
      </c>
      <c r="V93" s="243" t="e">
        <f>IF(P106=#REF!, 0,1)</f>
        <v>#REF!</v>
      </c>
      <c r="W93" s="243" t="e">
        <f>IF(Q106=#REF!, 0,1)</f>
        <v>#REF!</v>
      </c>
      <c r="X93" s="243" t="e">
        <f>IF(R93=#REF!, 0,1)</f>
        <v>#REF!</v>
      </c>
      <c r="Y93" s="243" t="e">
        <f>IF(S93=#REF!, 0,1)</f>
        <v>#REF!</v>
      </c>
      <c r="Z93" s="243" t="e">
        <f>IF(T93=#REF!, 0,1)</f>
        <v>#REF!</v>
      </c>
      <c r="AA93" s="225" t="e">
        <f ca="1">MATCH(C93,'市場監控 '!$K$7:$K$194,0)</f>
        <v>#N/A</v>
      </c>
    </row>
    <row r="97" spans="1:7" ht="19.5">
      <c r="A97" s="362" t="s">
        <v>1841</v>
      </c>
      <c r="C97" s="224" t="s">
        <v>1842</v>
      </c>
      <c r="D97" s="224" t="s">
        <v>1843</v>
      </c>
      <c r="E97" s="224"/>
      <c r="F97" s="224"/>
      <c r="G97" s="224" t="s">
        <v>1844</v>
      </c>
    </row>
    <row r="98" spans="1:7" ht="19.5">
      <c r="A98" s="364" t="s">
        <v>1845</v>
      </c>
      <c r="B98" s="221" t="e">
        <f ca="1">(_xll.BDP("US0003M Index","PX_LAST")+75/10000*100)%</f>
        <v>#NAME?</v>
      </c>
      <c r="C98" s="221" t="e">
        <f ca="1">(_xll.BDP("US0003M Index","PX_LAST")%)</f>
        <v>#NAME?</v>
      </c>
      <c r="D98" s="221" t="e">
        <f ca="1">(_xll.BDP("US0006M Index","PX_LAST")%)</f>
        <v>#NAME?</v>
      </c>
      <c r="E98" s="221"/>
      <c r="F98" s="221"/>
      <c r="G98" s="221" t="e">
        <f ca="1">(_xll.BDP("US0012M Index","PX_LAST")%)</f>
        <v>#NAME?</v>
      </c>
    </row>
    <row r="99" spans="1:7" ht="19.5">
      <c r="A99" s="364" t="s">
        <v>1846</v>
      </c>
      <c r="B99" s="221" t="e">
        <f ca="1">(_xll.BDP("BP0003M Index","PX_LAST")+75/10000*100)%</f>
        <v>#NAME?</v>
      </c>
      <c r="C99" s="221" t="e">
        <f ca="1">(_xll.BDP("BP0003M Index","PX_LAST")%)</f>
        <v>#NAME?</v>
      </c>
      <c r="D99" s="221" t="e">
        <f ca="1">(_xll.BDP("BP0006M Index","PX_LAST")%)</f>
        <v>#NAME?</v>
      </c>
      <c r="E99" s="221"/>
      <c r="F99" s="221"/>
      <c r="G99" s="221" t="e">
        <f ca="1">(_xll.BDP("BP0012M Index","PX_LAST")%)</f>
        <v>#NAME?</v>
      </c>
    </row>
    <row r="100" spans="1:7" ht="19.5">
      <c r="A100" s="364" t="s">
        <v>1847</v>
      </c>
      <c r="B100" s="221" t="e">
        <f ca="1">(_xll.BDP("SHIF3M Index","PX_LAST")+90/10000*100)%</f>
        <v>#NAME?</v>
      </c>
      <c r="C100" s="221" t="e">
        <f ca="1">(_xll.BDP("SHIF3M Index","PX_LAST")%)</f>
        <v>#NAME?</v>
      </c>
      <c r="D100" s="221" t="e">
        <f ca="1">(_xll.BDP("SHIF6M Index","PX_LAST")%)</f>
        <v>#NAME?</v>
      </c>
      <c r="E100" s="221"/>
      <c r="F100" s="221"/>
      <c r="G100" s="221" t="e">
        <f ca="1">(_xll.BDP("SHIF1Y Index","PX_LAST")%)</f>
        <v>#NAME?</v>
      </c>
    </row>
    <row r="101" spans="1:7" ht="19.5">
      <c r="A101" s="364" t="s">
        <v>1848</v>
      </c>
      <c r="B101" s="221" t="e">
        <f ca="1">(_xll.BDP("JIBA12M Index","PX_LAST")+120/10000*100)%</f>
        <v>#NAME?</v>
      </c>
      <c r="C101" s="221" t="e">
        <f ca="1">(_xll.BDP("JIBA3M Index","PX_LAST"))%</f>
        <v>#NAME?</v>
      </c>
      <c r="D101" s="221" t="e">
        <f ca="1">(_xll.BDP("JIBA6M Index","PX_LAST"))%</f>
        <v>#NAME?</v>
      </c>
      <c r="E101" s="221"/>
      <c r="F101" s="221"/>
      <c r="G101" s="221" t="e">
        <f ca="1">(_xll.BDP("JIBA12M Index","PX_LAST"))%</f>
        <v>#NAME?</v>
      </c>
    </row>
    <row r="102" spans="1:7">
      <c r="B102" s="365"/>
    </row>
    <row r="103" spans="1:7">
      <c r="B103" s="365"/>
    </row>
    <row r="104" spans="1:7">
      <c r="B104" s="365"/>
    </row>
    <row r="105" spans="1:7">
      <c r="B105" s="365"/>
    </row>
    <row r="106" spans="1:7">
      <c r="B106" s="365"/>
    </row>
    <row r="107" spans="1:7">
      <c r="B107" s="365"/>
    </row>
  </sheetData>
  <mergeCells count="17">
    <mergeCell ref="A71:A74"/>
    <mergeCell ref="A75:A78"/>
    <mergeCell ref="A79:A81"/>
    <mergeCell ref="A86:A87"/>
    <mergeCell ref="A88:A93"/>
    <mergeCell ref="U2:W2"/>
    <mergeCell ref="X2:Z2"/>
    <mergeCell ref="A66:A70"/>
    <mergeCell ref="D2:I2"/>
    <mergeCell ref="J2:M2"/>
    <mergeCell ref="N2:Q2"/>
    <mergeCell ref="R2:T2"/>
    <mergeCell ref="A4:A39"/>
    <mergeCell ref="A40:A44"/>
    <mergeCell ref="A45:A54"/>
    <mergeCell ref="A55:A56"/>
    <mergeCell ref="A57:A65"/>
  </mergeCells>
  <phoneticPr fontId="21" type="noConversion"/>
  <conditionalFormatting sqref="A2:F2">
    <cfRule type="cellIs" dxfId="22" priority="20" operator="equal">
      <formula>"#N/A Field Not Applicable"</formula>
    </cfRule>
    <cfRule type="cellIs" dxfId="21" priority="21" operator="equal">
      <formula>"#N/A N/A"</formula>
    </cfRule>
  </conditionalFormatting>
  <conditionalFormatting sqref="F4:F93">
    <cfRule type="expression" dxfId="20" priority="1">
      <formula>AND($F4&gt;10,$F4&lt;&gt;"-")</formula>
    </cfRule>
    <cfRule type="expression" dxfId="19" priority="2">
      <formula>AND($F4&lt;-10,$F4&lt;&gt;"-")</formula>
    </cfRule>
  </conditionalFormatting>
  <conditionalFormatting sqref="G4:G278">
    <cfRule type="expression" dxfId="18" priority="5">
      <formula>AND($G4&lt;-10,$G4&lt;&gt;"-")</formula>
    </cfRule>
    <cfRule type="expression" dxfId="17" priority="6">
      <formula>AND($G4&gt;10,$G4&lt;&gt;"-")</formula>
    </cfRule>
  </conditionalFormatting>
  <conditionalFormatting sqref="G45:G54">
    <cfRule type="cellIs" dxfId="16" priority="7" operator="equal">
      <formula>" "</formula>
    </cfRule>
    <cfRule type="cellIs" dxfId="15" priority="8" operator="greaterThan">
      <formula>15</formula>
    </cfRule>
    <cfRule type="cellIs" dxfId="14" priority="9" operator="lessThan">
      <formula>-15</formula>
    </cfRule>
  </conditionalFormatting>
  <conditionalFormatting sqref="G102:G176">
    <cfRule type="cellIs" dxfId="13" priority="22" operator="greaterThan">
      <formula>10</formula>
    </cfRule>
    <cfRule type="cellIs" dxfId="12" priority="23" operator="lessThan">
      <formula>-10</formula>
    </cfRule>
  </conditionalFormatting>
  <conditionalFormatting sqref="H4:H278">
    <cfRule type="expression" dxfId="11" priority="3">
      <formula>AND($H4&lt;-10,$H4&lt;&gt;"-")</formula>
    </cfRule>
    <cfRule type="expression" dxfId="10" priority="4">
      <formula>AND($H4&gt;10,$H4&lt;&gt;"-")</formula>
    </cfRule>
  </conditionalFormatting>
  <conditionalFormatting sqref="J2">
    <cfRule type="cellIs" dxfId="9" priority="18" operator="equal">
      <formula>"#N/A Field Not Applicable"</formula>
    </cfRule>
    <cfRule type="cellIs" dxfId="8" priority="19" operator="equal">
      <formula>"#N/A N/A"</formula>
    </cfRule>
  </conditionalFormatting>
  <conditionalFormatting sqref="J4:J172">
    <cfRule type="cellIs" dxfId="7" priority="13" operator="equal">
      <formula>"-"</formula>
    </cfRule>
  </conditionalFormatting>
  <conditionalFormatting sqref="L4:L96">
    <cfRule type="cellIs" dxfId="6" priority="11" operator="equal">
      <formula>"-"</formula>
    </cfRule>
  </conditionalFormatting>
  <conditionalFormatting sqref="L4:L172">
    <cfRule type="cellIs" dxfId="5" priority="12" operator="greaterThan">
      <formula>150</formula>
    </cfRule>
  </conditionalFormatting>
  <conditionalFormatting sqref="N2">
    <cfRule type="cellIs" dxfId="4" priority="16" operator="equal">
      <formula>"#N/A Field Not Applicable"</formula>
    </cfRule>
    <cfRule type="cellIs" dxfId="3" priority="17" operator="equal">
      <formula>"#N/A N/A"</formula>
    </cfRule>
  </conditionalFormatting>
  <conditionalFormatting sqref="N4:N96">
    <cfRule type="cellIs" dxfId="2" priority="10" operator="equal">
      <formula>"Y"</formula>
    </cfRule>
  </conditionalFormatting>
  <conditionalFormatting sqref="R2">
    <cfRule type="cellIs" dxfId="1" priority="14" operator="equal">
      <formula>"#N/A Field Not Applicable"</formula>
    </cfRule>
    <cfRule type="cellIs" dxfId="0" priority="15" operator="equal">
      <formula>"#N/A N/A"</formula>
    </cfRule>
  </conditionalFormatting>
  <pageMargins left="0.23622047244094491" right="0.23622047244094491" top="0.23622047244094491" bottom="0.23622047244094491" header="0.31496062992125984" footer="0.31496062992125984"/>
  <pageSetup paperSize="9" scale="58" fitToWidth="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7"/>
  <dimension ref="A1:AL1244"/>
  <sheetViews>
    <sheetView workbookViewId="0">
      <selection activeCell="B5" sqref="B5"/>
    </sheetView>
  </sheetViews>
  <sheetFormatPr defaultRowHeight="16.5"/>
  <cols>
    <col min="2" max="2" width="19.5" bestFit="1" customWidth="1"/>
    <col min="3" max="3" width="29.875" customWidth="1"/>
    <col min="4" max="4" width="13.25" customWidth="1"/>
    <col min="7" max="7" width="23.75" bestFit="1" customWidth="1"/>
    <col min="8" max="8" width="33.25" bestFit="1" customWidth="1"/>
    <col min="9" max="10" width="12.5" bestFit="1" customWidth="1"/>
    <col min="12" max="12" width="9.5" bestFit="1" customWidth="1"/>
    <col min="13" max="13" width="13.375" customWidth="1"/>
    <col min="15" max="15" width="11" customWidth="1"/>
  </cols>
  <sheetData>
    <row r="1" spans="1:38">
      <c r="B1" s="191" t="s">
        <v>2914</v>
      </c>
      <c r="G1" s="189" t="s">
        <v>200</v>
      </c>
      <c r="H1" s="189" t="s">
        <v>1252</v>
      </c>
      <c r="I1" s="189" t="s">
        <v>1253</v>
      </c>
      <c r="J1" s="189" t="s">
        <v>1253</v>
      </c>
      <c r="K1" s="189" t="s">
        <v>1265</v>
      </c>
      <c r="L1" s="189" t="s">
        <v>1254</v>
      </c>
      <c r="M1" s="189" t="s">
        <v>1255</v>
      </c>
      <c r="N1" s="189" t="s">
        <v>1256</v>
      </c>
      <c r="O1" s="189" t="s">
        <v>1266</v>
      </c>
      <c r="P1" s="189" t="s">
        <v>1257</v>
      </c>
      <c r="Q1" s="189" t="s">
        <v>1258</v>
      </c>
      <c r="R1" s="189" t="s">
        <v>1259</v>
      </c>
      <c r="S1" s="189" t="s">
        <v>1267</v>
      </c>
      <c r="T1" s="189" t="s">
        <v>1260</v>
      </c>
      <c r="U1" s="189" t="s">
        <v>1268</v>
      </c>
      <c r="V1" s="189" t="s">
        <v>1261</v>
      </c>
      <c r="W1" s="189" t="s">
        <v>1262</v>
      </c>
      <c r="X1" s="189" t="s">
        <v>1269</v>
      </c>
      <c r="Y1" s="189" t="s">
        <v>1269</v>
      </c>
      <c r="Z1" s="189" t="s">
        <v>1264</v>
      </c>
      <c r="AA1" s="189" t="s">
        <v>1263</v>
      </c>
      <c r="AB1" s="189" t="s">
        <v>1270</v>
      </c>
      <c r="AC1" s="189" t="s">
        <v>1271</v>
      </c>
      <c r="AD1" s="189" t="s">
        <v>1272</v>
      </c>
      <c r="AE1" s="189" t="s">
        <v>1273</v>
      </c>
      <c r="AF1" s="189" t="s">
        <v>881</v>
      </c>
      <c r="AG1" s="189" t="s">
        <v>882</v>
      </c>
      <c r="AH1" s="189" t="s">
        <v>883</v>
      </c>
      <c r="AI1" s="189" t="s">
        <v>1274</v>
      </c>
      <c r="AJ1" s="189" t="s">
        <v>1275</v>
      </c>
      <c r="AK1" s="189" t="s">
        <v>1276</v>
      </c>
      <c r="AL1" s="189" t="s">
        <v>1277</v>
      </c>
    </row>
    <row r="2" spans="1:38">
      <c r="G2" s="469" t="s">
        <v>1278</v>
      </c>
      <c r="H2" s="469"/>
      <c r="I2" s="469"/>
      <c r="J2" s="469"/>
      <c r="K2" s="469"/>
      <c r="L2" s="469"/>
      <c r="M2" s="469"/>
      <c r="N2" s="469"/>
      <c r="O2" s="469"/>
      <c r="P2" s="469"/>
      <c r="Q2" s="469"/>
      <c r="R2" s="469"/>
      <c r="S2" s="469"/>
      <c r="T2" s="469"/>
      <c r="U2" s="469"/>
      <c r="V2" s="469"/>
      <c r="W2" s="469"/>
      <c r="X2" s="469"/>
      <c r="Y2" s="469"/>
      <c r="Z2" s="469"/>
      <c r="AA2" s="469"/>
      <c r="AB2" s="469"/>
      <c r="AC2" s="469"/>
      <c r="AD2" s="469"/>
      <c r="AE2" s="469"/>
      <c r="AF2" s="469"/>
      <c r="AG2" s="469"/>
      <c r="AH2" s="469"/>
      <c r="AI2" s="469"/>
      <c r="AJ2" s="469"/>
      <c r="AK2" s="469"/>
      <c r="AL2" s="469"/>
    </row>
    <row r="3" spans="1:38">
      <c r="C3" t="s">
        <v>1420</v>
      </c>
      <c r="D3" t="s">
        <v>1465</v>
      </c>
      <c r="E3" t="s">
        <v>1422</v>
      </c>
      <c r="F3" t="s">
        <v>1461</v>
      </c>
      <c r="G3" s="469" t="s">
        <v>1279</v>
      </c>
      <c r="H3" s="469"/>
      <c r="I3" s="469"/>
      <c r="J3" s="469"/>
      <c r="K3" s="469"/>
      <c r="L3" s="469"/>
      <c r="M3" s="469"/>
      <c r="N3" s="469"/>
      <c r="O3" s="469"/>
      <c r="P3" s="469"/>
      <c r="Q3" s="469"/>
      <c r="R3" s="469"/>
      <c r="S3" s="469"/>
      <c r="T3" s="469"/>
      <c r="U3" s="469"/>
      <c r="V3" s="469"/>
      <c r="W3" s="469"/>
      <c r="X3" s="469"/>
      <c r="Y3" s="469"/>
      <c r="Z3" s="469"/>
      <c r="AA3" s="469"/>
      <c r="AB3" s="469"/>
      <c r="AC3" s="469"/>
      <c r="AD3" s="469"/>
      <c r="AE3" s="469"/>
      <c r="AF3" s="469"/>
      <c r="AG3" s="469"/>
      <c r="AH3" s="469"/>
      <c r="AI3" s="469"/>
      <c r="AJ3" s="469"/>
      <c r="AK3" s="469"/>
      <c r="AL3" s="469"/>
    </row>
    <row r="4" spans="1:38">
      <c r="A4" t="s">
        <v>1462</v>
      </c>
      <c r="B4" s="190" t="s">
        <v>1282</v>
      </c>
      <c r="C4" t="s">
        <v>548</v>
      </c>
      <c r="D4" t="s">
        <v>1419</v>
      </c>
      <c r="E4" t="s">
        <v>1421</v>
      </c>
      <c r="F4" t="s">
        <v>1423</v>
      </c>
      <c r="G4" s="469" t="s">
        <v>1280</v>
      </c>
      <c r="H4" s="469"/>
      <c r="I4" s="469"/>
      <c r="J4" s="469"/>
      <c r="K4" s="469"/>
      <c r="L4" s="469"/>
      <c r="M4" s="469"/>
      <c r="N4" s="469"/>
      <c r="O4" s="469"/>
      <c r="P4" s="469"/>
      <c r="Q4" s="469"/>
      <c r="R4" s="469"/>
      <c r="S4" s="469"/>
      <c r="T4" s="469"/>
      <c r="U4" s="469"/>
      <c r="V4" s="469"/>
      <c r="W4" s="469"/>
      <c r="X4" s="469"/>
      <c r="Y4" s="469"/>
      <c r="Z4" s="469"/>
      <c r="AA4" s="469"/>
      <c r="AB4" s="469"/>
      <c r="AC4" s="469"/>
      <c r="AD4" s="469"/>
      <c r="AE4" s="469"/>
      <c r="AF4" s="469"/>
      <c r="AG4" s="469"/>
      <c r="AH4" s="469"/>
      <c r="AI4" s="469"/>
      <c r="AJ4" s="469"/>
      <c r="AK4" s="469"/>
      <c r="AL4" s="469"/>
    </row>
    <row r="5" spans="1:38">
      <c r="A5" t="e">
        <f t="shared" ref="A5:A14" ca="1" si="0">IF(LEN(C5)&lt;&gt;LENB(C5),"中文","英文")</f>
        <v>#NAME?</v>
      </c>
      <c r="B5" t="e">
        <f ca="1">_xll.BDP(I5&amp;" CORP",$B$4)</f>
        <v>#NAME?</v>
      </c>
      <c r="C5" t="e" cm="1">
        <f t="array" aca="1" ref="C5" ca="1">_xll.BDP($B5&amp;" CORP",$C$3)</f>
        <v>#NAME?</v>
      </c>
      <c r="D5" t="e" cm="1">
        <f t="array" aca="1" ref="D5" ca="1">_xll.BDP($B5&amp;" CORP",$D$3)</f>
        <v>#NAME?</v>
      </c>
      <c r="E5" t="e" cm="1">
        <f t="array" aca="1" ref="E5" ca="1">_xll.BDP($B5&amp;" CORP",$E$3)</f>
        <v>#NAME?</v>
      </c>
      <c r="F5" s="204" t="e" cm="1">
        <f t="array" aca="1" ref="F5" ca="1">_xll.BDP($B5&amp;" CORP",$F$3)</f>
        <v>#NAME?</v>
      </c>
      <c r="G5" s="193" t="e" cm="1">
        <f t="array" aca="1" ref="G5" ca="1">_xll.BDP(B5&amp;" CORP","SECURITY_NAME")</f>
        <v>#NAME?</v>
      </c>
      <c r="H5" s="193"/>
      <c r="I5" s="465" t="s">
        <v>4008</v>
      </c>
      <c r="J5" s="193" t="str">
        <f>I5</f>
        <v>61776NZU0</v>
      </c>
      <c r="K5" s="193"/>
      <c r="L5" s="467" t="s">
        <v>4007</v>
      </c>
      <c r="M5" s="193" t="e" cm="1">
        <f t="array" aca="1" ref="M5" ca="1">_xll.BDP($B5&amp;" CORP","AMT_OUTSTANDING")</f>
        <v>#NAME?</v>
      </c>
      <c r="N5" s="193" t="e" cm="1">
        <f t="array" aca="1" ref="N5" ca="1">_xll.BDP($B5&amp;" CORP","MTY_YEARS")</f>
        <v>#NAME?</v>
      </c>
      <c r="O5" s="193" t="s">
        <v>3108</v>
      </c>
      <c r="P5" s="193">
        <v>115</v>
      </c>
      <c r="Q5" s="193">
        <v>90</v>
      </c>
      <c r="R5" s="193">
        <v>-25</v>
      </c>
      <c r="S5" s="193">
        <v>10</v>
      </c>
      <c r="T5" s="193">
        <v>8900</v>
      </c>
      <c r="U5" s="193">
        <v>8900000000</v>
      </c>
      <c r="V5" s="193">
        <v>9000</v>
      </c>
      <c r="W5" s="465" t="s">
        <v>84</v>
      </c>
      <c r="X5" s="193">
        <v>0</v>
      </c>
      <c r="Y5" s="193">
        <v>-1.1100000000000001</v>
      </c>
      <c r="Z5" s="193">
        <v>86.803299999999965</v>
      </c>
      <c r="AA5" s="193">
        <v>90</v>
      </c>
      <c r="AB5" s="193">
        <v>-3</v>
      </c>
      <c r="AC5" s="193" t="s">
        <v>1428</v>
      </c>
      <c r="AD5" s="193" t="s">
        <v>1429</v>
      </c>
      <c r="AE5" s="193" t="s">
        <v>1460</v>
      </c>
      <c r="AF5" s="465" t="s">
        <v>4009</v>
      </c>
      <c r="AG5" s="465" t="s">
        <v>4010</v>
      </c>
      <c r="AH5" s="465" t="s">
        <v>4011</v>
      </c>
      <c r="AI5" s="193"/>
      <c r="AJ5" s="193" t="s">
        <v>1431</v>
      </c>
      <c r="AK5" s="193" t="s">
        <v>1431</v>
      </c>
      <c r="AL5" s="193" t="s">
        <v>1431</v>
      </c>
    </row>
    <row r="6" spans="1:38">
      <c r="A6" t="e">
        <f t="shared" ca="1" si="0"/>
        <v>#NAME?</v>
      </c>
      <c r="B6" t="e">
        <f ca="1">_xll.BDP(I6&amp;" CORP",$B$4)</f>
        <v>#NAME?</v>
      </c>
      <c r="C6" t="e" cm="1">
        <f t="array" aca="1" ref="C6" ca="1">_xll.BDP($B6&amp;" CORP",$C$3)</f>
        <v>#NAME?</v>
      </c>
      <c r="D6" t="e" cm="1">
        <f t="array" aca="1" ref="D6" ca="1">_xll.BDP($B6&amp;" CORP",$D$3)</f>
        <v>#NAME?</v>
      </c>
      <c r="E6" t="e" cm="1">
        <f t="array" aca="1" ref="E6" ca="1">_xll.BDP($B6&amp;" CORP",$E$3)</f>
        <v>#NAME?</v>
      </c>
      <c r="F6" s="204" t="e" cm="1">
        <f t="array" aca="1" ref="F6" ca="1">_xll.BDP($B6&amp;" CORP",$F$3)</f>
        <v>#NAME?</v>
      </c>
      <c r="G6" s="193" t="e" cm="1">
        <f t="array" aca="1" ref="G6" ca="1">_xll.BDP(B6&amp;" CORP","SECURITY_NAME")</f>
        <v>#NAME?</v>
      </c>
      <c r="H6" s="193"/>
      <c r="I6" s="466" t="s">
        <v>4005</v>
      </c>
      <c r="J6" s="193" t="str">
        <f>I6</f>
        <v>61776NZT3</v>
      </c>
      <c r="K6" s="193"/>
      <c r="L6" s="467" t="s">
        <v>4007</v>
      </c>
      <c r="M6" s="193" t="e" cm="1">
        <f t="array" aca="1" ref="M6" ca="1">_xll.BDP($B6&amp;" CORP","AMT_OUTSTANDING")</f>
        <v>#NAME?</v>
      </c>
      <c r="N6" s="193" t="e" cm="1">
        <f t="array" aca="1" ref="N6" ca="1">_xll.BDP($B6&amp;" CORP","MTY_YEARS")</f>
        <v>#NAME?</v>
      </c>
      <c r="O6" s="193"/>
      <c r="P6" s="193"/>
      <c r="Q6" s="193">
        <v>119</v>
      </c>
      <c r="R6" s="193"/>
      <c r="S6" s="193"/>
      <c r="T6" s="193">
        <v>3300</v>
      </c>
      <c r="U6" s="193">
        <v>3300000000</v>
      </c>
      <c r="V6" s="193">
        <v>3300</v>
      </c>
      <c r="W6" s="465" t="s">
        <v>84</v>
      </c>
      <c r="X6" s="193">
        <v>0</v>
      </c>
      <c r="Y6" s="193">
        <v>0</v>
      </c>
      <c r="Z6" s="193" t="s">
        <v>1432</v>
      </c>
      <c r="AA6" s="193" t="s">
        <v>1432</v>
      </c>
      <c r="AB6" s="193" t="s">
        <v>1281</v>
      </c>
      <c r="AC6" s="193" t="s">
        <v>1428</v>
      </c>
      <c r="AD6" s="193" t="s">
        <v>1429</v>
      </c>
      <c r="AE6" s="193" t="s">
        <v>1460</v>
      </c>
      <c r="AF6" s="465" t="s">
        <v>4009</v>
      </c>
      <c r="AG6" s="465" t="s">
        <v>4010</v>
      </c>
      <c r="AH6" s="465" t="s">
        <v>4011</v>
      </c>
      <c r="AI6" s="193"/>
      <c r="AJ6" s="193" t="s">
        <v>1431</v>
      </c>
      <c r="AK6" s="193" t="s">
        <v>1431</v>
      </c>
      <c r="AL6" s="193" t="s">
        <v>1431</v>
      </c>
    </row>
    <row r="7" spans="1:38">
      <c r="A7" t="e">
        <f t="shared" ca="1" si="0"/>
        <v>#NAME?</v>
      </c>
      <c r="B7" t="e">
        <f ca="1">_xll.BDP(I7&amp;" CORP",$B$4)</f>
        <v>#NAME?</v>
      </c>
      <c r="C7" t="e" cm="1">
        <f t="array" aca="1" ref="C7" ca="1">_xll.BDP($B7&amp;" CORP",$C$3)</f>
        <v>#NAME?</v>
      </c>
      <c r="D7" t="e" cm="1">
        <f t="array" aca="1" ref="D7" ca="1">_xll.BDP($B7&amp;" CORP",$D$3)</f>
        <v>#NAME?</v>
      </c>
      <c r="E7" t="e" cm="1">
        <f t="array" aca="1" ref="E7" ca="1">_xll.BDP($B7&amp;" CORP",$E$3)</f>
        <v>#NAME?</v>
      </c>
      <c r="F7" s="204" t="e" cm="1">
        <f t="array" aca="1" ref="F7" ca="1">_xll.BDP($B7&amp;" CORP",$F$3)</f>
        <v>#NAME?</v>
      </c>
      <c r="G7" s="193" t="e" cm="1">
        <f t="array" aca="1" ref="G7" ca="1">_xll.BDP(B7&amp;" CORP","SECURITY_NAME")</f>
        <v>#NAME?</v>
      </c>
      <c r="H7" s="193"/>
      <c r="I7" s="465" t="s">
        <v>4006</v>
      </c>
      <c r="J7" s="193" t="str">
        <f t="shared" ref="J7:J24" si="1">I7</f>
        <v>61776NZW6</v>
      </c>
      <c r="K7" s="193"/>
      <c r="L7" s="467" t="s">
        <v>4007</v>
      </c>
      <c r="M7" s="193" t="e" cm="1">
        <f t="array" aca="1" ref="M7" ca="1">_xll.BDP($B7&amp;" CORP","AMT_OUTSTANDING")</f>
        <v>#NAME?</v>
      </c>
      <c r="N7" s="193" t="e" cm="1">
        <f t="array" aca="1" ref="N7" ca="1">_xll.BDP($B7&amp;" CORP","MTY_YEARS")</f>
        <v>#NAME?</v>
      </c>
      <c r="O7" s="193" t="s">
        <v>3326</v>
      </c>
      <c r="P7" s="193">
        <v>130</v>
      </c>
      <c r="Q7" s="193">
        <v>105</v>
      </c>
      <c r="R7" s="193">
        <v>-25</v>
      </c>
      <c r="S7" s="193">
        <v>10</v>
      </c>
      <c r="T7" s="193">
        <v>8850</v>
      </c>
      <c r="U7" s="193">
        <v>8850000000</v>
      </c>
      <c r="V7" s="193">
        <v>9200</v>
      </c>
      <c r="W7" s="465" t="s">
        <v>84</v>
      </c>
      <c r="X7" s="193">
        <v>0</v>
      </c>
      <c r="Y7" s="193">
        <v>-3.8</v>
      </c>
      <c r="Z7" s="193">
        <v>102.49229999999994</v>
      </c>
      <c r="AA7" s="193">
        <v>105</v>
      </c>
      <c r="AB7" s="193">
        <v>-3</v>
      </c>
      <c r="AC7" s="193" t="s">
        <v>1428</v>
      </c>
      <c r="AD7" s="193" t="s">
        <v>1429</v>
      </c>
      <c r="AE7" s="193" t="s">
        <v>1460</v>
      </c>
      <c r="AF7" s="465" t="s">
        <v>4009</v>
      </c>
      <c r="AG7" s="465" t="s">
        <v>4010</v>
      </c>
      <c r="AH7" s="465" t="s">
        <v>4011</v>
      </c>
      <c r="AI7" s="193"/>
      <c r="AJ7" s="193" t="s">
        <v>1431</v>
      </c>
      <c r="AK7" s="193" t="s">
        <v>1431</v>
      </c>
      <c r="AL7" s="193" t="s">
        <v>1431</v>
      </c>
    </row>
    <row r="8" spans="1:38">
      <c r="A8" t="e">
        <f t="shared" ca="1" si="0"/>
        <v>#NAME?</v>
      </c>
      <c r="B8" t="e">
        <f ca="1">_xll.BDP(I8&amp;" CORP",$B$4)</f>
        <v>#NAME?</v>
      </c>
      <c r="C8" t="e" cm="1">
        <f t="array" aca="1" ref="C8" ca="1">_xll.BDP($B8&amp;" CORP",$C$3)</f>
        <v>#NAME?</v>
      </c>
      <c r="D8" t="e" cm="1">
        <f t="array" aca="1" ref="D8" ca="1">_xll.BDP($B8&amp;" CORP",$D$3)</f>
        <v>#NAME?</v>
      </c>
      <c r="E8" t="e" cm="1">
        <f t="array" aca="1" ref="E8" ca="1">_xll.BDP($B8&amp;" CORP",$E$3)</f>
        <v>#NAME?</v>
      </c>
      <c r="F8" s="204" t="e" cm="1">
        <f t="array" aca="1" ref="F8" ca="1">_xll.BDP($B8&amp;" CORP",$F$3)</f>
        <v>#NAME?</v>
      </c>
      <c r="G8" s="193" t="e" cm="1">
        <f t="array" aca="1" ref="G8" ca="1">_xll.BDP(B8&amp;" CORP","SECURITY_NAME")</f>
        <v>#NAME?</v>
      </c>
      <c r="H8" s="193"/>
      <c r="I8" s="465" t="s">
        <v>4012</v>
      </c>
      <c r="J8" s="193" t="str">
        <f t="shared" si="1"/>
        <v>023135CS3</v>
      </c>
      <c r="K8" s="193"/>
      <c r="L8" s="467" t="s">
        <v>4007</v>
      </c>
      <c r="M8" s="193" t="e" cm="1">
        <f t="array" aca="1" ref="M8" ca="1">_xll.BDP($B8&amp;" CORP","AMT_OUTSTANDING")</f>
        <v>#NAME?</v>
      </c>
      <c r="N8" s="193" t="e" cm="1">
        <f t="array" aca="1" ref="N8" ca="1">_xll.BDP($B8&amp;" CORP","MTY_YEARS")</f>
        <v>#NAME?</v>
      </c>
      <c r="O8" s="193" t="s">
        <v>3273</v>
      </c>
      <c r="P8" s="193">
        <v>85</v>
      </c>
      <c r="Q8" s="193">
        <v>50</v>
      </c>
      <c r="R8" s="193">
        <v>-35</v>
      </c>
      <c r="S8" s="193">
        <v>15</v>
      </c>
      <c r="T8" s="193">
        <v>15800</v>
      </c>
      <c r="U8" s="193">
        <v>15800000000</v>
      </c>
      <c r="V8" s="193">
        <v>18700</v>
      </c>
      <c r="W8" s="465">
        <v>2.7</v>
      </c>
      <c r="X8" s="193">
        <v>0</v>
      </c>
      <c r="Y8" s="193">
        <v>-15.51</v>
      </c>
      <c r="Z8" s="193">
        <v>50.017099999999992</v>
      </c>
      <c r="AA8" s="193">
        <v>50</v>
      </c>
      <c r="AB8" s="193">
        <v>0</v>
      </c>
      <c r="AC8" s="193" t="s">
        <v>1490</v>
      </c>
      <c r="AD8" s="193" t="s">
        <v>2227</v>
      </c>
      <c r="AE8" s="193" t="s">
        <v>3330</v>
      </c>
      <c r="AF8" s="465" t="s">
        <v>4019</v>
      </c>
      <c r="AG8" s="465" t="s">
        <v>4020</v>
      </c>
      <c r="AH8" s="465" t="s">
        <v>4011</v>
      </c>
      <c r="AI8" s="193"/>
      <c r="AJ8" s="193" t="s">
        <v>1431</v>
      </c>
      <c r="AK8" s="193" t="s">
        <v>1431</v>
      </c>
      <c r="AL8" s="193" t="s">
        <v>1431</v>
      </c>
    </row>
    <row r="9" spans="1:38">
      <c r="A9" t="e">
        <f t="shared" ca="1" si="0"/>
        <v>#NAME?</v>
      </c>
      <c r="B9" t="e">
        <f ca="1">_xll.BDP(I9&amp;" CORP",$B$4)</f>
        <v>#NAME?</v>
      </c>
      <c r="C9" t="e" cm="1">
        <f t="array" aca="1" ref="C9" ca="1">_xll.BDP($B9&amp;" CORP",$C$3)</f>
        <v>#NAME?</v>
      </c>
      <c r="D9" t="e" cm="1">
        <f t="array" aca="1" ref="D9" ca="1">_xll.BDP($B9&amp;" CORP",$D$3)</f>
        <v>#NAME?</v>
      </c>
      <c r="E9" t="e" cm="1">
        <f t="array" aca="1" ref="E9" ca="1">_xll.BDP($B9&amp;" CORP",$E$3)</f>
        <v>#NAME?</v>
      </c>
      <c r="F9" s="204" t="e" cm="1">
        <f t="array" aca="1" ref="F9" ca="1">_xll.BDP($B9&amp;" CORP",$F$3)</f>
        <v>#NAME?</v>
      </c>
      <c r="G9" s="193" t="e" cm="1">
        <f t="array" aca="1" ref="G9" ca="1">_xll.BDP(B9&amp;" CORP","SECURITY_NAME")</f>
        <v>#NAME?</v>
      </c>
      <c r="H9" s="193"/>
      <c r="I9" s="465" t="s">
        <v>4013</v>
      </c>
      <c r="J9" s="193" t="str">
        <f t="shared" si="1"/>
        <v>023135CT1</v>
      </c>
      <c r="K9" s="193"/>
      <c r="L9" s="467" t="s">
        <v>4007</v>
      </c>
      <c r="M9" s="193" t="e" cm="1">
        <f t="array" aca="1" ref="M9" ca="1">_xll.BDP($B9&amp;" CORP","AMT_OUTSTANDING")</f>
        <v>#NAME?</v>
      </c>
      <c r="N9" s="193" t="e" cm="1">
        <f t="array" aca="1" ref="N9" ca="1">_xll.BDP($B9&amp;" CORP","MTY_YEARS")</f>
        <v>#NAME?</v>
      </c>
      <c r="O9" s="193" t="s">
        <v>3333</v>
      </c>
      <c r="P9" s="193">
        <v>105</v>
      </c>
      <c r="Q9" s="193">
        <v>70</v>
      </c>
      <c r="R9" s="193">
        <v>-35</v>
      </c>
      <c r="S9" s="193">
        <v>20</v>
      </c>
      <c r="T9" s="193">
        <v>20500</v>
      </c>
      <c r="U9" s="193">
        <v>20500000000</v>
      </c>
      <c r="V9" s="193">
        <v>21100</v>
      </c>
      <c r="W9" s="465">
        <v>2.7</v>
      </c>
      <c r="X9" s="193">
        <v>0</v>
      </c>
      <c r="Y9" s="193">
        <v>-2.84</v>
      </c>
      <c r="Z9" s="193">
        <v>62.93989999999998</v>
      </c>
      <c r="AA9" s="193">
        <v>70</v>
      </c>
      <c r="AB9" s="193">
        <v>-7</v>
      </c>
      <c r="AC9" s="193" t="s">
        <v>1490</v>
      </c>
      <c r="AD9" s="193" t="s">
        <v>2227</v>
      </c>
      <c r="AE9" s="193" t="s">
        <v>3330</v>
      </c>
      <c r="AF9" s="465" t="s">
        <v>4019</v>
      </c>
      <c r="AG9" s="465" t="s">
        <v>4020</v>
      </c>
      <c r="AH9" s="465" t="s">
        <v>4011</v>
      </c>
      <c r="AI9" s="193"/>
      <c r="AJ9" s="193" t="s">
        <v>1431</v>
      </c>
      <c r="AK9" s="193" t="s">
        <v>1431</v>
      </c>
      <c r="AL9" s="193" t="s">
        <v>1431</v>
      </c>
    </row>
    <row r="10" spans="1:38">
      <c r="A10" t="e">
        <f t="shared" ca="1" si="0"/>
        <v>#NAME?</v>
      </c>
      <c r="B10" t="e">
        <f ca="1">_xll.BDP(I10&amp;" CORP",$B$4)</f>
        <v>#NAME?</v>
      </c>
      <c r="C10" t="e" cm="1">
        <f t="array" aca="1" ref="C10" ca="1">_xll.BDP($B10&amp;" CORP",$C$3)</f>
        <v>#NAME?</v>
      </c>
      <c r="D10" t="e" cm="1">
        <f t="array" aca="1" ref="D10" ca="1">_xll.BDP($B10&amp;" CORP",$D$3)</f>
        <v>#NAME?</v>
      </c>
      <c r="E10" t="e" cm="1">
        <f t="array" aca="1" ref="E10" ca="1">_xll.BDP($B10&amp;" CORP",$E$3)</f>
        <v>#NAME?</v>
      </c>
      <c r="F10" s="204" t="e" cm="1">
        <f t="array" aca="1" ref="F10" ca="1">_xll.BDP($B10&amp;" CORP",$F$3)</f>
        <v>#NAME?</v>
      </c>
      <c r="G10" s="193" t="e" cm="1">
        <f t="array" aca="1" ref="G10" ca="1">_xll.BDP(B10&amp;" CORP","SECURITY_NAME")</f>
        <v>#NAME?</v>
      </c>
      <c r="H10" s="193"/>
      <c r="I10" s="465" t="s">
        <v>4014</v>
      </c>
      <c r="J10" s="193" t="str">
        <f t="shared" si="1"/>
        <v>023135CU8</v>
      </c>
      <c r="K10" s="193"/>
      <c r="L10" s="467" t="s">
        <v>4007</v>
      </c>
      <c r="M10" s="193" t="e" cm="1">
        <f t="array" aca="1" ref="M10" ca="1">_xll.BDP($B10&amp;" CORP","AMT_OUTSTANDING")</f>
        <v>#NAME?</v>
      </c>
      <c r="N10" s="193" t="e" cm="1">
        <f t="array" aca="1" ref="N10" ca="1">_xll.BDP($B10&amp;" CORP","MTY_YEARS")</f>
        <v>#NAME?</v>
      </c>
      <c r="O10" s="193"/>
      <c r="P10" s="193"/>
      <c r="Q10" s="193"/>
      <c r="R10" s="193"/>
      <c r="S10" s="193"/>
      <c r="T10" s="193"/>
      <c r="U10" s="193"/>
      <c r="V10" s="193"/>
      <c r="W10" s="465">
        <v>2.7</v>
      </c>
      <c r="X10" s="193"/>
      <c r="Y10" s="193"/>
      <c r="Z10" s="193"/>
      <c r="AA10" s="193"/>
      <c r="AB10" s="193"/>
      <c r="AC10" s="193"/>
      <c r="AD10" s="193"/>
      <c r="AE10" s="193"/>
      <c r="AF10" s="465" t="s">
        <v>4019</v>
      </c>
      <c r="AG10" s="465" t="s">
        <v>4020</v>
      </c>
      <c r="AH10" s="465" t="s">
        <v>4011</v>
      </c>
      <c r="AI10" s="193"/>
      <c r="AJ10" s="193"/>
      <c r="AK10" s="193"/>
      <c r="AL10" s="193"/>
    </row>
    <row r="11" spans="1:38">
      <c r="A11" t="e">
        <f t="shared" ca="1" si="0"/>
        <v>#NAME?</v>
      </c>
      <c r="B11" t="e">
        <f ca="1">_xll.BDP(I11&amp;" CORP",$B$4)</f>
        <v>#NAME?</v>
      </c>
      <c r="C11" t="e" cm="1">
        <f t="array" aca="1" ref="C11" ca="1">_xll.BDP($B11&amp;" CORP",$C$3)</f>
        <v>#NAME?</v>
      </c>
      <c r="D11" t="e" cm="1">
        <f t="array" aca="1" ref="D11" ca="1">_xll.BDP($B11&amp;" CORP",$D$3)</f>
        <v>#NAME?</v>
      </c>
      <c r="E11" t="e" cm="1">
        <f t="array" aca="1" ref="E11" ca="1">_xll.BDP($B11&amp;" CORP",$E$3)</f>
        <v>#NAME?</v>
      </c>
      <c r="F11" s="204" t="e" cm="1">
        <f t="array" aca="1" ref="F11" ca="1">_xll.BDP($B11&amp;" CORP",$F$3)</f>
        <v>#NAME?</v>
      </c>
      <c r="G11" s="193" t="e" cm="1">
        <f t="array" aca="1" ref="G11" ca="1">_xll.BDP(B11&amp;" CORP","SECURITY_NAME")</f>
        <v>#NAME?</v>
      </c>
      <c r="H11" s="193"/>
      <c r="I11" s="465" t="s">
        <v>4015</v>
      </c>
      <c r="J11" s="193" t="str">
        <f t="shared" si="1"/>
        <v>023135CV6</v>
      </c>
      <c r="K11" s="193"/>
      <c r="L11" s="467" t="s">
        <v>4007</v>
      </c>
      <c r="M11" s="193" t="e" cm="1">
        <f t="array" aca="1" ref="M11" ca="1">_xll.BDP($B11&amp;" CORP","AMT_OUTSTANDING")</f>
        <v>#NAME?</v>
      </c>
      <c r="N11" s="193" t="e" cm="1">
        <f t="array" aca="1" ref="N11" ca="1">_xll.BDP($B11&amp;" CORP","MTY_YEARS")</f>
        <v>#NAME?</v>
      </c>
      <c r="O11" s="193"/>
      <c r="P11" s="193"/>
      <c r="Q11" s="193"/>
      <c r="R11" s="193"/>
      <c r="S11" s="193"/>
      <c r="T11" s="193"/>
      <c r="U11" s="193"/>
      <c r="V11" s="193"/>
      <c r="W11" s="465">
        <v>2.7</v>
      </c>
      <c r="X11" s="193"/>
      <c r="Y11" s="193"/>
      <c r="Z11" s="193"/>
      <c r="AA11" s="193"/>
      <c r="AB11" s="193"/>
      <c r="AC11" s="193"/>
      <c r="AD11" s="193"/>
      <c r="AE11" s="193"/>
      <c r="AF11" s="465" t="s">
        <v>4019</v>
      </c>
      <c r="AG11" s="465" t="s">
        <v>4020</v>
      </c>
      <c r="AH11" s="465" t="s">
        <v>4011</v>
      </c>
      <c r="AI11" s="193"/>
      <c r="AJ11" s="193"/>
      <c r="AK11" s="193"/>
      <c r="AL11" s="193"/>
    </row>
    <row r="12" spans="1:38">
      <c r="A12" t="e">
        <f t="shared" ca="1" si="0"/>
        <v>#NAME?</v>
      </c>
      <c r="B12" t="e">
        <f ca="1">_xll.BDP(I12&amp;" CORP",$B$4)</f>
        <v>#NAME?</v>
      </c>
      <c r="C12" t="e" cm="1">
        <f t="array" aca="1" ref="C12" ca="1">_xll.BDP($B12&amp;" CORP",$C$3)</f>
        <v>#NAME?</v>
      </c>
      <c r="D12" t="e" cm="1">
        <f t="array" aca="1" ref="D12" ca="1">_xll.BDP($B12&amp;" CORP",$D$3)</f>
        <v>#NAME?</v>
      </c>
      <c r="E12" t="e" cm="1">
        <f t="array" aca="1" ref="E12" ca="1">_xll.BDP($B12&amp;" CORP",$E$3)</f>
        <v>#NAME?</v>
      </c>
      <c r="F12" s="204" t="e" cm="1">
        <f t="array" aca="1" ref="F12" ca="1">_xll.BDP($B12&amp;" CORP",$F$3)</f>
        <v>#NAME?</v>
      </c>
      <c r="G12" s="193" t="e" cm="1">
        <f t="array" aca="1" ref="G12" ca="1">_xll.BDP(B12&amp;" CORP","SECURITY_NAME")</f>
        <v>#NAME?</v>
      </c>
      <c r="H12" s="193"/>
      <c r="I12" s="465" t="s">
        <v>4016</v>
      </c>
      <c r="J12" s="193" t="str">
        <f t="shared" si="1"/>
        <v>023135CW4</v>
      </c>
      <c r="K12" s="193"/>
      <c r="L12" s="467" t="s">
        <v>4007</v>
      </c>
      <c r="M12" s="193" t="e" cm="1">
        <f t="array" aca="1" ref="M12" ca="1">_xll.BDP($B12&amp;" CORP","AMT_OUTSTANDING")</f>
        <v>#NAME?</v>
      </c>
      <c r="N12" s="193" t="e" cm="1">
        <f t="array" aca="1" ref="N12" ca="1">_xll.BDP($B12&amp;" CORP","MTY_YEARS")</f>
        <v>#NAME?</v>
      </c>
      <c r="O12" s="193"/>
      <c r="P12" s="193"/>
      <c r="Q12" s="193"/>
      <c r="R12" s="193"/>
      <c r="S12" s="193"/>
      <c r="T12" s="193"/>
      <c r="U12" s="193"/>
      <c r="V12" s="193"/>
      <c r="W12" s="465">
        <v>2.7</v>
      </c>
      <c r="X12" s="193"/>
      <c r="Y12" s="193"/>
      <c r="Z12" s="193"/>
      <c r="AA12" s="193"/>
      <c r="AB12" s="193"/>
      <c r="AC12" s="193"/>
      <c r="AD12" s="193"/>
      <c r="AE12" s="193"/>
      <c r="AF12" s="465" t="s">
        <v>4019</v>
      </c>
      <c r="AG12" s="465" t="s">
        <v>4020</v>
      </c>
      <c r="AH12" s="465" t="s">
        <v>4011</v>
      </c>
      <c r="AI12" s="193"/>
      <c r="AJ12" s="193"/>
      <c r="AK12" s="193"/>
      <c r="AL12" s="193"/>
    </row>
    <row r="13" spans="1:38">
      <c r="A13" t="e">
        <f t="shared" ca="1" si="0"/>
        <v>#NAME?</v>
      </c>
      <c r="B13" t="e">
        <f ca="1">_xll.BDP(I13&amp;" CORP",$B$4)</f>
        <v>#NAME?</v>
      </c>
      <c r="C13" t="e" cm="1">
        <f t="array" aca="1" ref="C13" ca="1">_xll.BDP($B13&amp;" CORP",$C$3)</f>
        <v>#NAME?</v>
      </c>
      <c r="D13" t="e" cm="1">
        <f t="array" aca="1" ref="D13" ca="1">_xll.BDP($B13&amp;" CORP",$D$3)</f>
        <v>#NAME?</v>
      </c>
      <c r="E13" t="e" cm="1">
        <f t="array" aca="1" ref="E13" ca="1">_xll.BDP($B13&amp;" CORP",$E$3)</f>
        <v>#NAME?</v>
      </c>
      <c r="F13" s="204" t="e" cm="1">
        <f t="array" aca="1" ref="F13" ca="1">_xll.BDP($B13&amp;" CORP",$F$3)</f>
        <v>#NAME?</v>
      </c>
      <c r="G13" s="193" t="e" cm="1">
        <f t="array" aca="1" ref="G13" ca="1">_xll.BDP(B13&amp;" CORP","SECURITY_NAME")</f>
        <v>#NAME?</v>
      </c>
      <c r="H13" s="193"/>
      <c r="I13" s="465" t="s">
        <v>4017</v>
      </c>
      <c r="J13" s="193" t="str">
        <f t="shared" si="1"/>
        <v>023135CY0</v>
      </c>
      <c r="K13" s="193"/>
      <c r="L13" s="467" t="s">
        <v>4007</v>
      </c>
      <c r="M13" s="193" t="e" cm="1">
        <f t="array" aca="1" ref="M13" ca="1">_xll.BDP($B13&amp;" CORP","AMT_OUTSTANDING")</f>
        <v>#NAME?</v>
      </c>
      <c r="N13" s="193" t="e" cm="1">
        <f t="array" aca="1" ref="N13" ca="1">_xll.BDP($B13&amp;" CORP","MTY_YEARS")</f>
        <v>#NAME?</v>
      </c>
      <c r="O13" s="193"/>
      <c r="P13" s="193"/>
      <c r="Q13" s="193"/>
      <c r="R13" s="193"/>
      <c r="S13" s="193"/>
      <c r="T13" s="193"/>
      <c r="U13" s="193"/>
      <c r="V13" s="193"/>
      <c r="W13" s="465">
        <v>2.7</v>
      </c>
      <c r="X13" s="193"/>
      <c r="Y13" s="193"/>
      <c r="Z13" s="193"/>
      <c r="AA13" s="193"/>
      <c r="AB13" s="193"/>
      <c r="AC13" s="193"/>
      <c r="AD13" s="193"/>
      <c r="AE13" s="193"/>
      <c r="AF13" s="465" t="s">
        <v>4019</v>
      </c>
      <c r="AG13" s="465" t="s">
        <v>4020</v>
      </c>
      <c r="AH13" s="465" t="s">
        <v>4011</v>
      </c>
      <c r="AI13" s="193"/>
      <c r="AJ13" s="193"/>
      <c r="AK13" s="193"/>
      <c r="AL13" s="193"/>
    </row>
    <row r="14" spans="1:38">
      <c r="A14" t="e">
        <f t="shared" ca="1" si="0"/>
        <v>#NAME?</v>
      </c>
      <c r="B14" t="e">
        <f ca="1">_xll.BDP(I14&amp;" CORP",$B$4)</f>
        <v>#NAME?</v>
      </c>
      <c r="C14" t="e" cm="1">
        <f t="array" aca="1" ref="C14" ca="1">_xll.BDP($B14&amp;" CORP",$C$3)</f>
        <v>#NAME?</v>
      </c>
      <c r="D14" t="e" cm="1">
        <f t="array" aca="1" ref="D14" ca="1">_xll.BDP($B14&amp;" CORP",$D$3)</f>
        <v>#NAME?</v>
      </c>
      <c r="E14" t="e" cm="1">
        <f t="array" aca="1" ref="E14" ca="1">_xll.BDP($B14&amp;" CORP",$E$3)</f>
        <v>#NAME?</v>
      </c>
      <c r="F14" s="204" t="e" cm="1">
        <f t="array" aca="1" ref="F14" ca="1">_xll.BDP($B14&amp;" CORP",$F$3)</f>
        <v>#NAME?</v>
      </c>
      <c r="G14" s="193" t="e" cm="1">
        <f t="array" aca="1" ref="G14" ca="1">_xll.BDP(B14&amp;" CORP","SECURITY_NAME")</f>
        <v>#NAME?</v>
      </c>
      <c r="H14" s="193"/>
      <c r="I14" s="465" t="s">
        <v>2120</v>
      </c>
      <c r="J14" s="193" t="str">
        <f t="shared" si="1"/>
        <v>23338VAY2</v>
      </c>
      <c r="K14" s="193"/>
      <c r="L14" s="467" t="s">
        <v>4007</v>
      </c>
      <c r="M14" s="193" t="e" cm="1">
        <f t="array" aca="1" ref="M14" ca="1">_xll.BDP($B14&amp;" CORP","AMT_OUTSTANDING")</f>
        <v>#NAME?</v>
      </c>
      <c r="N14" s="193" t="e" cm="1">
        <f t="array" aca="1" ref="N14" ca="1">_xll.BDP($B14&amp;" CORP","MTY_YEARS")</f>
        <v>#NAME?</v>
      </c>
      <c r="O14" s="193"/>
      <c r="P14" s="193"/>
      <c r="Q14" s="193"/>
      <c r="R14" s="193"/>
      <c r="S14" s="193"/>
      <c r="T14" s="193"/>
      <c r="U14" s="193"/>
      <c r="V14" s="193"/>
      <c r="W14" s="465">
        <v>3.5</v>
      </c>
      <c r="X14" s="193"/>
      <c r="Y14" s="193"/>
      <c r="Z14" s="193"/>
      <c r="AA14" s="193"/>
      <c r="AB14" s="193"/>
      <c r="AC14" s="193"/>
      <c r="AD14" s="193"/>
      <c r="AE14" s="193"/>
      <c r="AF14" s="465" t="s">
        <v>3918</v>
      </c>
      <c r="AG14" s="465" t="s">
        <v>3917</v>
      </c>
      <c r="AH14" s="465" t="s">
        <v>3918</v>
      </c>
      <c r="AI14" s="193"/>
      <c r="AJ14" s="193"/>
      <c r="AK14" s="193"/>
      <c r="AL14" s="193"/>
    </row>
    <row r="15" spans="1:38">
      <c r="A15" t="e">
        <f t="shared" ref="A15:A22" ca="1" si="2">IF(LEN(C15)&lt;&gt;LENB(C15),"中文","英文")</f>
        <v>#NAME?</v>
      </c>
      <c r="B15" t="e">
        <f ca="1">_xll.BDP(I15&amp;" CORP",$B$4)</f>
        <v>#NAME?</v>
      </c>
      <c r="C15" t="e" cm="1">
        <f t="array" aca="1" ref="C15" ca="1">_xll.BDP($B15&amp;" CORP",$C$3)</f>
        <v>#NAME?</v>
      </c>
      <c r="D15" t="e" cm="1">
        <f t="array" aca="1" ref="D15" ca="1">_xll.BDP($B15&amp;" CORP",$D$3)</f>
        <v>#NAME?</v>
      </c>
      <c r="E15" t="e" cm="1">
        <f t="array" aca="1" ref="E15" ca="1">_xll.BDP($B15&amp;" CORP",$E$3)</f>
        <v>#NAME?</v>
      </c>
      <c r="F15" s="204" t="e" cm="1">
        <f t="array" aca="1" ref="F15" ca="1">_xll.BDP($B15&amp;" CORP",$F$3)</f>
        <v>#NAME?</v>
      </c>
      <c r="G15" s="193" t="e" cm="1">
        <f t="array" aca="1" ref="G15" ca="1">_xll.BDP(B15&amp;" CORP","SECURITY_NAME")</f>
        <v>#NAME?</v>
      </c>
      <c r="H15" s="193"/>
      <c r="I15" s="465" t="s">
        <v>2122</v>
      </c>
      <c r="J15" s="193" t="str">
        <f t="shared" si="1"/>
        <v>23338VAZ9</v>
      </c>
      <c r="K15" s="193"/>
      <c r="L15" s="467" t="s">
        <v>4007</v>
      </c>
      <c r="M15" s="193" t="e" cm="1">
        <f t="array" aca="1" ref="M15" ca="1">_xll.BDP($B15&amp;" CORP","AMT_OUTSTANDING")</f>
        <v>#NAME?</v>
      </c>
      <c r="N15" s="193" t="e" cm="1">
        <f t="array" aca="1" ref="N15" ca="1">_xll.BDP($B15&amp;" CORP","MTY_YEARS")</f>
        <v>#NAME?</v>
      </c>
      <c r="O15" s="193"/>
      <c r="P15" s="193"/>
      <c r="Q15" s="193"/>
      <c r="R15" s="193"/>
      <c r="S15" s="193"/>
      <c r="T15" s="193"/>
      <c r="U15" s="193"/>
      <c r="V15" s="193"/>
      <c r="W15" s="465">
        <v>4</v>
      </c>
      <c r="X15" s="193"/>
      <c r="Y15" s="193"/>
      <c r="Z15" s="193"/>
      <c r="AA15" s="193"/>
      <c r="AB15" s="193"/>
      <c r="AC15" s="193"/>
      <c r="AD15" s="193"/>
      <c r="AE15" s="193"/>
      <c r="AF15" s="465" t="s">
        <v>3918</v>
      </c>
      <c r="AG15" s="465" t="s">
        <v>3917</v>
      </c>
      <c r="AH15" s="465" t="s">
        <v>3918</v>
      </c>
      <c r="AI15" s="193"/>
      <c r="AJ15" s="193"/>
      <c r="AK15" s="193"/>
      <c r="AL15" s="193"/>
    </row>
    <row r="16" spans="1:38">
      <c r="A16" t="e">
        <f t="shared" ca="1" si="2"/>
        <v>#NAME?</v>
      </c>
      <c r="B16" t="e">
        <f ca="1">_xll.BDP(I16&amp;" CORP",$B$4)</f>
        <v>#NAME?</v>
      </c>
      <c r="C16" t="e" cm="1">
        <f t="array" aca="1" ref="C16" ca="1">_xll.BDP($B16&amp;" CORP",$C$3)</f>
        <v>#NAME?</v>
      </c>
      <c r="D16" t="e" cm="1">
        <f t="array" aca="1" ref="D16" ca="1">_xll.BDP($B16&amp;" CORP",$D$3)</f>
        <v>#NAME?</v>
      </c>
      <c r="E16" t="e" cm="1">
        <f t="array" aca="1" ref="E16" ca="1">_xll.BDP($B16&amp;" CORP",$E$3)</f>
        <v>#NAME?</v>
      </c>
      <c r="F16" s="204" t="e" cm="1">
        <f t="array" aca="1" ref="F16" ca="1">_xll.BDP($B16&amp;" CORP",$F$3)</f>
        <v>#NAME?</v>
      </c>
      <c r="G16" s="193" t="e" cm="1">
        <f t="array" aca="1" ref="G16" ca="1">_xll.BDP(B16&amp;" CORP","SECURITY_NAME")</f>
        <v>#NAME?</v>
      </c>
      <c r="H16" s="193"/>
      <c r="I16" s="465" t="s">
        <v>4018</v>
      </c>
      <c r="J16" s="193" t="str">
        <f t="shared" si="1"/>
        <v>448579AW2</v>
      </c>
      <c r="K16" s="193"/>
      <c r="L16" s="467" t="s">
        <v>4007</v>
      </c>
      <c r="M16" s="193" t="e" cm="1">
        <f t="array" aca="1" ref="M16" ca="1">_xll.BDP($B16&amp;" CORP","AMT_OUTSTANDING")</f>
        <v>#NAME?</v>
      </c>
      <c r="N16" s="193" t="e" cm="1">
        <f t="array" aca="1" ref="N16" ca="1">_xll.BDP($B16&amp;" CORP","MTY_YEARS")</f>
        <v>#NAME?</v>
      </c>
      <c r="O16" s="193"/>
      <c r="P16" s="193"/>
      <c r="Q16" s="193"/>
      <c r="R16" s="193"/>
      <c r="S16" s="193"/>
      <c r="T16" s="193"/>
      <c r="U16" s="193"/>
      <c r="V16" s="193"/>
      <c r="W16" s="465">
        <v>5.3</v>
      </c>
      <c r="X16" s="193"/>
      <c r="Y16" s="193"/>
      <c r="Z16" s="193"/>
      <c r="AA16" s="193"/>
      <c r="AB16" s="193"/>
      <c r="AC16" s="193"/>
      <c r="AD16" s="193"/>
      <c r="AE16" s="193"/>
      <c r="AF16" s="465" t="s">
        <v>3920</v>
      </c>
      <c r="AG16" s="465" t="s">
        <v>3921</v>
      </c>
      <c r="AH16" s="465" t="s">
        <v>3920</v>
      </c>
      <c r="AI16" s="193"/>
      <c r="AJ16" s="193"/>
      <c r="AK16" s="193"/>
      <c r="AL16" s="193"/>
    </row>
    <row r="17" spans="1:38">
      <c r="A17" t="e">
        <f t="shared" ca="1" si="2"/>
        <v>#NAME?</v>
      </c>
      <c r="B17" t="e">
        <f ca="1">_xll.BDP(I17&amp;" CORP",$B$4)</f>
        <v>#NAME?</v>
      </c>
      <c r="C17" t="e" cm="1">
        <f t="array" aca="1" ref="C17" ca="1">_xll.BDP($B17&amp;" CORP",$C$3)</f>
        <v>#NAME?</v>
      </c>
      <c r="D17" t="e" cm="1">
        <f t="array" aca="1" ref="D17" ca="1">_xll.BDP($B17&amp;" CORP",$D$3)</f>
        <v>#NAME?</v>
      </c>
      <c r="E17" t="e" cm="1">
        <f t="array" aca="1" ref="E17" ca="1">_xll.BDP($B17&amp;" CORP",$E$3)</f>
        <v>#NAME?</v>
      </c>
      <c r="F17" s="204" t="e" cm="1">
        <f t="array" aca="1" ref="F17" ca="1">_xll.BDP($B17&amp;" CORP",$F$3)</f>
        <v>#NAME?</v>
      </c>
      <c r="G17" s="193" t="e" cm="1">
        <f t="array" aca="1" ref="G17" ca="1">_xll.BDP(B17&amp;" CORP","SECURITY_NAME")</f>
        <v>#NAME?</v>
      </c>
      <c r="H17" s="193"/>
      <c r="I17" s="465" t="s">
        <v>4021</v>
      </c>
      <c r="J17" s="193" t="str">
        <f t="shared" si="1"/>
        <v>038336AB9</v>
      </c>
      <c r="K17" s="193"/>
      <c r="L17" s="467" t="s">
        <v>4007</v>
      </c>
      <c r="M17" s="193" t="e" cm="1">
        <f t="array" aca="1" ref="M17" ca="1">_xll.BDP($B17&amp;" CORP","AMT_OUTSTANDING")</f>
        <v>#NAME?</v>
      </c>
      <c r="N17" s="193" t="e" cm="1">
        <f t="array" aca="1" ref="N17" ca="1">_xll.BDP($B17&amp;" CORP","MTY_YEARS")</f>
        <v>#NAME?</v>
      </c>
      <c r="O17" s="193"/>
      <c r="P17" s="193"/>
      <c r="Q17" s="193"/>
      <c r="R17" s="193"/>
      <c r="S17" s="193"/>
      <c r="T17" s="193"/>
      <c r="U17" s="193"/>
      <c r="V17" s="193"/>
      <c r="W17" s="465">
        <v>4</v>
      </c>
      <c r="X17" s="193"/>
      <c r="Y17" s="193"/>
      <c r="Z17" s="193"/>
      <c r="AA17" s="193"/>
      <c r="AB17" s="193"/>
      <c r="AC17" s="193"/>
      <c r="AD17" s="193"/>
      <c r="AE17" s="193"/>
      <c r="AF17" s="465" t="s">
        <v>3918</v>
      </c>
      <c r="AG17" s="465" t="s">
        <v>3917</v>
      </c>
      <c r="AH17" s="465" t="s">
        <v>3918</v>
      </c>
      <c r="AI17" s="193"/>
      <c r="AJ17" s="193"/>
      <c r="AK17" s="193"/>
      <c r="AL17" s="193"/>
    </row>
    <row r="18" spans="1:38">
      <c r="A18" t="e">
        <f ca="1">IF(LEN(C18)&lt;&gt;LENB(C18),"中文","英文")</f>
        <v>#NAME?</v>
      </c>
      <c r="B18" t="e">
        <f ca="1">_xll.BDP(I18&amp;" CORP",$B$4)</f>
        <v>#NAME?</v>
      </c>
      <c r="C18" t="e" cm="1">
        <f t="array" aca="1" ref="C18" ca="1">_xll.BDP($B18&amp;" CORP",$C$3)</f>
        <v>#NAME?</v>
      </c>
      <c r="D18" t="e" cm="1">
        <f t="array" aca="1" ref="D18" ca="1">_xll.BDP($B18&amp;" CORP",$D$3)</f>
        <v>#NAME?</v>
      </c>
      <c r="E18" t="e" cm="1">
        <f t="array" aca="1" ref="E18" ca="1">_xll.BDP($B18&amp;" CORP",$E$3)</f>
        <v>#NAME?</v>
      </c>
      <c r="F18" s="204" t="e" cm="1">
        <f t="array" aca="1" ref="F18" ca="1">_xll.BDP($B18&amp;" CORP",$F$3)</f>
        <v>#NAME?</v>
      </c>
      <c r="G18" s="193" t="e" cm="1">
        <f t="array" aca="1" ref="G18" ca="1">_xll.BDP(B18&amp;" CORP","SECURITY_NAME")</f>
        <v>#NAME?</v>
      </c>
      <c r="H18" s="193"/>
      <c r="I18" s="465" t="s">
        <v>4023</v>
      </c>
      <c r="J18" s="193" t="str">
        <f t="shared" si="1"/>
        <v>83272YAC6</v>
      </c>
      <c r="K18" s="193"/>
      <c r="L18" s="467" t="s">
        <v>4007</v>
      </c>
      <c r="M18" s="193" t="e" cm="1">
        <f t="array" aca="1" ref="M18" ca="1">_xll.BDP($B18&amp;" CORP","AMT_OUTSTANDING")</f>
        <v>#NAME?</v>
      </c>
      <c r="N18" s="193" t="e" cm="1">
        <f t="array" aca="1" ref="N18" ca="1">_xll.BDP($B18&amp;" CORP","MTY_YEARS")</f>
        <v>#NAME?</v>
      </c>
      <c r="O18" s="193"/>
      <c r="P18" s="193"/>
      <c r="Q18" s="193"/>
      <c r="R18" s="193"/>
      <c r="S18" s="193"/>
      <c r="T18" s="193"/>
      <c r="U18" s="193"/>
      <c r="V18" s="193"/>
      <c r="W18" s="465">
        <v>2</v>
      </c>
      <c r="X18" s="193"/>
      <c r="Y18" s="193"/>
      <c r="Z18" s="193"/>
      <c r="AA18" s="193"/>
      <c r="AB18" s="193"/>
      <c r="AC18" s="193"/>
      <c r="AD18" s="193"/>
      <c r="AE18" s="193"/>
      <c r="AF18" s="465" t="s">
        <v>3918</v>
      </c>
      <c r="AG18" s="465" t="s">
        <v>3917</v>
      </c>
      <c r="AH18" s="465" t="s">
        <v>4022</v>
      </c>
      <c r="AI18" s="193"/>
      <c r="AJ18" s="193"/>
      <c r="AK18" s="193"/>
      <c r="AL18" s="193"/>
    </row>
    <row r="19" spans="1:38">
      <c r="A19" t="e">
        <f ca="1">IF(LEN(C19)&lt;&gt;LENB(C19),"中文","英文")</f>
        <v>#NAME?</v>
      </c>
      <c r="B19" t="e">
        <f ca="1">_xll.BDP(I19&amp;" CORP",$B$4)</f>
        <v>#NAME?</v>
      </c>
      <c r="C19" t="e" cm="1">
        <f t="array" aca="1" ref="C19" ca="1">_xll.BDP($B19&amp;" CORP",$C$3)</f>
        <v>#NAME?</v>
      </c>
      <c r="D19" t="e" cm="1">
        <f t="array" aca="1" ref="D19" ca="1">_xll.BDP($B19&amp;" CORP",$D$3)</f>
        <v>#NAME?</v>
      </c>
      <c r="E19" t="e" cm="1">
        <f t="array" aca="1" ref="E19" ca="1">_xll.BDP($B19&amp;" CORP",$E$3)</f>
        <v>#NAME?</v>
      </c>
      <c r="F19" s="204" t="e" cm="1">
        <f t="array" aca="1" ref="F19" ca="1">_xll.BDP($B19&amp;" CORP",$F$3)</f>
        <v>#NAME?</v>
      </c>
      <c r="G19" s="193" t="e" cm="1">
        <f t="array" aca="1" ref="G19" ca="1">_xll.BDP(B19&amp;" CORP","SECURITY_NAME")</f>
        <v>#NAME?</v>
      </c>
      <c r="H19" s="193"/>
      <c r="I19" s="465" t="s">
        <v>4024</v>
      </c>
      <c r="J19" s="193" t="str">
        <f t="shared" si="1"/>
        <v>29250NCM5</v>
      </c>
      <c r="K19" s="193"/>
      <c r="L19" s="467" t="s">
        <v>4007</v>
      </c>
      <c r="M19" s="193" t="e" cm="1">
        <f t="array" aca="1" ref="M19" ca="1">_xll.BDP($B19&amp;" CORP","AMT_OUTSTANDING")</f>
        <v>#NAME?</v>
      </c>
      <c r="N19" s="193" t="e" cm="1">
        <f t="array" aca="1" ref="N19" ca="1">_xll.BDP($B19&amp;" CORP","MTY_YEARS")</f>
        <v>#NAME?</v>
      </c>
      <c r="O19" s="193"/>
      <c r="P19" s="193"/>
      <c r="Q19" s="193"/>
      <c r="R19" s="193"/>
      <c r="S19" s="193"/>
      <c r="T19" s="193"/>
      <c r="U19" s="193"/>
      <c r="V19" s="193"/>
      <c r="W19" s="465">
        <v>3.5</v>
      </c>
      <c r="X19" s="193"/>
      <c r="Y19" s="193"/>
      <c r="Z19" s="193"/>
      <c r="AA19" s="193"/>
      <c r="AB19" s="193"/>
      <c r="AC19" s="193"/>
      <c r="AD19" s="193"/>
      <c r="AE19" s="193"/>
      <c r="AF19" s="465" t="s">
        <v>4022</v>
      </c>
      <c r="AG19" s="465" t="s">
        <v>3917</v>
      </c>
      <c r="AH19" s="465" t="s">
        <v>4022</v>
      </c>
      <c r="AI19" s="193"/>
      <c r="AJ19" s="193"/>
      <c r="AK19" s="193"/>
      <c r="AL19" s="193"/>
    </row>
    <row r="20" spans="1:38">
      <c r="A20" t="e">
        <f ca="1">IF(LEN(C20)&lt;&gt;LENB(C20),"中文","英文")</f>
        <v>#NAME?</v>
      </c>
      <c r="B20" t="e">
        <f ca="1">_xll.BDP(I20&amp;" CORP",$B$4)</f>
        <v>#NAME?</v>
      </c>
      <c r="C20" t="e" cm="1">
        <f t="array" aca="1" ref="C20" ca="1">_xll.BDP($B20&amp;" CORP",$C$3)</f>
        <v>#NAME?</v>
      </c>
      <c r="D20" t="e" cm="1">
        <f t="array" aca="1" ref="D20" ca="1">_xll.BDP($B20&amp;" CORP",$D$3)</f>
        <v>#NAME?</v>
      </c>
      <c r="E20" t="e" cm="1">
        <f t="array" aca="1" ref="E20" ca="1">_xll.BDP($B20&amp;" CORP",$E$3)</f>
        <v>#NAME?</v>
      </c>
      <c r="F20" s="204" t="e" cm="1">
        <f t="array" aca="1" ref="F20" ca="1">_xll.BDP($B20&amp;" CORP",$F$3)</f>
        <v>#NAME?</v>
      </c>
      <c r="G20" s="193" t="e" cm="1">
        <f t="array" aca="1" ref="G20" ca="1">_xll.BDP(B20&amp;" CORP","SECURITY_NAME")</f>
        <v>#NAME?</v>
      </c>
      <c r="H20" s="193"/>
      <c r="I20" s="465" t="s">
        <v>4025</v>
      </c>
      <c r="J20" s="193" t="str">
        <f t="shared" si="1"/>
        <v>29250NCN3</v>
      </c>
      <c r="K20" s="193"/>
      <c r="L20" s="467" t="s">
        <v>4007</v>
      </c>
      <c r="M20" s="193" t="e" cm="1">
        <f t="array" aca="1" ref="M20" ca="1">_xll.BDP($B20&amp;" CORP","AMT_OUTSTANDING")</f>
        <v>#NAME?</v>
      </c>
      <c r="N20" s="193" t="e" cm="1">
        <f t="array" aca="1" ref="N20" ca="1">_xll.BDP($B20&amp;" CORP","MTY_YEARS")</f>
        <v>#NAME?</v>
      </c>
      <c r="O20" s="193"/>
      <c r="P20" s="193"/>
      <c r="Q20" s="193"/>
      <c r="R20" s="193"/>
      <c r="S20" s="193"/>
      <c r="T20" s="193"/>
      <c r="U20" s="193"/>
      <c r="V20" s="193"/>
      <c r="W20" s="465">
        <v>3.2</v>
      </c>
      <c r="X20" s="193"/>
      <c r="Y20" s="193"/>
      <c r="Z20" s="193"/>
      <c r="AA20" s="193"/>
      <c r="AB20" s="193"/>
      <c r="AC20" s="193"/>
      <c r="AD20" s="193"/>
      <c r="AE20" s="193"/>
      <c r="AF20" s="465" t="s">
        <v>4022</v>
      </c>
      <c r="AG20" s="465" t="s">
        <v>3917</v>
      </c>
      <c r="AH20" s="465" t="s">
        <v>4022</v>
      </c>
      <c r="AI20" s="193"/>
      <c r="AJ20" s="193"/>
      <c r="AK20" s="193"/>
      <c r="AL20" s="193"/>
    </row>
    <row r="21" spans="1:38">
      <c r="A21" t="e">
        <f ca="1">IF(LEN(C21)&lt;&gt;LENB(C21),"中文","英文")</f>
        <v>#NAME?</v>
      </c>
      <c r="B21" t="e">
        <f ca="1">_xll.BDP(I21&amp;" CORP",$B$4)</f>
        <v>#NAME?</v>
      </c>
      <c r="C21" t="e" cm="1">
        <f t="array" aca="1" ref="C21" ca="1">_xll.BDP($B21&amp;" CORP",$C$3)</f>
        <v>#NAME?</v>
      </c>
      <c r="D21" t="e" cm="1">
        <f t="array" aca="1" ref="D21" ca="1">_xll.BDP($B21&amp;" CORP",$D$3)</f>
        <v>#NAME?</v>
      </c>
      <c r="E21" t="e" cm="1">
        <f t="array" aca="1" ref="E21" ca="1">_xll.BDP($B21&amp;" CORP",$E$3)</f>
        <v>#NAME?</v>
      </c>
      <c r="F21" s="204" t="e" cm="1">
        <f t="array" aca="1" ref="F21" ca="1">_xll.BDP($B21&amp;" CORP",$F$3)</f>
        <v>#NAME?</v>
      </c>
      <c r="G21" s="193" t="e" cm="1">
        <f t="array" aca="1" ref="G21" ca="1">_xll.BDP(B21&amp;" CORP","SECURITY_NAME")</f>
        <v>#NAME?</v>
      </c>
      <c r="H21" s="193"/>
      <c r="I21" s="465" t="s">
        <v>4026</v>
      </c>
      <c r="J21" s="193" t="str">
        <f t="shared" si="1"/>
        <v>29250NCP8</v>
      </c>
      <c r="K21" s="193"/>
      <c r="L21" s="467" t="s">
        <v>4007</v>
      </c>
      <c r="M21" s="193" t="e" cm="1">
        <f t="array" aca="1" ref="M21" ca="1">_xll.BDP($B21&amp;" CORP","AMT_OUTSTANDING")</f>
        <v>#NAME?</v>
      </c>
      <c r="N21" s="193" t="e" cm="1">
        <f t="array" aca="1" ref="N21" ca="1">_xll.BDP($B21&amp;" CORP","MTY_YEARS")</f>
        <v>#NAME?</v>
      </c>
      <c r="O21" s="193"/>
      <c r="P21" s="193"/>
      <c r="Q21" s="193"/>
      <c r="R21" s="193"/>
      <c r="S21" s="193"/>
      <c r="T21" s="193"/>
      <c r="U21" s="193"/>
      <c r="V21" s="193"/>
      <c r="W21" s="465">
        <v>4.4000000000000004</v>
      </c>
      <c r="X21" s="193"/>
      <c r="Y21" s="193"/>
      <c r="Z21" s="193"/>
      <c r="AA21" s="193"/>
      <c r="AB21" s="193"/>
      <c r="AC21" s="193"/>
      <c r="AD21" s="193"/>
      <c r="AE21" s="193"/>
      <c r="AF21" s="465" t="s">
        <v>4022</v>
      </c>
      <c r="AG21" s="465" t="s">
        <v>3917</v>
      </c>
      <c r="AH21" s="465" t="s">
        <v>4022</v>
      </c>
      <c r="AI21" s="193"/>
      <c r="AJ21" s="193"/>
      <c r="AK21" s="193"/>
      <c r="AL21" s="193"/>
    </row>
    <row r="22" spans="1:38">
      <c r="A22" t="e">
        <f t="shared" ca="1" si="2"/>
        <v>#NAME?</v>
      </c>
      <c r="B22" t="e">
        <f ca="1">_xll.BDP(I22&amp;" CORP",$B$4)</f>
        <v>#NAME?</v>
      </c>
      <c r="C22" t="e" cm="1">
        <f t="array" aca="1" ref="C22" ca="1">_xll.BDP($B22&amp;" CORP",$C$3)</f>
        <v>#NAME?</v>
      </c>
      <c r="D22" t="e" cm="1">
        <f t="array" aca="1" ref="D22" ca="1">_xll.BDP($B22&amp;" CORP",$D$3)</f>
        <v>#NAME?</v>
      </c>
      <c r="E22" t="e" cm="1">
        <f t="array" aca="1" ref="E22" ca="1">_xll.BDP($B22&amp;" CORP",$E$3)</f>
        <v>#NAME?</v>
      </c>
      <c r="F22" s="204" t="e" cm="1">
        <f t="array" aca="1" ref="F22" ca="1">_xll.BDP($B22&amp;" CORP",$F$3)</f>
        <v>#NAME?</v>
      </c>
      <c r="G22" s="193" t="e" cm="1">
        <f t="array" aca="1" ref="G22" ca="1">_xll.BDP(B22&amp;" CORP","SECURITY_NAME")</f>
        <v>#NAME?</v>
      </c>
      <c r="H22" s="193"/>
      <c r="I22" s="465" t="s">
        <v>4027</v>
      </c>
      <c r="J22" s="193" t="str">
        <f t="shared" si="1"/>
        <v>30037EAC7</v>
      </c>
      <c r="K22" s="193"/>
      <c r="L22" s="467" t="s">
        <v>4007</v>
      </c>
      <c r="M22" s="193" t="e" cm="1">
        <f t="array" aca="1" ref="M22" ca="1">_xll.BDP($B22&amp;" CORP","AMT_OUTSTANDING")</f>
        <v>#NAME?</v>
      </c>
      <c r="N22" s="193" t="e" cm="1">
        <f t="array" aca="1" ref="N22" ca="1">_xll.BDP($B22&amp;" CORP","MTY_YEARS")</f>
        <v>#NAME?</v>
      </c>
      <c r="O22" s="193"/>
      <c r="P22" s="193"/>
      <c r="Q22" s="193"/>
      <c r="R22" s="193"/>
      <c r="S22" s="193"/>
      <c r="T22" s="193"/>
      <c r="U22" s="193"/>
      <c r="V22" s="193"/>
      <c r="W22" s="465">
        <v>6.5</v>
      </c>
      <c r="X22" s="193"/>
      <c r="Y22" s="193"/>
      <c r="Z22" s="193"/>
      <c r="AA22" s="193"/>
      <c r="AB22" s="193"/>
      <c r="AC22" s="193"/>
      <c r="AD22" s="193"/>
      <c r="AE22" s="193"/>
      <c r="AF22" s="465" t="s">
        <v>3915</v>
      </c>
      <c r="AG22" s="465" t="s">
        <v>4028</v>
      </c>
      <c r="AH22" s="465" t="s">
        <v>84</v>
      </c>
      <c r="AI22" s="193"/>
      <c r="AJ22" s="193"/>
      <c r="AK22" s="193"/>
      <c r="AL22" s="193"/>
    </row>
    <row r="23" spans="1:38">
      <c r="A23" t="e">
        <f t="shared" ref="A23:A32" ca="1" si="3">IF(LEN(C23)&lt;&gt;LENB(C23),"中文","英文")</f>
        <v>#NAME?</v>
      </c>
      <c r="B23" t="e">
        <f ca="1">_xll.BDP(I23&amp;" CORP",$B$4)</f>
        <v>#NAME?</v>
      </c>
      <c r="C23" t="e" cm="1">
        <f t="array" aca="1" ref="C23" ca="1">_xll.BDP($B23&amp;" CORP",$C$3)</f>
        <v>#NAME?</v>
      </c>
      <c r="D23" t="e" cm="1">
        <f t="array" aca="1" ref="D23" ca="1">_xll.BDP($B23&amp;" CORP",$D$3)</f>
        <v>#NAME?</v>
      </c>
      <c r="E23" t="e" cm="1">
        <f t="array" aca="1" ref="E23" ca="1">_xll.BDP($B23&amp;" CORP",$E$3)</f>
        <v>#NAME?</v>
      </c>
      <c r="F23" s="204" t="e" cm="1">
        <f t="array" aca="1" ref="F23" ca="1">_xll.BDP($B23&amp;" CORP",$F$3)</f>
        <v>#NAME?</v>
      </c>
      <c r="G23" s="193" t="e" cm="1">
        <f t="array" aca="1" ref="G23" ca="1">_xll.BDP(B23&amp;" CORP","SECURITY_NAME")</f>
        <v>#NAME?</v>
      </c>
      <c r="H23" s="193"/>
      <c r="I23" s="465" t="s">
        <v>4029</v>
      </c>
      <c r="J23" s="193" t="str">
        <f t="shared" si="1"/>
        <v>92921LAA4</v>
      </c>
      <c r="K23" s="193"/>
      <c r="L23" s="467" t="s">
        <v>4007</v>
      </c>
      <c r="M23" s="193" t="e" cm="1">
        <f t="array" aca="1" ref="M23" ca="1">_xll.BDP($B23&amp;" CORP","AMT_OUTSTANDING")</f>
        <v>#NAME?</v>
      </c>
      <c r="N23" s="193" t="e" cm="1">
        <f t="array" aca="1" ref="N23" ca="1">_xll.BDP($B23&amp;" CORP","MTY_YEARS")</f>
        <v>#NAME?</v>
      </c>
      <c r="O23" s="193"/>
      <c r="P23" s="193"/>
      <c r="Q23" s="193"/>
      <c r="R23" s="193"/>
      <c r="S23" s="193"/>
      <c r="T23" s="193"/>
      <c r="U23" s="193"/>
      <c r="V23" s="193"/>
      <c r="W23" s="465">
        <v>5</v>
      </c>
      <c r="X23" s="193"/>
      <c r="Y23" s="193"/>
      <c r="Z23" s="193"/>
      <c r="AA23" s="193"/>
      <c r="AB23" s="193"/>
      <c r="AC23" s="193"/>
      <c r="AD23" s="193"/>
      <c r="AE23" s="193"/>
      <c r="AF23" s="465" t="s">
        <v>4009</v>
      </c>
      <c r="AG23" s="465" t="s">
        <v>3916</v>
      </c>
      <c r="AH23" s="465" t="s">
        <v>84</v>
      </c>
      <c r="AI23" s="193"/>
      <c r="AJ23" s="193"/>
      <c r="AK23" s="193"/>
      <c r="AL23" s="193"/>
    </row>
    <row r="24" spans="1:38">
      <c r="A24" t="e">
        <f t="shared" ca="1" si="3"/>
        <v>#NAME?</v>
      </c>
      <c r="B24" t="e">
        <f ca="1">_xll.BDP(I24&amp;" CORP",$B$4)</f>
        <v>#NAME?</v>
      </c>
      <c r="C24" t="e" cm="1">
        <f t="array" aca="1" ref="C24" ca="1">_xll.BDP($B24&amp;" CORP",$C$3)</f>
        <v>#NAME?</v>
      </c>
      <c r="D24" t="e" cm="1">
        <f t="array" aca="1" ref="D24" ca="1">_xll.BDP($B24&amp;" CORP",$D$3)</f>
        <v>#NAME?</v>
      </c>
      <c r="E24" t="e" cm="1">
        <f t="array" aca="1" ref="E24" ca="1">_xll.BDP($B24&amp;" CORP",$E$3)</f>
        <v>#NAME?</v>
      </c>
      <c r="F24" s="204" t="e" cm="1">
        <f t="array" aca="1" ref="F24" ca="1">_xll.BDP($B24&amp;" CORP",$F$3)</f>
        <v>#NAME?</v>
      </c>
      <c r="G24" s="193" t="e" cm="1">
        <f t="array" aca="1" ref="G24" ca="1">_xll.BDP(B24&amp;" CORP","SECURITY_NAME")</f>
        <v>#NAME?</v>
      </c>
      <c r="H24" s="193"/>
      <c r="I24" s="465" t="s">
        <v>4030</v>
      </c>
      <c r="J24" s="193" t="str">
        <f t="shared" si="1"/>
        <v>209111GP2</v>
      </c>
      <c r="K24" s="193"/>
      <c r="L24" s="467" t="s">
        <v>4007</v>
      </c>
      <c r="M24" s="193" t="e" cm="1">
        <f t="array" aca="1" ref="M24" ca="1">_xll.BDP($B24&amp;" CORP","AMT_OUTSTANDING")</f>
        <v>#NAME?</v>
      </c>
      <c r="N24" s="193" t="e" cm="1">
        <f t="array" aca="1" ref="N24" ca="1">_xll.BDP($B24&amp;" CORP","MTY_YEARS")</f>
        <v>#NAME?</v>
      </c>
      <c r="O24" s="193"/>
      <c r="P24" s="193"/>
      <c r="Q24" s="193"/>
      <c r="R24" s="193"/>
      <c r="S24" s="193"/>
      <c r="T24" s="193"/>
      <c r="U24" s="193"/>
      <c r="V24" s="193"/>
      <c r="W24" s="465">
        <v>4.8</v>
      </c>
      <c r="X24" s="193"/>
      <c r="Y24" s="193"/>
      <c r="Z24" s="193"/>
      <c r="AA24" s="193"/>
      <c r="AB24" s="193"/>
      <c r="AC24" s="193"/>
      <c r="AD24" s="193"/>
      <c r="AE24" s="193"/>
      <c r="AF24" s="465" t="s">
        <v>1188</v>
      </c>
      <c r="AG24" s="465" t="s">
        <v>1188</v>
      </c>
      <c r="AH24" s="465" t="s">
        <v>3919</v>
      </c>
      <c r="AI24" s="193"/>
      <c r="AJ24" s="193"/>
      <c r="AK24" s="193"/>
      <c r="AL24" s="193"/>
    </row>
    <row r="25" spans="1:38">
      <c r="A25" t="e">
        <f t="shared" ca="1" si="3"/>
        <v>#NAME?</v>
      </c>
      <c r="B25" t="e">
        <f ca="1">_xll.BDP(I25&amp;" CORP",$B$4)</f>
        <v>#NAME?</v>
      </c>
      <c r="C25" t="e" cm="1">
        <f t="array" aca="1" ref="C25" ca="1">_xll.BDP($B25&amp;" CORP",$C$3)</f>
        <v>#NAME?</v>
      </c>
      <c r="D25" t="e" cm="1">
        <f t="array" aca="1" ref="D25" ca="1">_xll.BDP($B25&amp;" CORP",$D$3)</f>
        <v>#NAME?</v>
      </c>
      <c r="E25" t="e" cm="1">
        <f t="array" aca="1" ref="E25" ca="1">_xll.BDP($B25&amp;" CORP",$E$3)</f>
        <v>#NAME?</v>
      </c>
      <c r="F25" s="204" t="e" cm="1">
        <f t="array" aca="1" ref="F25" ca="1">_xll.BDP($B25&amp;" CORP",$F$3)</f>
        <v>#NAME?</v>
      </c>
      <c r="G25" s="193" t="s">
        <v>3955</v>
      </c>
      <c r="H25" s="193" t="s">
        <v>2347</v>
      </c>
      <c r="I25" s="193" t="s">
        <v>3956</v>
      </c>
      <c r="J25" s="193" t="s">
        <v>3956</v>
      </c>
      <c r="K25" s="193" t="s">
        <v>2349</v>
      </c>
      <c r="L25" s="193" t="s">
        <v>3957</v>
      </c>
      <c r="M25" s="193">
        <v>600000000</v>
      </c>
      <c r="N25" s="193">
        <v>4.991101984941821</v>
      </c>
      <c r="O25" s="193" t="s">
        <v>1425</v>
      </c>
      <c r="P25" s="193">
        <v>120</v>
      </c>
      <c r="Q25" s="193">
        <v>95</v>
      </c>
      <c r="R25" s="193">
        <v>-25</v>
      </c>
      <c r="S25" s="193">
        <v>0</v>
      </c>
      <c r="T25" s="193">
        <v>1000</v>
      </c>
      <c r="U25" s="193">
        <v>1000000000</v>
      </c>
      <c r="V25" s="193">
        <v>1300</v>
      </c>
      <c r="W25" s="193">
        <v>1.7</v>
      </c>
      <c r="X25" s="193">
        <v>0</v>
      </c>
      <c r="Y25" s="193">
        <v>-23.08</v>
      </c>
      <c r="Z25" s="193">
        <v>96.361599999999953</v>
      </c>
      <c r="AA25" s="193">
        <v>95</v>
      </c>
      <c r="AB25" s="193">
        <v>1</v>
      </c>
      <c r="AC25" s="193" t="s">
        <v>1428</v>
      </c>
      <c r="AD25" s="193" t="s">
        <v>1864</v>
      </c>
      <c r="AE25" s="193" t="s">
        <v>1865</v>
      </c>
      <c r="AF25" s="193" t="s">
        <v>938</v>
      </c>
      <c r="AG25" s="193" t="s">
        <v>1432</v>
      </c>
      <c r="AH25" s="193" t="s">
        <v>1432</v>
      </c>
      <c r="AI25" s="193" t="s">
        <v>1004</v>
      </c>
      <c r="AJ25" s="193" t="s">
        <v>1431</v>
      </c>
      <c r="AK25" s="193" t="s">
        <v>1431</v>
      </c>
      <c r="AL25" s="193" t="s">
        <v>1431</v>
      </c>
    </row>
    <row r="26" spans="1:38">
      <c r="A26" t="e">
        <f t="shared" ca="1" si="3"/>
        <v>#NAME?</v>
      </c>
      <c r="B26" t="e">
        <f ca="1">_xll.BDP(I26&amp;" CORP",$B$4)</f>
        <v>#NAME?</v>
      </c>
      <c r="C26" t="e" cm="1">
        <f t="array" aca="1" ref="C26" ca="1">_xll.BDP($B26&amp;" CORP",$C$3)</f>
        <v>#NAME?</v>
      </c>
      <c r="D26" t="e" cm="1">
        <f t="array" aca="1" ref="D26" ca="1">_xll.BDP($B26&amp;" CORP",$D$3)</f>
        <v>#NAME?</v>
      </c>
      <c r="E26" t="e" cm="1">
        <f t="array" aca="1" ref="E26" ca="1">_xll.BDP($B26&amp;" CORP",$E$3)</f>
        <v>#NAME?</v>
      </c>
      <c r="F26" s="204" t="e" cm="1">
        <f t="array" aca="1" ref="F26" ca="1">_xll.BDP($B26&amp;" CORP",$F$3)</f>
        <v>#NAME?</v>
      </c>
      <c r="G26" s="193" t="s">
        <v>3958</v>
      </c>
      <c r="H26" s="193" t="s">
        <v>2347</v>
      </c>
      <c r="I26" s="193" t="s">
        <v>3959</v>
      </c>
      <c r="J26" s="193" t="s">
        <v>3959</v>
      </c>
      <c r="K26" s="193" t="s">
        <v>2349</v>
      </c>
      <c r="L26" s="193" t="s">
        <v>3957</v>
      </c>
      <c r="M26" s="193">
        <v>400000000</v>
      </c>
      <c r="N26" s="193">
        <v>10.157426420260096</v>
      </c>
      <c r="O26" s="193" t="s">
        <v>3960</v>
      </c>
      <c r="P26" s="193">
        <v>140</v>
      </c>
      <c r="Q26" s="193">
        <v>120</v>
      </c>
      <c r="R26" s="193">
        <v>-20</v>
      </c>
      <c r="S26" s="193">
        <v>5</v>
      </c>
      <c r="T26" s="193">
        <v>625</v>
      </c>
      <c r="U26" s="193">
        <v>625000000</v>
      </c>
      <c r="V26" s="193">
        <v>1300</v>
      </c>
      <c r="W26" s="193">
        <v>1.6</v>
      </c>
      <c r="X26" s="193">
        <v>-1</v>
      </c>
      <c r="Y26" s="193">
        <v>-51.92</v>
      </c>
      <c r="Z26" s="193">
        <v>124.75079999999998</v>
      </c>
      <c r="AA26" s="193">
        <v>120</v>
      </c>
      <c r="AB26" s="193">
        <v>5</v>
      </c>
      <c r="AC26" s="193" t="s">
        <v>1428</v>
      </c>
      <c r="AD26" s="193" t="s">
        <v>1864</v>
      </c>
      <c r="AE26" s="193" t="s">
        <v>1865</v>
      </c>
      <c r="AF26" s="193" t="s">
        <v>938</v>
      </c>
      <c r="AG26" s="193" t="s">
        <v>1432</v>
      </c>
      <c r="AH26" s="193" t="s">
        <v>1432</v>
      </c>
      <c r="AI26" s="193" t="s">
        <v>1004</v>
      </c>
      <c r="AJ26" s="193" t="s">
        <v>1431</v>
      </c>
      <c r="AK26" s="193" t="s">
        <v>1431</v>
      </c>
      <c r="AL26" s="193" t="s">
        <v>1431</v>
      </c>
    </row>
    <row r="27" spans="1:38">
      <c r="A27" t="e">
        <f t="shared" ca="1" si="3"/>
        <v>#NAME?</v>
      </c>
      <c r="B27" t="e">
        <f ca="1">_xll.BDP(I27&amp;" CORP",$B$4)</f>
        <v>#NAME?</v>
      </c>
      <c r="C27" t="e" cm="1">
        <f t="array" aca="1" ref="C27" ca="1">_xll.BDP($B27&amp;" CORP",$C$3)</f>
        <v>#NAME?</v>
      </c>
      <c r="D27" t="e" cm="1">
        <f t="array" aca="1" ref="D27" ca="1">_xll.BDP($B27&amp;" CORP",$D$3)</f>
        <v>#NAME?</v>
      </c>
      <c r="E27" t="e" cm="1">
        <f t="array" aca="1" ref="E27" ca="1">_xll.BDP($B27&amp;" CORP",$E$3)</f>
        <v>#NAME?</v>
      </c>
      <c r="F27" s="204" t="e" cm="1">
        <f t="array" aca="1" ref="F27" ca="1">_xll.BDP($B27&amp;" CORP",$F$3)</f>
        <v>#NAME?</v>
      </c>
      <c r="G27" s="193" t="s">
        <v>3961</v>
      </c>
      <c r="H27" s="193" t="s">
        <v>3962</v>
      </c>
      <c r="I27" s="193" t="s">
        <v>3963</v>
      </c>
      <c r="J27" s="193" t="s">
        <v>3963</v>
      </c>
      <c r="K27" s="193" t="s">
        <v>3964</v>
      </c>
      <c r="L27" s="193" t="s">
        <v>3957</v>
      </c>
      <c r="M27" s="193">
        <v>550000000</v>
      </c>
      <c r="N27" s="193">
        <v>10.225872689938399</v>
      </c>
      <c r="O27" s="193" t="s">
        <v>3401</v>
      </c>
      <c r="P27" s="193">
        <v>155</v>
      </c>
      <c r="Q27" s="193">
        <v>130</v>
      </c>
      <c r="R27" s="193">
        <v>-25</v>
      </c>
      <c r="S27" s="193">
        <v>2</v>
      </c>
      <c r="T27" s="193">
        <v>1400</v>
      </c>
      <c r="U27" s="193">
        <v>1400000000</v>
      </c>
      <c r="V27" s="193">
        <v>1600</v>
      </c>
      <c r="W27" s="193">
        <v>2.5</v>
      </c>
      <c r="X27" s="193">
        <v>0</v>
      </c>
      <c r="Y27" s="193">
        <v>-12.5</v>
      </c>
      <c r="Z27" s="193">
        <v>129.57469999999995</v>
      </c>
      <c r="AA27" s="193">
        <v>130</v>
      </c>
      <c r="AB27" s="193">
        <v>0</v>
      </c>
      <c r="AC27" s="193" t="s">
        <v>1488</v>
      </c>
      <c r="AD27" s="193" t="s">
        <v>1863</v>
      </c>
      <c r="AE27" s="193" t="s">
        <v>1863</v>
      </c>
      <c r="AF27" s="193" t="s">
        <v>932</v>
      </c>
      <c r="AG27" s="193" t="s">
        <v>875</v>
      </c>
      <c r="AH27" s="193" t="s">
        <v>932</v>
      </c>
      <c r="AI27" s="193" t="s">
        <v>932</v>
      </c>
      <c r="AJ27" s="193" t="s">
        <v>1431</v>
      </c>
      <c r="AK27" s="193" t="s">
        <v>1431</v>
      </c>
      <c r="AL27" s="193" t="s">
        <v>1431</v>
      </c>
    </row>
    <row r="28" spans="1:38">
      <c r="A28" t="e">
        <f t="shared" ca="1" si="3"/>
        <v>#NAME?</v>
      </c>
      <c r="B28" t="e">
        <f ca="1">_xll.BDP(I28&amp;" CORP",$B$4)</f>
        <v>#NAME?</v>
      </c>
      <c r="C28" t="e" cm="1">
        <f t="array" aca="1" ref="C28" ca="1">_xll.BDP($B28&amp;" CORP",$C$3)</f>
        <v>#NAME?</v>
      </c>
      <c r="D28" t="e" cm="1">
        <f t="array" aca="1" ref="D28" ca="1">_xll.BDP($B28&amp;" CORP",$D$3)</f>
        <v>#NAME?</v>
      </c>
      <c r="E28" t="e" cm="1">
        <f t="array" aca="1" ref="E28" ca="1">_xll.BDP($B28&amp;" CORP",$E$3)</f>
        <v>#NAME?</v>
      </c>
      <c r="F28" s="204" t="e" cm="1">
        <f t="array" aca="1" ref="F28" ca="1">_xll.BDP($B28&amp;" CORP",$F$3)</f>
        <v>#NAME?</v>
      </c>
      <c r="G28" s="193" t="s">
        <v>3965</v>
      </c>
      <c r="H28" s="193" t="s">
        <v>3966</v>
      </c>
      <c r="I28" s="193" t="s">
        <v>3967</v>
      </c>
      <c r="J28" s="193" t="s">
        <v>3967</v>
      </c>
      <c r="K28" s="193" t="s">
        <v>3968</v>
      </c>
      <c r="L28" s="193" t="s">
        <v>3957</v>
      </c>
      <c r="M28" s="193">
        <v>350000000</v>
      </c>
      <c r="N28" s="193">
        <v>4.9993155373032172</v>
      </c>
      <c r="O28" s="193" t="s">
        <v>3404</v>
      </c>
      <c r="P28" s="193">
        <v>160</v>
      </c>
      <c r="Q28" s="193">
        <v>135</v>
      </c>
      <c r="R28" s="193">
        <v>-25</v>
      </c>
      <c r="S28" s="193"/>
      <c r="T28" s="193">
        <v>1100</v>
      </c>
      <c r="U28" s="193">
        <v>1100000000</v>
      </c>
      <c r="V28" s="193"/>
      <c r="W28" s="193">
        <v>3.1</v>
      </c>
      <c r="X28" s="193"/>
      <c r="Y28" s="193"/>
      <c r="Z28" s="193">
        <v>126.20409999999995</v>
      </c>
      <c r="AA28" s="193">
        <v>135</v>
      </c>
      <c r="AB28" s="193">
        <v>-9</v>
      </c>
      <c r="AC28" s="193" t="s">
        <v>1439</v>
      </c>
      <c r="AD28" s="193" t="s">
        <v>2081</v>
      </c>
      <c r="AE28" s="193" t="s">
        <v>2754</v>
      </c>
      <c r="AF28" s="193" t="s">
        <v>877</v>
      </c>
      <c r="AG28" s="193" t="s">
        <v>969</v>
      </c>
      <c r="AH28" s="193" t="s">
        <v>1432</v>
      </c>
      <c r="AI28" s="193" t="s">
        <v>877</v>
      </c>
      <c r="AJ28" s="193" t="s">
        <v>1431</v>
      </c>
      <c r="AK28" s="193" t="s">
        <v>1431</v>
      </c>
      <c r="AL28" s="193" t="s">
        <v>1431</v>
      </c>
    </row>
    <row r="29" spans="1:38">
      <c r="A29" t="e">
        <f t="shared" ca="1" si="3"/>
        <v>#NAME?</v>
      </c>
      <c r="B29" t="e">
        <f ca="1">_xll.BDP(I29&amp;" CORP",$B$4)</f>
        <v>#NAME?</v>
      </c>
      <c r="C29" t="e" cm="1">
        <f t="array" aca="1" ref="C29" ca="1">_xll.BDP($B29&amp;" CORP",$C$3)</f>
        <v>#NAME?</v>
      </c>
      <c r="D29" t="e" cm="1">
        <f t="array" aca="1" ref="D29" ca="1">_xll.BDP($B29&amp;" CORP",$D$3)</f>
        <v>#NAME?</v>
      </c>
      <c r="E29" t="e" cm="1">
        <f t="array" aca="1" ref="E29" ca="1">_xll.BDP($B29&amp;" CORP",$E$3)</f>
        <v>#NAME?</v>
      </c>
      <c r="F29" s="204" t="e" cm="1">
        <f t="array" aca="1" ref="F29" ca="1">_xll.BDP($B29&amp;" CORP",$F$3)</f>
        <v>#NAME?</v>
      </c>
      <c r="G29" s="193" t="s">
        <v>3969</v>
      </c>
      <c r="H29" s="193" t="s">
        <v>3970</v>
      </c>
      <c r="I29" s="193" t="s">
        <v>3971</v>
      </c>
      <c r="J29" s="193" t="s">
        <v>3971</v>
      </c>
      <c r="K29" s="193" t="s">
        <v>3972</v>
      </c>
      <c r="L29" s="193" t="s">
        <v>3957</v>
      </c>
      <c r="M29" s="193">
        <v>350000000</v>
      </c>
      <c r="N29" s="193">
        <v>5.3278576317590689</v>
      </c>
      <c r="O29" s="193" t="s">
        <v>3960</v>
      </c>
      <c r="P29" s="193">
        <v>140</v>
      </c>
      <c r="Q29" s="193">
        <v>125</v>
      </c>
      <c r="R29" s="193">
        <v>-15</v>
      </c>
      <c r="S29" s="193">
        <v>10</v>
      </c>
      <c r="T29" s="193"/>
      <c r="U29" s="193"/>
      <c r="V29" s="193"/>
      <c r="W29" s="193"/>
      <c r="X29" s="193"/>
      <c r="Y29" s="193"/>
      <c r="Z29" s="193">
        <v>124.682</v>
      </c>
      <c r="AA29" s="193">
        <v>125</v>
      </c>
      <c r="AB29" s="193">
        <v>0</v>
      </c>
      <c r="AC29" s="193" t="s">
        <v>1439</v>
      </c>
      <c r="AD29" s="193" t="s">
        <v>2081</v>
      </c>
      <c r="AE29" s="193" t="s">
        <v>2754</v>
      </c>
      <c r="AF29" s="193" t="s">
        <v>877</v>
      </c>
      <c r="AG29" s="193" t="s">
        <v>969</v>
      </c>
      <c r="AH29" s="193" t="s">
        <v>932</v>
      </c>
      <c r="AI29" s="193" t="s">
        <v>877</v>
      </c>
      <c r="AJ29" s="193" t="s">
        <v>1431</v>
      </c>
      <c r="AK29" s="193" t="s">
        <v>1431</v>
      </c>
      <c r="AL29" s="193" t="s">
        <v>1431</v>
      </c>
    </row>
    <row r="30" spans="1:38">
      <c r="A30" t="e">
        <f t="shared" ca="1" si="3"/>
        <v>#NAME?</v>
      </c>
      <c r="B30" t="e">
        <f ca="1">_xll.BDP(I30&amp;" CORP",$B$4)</f>
        <v>#NAME?</v>
      </c>
      <c r="C30" t="e" cm="1">
        <f t="array" aca="1" ref="C30" ca="1">_xll.BDP($B30&amp;" CORP",$C$3)</f>
        <v>#NAME?</v>
      </c>
      <c r="D30" t="e" cm="1">
        <f t="array" aca="1" ref="D30" ca="1">_xll.BDP($B30&amp;" CORP",$D$3)</f>
        <v>#NAME?</v>
      </c>
      <c r="E30" t="e" cm="1">
        <f t="array" aca="1" ref="E30" ca="1">_xll.BDP($B30&amp;" CORP",$E$3)</f>
        <v>#NAME?</v>
      </c>
      <c r="F30" s="204" t="e" cm="1">
        <f t="array" aca="1" ref="F30" ca="1">_xll.BDP($B30&amp;" CORP",$F$3)</f>
        <v>#NAME?</v>
      </c>
      <c r="G30" s="193" t="s">
        <v>3973</v>
      </c>
      <c r="H30" s="193" t="s">
        <v>3970</v>
      </c>
      <c r="I30" s="193" t="s">
        <v>3974</v>
      </c>
      <c r="J30" s="193" t="s">
        <v>3974</v>
      </c>
      <c r="K30" s="193" t="s">
        <v>3972</v>
      </c>
      <c r="L30" s="193" t="s">
        <v>3957</v>
      </c>
      <c r="M30" s="193">
        <v>450000000</v>
      </c>
      <c r="N30" s="193">
        <v>9.9986310746064344</v>
      </c>
      <c r="O30" s="193" t="s">
        <v>3705</v>
      </c>
      <c r="P30" s="193">
        <v>165</v>
      </c>
      <c r="Q30" s="193">
        <v>150</v>
      </c>
      <c r="R30" s="193">
        <v>-15</v>
      </c>
      <c r="S30" s="193">
        <v>10</v>
      </c>
      <c r="T30" s="193"/>
      <c r="U30" s="193"/>
      <c r="V30" s="193"/>
      <c r="W30" s="193"/>
      <c r="X30" s="193"/>
      <c r="Y30" s="193"/>
      <c r="Z30" s="193">
        <v>147.99819999999997</v>
      </c>
      <c r="AA30" s="193">
        <v>150</v>
      </c>
      <c r="AB30" s="193">
        <v>-2</v>
      </c>
      <c r="AC30" s="193" t="s">
        <v>1439</v>
      </c>
      <c r="AD30" s="193" t="s">
        <v>2081</v>
      </c>
      <c r="AE30" s="193" t="s">
        <v>2754</v>
      </c>
      <c r="AF30" s="193" t="s">
        <v>877</v>
      </c>
      <c r="AG30" s="193" t="s">
        <v>969</v>
      </c>
      <c r="AH30" s="193" t="s">
        <v>932</v>
      </c>
      <c r="AI30" s="193" t="s">
        <v>877</v>
      </c>
      <c r="AJ30" s="193" t="s">
        <v>1431</v>
      </c>
      <c r="AK30" s="193" t="s">
        <v>1431</v>
      </c>
      <c r="AL30" s="193" t="s">
        <v>1431</v>
      </c>
    </row>
    <row r="31" spans="1:38">
      <c r="A31" t="e">
        <f t="shared" ca="1" si="3"/>
        <v>#NAME?</v>
      </c>
      <c r="B31" t="e">
        <f ca="1">_xll.BDP(I31&amp;" CORP",$B$4)</f>
        <v>#NAME?</v>
      </c>
      <c r="C31" t="e" cm="1">
        <f t="array" aca="1" ref="C31" ca="1">_xll.BDP($B31&amp;" CORP",$C$3)</f>
        <v>#NAME?</v>
      </c>
      <c r="D31" t="e" cm="1">
        <f t="array" aca="1" ref="D31" ca="1">_xll.BDP($B31&amp;" CORP",$D$3)</f>
        <v>#NAME?</v>
      </c>
      <c r="E31" t="e" cm="1">
        <f t="array" aca="1" ref="E31" ca="1">_xll.BDP($B31&amp;" CORP",$E$3)</f>
        <v>#NAME?</v>
      </c>
      <c r="F31" s="204" t="e" cm="1">
        <f t="array" aca="1" ref="F31" ca="1">_xll.BDP($B31&amp;" CORP",$F$3)</f>
        <v>#NAME?</v>
      </c>
      <c r="G31" s="193" t="s">
        <v>3975</v>
      </c>
      <c r="H31" s="193" t="s">
        <v>3976</v>
      </c>
      <c r="I31" s="193" t="s">
        <v>3977</v>
      </c>
      <c r="J31" s="193" t="s">
        <v>3977</v>
      </c>
      <c r="K31" s="193" t="s">
        <v>3978</v>
      </c>
      <c r="L31" s="193" t="s">
        <v>3957</v>
      </c>
      <c r="M31" s="193">
        <v>400000000</v>
      </c>
      <c r="N31" s="193">
        <v>7.1540041067761804</v>
      </c>
      <c r="O31" s="193" t="s">
        <v>3979</v>
      </c>
      <c r="P31" s="193">
        <v>215</v>
      </c>
      <c r="Q31" s="193">
        <v>185</v>
      </c>
      <c r="R31" s="193">
        <v>-30</v>
      </c>
      <c r="S31" s="193">
        <v>-3</v>
      </c>
      <c r="T31" s="193">
        <v>1300</v>
      </c>
      <c r="U31" s="193">
        <v>1300000000</v>
      </c>
      <c r="V31" s="193">
        <v>1800</v>
      </c>
      <c r="W31" s="193">
        <v>3.3</v>
      </c>
      <c r="X31" s="193">
        <v>0</v>
      </c>
      <c r="Y31" s="193">
        <v>-27.78</v>
      </c>
      <c r="Z31" s="193">
        <v>179.10140000000007</v>
      </c>
      <c r="AA31" s="193">
        <v>185</v>
      </c>
      <c r="AB31" s="193">
        <v>-6</v>
      </c>
      <c r="AC31" s="193" t="s">
        <v>1428</v>
      </c>
      <c r="AD31" s="193" t="s">
        <v>1436</v>
      </c>
      <c r="AE31" s="193" t="s">
        <v>3755</v>
      </c>
      <c r="AF31" s="193" t="s">
        <v>877</v>
      </c>
      <c r="AG31" s="193" t="s">
        <v>1432</v>
      </c>
      <c r="AH31" s="193" t="s">
        <v>877</v>
      </c>
      <c r="AI31" s="193" t="s">
        <v>877</v>
      </c>
      <c r="AJ31" s="193" t="s">
        <v>1431</v>
      </c>
      <c r="AK31" s="193" t="s">
        <v>1431</v>
      </c>
      <c r="AL31" s="193" t="s">
        <v>1431</v>
      </c>
    </row>
    <row r="32" spans="1:38">
      <c r="A32" t="e">
        <f t="shared" ca="1" si="3"/>
        <v>#NAME?</v>
      </c>
      <c r="B32" t="e">
        <f ca="1">_xll.BDP(I32&amp;" CORP",$B$4)</f>
        <v>#NAME?</v>
      </c>
      <c r="C32" t="e" cm="1">
        <f t="array" aca="1" ref="C32" ca="1">_xll.BDP($B32&amp;" CORP",$C$3)</f>
        <v>#NAME?</v>
      </c>
      <c r="D32" t="e" cm="1">
        <f t="array" aca="1" ref="D32" ca="1">_xll.BDP($B32&amp;" CORP",$D$3)</f>
        <v>#NAME?</v>
      </c>
      <c r="E32" t="e" cm="1">
        <f t="array" aca="1" ref="E32" ca="1">_xll.BDP($B32&amp;" CORP",$E$3)</f>
        <v>#NAME?</v>
      </c>
      <c r="F32" s="204" t="e" cm="1">
        <f t="array" aca="1" ref="F32" ca="1">_xll.BDP($B32&amp;" CORP",$F$3)</f>
        <v>#NAME?</v>
      </c>
      <c r="G32" s="193" t="s">
        <v>3980</v>
      </c>
      <c r="H32" s="193" t="s">
        <v>3981</v>
      </c>
      <c r="I32" s="193" t="s">
        <v>3982</v>
      </c>
      <c r="J32" s="193" t="s">
        <v>3982</v>
      </c>
      <c r="K32" s="193" t="s">
        <v>3983</v>
      </c>
      <c r="L32" s="193" t="s">
        <v>3957</v>
      </c>
      <c r="M32" s="193">
        <v>500000000</v>
      </c>
      <c r="N32" s="193" t="s">
        <v>1871</v>
      </c>
      <c r="O32" s="193" t="s">
        <v>3984</v>
      </c>
      <c r="P32" s="193">
        <v>7</v>
      </c>
      <c r="Q32" s="193">
        <v>6.875</v>
      </c>
      <c r="R32" s="193">
        <v>-13</v>
      </c>
      <c r="S32" s="193"/>
      <c r="T32" s="193">
        <v>1300</v>
      </c>
      <c r="U32" s="193">
        <v>1300000000</v>
      </c>
      <c r="V32" s="193">
        <v>1550</v>
      </c>
      <c r="W32" s="193">
        <v>2.6</v>
      </c>
      <c r="X32" s="193">
        <v>0</v>
      </c>
      <c r="Y32" s="193">
        <v>-16.13</v>
      </c>
      <c r="Z32" s="193">
        <v>276.94870000000003</v>
      </c>
      <c r="AA32" s="193">
        <v>318.10000000000002</v>
      </c>
      <c r="AB32" s="193">
        <v>-41</v>
      </c>
      <c r="AC32" s="193" t="s">
        <v>1428</v>
      </c>
      <c r="AD32" s="193" t="s">
        <v>1437</v>
      </c>
      <c r="AE32" s="193" t="s">
        <v>1896</v>
      </c>
      <c r="AF32" s="193" t="s">
        <v>877</v>
      </c>
      <c r="AG32" s="193" t="s">
        <v>980</v>
      </c>
      <c r="AH32" s="193" t="s">
        <v>877</v>
      </c>
      <c r="AI32" s="193" t="s">
        <v>955</v>
      </c>
      <c r="AJ32" s="193" t="s">
        <v>1431</v>
      </c>
      <c r="AK32" s="193" t="s">
        <v>1431</v>
      </c>
      <c r="AL32" s="193" t="s">
        <v>1431</v>
      </c>
    </row>
    <row r="33" spans="1:38" ht="15.75" customHeight="1">
      <c r="A33" t="e">
        <f t="shared" ref="A33:A95" ca="1" si="4">IF(LEN(C33)&lt;&gt;LENB(C33),"中文","英文")</f>
        <v>#NAME?</v>
      </c>
      <c r="B33" t="e">
        <f ca="1">_xll.BDP(I33&amp;" CORP",$B$4)</f>
        <v>#NAME?</v>
      </c>
      <c r="C33" t="e" cm="1">
        <f t="array" aca="1" ref="C33" ca="1">_xll.BDP($B33&amp;" CORP",$C$3)</f>
        <v>#NAME?</v>
      </c>
      <c r="D33" t="e" cm="1">
        <f t="array" aca="1" ref="D33" ca="1">_xll.BDP($B33&amp;" CORP",$D$3)</f>
        <v>#NAME?</v>
      </c>
      <c r="E33" t="e" cm="1">
        <f t="array" aca="1" ref="E33" ca="1">_xll.BDP($B33&amp;" CORP",$E$3)</f>
        <v>#NAME?</v>
      </c>
      <c r="F33" s="204" t="e" cm="1">
        <f t="array" aca="1" ref="F33" ca="1">_xll.BDP($B33&amp;" CORP",$F$3)</f>
        <v>#NAME?</v>
      </c>
      <c r="G33" s="193" t="s">
        <v>3985</v>
      </c>
      <c r="H33" s="193" t="s">
        <v>2040</v>
      </c>
      <c r="I33" s="193" t="s">
        <v>3986</v>
      </c>
      <c r="J33" s="193" t="s">
        <v>3986</v>
      </c>
      <c r="K33" s="193" t="s">
        <v>1573</v>
      </c>
      <c r="L33" s="193" t="s">
        <v>3987</v>
      </c>
      <c r="M33" s="193">
        <v>400000000</v>
      </c>
      <c r="N33" s="193">
        <v>3.052703627652293</v>
      </c>
      <c r="O33" s="193" t="s">
        <v>3710</v>
      </c>
      <c r="P33" s="193">
        <v>122.5</v>
      </c>
      <c r="Q33" s="193">
        <v>85</v>
      </c>
      <c r="R33" s="193">
        <v>-38</v>
      </c>
      <c r="S33" s="193">
        <v>-5</v>
      </c>
      <c r="T33" s="193">
        <v>2700</v>
      </c>
      <c r="U33" s="193">
        <v>2700000000</v>
      </c>
      <c r="V33" s="193">
        <v>4200</v>
      </c>
      <c r="W33" s="193">
        <v>6.8</v>
      </c>
      <c r="X33" s="193">
        <v>0</v>
      </c>
      <c r="Y33" s="193">
        <v>-35.71</v>
      </c>
      <c r="Z33" s="193">
        <v>83.873499999999979</v>
      </c>
      <c r="AA33" s="193">
        <v>85</v>
      </c>
      <c r="AB33" s="193">
        <v>-1</v>
      </c>
      <c r="AC33" s="193" t="s">
        <v>1428</v>
      </c>
      <c r="AD33" s="193" t="s">
        <v>1436</v>
      </c>
      <c r="AE33" s="193" t="s">
        <v>2042</v>
      </c>
      <c r="AF33" s="193" t="s">
        <v>877</v>
      </c>
      <c r="AG33" s="193" t="s">
        <v>875</v>
      </c>
      <c r="AH33" s="193" t="s">
        <v>932</v>
      </c>
      <c r="AI33" s="193" t="s">
        <v>877</v>
      </c>
      <c r="AJ33" s="193" t="s">
        <v>1431</v>
      </c>
      <c r="AK33" s="193" t="s">
        <v>1431</v>
      </c>
      <c r="AL33" s="193" t="s">
        <v>1431</v>
      </c>
    </row>
    <row r="34" spans="1:38">
      <c r="A34" t="e">
        <f t="shared" ca="1" si="4"/>
        <v>#NAME?</v>
      </c>
      <c r="B34" t="e">
        <f ca="1">_xll.BDP(I34&amp;" CORP",$B$4)</f>
        <v>#NAME?</v>
      </c>
      <c r="C34" t="e" cm="1">
        <f t="array" aca="1" ref="C34" ca="1">_xll.BDP($B34&amp;" CORP",$C$3)</f>
        <v>#NAME?</v>
      </c>
      <c r="D34" t="e" cm="1">
        <f t="array" aca="1" ref="D34" ca="1">_xll.BDP($B34&amp;" CORP",$D$3)</f>
        <v>#NAME?</v>
      </c>
      <c r="E34" t="e" cm="1">
        <f t="array" aca="1" ref="E34" ca="1">_xll.BDP($B34&amp;" CORP",$E$3)</f>
        <v>#NAME?</v>
      </c>
      <c r="F34" s="204" t="e" cm="1">
        <f t="array" aca="1" ref="F34" ca="1">_xll.BDP($B34&amp;" CORP",$F$3)</f>
        <v>#NAME?</v>
      </c>
      <c r="G34" s="193" t="s">
        <v>3988</v>
      </c>
      <c r="H34" s="193" t="s">
        <v>3989</v>
      </c>
      <c r="I34" s="193" t="s">
        <v>3990</v>
      </c>
      <c r="J34" s="193" t="s">
        <v>3990</v>
      </c>
      <c r="K34" s="193" t="s">
        <v>3991</v>
      </c>
      <c r="L34" s="193" t="s">
        <v>3987</v>
      </c>
      <c r="M34" s="193">
        <v>750000000</v>
      </c>
      <c r="N34" s="193">
        <v>7.0006844626967828</v>
      </c>
      <c r="O34" s="193" t="s">
        <v>3395</v>
      </c>
      <c r="P34" s="193">
        <v>145</v>
      </c>
      <c r="Q34" s="193">
        <v>115</v>
      </c>
      <c r="R34" s="193">
        <v>-30</v>
      </c>
      <c r="S34" s="193">
        <v>8</v>
      </c>
      <c r="T34" s="193">
        <v>2000</v>
      </c>
      <c r="U34" s="193">
        <v>2000000000</v>
      </c>
      <c r="V34" s="193">
        <v>2900</v>
      </c>
      <c r="W34" s="193">
        <v>2.7</v>
      </c>
      <c r="X34" s="193">
        <v>0</v>
      </c>
      <c r="Y34" s="193">
        <v>-31.03</v>
      </c>
      <c r="Z34" s="193">
        <v>116.3767</v>
      </c>
      <c r="AA34" s="193">
        <v>115</v>
      </c>
      <c r="AB34" s="193">
        <v>1</v>
      </c>
      <c r="AC34" s="193" t="s">
        <v>1488</v>
      </c>
      <c r="AD34" s="193" t="s">
        <v>1863</v>
      </c>
      <c r="AE34" s="193" t="s">
        <v>1863</v>
      </c>
      <c r="AF34" s="193" t="s">
        <v>1432</v>
      </c>
      <c r="AG34" s="193" t="s">
        <v>875</v>
      </c>
      <c r="AH34" s="193" t="s">
        <v>950</v>
      </c>
      <c r="AI34" s="193" t="s">
        <v>932</v>
      </c>
      <c r="AJ34" s="193" t="s">
        <v>1431</v>
      </c>
      <c r="AK34" s="193" t="s">
        <v>1431</v>
      </c>
      <c r="AL34" s="193" t="s">
        <v>1431</v>
      </c>
    </row>
    <row r="35" spans="1:38">
      <c r="A35" t="e">
        <f t="shared" ca="1" si="4"/>
        <v>#NAME?</v>
      </c>
      <c r="B35" t="e">
        <f ca="1">_xll.BDP(I35&amp;" CORP",$B$4)</f>
        <v>#NAME?</v>
      </c>
      <c r="C35" t="e" cm="1">
        <f t="array" aca="1" ref="C35" ca="1">_xll.BDP($B35&amp;" CORP",$C$3)</f>
        <v>#NAME?</v>
      </c>
      <c r="D35" t="e" cm="1">
        <f t="array" aca="1" ref="D35" ca="1">_xll.BDP($B35&amp;" CORP",$D$3)</f>
        <v>#NAME?</v>
      </c>
      <c r="E35" t="e" cm="1">
        <f t="array" aca="1" ref="E35" ca="1">_xll.BDP($B35&amp;" CORP",$E$3)</f>
        <v>#NAME?</v>
      </c>
      <c r="F35" s="204" t="e" cm="1">
        <f t="array" aca="1" ref="F35" ca="1">_xll.BDP($B35&amp;" CORP",$F$3)</f>
        <v>#NAME?</v>
      </c>
      <c r="G35" s="193" t="s">
        <v>3992</v>
      </c>
      <c r="H35" s="193" t="s">
        <v>3993</v>
      </c>
      <c r="I35" s="193" t="s">
        <v>3994</v>
      </c>
      <c r="J35" s="193" t="s">
        <v>3994</v>
      </c>
      <c r="K35" s="193" t="s">
        <v>3995</v>
      </c>
      <c r="L35" s="193" t="s">
        <v>3987</v>
      </c>
      <c r="M35" s="193">
        <v>500000000</v>
      </c>
      <c r="N35" s="193">
        <v>4.9993155373032172</v>
      </c>
      <c r="O35" s="193" t="s">
        <v>3996</v>
      </c>
      <c r="P35" s="193">
        <v>80</v>
      </c>
      <c r="Q35" s="193">
        <v>50</v>
      </c>
      <c r="R35" s="193">
        <v>-30</v>
      </c>
      <c r="S35" s="193">
        <v>2</v>
      </c>
      <c r="T35" s="193">
        <v>2600</v>
      </c>
      <c r="U35" s="193">
        <v>2600000000</v>
      </c>
      <c r="V35" s="193">
        <v>3200</v>
      </c>
      <c r="W35" s="193">
        <v>5.2</v>
      </c>
      <c r="X35" s="193">
        <v>0</v>
      </c>
      <c r="Y35" s="193">
        <v>-18.75</v>
      </c>
      <c r="Z35" s="193">
        <v>45.827600000000011</v>
      </c>
      <c r="AA35" s="193">
        <v>50</v>
      </c>
      <c r="AB35" s="193">
        <v>-4</v>
      </c>
      <c r="AC35" s="193" t="s">
        <v>1428</v>
      </c>
      <c r="AD35" s="193" t="s">
        <v>1429</v>
      </c>
      <c r="AE35" s="193" t="s">
        <v>1946</v>
      </c>
      <c r="AF35" s="193" t="s">
        <v>953</v>
      </c>
      <c r="AG35" s="193" t="s">
        <v>874</v>
      </c>
      <c r="AH35" s="193" t="s">
        <v>953</v>
      </c>
      <c r="AI35" s="193" t="s">
        <v>876</v>
      </c>
      <c r="AJ35" s="193" t="s">
        <v>1431</v>
      </c>
      <c r="AK35" s="193" t="s">
        <v>1431</v>
      </c>
      <c r="AL35" s="193" t="s">
        <v>1431</v>
      </c>
    </row>
    <row r="36" spans="1:38">
      <c r="A36" t="e">
        <f t="shared" ca="1" si="4"/>
        <v>#NAME?</v>
      </c>
      <c r="B36" t="e">
        <f ca="1">_xll.BDP(I36&amp;" CORP",$B$4)</f>
        <v>#NAME?</v>
      </c>
      <c r="C36" t="e" cm="1">
        <f t="array" aca="1" ref="C36" ca="1">_xll.BDP($B36&amp;" CORP",$C$3)</f>
        <v>#NAME?</v>
      </c>
      <c r="D36" t="e" cm="1">
        <f t="array" aca="1" ref="D36" ca="1">_xll.BDP($B36&amp;" CORP",$D$3)</f>
        <v>#NAME?</v>
      </c>
      <c r="E36" t="e" cm="1">
        <f t="array" aca="1" ref="E36" ca="1">_xll.BDP($B36&amp;" CORP",$E$3)</f>
        <v>#NAME?</v>
      </c>
      <c r="F36" s="204" t="e" cm="1">
        <f t="array" aca="1" ref="F36" ca="1">_xll.BDP($B36&amp;" CORP",$F$3)</f>
        <v>#NAME?</v>
      </c>
      <c r="G36" s="193" t="s">
        <v>3997</v>
      </c>
      <c r="H36" s="193" t="s">
        <v>3993</v>
      </c>
      <c r="I36" s="193" t="s">
        <v>3998</v>
      </c>
      <c r="J36" s="193" t="s">
        <v>3998</v>
      </c>
      <c r="K36" s="193" t="s">
        <v>3995</v>
      </c>
      <c r="L36" s="193" t="s">
        <v>3987</v>
      </c>
      <c r="M36" s="193">
        <v>750000000</v>
      </c>
      <c r="N36" s="193">
        <v>15.000684462696784</v>
      </c>
      <c r="O36" s="193" t="s">
        <v>3392</v>
      </c>
      <c r="P36" s="193">
        <v>135</v>
      </c>
      <c r="Q36" s="193">
        <v>105</v>
      </c>
      <c r="R36" s="193">
        <v>-30</v>
      </c>
      <c r="S36" s="193">
        <v>0</v>
      </c>
      <c r="T36" s="193">
        <v>3900</v>
      </c>
      <c r="U36" s="193">
        <v>3900000000</v>
      </c>
      <c r="V36" s="193">
        <v>4200</v>
      </c>
      <c r="W36" s="193">
        <v>5.2</v>
      </c>
      <c r="X36" s="193">
        <v>0</v>
      </c>
      <c r="Y36" s="193">
        <v>-7.14</v>
      </c>
      <c r="Z36" s="193">
        <v>105.06459999999996</v>
      </c>
      <c r="AA36" s="193">
        <v>105</v>
      </c>
      <c r="AB36" s="193">
        <v>0</v>
      </c>
      <c r="AC36" s="193" t="s">
        <v>1428</v>
      </c>
      <c r="AD36" s="193" t="s">
        <v>1429</v>
      </c>
      <c r="AE36" s="193" t="s">
        <v>1946</v>
      </c>
      <c r="AF36" s="193" t="s">
        <v>876</v>
      </c>
      <c r="AG36" s="193" t="s">
        <v>874</v>
      </c>
      <c r="AH36" s="193" t="s">
        <v>876</v>
      </c>
      <c r="AI36" s="193" t="s">
        <v>876</v>
      </c>
      <c r="AJ36" s="193" t="s">
        <v>1431</v>
      </c>
      <c r="AK36" s="193" t="s">
        <v>1431</v>
      </c>
      <c r="AL36" s="193" t="s">
        <v>1431</v>
      </c>
    </row>
    <row r="37" spans="1:38">
      <c r="A37" t="e">
        <f t="shared" ca="1" si="4"/>
        <v>#NAME?</v>
      </c>
      <c r="B37" t="e">
        <f ca="1">_xll.BDP(I37&amp;" CORP",$B$4)</f>
        <v>#NAME?</v>
      </c>
      <c r="C37" t="e" cm="1">
        <f t="array" aca="1" ref="C37" ca="1">_xll.BDP($B37&amp;" CORP",$C$3)</f>
        <v>#NAME?</v>
      </c>
      <c r="D37" t="e" cm="1">
        <f t="array" aca="1" ref="D37" ca="1">_xll.BDP($B37&amp;" CORP",$D$3)</f>
        <v>#NAME?</v>
      </c>
      <c r="E37" t="e" cm="1">
        <f t="array" aca="1" ref="E37" ca="1">_xll.BDP($B37&amp;" CORP",$E$3)</f>
        <v>#NAME?</v>
      </c>
      <c r="F37" s="204" t="e" cm="1">
        <f t="array" aca="1" ref="F37" ca="1">_xll.BDP($B37&amp;" CORP",$F$3)</f>
        <v>#NAME?</v>
      </c>
      <c r="G37" s="193" t="s">
        <v>3999</v>
      </c>
      <c r="H37" s="193" t="s">
        <v>4000</v>
      </c>
      <c r="I37" s="193" t="s">
        <v>4001</v>
      </c>
      <c r="J37" s="193" t="s">
        <v>4001</v>
      </c>
      <c r="K37" s="193" t="s">
        <v>4002</v>
      </c>
      <c r="L37" s="193" t="s">
        <v>3987</v>
      </c>
      <c r="M37" s="193">
        <v>1000000000</v>
      </c>
      <c r="N37" s="193">
        <v>5.9986310746064335</v>
      </c>
      <c r="O37" s="193" t="s">
        <v>3343</v>
      </c>
      <c r="P37" s="193">
        <v>95</v>
      </c>
      <c r="Q37" s="193">
        <v>68</v>
      </c>
      <c r="R37" s="193">
        <v>-27</v>
      </c>
      <c r="S37" s="193">
        <v>-2</v>
      </c>
      <c r="T37" s="193">
        <v>2100</v>
      </c>
      <c r="U37" s="193">
        <v>2100000000</v>
      </c>
      <c r="V37" s="193">
        <v>3850</v>
      </c>
      <c r="W37" s="193">
        <v>2.1</v>
      </c>
      <c r="X37" s="193">
        <v>0</v>
      </c>
      <c r="Y37" s="193">
        <v>-45.45</v>
      </c>
      <c r="Z37" s="193">
        <v>70.459100000000021</v>
      </c>
      <c r="AA37" s="193">
        <v>68</v>
      </c>
      <c r="AB37" s="193">
        <v>2</v>
      </c>
      <c r="AC37" s="193" t="s">
        <v>1428</v>
      </c>
      <c r="AD37" s="193" t="s">
        <v>1864</v>
      </c>
      <c r="AE37" s="193" t="s">
        <v>1877</v>
      </c>
      <c r="AF37" s="193" t="s">
        <v>938</v>
      </c>
      <c r="AG37" s="193" t="s">
        <v>874</v>
      </c>
      <c r="AH37" s="193" t="s">
        <v>876</v>
      </c>
      <c r="AI37" s="193" t="s">
        <v>938</v>
      </c>
      <c r="AJ37" s="193" t="s">
        <v>1431</v>
      </c>
      <c r="AK37" s="193" t="s">
        <v>1431</v>
      </c>
      <c r="AL37" s="193" t="s">
        <v>1431</v>
      </c>
    </row>
    <row r="38" spans="1:38">
      <c r="A38" t="e">
        <f t="shared" ca="1" si="4"/>
        <v>#NAME?</v>
      </c>
      <c r="B38" t="e">
        <f ca="1">_xll.BDP(I38&amp;" CORP",$B$4)</f>
        <v>#NAME?</v>
      </c>
      <c r="C38" t="e" cm="1">
        <f t="array" aca="1" ref="C38" ca="1">_xll.BDP($B38&amp;" CORP",$C$3)</f>
        <v>#NAME?</v>
      </c>
      <c r="D38" t="e" cm="1">
        <f t="array" aca="1" ref="D38" ca="1">_xll.BDP($B38&amp;" CORP",$D$3)</f>
        <v>#NAME?</v>
      </c>
      <c r="E38" t="e" cm="1">
        <f t="array" aca="1" ref="E38" ca="1">_xll.BDP($B38&amp;" CORP",$E$3)</f>
        <v>#NAME?</v>
      </c>
      <c r="F38" s="204" t="e" cm="1">
        <f t="array" aca="1" ref="F38" ca="1">_xll.BDP($B38&amp;" CORP",$F$3)</f>
        <v>#NAME?</v>
      </c>
      <c r="G38" s="193" t="s">
        <v>4003</v>
      </c>
      <c r="H38" s="193" t="s">
        <v>4000</v>
      </c>
      <c r="I38" s="193" t="s">
        <v>4004</v>
      </c>
      <c r="J38" s="193" t="s">
        <v>4004</v>
      </c>
      <c r="K38" s="193" t="s">
        <v>4002</v>
      </c>
      <c r="L38" s="193" t="s">
        <v>3987</v>
      </c>
      <c r="M38" s="193">
        <v>1000000000</v>
      </c>
      <c r="N38" s="193">
        <v>11.000684462696784</v>
      </c>
      <c r="O38" s="193" t="s">
        <v>3107</v>
      </c>
      <c r="P38" s="193">
        <v>110</v>
      </c>
      <c r="Q38" s="193">
        <v>85</v>
      </c>
      <c r="R38" s="193">
        <v>-25</v>
      </c>
      <c r="S38" s="193">
        <v>0</v>
      </c>
      <c r="T38" s="193">
        <v>2350</v>
      </c>
      <c r="U38" s="193">
        <v>2350000000</v>
      </c>
      <c r="V38" s="193">
        <v>4350</v>
      </c>
      <c r="W38" s="193">
        <v>2.4</v>
      </c>
      <c r="X38" s="193">
        <v>0</v>
      </c>
      <c r="Y38" s="193">
        <v>-45.98</v>
      </c>
      <c r="Z38" s="193">
        <v>91.406399999999977</v>
      </c>
      <c r="AA38" s="193">
        <v>85</v>
      </c>
      <c r="AB38" s="193">
        <v>6</v>
      </c>
      <c r="AC38" s="193" t="s">
        <v>1428</v>
      </c>
      <c r="AD38" s="193" t="s">
        <v>1864</v>
      </c>
      <c r="AE38" s="193" t="s">
        <v>1877</v>
      </c>
      <c r="AF38" s="193" t="s">
        <v>938</v>
      </c>
      <c r="AG38" s="193" t="s">
        <v>874</v>
      </c>
      <c r="AH38" s="193" t="s">
        <v>876</v>
      </c>
      <c r="AI38" s="193" t="s">
        <v>938</v>
      </c>
      <c r="AJ38" s="193" t="s">
        <v>1431</v>
      </c>
      <c r="AK38" s="193" t="s">
        <v>1431</v>
      </c>
      <c r="AL38" s="193" t="s">
        <v>1431</v>
      </c>
    </row>
    <row r="39" spans="1:38">
      <c r="A39" t="e">
        <f t="shared" ca="1" si="4"/>
        <v>#NAME?</v>
      </c>
      <c r="B39" t="e">
        <f ca="1">_xll.BDP(I39&amp;" CORP",$B$4)</f>
        <v>#NAME?</v>
      </c>
      <c r="C39" t="e" cm="1">
        <f t="array" aca="1" ref="C39" ca="1">_xll.BDP($B39&amp;" CORP",$C$3)</f>
        <v>#NAME?</v>
      </c>
      <c r="D39" t="e" cm="1">
        <f t="array" aca="1" ref="D39" ca="1">_xll.BDP($B39&amp;" CORP",$D$3)</f>
        <v>#NAME?</v>
      </c>
      <c r="E39" t="e" cm="1">
        <f t="array" aca="1" ref="E39" ca="1">_xll.BDP($B39&amp;" CORP",$E$3)</f>
        <v>#NAME?</v>
      </c>
      <c r="F39" s="204" t="e" cm="1">
        <f t="array" aca="1" ref="F39" ca="1">_xll.BDP($B39&amp;" CORP",$F$3)</f>
        <v>#NAME?</v>
      </c>
      <c r="G39" s="193" t="s">
        <v>3711</v>
      </c>
      <c r="H39" s="193" t="s">
        <v>3708</v>
      </c>
      <c r="I39" s="193" t="s">
        <v>3712</v>
      </c>
      <c r="J39" s="193" t="s">
        <v>3712</v>
      </c>
      <c r="K39" s="193" t="s">
        <v>3709</v>
      </c>
      <c r="L39" s="193" t="s">
        <v>3707</v>
      </c>
      <c r="M39" s="193">
        <v>700000000</v>
      </c>
      <c r="N39" s="193">
        <v>30.316221765913756</v>
      </c>
      <c r="O39" s="193" t="s">
        <v>3713</v>
      </c>
      <c r="P39" s="193">
        <v>132.5</v>
      </c>
      <c r="Q39" s="193">
        <v>105</v>
      </c>
      <c r="R39" s="193">
        <v>-28</v>
      </c>
      <c r="S39" s="193">
        <v>10</v>
      </c>
      <c r="T39" s="193">
        <v>4300</v>
      </c>
      <c r="U39" s="193">
        <v>4300000000</v>
      </c>
      <c r="V39" s="193">
        <v>4600</v>
      </c>
      <c r="W39" s="193">
        <v>6.1</v>
      </c>
      <c r="X39" s="193">
        <v>0</v>
      </c>
      <c r="Y39" s="193">
        <v>-6.52</v>
      </c>
      <c r="Z39" s="193">
        <v>99.962500000000006</v>
      </c>
      <c r="AA39" s="193">
        <v>105</v>
      </c>
      <c r="AB39" s="193">
        <v>-5</v>
      </c>
      <c r="AC39" s="193" t="s">
        <v>1488</v>
      </c>
      <c r="AD39" s="193" t="s">
        <v>1863</v>
      </c>
      <c r="AE39" s="193" t="s">
        <v>1863</v>
      </c>
      <c r="AF39" s="193" t="s">
        <v>950</v>
      </c>
      <c r="AG39" s="193" t="s">
        <v>1432</v>
      </c>
      <c r="AH39" s="193" t="s">
        <v>950</v>
      </c>
      <c r="AI39" s="193" t="s">
        <v>950</v>
      </c>
      <c r="AJ39" s="193" t="s">
        <v>1431</v>
      </c>
      <c r="AK39" s="193" t="s">
        <v>1431</v>
      </c>
      <c r="AL39" s="193" t="s">
        <v>1431</v>
      </c>
    </row>
    <row r="40" spans="1:38">
      <c r="A40" t="e">
        <f t="shared" ca="1" si="4"/>
        <v>#NAME?</v>
      </c>
      <c r="B40" t="e">
        <f ca="1">_xll.BDP(I40&amp;" CORP",$B$4)</f>
        <v>#NAME?</v>
      </c>
      <c r="C40" t="e" cm="1">
        <f t="array" aca="1" ref="C40" ca="1">_xll.BDP($B40&amp;" CORP",$C$3)</f>
        <v>#NAME?</v>
      </c>
      <c r="D40" t="e" cm="1">
        <f t="array" aca="1" ref="D40" ca="1">_xll.BDP($B40&amp;" CORP",$D$3)</f>
        <v>#NAME?</v>
      </c>
      <c r="E40" t="e" cm="1">
        <f t="array" aca="1" ref="E40" ca="1">_xll.BDP($B40&amp;" CORP",$E$3)</f>
        <v>#NAME?</v>
      </c>
      <c r="F40" s="204" t="e" cm="1">
        <f t="array" aca="1" ref="F40" ca="1">_xll.BDP($B40&amp;" CORP",$F$3)</f>
        <v>#NAME?</v>
      </c>
      <c r="G40" s="193" t="s">
        <v>3714</v>
      </c>
      <c r="H40" s="193" t="s">
        <v>2281</v>
      </c>
      <c r="I40" s="193" t="s">
        <v>3715</v>
      </c>
      <c r="J40" s="193" t="s">
        <v>3715</v>
      </c>
      <c r="K40" s="193" t="s">
        <v>1617</v>
      </c>
      <c r="L40" s="193" t="s">
        <v>3707</v>
      </c>
      <c r="M40" s="193">
        <v>750000000</v>
      </c>
      <c r="N40" s="193">
        <v>7.1731690622861057</v>
      </c>
      <c r="O40" s="193" t="s">
        <v>3326</v>
      </c>
      <c r="P40" s="193">
        <v>130</v>
      </c>
      <c r="Q40" s="193">
        <v>98</v>
      </c>
      <c r="R40" s="193">
        <v>-32</v>
      </c>
      <c r="S40" s="193">
        <v>8</v>
      </c>
      <c r="T40" s="193">
        <v>3500</v>
      </c>
      <c r="U40" s="193">
        <v>3500000000</v>
      </c>
      <c r="V40" s="193">
        <v>4100</v>
      </c>
      <c r="W40" s="193">
        <v>4.7</v>
      </c>
      <c r="X40" s="193">
        <v>0</v>
      </c>
      <c r="Y40" s="193">
        <v>-14.63</v>
      </c>
      <c r="Z40" s="193">
        <v>95.059299999999951</v>
      </c>
      <c r="AA40" s="193">
        <v>98</v>
      </c>
      <c r="AB40" s="193">
        <v>-3</v>
      </c>
      <c r="AC40" s="193" t="s">
        <v>1428</v>
      </c>
      <c r="AD40" s="193" t="s">
        <v>2283</v>
      </c>
      <c r="AE40" s="193" t="s">
        <v>2284</v>
      </c>
      <c r="AF40" s="193" t="s">
        <v>950</v>
      </c>
      <c r="AG40" s="193" t="s">
        <v>933</v>
      </c>
      <c r="AH40" s="193" t="s">
        <v>950</v>
      </c>
      <c r="AI40" s="193" t="s">
        <v>950</v>
      </c>
      <c r="AJ40" s="193" t="s">
        <v>1431</v>
      </c>
      <c r="AK40" s="193" t="s">
        <v>1431</v>
      </c>
      <c r="AL40" s="193" t="s">
        <v>1431</v>
      </c>
    </row>
    <row r="41" spans="1:38">
      <c r="A41" t="e">
        <f t="shared" ca="1" si="4"/>
        <v>#NAME?</v>
      </c>
      <c r="B41" t="e">
        <f ca="1">_xll.BDP(I41&amp;" CORP",$B$4)</f>
        <v>#NAME?</v>
      </c>
      <c r="C41" t="e" cm="1">
        <f t="array" aca="1" ref="C41" ca="1">_xll.BDP($B41&amp;" CORP",$C$3)</f>
        <v>#NAME?</v>
      </c>
      <c r="D41" t="e" cm="1">
        <f t="array" aca="1" ref="D41" ca="1">_xll.BDP($B41&amp;" CORP",$D$3)</f>
        <v>#NAME?</v>
      </c>
      <c r="E41" t="e" cm="1">
        <f t="array" aca="1" ref="E41" ca="1">_xll.BDP($B41&amp;" CORP",$E$3)</f>
        <v>#NAME?</v>
      </c>
      <c r="F41" s="204" t="e" cm="1">
        <f t="array" aca="1" ref="F41" ca="1">_xll.BDP($B41&amp;" CORP",$F$3)</f>
        <v>#NAME?</v>
      </c>
      <c r="G41" s="193" t="s">
        <v>3716</v>
      </c>
      <c r="H41" s="193" t="s">
        <v>3717</v>
      </c>
      <c r="I41" s="193" t="s">
        <v>3718</v>
      </c>
      <c r="J41" s="193" t="s">
        <v>3718</v>
      </c>
      <c r="K41" s="193" t="s">
        <v>3719</v>
      </c>
      <c r="L41" s="193" t="s">
        <v>3707</v>
      </c>
      <c r="M41" s="193">
        <v>500000000</v>
      </c>
      <c r="N41" s="193">
        <v>5.2950034223134841</v>
      </c>
      <c r="O41" s="193" t="s">
        <v>3720</v>
      </c>
      <c r="P41" s="193">
        <v>206.3</v>
      </c>
      <c r="Q41" s="193">
        <v>185</v>
      </c>
      <c r="R41" s="193">
        <v>-21</v>
      </c>
      <c r="S41" s="193"/>
      <c r="T41" s="193">
        <v>2250</v>
      </c>
      <c r="U41" s="193">
        <v>2250000000</v>
      </c>
      <c r="V41" s="193">
        <v>2400</v>
      </c>
      <c r="W41" s="193">
        <v>4.5</v>
      </c>
      <c r="X41" s="193">
        <v>0</v>
      </c>
      <c r="Y41" s="193">
        <v>-6.25</v>
      </c>
      <c r="Z41" s="193">
        <v>177.05679999999998</v>
      </c>
      <c r="AA41" s="193">
        <v>185</v>
      </c>
      <c r="AB41" s="193">
        <v>-8</v>
      </c>
      <c r="AC41" s="193" t="s">
        <v>1433</v>
      </c>
      <c r="AD41" s="193" t="s">
        <v>3721</v>
      </c>
      <c r="AE41" s="193" t="s">
        <v>3722</v>
      </c>
      <c r="AF41" s="193" t="s">
        <v>877</v>
      </c>
      <c r="AG41" s="193" t="s">
        <v>969</v>
      </c>
      <c r="AH41" s="193" t="s">
        <v>877</v>
      </c>
      <c r="AI41" s="193" t="s">
        <v>877</v>
      </c>
      <c r="AJ41" s="193" t="s">
        <v>1431</v>
      </c>
      <c r="AK41" s="193" t="s">
        <v>1431</v>
      </c>
      <c r="AL41" s="193" t="s">
        <v>1431</v>
      </c>
    </row>
    <row r="42" spans="1:38">
      <c r="A42" t="e">
        <f t="shared" ca="1" si="4"/>
        <v>#NAME?</v>
      </c>
      <c r="B42" t="e">
        <f ca="1">_xll.BDP(I42&amp;" CORP",$B$4)</f>
        <v>#NAME?</v>
      </c>
      <c r="C42" t="e" cm="1">
        <f t="array" aca="1" ref="C42" ca="1">_xll.BDP($B42&amp;" CORP",$C$3)</f>
        <v>#NAME?</v>
      </c>
      <c r="D42" t="e" cm="1">
        <f t="array" aca="1" ref="D42" ca="1">_xll.BDP($B42&amp;" CORP",$D$3)</f>
        <v>#NAME?</v>
      </c>
      <c r="E42" t="e" cm="1">
        <f t="array" aca="1" ref="E42" ca="1">_xll.BDP($B42&amp;" CORP",$E$3)</f>
        <v>#NAME?</v>
      </c>
      <c r="F42" s="204" t="e" cm="1">
        <f t="array" aca="1" ref="F42" ca="1">_xll.BDP($B42&amp;" CORP",$F$3)</f>
        <v>#NAME?</v>
      </c>
      <c r="G42" s="193" t="s">
        <v>3723</v>
      </c>
      <c r="H42" s="193" t="s">
        <v>3724</v>
      </c>
      <c r="I42" s="193" t="s">
        <v>3725</v>
      </c>
      <c r="J42" s="193" t="s">
        <v>3725</v>
      </c>
      <c r="K42" s="193" t="s">
        <v>3726</v>
      </c>
      <c r="L42" s="193" t="s">
        <v>3707</v>
      </c>
      <c r="M42" s="193">
        <v>400000000</v>
      </c>
      <c r="N42" s="193">
        <v>5.1882272416153317</v>
      </c>
      <c r="O42" s="193" t="s">
        <v>3107</v>
      </c>
      <c r="P42" s="193">
        <v>110</v>
      </c>
      <c r="Q42" s="193">
        <v>85</v>
      </c>
      <c r="R42" s="193">
        <v>-25</v>
      </c>
      <c r="S42" s="193">
        <v>-2</v>
      </c>
      <c r="T42" s="193">
        <v>1200</v>
      </c>
      <c r="U42" s="193">
        <v>1200000000</v>
      </c>
      <c r="V42" s="193">
        <v>1500</v>
      </c>
      <c r="W42" s="193">
        <v>3</v>
      </c>
      <c r="X42" s="193">
        <v>0</v>
      </c>
      <c r="Y42" s="193">
        <v>-20</v>
      </c>
      <c r="Z42" s="193">
        <v>83.843599999999981</v>
      </c>
      <c r="AA42" s="193">
        <v>85</v>
      </c>
      <c r="AB42" s="193">
        <v>-1</v>
      </c>
      <c r="AC42" s="193" t="s">
        <v>1428</v>
      </c>
      <c r="AD42" s="193" t="s">
        <v>1864</v>
      </c>
      <c r="AE42" s="193" t="s">
        <v>1865</v>
      </c>
      <c r="AF42" s="193" t="s">
        <v>876</v>
      </c>
      <c r="AG42" s="193" t="s">
        <v>874</v>
      </c>
      <c r="AH42" s="193" t="s">
        <v>876</v>
      </c>
      <c r="AI42" s="193" t="s">
        <v>876</v>
      </c>
      <c r="AJ42" s="193" t="s">
        <v>1431</v>
      </c>
      <c r="AK42" s="193" t="s">
        <v>1431</v>
      </c>
      <c r="AL42" s="193" t="s">
        <v>1431</v>
      </c>
    </row>
    <row r="43" spans="1:38">
      <c r="A43" t="e">
        <f t="shared" ca="1" si="4"/>
        <v>#NAME?</v>
      </c>
      <c r="B43" t="e">
        <f ca="1">_xll.BDP(I43&amp;" CORP",$B$4)</f>
        <v>#NAME?</v>
      </c>
      <c r="C43" t="e" cm="1">
        <f t="array" aca="1" ref="C43" ca="1">_xll.BDP($B43&amp;" CORP",$C$3)</f>
        <v>#NAME?</v>
      </c>
      <c r="D43" t="e" cm="1">
        <f t="array" aca="1" ref="D43" ca="1">_xll.BDP($B43&amp;" CORP",$D$3)</f>
        <v>#NAME?</v>
      </c>
      <c r="E43" t="e" cm="1">
        <f t="array" aca="1" ref="E43" ca="1">_xll.BDP($B43&amp;" CORP",$E$3)</f>
        <v>#NAME?</v>
      </c>
      <c r="F43" s="204" t="e" cm="1">
        <f t="array" aca="1" ref="F43" ca="1">_xll.BDP($B43&amp;" CORP",$F$3)</f>
        <v>#NAME?</v>
      </c>
      <c r="G43" s="193" t="s">
        <v>3727</v>
      </c>
      <c r="H43" s="193" t="s">
        <v>3724</v>
      </c>
      <c r="I43" s="193" t="s">
        <v>3728</v>
      </c>
      <c r="J43" s="193" t="s">
        <v>3728</v>
      </c>
      <c r="K43" s="193" t="s">
        <v>3726</v>
      </c>
      <c r="L43" s="193" t="s">
        <v>3707</v>
      </c>
      <c r="M43" s="193">
        <v>350000000</v>
      </c>
      <c r="N43" s="193">
        <v>9.9986310746064344</v>
      </c>
      <c r="O43" s="193" t="s">
        <v>3326</v>
      </c>
      <c r="P43" s="193">
        <v>130</v>
      </c>
      <c r="Q43" s="193">
        <v>110</v>
      </c>
      <c r="R43" s="193">
        <v>-20</v>
      </c>
      <c r="S43" s="193">
        <v>5</v>
      </c>
      <c r="T43" s="193">
        <v>1300</v>
      </c>
      <c r="U43" s="193">
        <v>1300000000</v>
      </c>
      <c r="V43" s="193">
        <v>1500</v>
      </c>
      <c r="W43" s="193">
        <v>3.7</v>
      </c>
      <c r="X43" s="193">
        <v>0</v>
      </c>
      <c r="Y43" s="193">
        <v>-13.33</v>
      </c>
      <c r="Z43" s="193">
        <v>106.6103</v>
      </c>
      <c r="AA43" s="193">
        <v>95</v>
      </c>
      <c r="AB43" s="193">
        <v>12</v>
      </c>
      <c r="AC43" s="193" t="s">
        <v>1428</v>
      </c>
      <c r="AD43" s="193" t="s">
        <v>1864</v>
      </c>
      <c r="AE43" s="193" t="s">
        <v>1865</v>
      </c>
      <c r="AF43" s="193" t="s">
        <v>876</v>
      </c>
      <c r="AG43" s="193" t="s">
        <v>874</v>
      </c>
      <c r="AH43" s="193" t="s">
        <v>876</v>
      </c>
      <c r="AI43" s="193" t="s">
        <v>876</v>
      </c>
      <c r="AJ43" s="193" t="s">
        <v>1431</v>
      </c>
      <c r="AK43" s="193" t="s">
        <v>1431</v>
      </c>
      <c r="AL43" s="193" t="s">
        <v>1431</v>
      </c>
    </row>
    <row r="44" spans="1:38">
      <c r="A44" t="e">
        <f t="shared" ca="1" si="4"/>
        <v>#NAME?</v>
      </c>
      <c r="B44" t="e">
        <f ca="1">_xll.BDP(I44&amp;" CORP",$B$4)</f>
        <v>#NAME?</v>
      </c>
      <c r="C44" t="e" cm="1">
        <f t="array" aca="1" ref="C44" ca="1">_xll.BDP($B44&amp;" CORP",$C$3)</f>
        <v>#NAME?</v>
      </c>
      <c r="D44" t="e" cm="1">
        <f t="array" aca="1" ref="D44" ca="1">_xll.BDP($B44&amp;" CORP",$D$3)</f>
        <v>#NAME?</v>
      </c>
      <c r="E44" t="e" cm="1">
        <f t="array" aca="1" ref="E44" ca="1">_xll.BDP($B44&amp;" CORP",$E$3)</f>
        <v>#NAME?</v>
      </c>
      <c r="F44" s="204" t="e" cm="1">
        <f t="array" aca="1" ref="F44" ca="1">_xll.BDP($B44&amp;" CORP",$F$3)</f>
        <v>#NAME?</v>
      </c>
      <c r="G44" s="193" t="s">
        <v>3729</v>
      </c>
      <c r="H44" s="193" t="s">
        <v>3730</v>
      </c>
      <c r="I44" s="193" t="s">
        <v>3731</v>
      </c>
      <c r="J44" s="193" t="s">
        <v>3731</v>
      </c>
      <c r="K44" s="193" t="s">
        <v>3732</v>
      </c>
      <c r="L44" s="193" t="s">
        <v>3707</v>
      </c>
      <c r="M44" s="193">
        <v>600000000</v>
      </c>
      <c r="N44" s="193">
        <v>4.9993155373032172</v>
      </c>
      <c r="O44" s="193" t="s">
        <v>3404</v>
      </c>
      <c r="P44" s="193">
        <v>160</v>
      </c>
      <c r="Q44" s="193">
        <v>130</v>
      </c>
      <c r="R44" s="193">
        <v>-30</v>
      </c>
      <c r="S44" s="193">
        <v>10</v>
      </c>
      <c r="T44" s="193">
        <v>3900</v>
      </c>
      <c r="U44" s="193">
        <v>3900000000</v>
      </c>
      <c r="V44" s="193">
        <v>4000</v>
      </c>
      <c r="W44" s="193">
        <v>6.5</v>
      </c>
      <c r="X44" s="193">
        <v>0</v>
      </c>
      <c r="Y44" s="193">
        <v>-2.5</v>
      </c>
      <c r="Z44" s="193">
        <v>121.6742</v>
      </c>
      <c r="AA44" s="193">
        <v>130</v>
      </c>
      <c r="AB44" s="193">
        <v>-8</v>
      </c>
      <c r="AC44" s="193" t="s">
        <v>1433</v>
      </c>
      <c r="AD44" s="193" t="s">
        <v>3733</v>
      </c>
      <c r="AE44" s="193" t="s">
        <v>3734</v>
      </c>
      <c r="AF44" s="193" t="s">
        <v>932</v>
      </c>
      <c r="AG44" s="193" t="s">
        <v>969</v>
      </c>
      <c r="AH44" s="193" t="s">
        <v>877</v>
      </c>
      <c r="AI44" s="193" t="s">
        <v>877</v>
      </c>
      <c r="AJ44" s="193" t="s">
        <v>1431</v>
      </c>
      <c r="AK44" s="193" t="s">
        <v>1431</v>
      </c>
      <c r="AL44" s="193" t="s">
        <v>1431</v>
      </c>
    </row>
    <row r="45" spans="1:38">
      <c r="A45" t="e">
        <f t="shared" ca="1" si="4"/>
        <v>#NAME?</v>
      </c>
      <c r="B45" t="e">
        <f ca="1">_xll.BDP(I45&amp;" CORP",$B$4)</f>
        <v>#NAME?</v>
      </c>
      <c r="C45" t="e" cm="1">
        <f t="array" aca="1" ref="C45" ca="1">_xll.BDP($B45&amp;" CORP",$C$3)</f>
        <v>#NAME?</v>
      </c>
      <c r="D45" t="e" cm="1">
        <f t="array" aca="1" ref="D45" ca="1">_xll.BDP($B45&amp;" CORP",$D$3)</f>
        <v>#NAME?</v>
      </c>
      <c r="E45" t="e" cm="1">
        <f t="array" aca="1" ref="E45" ca="1">_xll.BDP($B45&amp;" CORP",$E$3)</f>
        <v>#NAME?</v>
      </c>
      <c r="F45" s="204" t="e" cm="1">
        <f t="array" aca="1" ref="F45" ca="1">_xll.BDP($B45&amp;" CORP",$F$3)</f>
        <v>#NAME?</v>
      </c>
      <c r="G45" s="193" t="s">
        <v>3735</v>
      </c>
      <c r="H45" s="193" t="s">
        <v>3736</v>
      </c>
      <c r="I45" s="193" t="s">
        <v>3737</v>
      </c>
      <c r="J45" s="193" t="s">
        <v>3737</v>
      </c>
      <c r="K45" s="193" t="s">
        <v>3738</v>
      </c>
      <c r="L45" s="193" t="s">
        <v>3707</v>
      </c>
      <c r="M45" s="193">
        <v>600000000</v>
      </c>
      <c r="N45" s="193">
        <v>3.0390143737166326</v>
      </c>
      <c r="O45" s="193" t="s">
        <v>3706</v>
      </c>
      <c r="P45" s="193">
        <v>75</v>
      </c>
      <c r="Q45" s="193">
        <v>45</v>
      </c>
      <c r="R45" s="193">
        <v>-30</v>
      </c>
      <c r="S45" s="193">
        <v>0</v>
      </c>
      <c r="T45" s="193">
        <v>2000</v>
      </c>
      <c r="U45" s="193">
        <v>2000000000</v>
      </c>
      <c r="V45" s="193">
        <v>3000</v>
      </c>
      <c r="W45" s="193">
        <v>3.3</v>
      </c>
      <c r="X45" s="193">
        <v>0</v>
      </c>
      <c r="Y45" s="193">
        <v>-33.33</v>
      </c>
      <c r="Z45" s="193">
        <v>43.319499999999998</v>
      </c>
      <c r="AA45" s="193">
        <v>45</v>
      </c>
      <c r="AB45" s="193">
        <v>-2</v>
      </c>
      <c r="AC45" s="193" t="s">
        <v>1428</v>
      </c>
      <c r="AD45" s="193" t="s">
        <v>1864</v>
      </c>
      <c r="AE45" s="193" t="s">
        <v>3704</v>
      </c>
      <c r="AF45" s="193" t="s">
        <v>938</v>
      </c>
      <c r="AG45" s="193" t="s">
        <v>942</v>
      </c>
      <c r="AH45" s="193" t="s">
        <v>1432</v>
      </c>
      <c r="AI45" s="193" t="s">
        <v>938</v>
      </c>
      <c r="AJ45" s="193" t="s">
        <v>1431</v>
      </c>
      <c r="AK45" s="193" t="s">
        <v>1431</v>
      </c>
      <c r="AL45" s="193" t="s">
        <v>1431</v>
      </c>
    </row>
    <row r="46" spans="1:38">
      <c r="A46" t="e">
        <f t="shared" ca="1" si="4"/>
        <v>#NAME?</v>
      </c>
      <c r="B46" t="e">
        <f ca="1">_xll.BDP(I46&amp;" CORP",$B$4)</f>
        <v>#NAME?</v>
      </c>
      <c r="C46" t="e" cm="1">
        <f t="array" aca="1" ref="C46" ca="1">_xll.BDP($B46&amp;" CORP",$C$3)</f>
        <v>#NAME?</v>
      </c>
      <c r="D46" t="e" cm="1">
        <f t="array" aca="1" ref="D46" ca="1">_xll.BDP($B46&amp;" CORP",$D$3)</f>
        <v>#NAME?</v>
      </c>
      <c r="E46" t="e" cm="1">
        <f t="array" aca="1" ref="E46" ca="1">_xll.BDP($B46&amp;" CORP",$E$3)</f>
        <v>#NAME?</v>
      </c>
      <c r="F46" s="204" t="e" cm="1">
        <f t="array" aca="1" ref="F46" ca="1">_xll.BDP($B46&amp;" CORP",$F$3)</f>
        <v>#NAME?</v>
      </c>
      <c r="G46" s="193" t="s">
        <v>3739</v>
      </c>
      <c r="H46" s="193" t="s">
        <v>3736</v>
      </c>
      <c r="I46" s="193" t="s">
        <v>3740</v>
      </c>
      <c r="J46" s="193" t="s">
        <v>3740</v>
      </c>
      <c r="K46" s="193" t="s">
        <v>3738</v>
      </c>
      <c r="L46" s="193" t="s">
        <v>3707</v>
      </c>
      <c r="M46" s="193">
        <v>650000000</v>
      </c>
      <c r="N46" s="193">
        <v>5.3223819301848048</v>
      </c>
      <c r="O46" s="193" t="s">
        <v>3741</v>
      </c>
      <c r="P46" s="193">
        <v>90</v>
      </c>
      <c r="Q46" s="193">
        <v>60</v>
      </c>
      <c r="R46" s="193">
        <v>-30</v>
      </c>
      <c r="S46" s="193">
        <v>0</v>
      </c>
      <c r="T46" s="193">
        <v>2000</v>
      </c>
      <c r="U46" s="193">
        <v>2000000000</v>
      </c>
      <c r="V46" s="193">
        <v>3000</v>
      </c>
      <c r="W46" s="193">
        <v>3.1</v>
      </c>
      <c r="X46" s="193">
        <v>0</v>
      </c>
      <c r="Y46" s="193">
        <v>-33.33</v>
      </c>
      <c r="Z46" s="193">
        <v>61.223099999999953</v>
      </c>
      <c r="AA46" s="193">
        <v>60</v>
      </c>
      <c r="AB46" s="193">
        <v>1</v>
      </c>
      <c r="AC46" s="193" t="s">
        <v>1428</v>
      </c>
      <c r="AD46" s="193" t="s">
        <v>1864</v>
      </c>
      <c r="AE46" s="193" t="s">
        <v>3704</v>
      </c>
      <c r="AF46" s="193" t="s">
        <v>938</v>
      </c>
      <c r="AG46" s="193" t="s">
        <v>942</v>
      </c>
      <c r="AH46" s="193" t="s">
        <v>1432</v>
      </c>
      <c r="AI46" s="193" t="s">
        <v>938</v>
      </c>
      <c r="AJ46" s="193" t="s">
        <v>1431</v>
      </c>
      <c r="AK46" s="193" t="s">
        <v>1431</v>
      </c>
      <c r="AL46" s="193" t="s">
        <v>1431</v>
      </c>
    </row>
    <row r="47" spans="1:38">
      <c r="A47" t="e">
        <f t="shared" ca="1" si="4"/>
        <v>#NAME?</v>
      </c>
      <c r="B47" t="e">
        <f ca="1">_xll.BDP(I47&amp;" CORP",$B$4)</f>
        <v>#NAME?</v>
      </c>
      <c r="C47" t="e" cm="1">
        <f t="array" aca="1" ref="C47" ca="1">_xll.BDP($B47&amp;" CORP",$C$3)</f>
        <v>#NAME?</v>
      </c>
      <c r="D47" t="e" cm="1">
        <f t="array" aca="1" ref="D47" ca="1">_xll.BDP($B47&amp;" CORP",$D$3)</f>
        <v>#NAME?</v>
      </c>
      <c r="E47" t="e" cm="1">
        <f t="array" aca="1" ref="E47" ca="1">_xll.BDP($B47&amp;" CORP",$E$3)</f>
        <v>#NAME?</v>
      </c>
      <c r="F47" s="204" t="e" cm="1">
        <f t="array" aca="1" ref="F47" ca="1">_xll.BDP($B47&amp;" CORP",$F$3)</f>
        <v>#NAME?</v>
      </c>
      <c r="G47" s="193" t="s">
        <v>3742</v>
      </c>
      <c r="H47" s="193" t="s">
        <v>1444</v>
      </c>
      <c r="I47" s="193" t="s">
        <v>3743</v>
      </c>
      <c r="J47" s="193" t="s">
        <v>3743</v>
      </c>
      <c r="K47" s="193" t="s">
        <v>1445</v>
      </c>
      <c r="L47" s="193" t="s">
        <v>3707</v>
      </c>
      <c r="M47" s="193">
        <v>400000000</v>
      </c>
      <c r="N47" s="193">
        <v>3.0006844626967832</v>
      </c>
      <c r="O47" s="193" t="s">
        <v>3744</v>
      </c>
      <c r="P47" s="193">
        <v>62.5</v>
      </c>
      <c r="Q47" s="193">
        <v>37.5</v>
      </c>
      <c r="R47" s="193">
        <v>-25</v>
      </c>
      <c r="S47" s="193">
        <v>4.5</v>
      </c>
      <c r="T47" s="193">
        <v>1350</v>
      </c>
      <c r="U47" s="193">
        <v>1350000000</v>
      </c>
      <c r="V47" s="193">
        <v>1600</v>
      </c>
      <c r="W47" s="193">
        <v>3.4</v>
      </c>
      <c r="X47" s="193">
        <v>0</v>
      </c>
      <c r="Y47" s="193">
        <v>-15.63</v>
      </c>
      <c r="Z47" s="193">
        <v>31.020499999999984</v>
      </c>
      <c r="AA47" s="193">
        <v>37.5</v>
      </c>
      <c r="AB47" s="193">
        <v>-6</v>
      </c>
      <c r="AC47" s="193" t="s">
        <v>1433</v>
      </c>
      <c r="AD47" s="193" t="s">
        <v>1434</v>
      </c>
      <c r="AE47" s="193" t="s">
        <v>1435</v>
      </c>
      <c r="AF47" s="193" t="s">
        <v>953</v>
      </c>
      <c r="AG47" s="193" t="s">
        <v>939</v>
      </c>
      <c r="AH47" s="193" t="s">
        <v>1432</v>
      </c>
      <c r="AI47" s="193" t="s">
        <v>953</v>
      </c>
      <c r="AJ47" s="193" t="s">
        <v>1431</v>
      </c>
      <c r="AK47" s="193" t="s">
        <v>1431</v>
      </c>
      <c r="AL47" s="193" t="s">
        <v>1431</v>
      </c>
    </row>
    <row r="48" spans="1:38">
      <c r="A48" t="e">
        <f t="shared" ca="1" si="4"/>
        <v>#NAME?</v>
      </c>
      <c r="B48" t="e">
        <f ca="1">_xll.BDP(I48&amp;" CORP",$B$4)</f>
        <v>#NAME?</v>
      </c>
      <c r="C48" t="e" cm="1">
        <f t="array" aca="1" ref="C48" ca="1">_xll.BDP($B48&amp;" CORP",$C$3)</f>
        <v>#NAME?</v>
      </c>
      <c r="D48" t="e" cm="1">
        <f t="array" aca="1" ref="D48" ca="1">_xll.BDP($B48&amp;" CORP",$D$3)</f>
        <v>#NAME?</v>
      </c>
      <c r="E48" t="e" cm="1">
        <f t="array" aca="1" ref="E48" ca="1">_xll.BDP($B48&amp;" CORP",$E$3)</f>
        <v>#NAME?</v>
      </c>
      <c r="F48" s="204" t="e" cm="1">
        <f t="array" aca="1" ref="F48" ca="1">_xll.BDP($B48&amp;" CORP",$F$3)</f>
        <v>#NAME?</v>
      </c>
      <c r="G48" s="193" t="s">
        <v>3745</v>
      </c>
      <c r="H48" s="193" t="s">
        <v>3746</v>
      </c>
      <c r="I48" s="193" t="s">
        <v>3747</v>
      </c>
      <c r="J48" s="193" t="s">
        <v>3747</v>
      </c>
      <c r="K48" s="193" t="s">
        <v>3748</v>
      </c>
      <c r="L48" s="193" t="s">
        <v>3707</v>
      </c>
      <c r="M48" s="193">
        <v>1250000000</v>
      </c>
      <c r="N48" s="193">
        <v>5.0047912388774813</v>
      </c>
      <c r="O48" s="193" t="s">
        <v>3107</v>
      </c>
      <c r="P48" s="193">
        <v>110</v>
      </c>
      <c r="Q48" s="193">
        <v>85</v>
      </c>
      <c r="R48" s="193">
        <v>-25</v>
      </c>
      <c r="S48" s="193">
        <v>10</v>
      </c>
      <c r="T48" s="193">
        <v>2030</v>
      </c>
      <c r="U48" s="193">
        <v>2030000000</v>
      </c>
      <c r="V48" s="193">
        <v>2850</v>
      </c>
      <c r="W48" s="193">
        <v>1.6</v>
      </c>
      <c r="X48" s="193">
        <v>0</v>
      </c>
      <c r="Y48" s="193">
        <v>-28.77</v>
      </c>
      <c r="Z48" s="193">
        <v>83.689299999999989</v>
      </c>
      <c r="AA48" s="193">
        <v>85</v>
      </c>
      <c r="AB48" s="193">
        <v>-1</v>
      </c>
      <c r="AC48" s="193" t="s">
        <v>1428</v>
      </c>
      <c r="AD48" s="193" t="s">
        <v>1436</v>
      </c>
      <c r="AE48" s="193" t="s">
        <v>1914</v>
      </c>
      <c r="AF48" s="193" t="s">
        <v>950</v>
      </c>
      <c r="AG48" s="193" t="s">
        <v>875</v>
      </c>
      <c r="AH48" s="193" t="s">
        <v>950</v>
      </c>
      <c r="AI48" s="193" t="s">
        <v>932</v>
      </c>
      <c r="AJ48" s="193" t="s">
        <v>1431</v>
      </c>
      <c r="AK48" s="193" t="s">
        <v>1431</v>
      </c>
      <c r="AL48" s="193" t="s">
        <v>1431</v>
      </c>
    </row>
    <row r="49" spans="1:38">
      <c r="A49" t="e">
        <f t="shared" ca="1" si="4"/>
        <v>#NAME?</v>
      </c>
      <c r="B49" t="e">
        <f ca="1">_xll.BDP(I49&amp;" CORP",$B$4)</f>
        <v>#NAME?</v>
      </c>
      <c r="C49" t="e" cm="1">
        <f t="array" aca="1" ref="C49" ca="1">_xll.BDP($B49&amp;" CORP",$C$3)</f>
        <v>#NAME?</v>
      </c>
      <c r="D49" t="e" cm="1">
        <f t="array" aca="1" ref="D49" ca="1">_xll.BDP($B49&amp;" CORP",$D$3)</f>
        <v>#NAME?</v>
      </c>
      <c r="E49" t="e" cm="1">
        <f t="array" aca="1" ref="E49" ca="1">_xll.BDP($B49&amp;" CORP",$E$3)</f>
        <v>#NAME?</v>
      </c>
      <c r="F49" s="204" t="e" cm="1">
        <f t="array" aca="1" ref="F49" ca="1">_xll.BDP($B49&amp;" CORP",$F$3)</f>
        <v>#NAME?</v>
      </c>
      <c r="G49" s="193" t="s">
        <v>3749</v>
      </c>
      <c r="H49" s="193" t="s">
        <v>2764</v>
      </c>
      <c r="I49" s="193" t="s">
        <v>2765</v>
      </c>
      <c r="J49" s="193" t="s">
        <v>2765</v>
      </c>
      <c r="K49" s="193" t="s">
        <v>2766</v>
      </c>
      <c r="L49" s="193" t="s">
        <v>3707</v>
      </c>
      <c r="M49" s="193">
        <v>100000000</v>
      </c>
      <c r="N49" s="193">
        <v>4.9993155373032172</v>
      </c>
      <c r="O49" s="193" t="s">
        <v>3750</v>
      </c>
      <c r="P49" s="193">
        <v>100</v>
      </c>
      <c r="Q49" s="193">
        <v>77</v>
      </c>
      <c r="R49" s="193">
        <v>-23</v>
      </c>
      <c r="S49" s="193">
        <v>7</v>
      </c>
      <c r="T49" s="193">
        <v>450</v>
      </c>
      <c r="U49" s="193">
        <v>450000000</v>
      </c>
      <c r="V49" s="193"/>
      <c r="W49" s="193">
        <v>4.5</v>
      </c>
      <c r="X49" s="193"/>
      <c r="Y49" s="193"/>
      <c r="Z49" s="193">
        <v>71.307600000000008</v>
      </c>
      <c r="AA49" s="193">
        <v>100</v>
      </c>
      <c r="AB49" s="193">
        <v>-29</v>
      </c>
      <c r="AC49" s="193" t="s">
        <v>1441</v>
      </c>
      <c r="AD49" s="193" t="s">
        <v>1442</v>
      </c>
      <c r="AE49" s="193" t="s">
        <v>1443</v>
      </c>
      <c r="AF49" s="193" t="s">
        <v>938</v>
      </c>
      <c r="AG49" s="193" t="s">
        <v>942</v>
      </c>
      <c r="AH49" s="193" t="s">
        <v>1432</v>
      </c>
      <c r="AI49" s="193" t="s">
        <v>938</v>
      </c>
      <c r="AJ49" s="193" t="s">
        <v>1431</v>
      </c>
      <c r="AK49" s="193" t="s">
        <v>1431</v>
      </c>
      <c r="AL49" s="193" t="s">
        <v>1431</v>
      </c>
    </row>
    <row r="50" spans="1:38">
      <c r="A50" t="e">
        <f t="shared" ca="1" si="4"/>
        <v>#NAME?</v>
      </c>
      <c r="B50" t="e">
        <f ca="1">_xll.BDP(I50&amp;" CORP",$B$4)</f>
        <v>#NAME?</v>
      </c>
      <c r="C50" t="e" cm="1">
        <f t="array" aca="1" ref="C50" ca="1">_xll.BDP($B50&amp;" CORP",$C$3)</f>
        <v>#NAME?</v>
      </c>
      <c r="D50" t="e" cm="1">
        <f t="array" aca="1" ref="D50" ca="1">_xll.BDP($B50&amp;" CORP",$D$3)</f>
        <v>#NAME?</v>
      </c>
      <c r="E50" t="e" cm="1">
        <f t="array" aca="1" ref="E50" ca="1">_xll.BDP($B50&amp;" CORP",$E$3)</f>
        <v>#NAME?</v>
      </c>
      <c r="F50" s="204" t="e" cm="1">
        <f t="array" aca="1" ref="F50" ca="1">_xll.BDP($B50&amp;" CORP",$F$3)</f>
        <v>#NAME?</v>
      </c>
      <c r="G50" s="193" t="s">
        <v>3751</v>
      </c>
      <c r="H50" s="193" t="s">
        <v>3752</v>
      </c>
      <c r="I50" s="193" t="s">
        <v>3753</v>
      </c>
      <c r="J50" s="193" t="s">
        <v>3753</v>
      </c>
      <c r="K50" s="193" t="s">
        <v>3754</v>
      </c>
      <c r="L50" s="464" t="s">
        <v>3914</v>
      </c>
      <c r="M50" s="193">
        <v>350000000</v>
      </c>
      <c r="N50" s="193">
        <v>7.1704312114989737</v>
      </c>
      <c r="O50" s="193"/>
      <c r="P50" s="193">
        <v>180</v>
      </c>
      <c r="Q50" s="193">
        <v>155</v>
      </c>
      <c r="R50" s="193">
        <v>-25</v>
      </c>
      <c r="S50" s="193">
        <v>5</v>
      </c>
      <c r="T50" s="193">
        <v>1800</v>
      </c>
      <c r="U50" s="193">
        <v>1800000000</v>
      </c>
      <c r="V50" s="193">
        <v>2000</v>
      </c>
      <c r="W50" s="193">
        <v>5.0999999999999996</v>
      </c>
      <c r="X50" s="193">
        <v>0</v>
      </c>
      <c r="Y50" s="193">
        <v>-10</v>
      </c>
      <c r="Z50" s="193">
        <v>144.07550000000003</v>
      </c>
      <c r="AA50" s="193">
        <v>155</v>
      </c>
      <c r="AB50" s="193">
        <v>-11</v>
      </c>
      <c r="AC50" s="193" t="s">
        <v>1428</v>
      </c>
      <c r="AD50" s="193" t="s">
        <v>1436</v>
      </c>
      <c r="AE50" s="193" t="s">
        <v>3755</v>
      </c>
      <c r="AF50" s="193" t="s">
        <v>877</v>
      </c>
      <c r="AG50" s="193" t="s">
        <v>875</v>
      </c>
      <c r="AH50" s="193" t="s">
        <v>1432</v>
      </c>
      <c r="AI50" s="193" t="s">
        <v>877</v>
      </c>
      <c r="AJ50" s="193" t="s">
        <v>1431</v>
      </c>
      <c r="AK50" s="193" t="s">
        <v>1431</v>
      </c>
      <c r="AL50" s="193" t="s">
        <v>1431</v>
      </c>
    </row>
    <row r="51" spans="1:38">
      <c r="A51" t="e">
        <f t="shared" ca="1" si="4"/>
        <v>#NAME?</v>
      </c>
      <c r="B51" t="e">
        <f ca="1">_xll.BDP(I51&amp;" CORP",$B$4)</f>
        <v>#NAME?</v>
      </c>
      <c r="C51" t="e" cm="1">
        <f t="array" aca="1" ref="C51" ca="1">_xll.BDP($B51&amp;" CORP",$C$3)</f>
        <v>#NAME?</v>
      </c>
      <c r="D51" t="e" cm="1">
        <f t="array" aca="1" ref="D51" ca="1">_xll.BDP($B51&amp;" CORP",$D$3)</f>
        <v>#NAME?</v>
      </c>
      <c r="E51" t="e" cm="1">
        <f t="array" aca="1" ref="E51" ca="1">_xll.BDP($B51&amp;" CORP",$E$3)</f>
        <v>#NAME?</v>
      </c>
      <c r="F51" s="204" t="e" cm="1">
        <f t="array" aca="1" ref="F51" ca="1">_xll.BDP($B51&amp;" CORP",$F$3)</f>
        <v>#NAME?</v>
      </c>
      <c r="G51" s="193" t="s">
        <v>3756</v>
      </c>
      <c r="H51" s="193" t="s">
        <v>3757</v>
      </c>
      <c r="I51" s="193" t="s">
        <v>3758</v>
      </c>
      <c r="J51" s="193" t="s">
        <v>3758</v>
      </c>
      <c r="K51" s="193" t="s">
        <v>1611</v>
      </c>
      <c r="L51" s="464" t="s">
        <v>3914</v>
      </c>
      <c r="M51" s="193">
        <v>600000000</v>
      </c>
      <c r="N51" s="193">
        <v>30.603696098562629</v>
      </c>
      <c r="O51" s="193"/>
      <c r="P51" s="193"/>
      <c r="Q51" s="193">
        <v>5.9</v>
      </c>
      <c r="R51" s="193">
        <v>-25</v>
      </c>
      <c r="S51" s="193"/>
      <c r="T51" s="193">
        <v>900</v>
      </c>
      <c r="U51" s="193">
        <v>900000000</v>
      </c>
      <c r="V51" s="193">
        <v>1950</v>
      </c>
      <c r="W51" s="193">
        <v>1.5</v>
      </c>
      <c r="X51" s="193">
        <v>-1</v>
      </c>
      <c r="Y51" s="193">
        <v>-53.85</v>
      </c>
      <c r="Z51" s="193">
        <v>219.76990000000001</v>
      </c>
      <c r="AA51" s="193">
        <v>217.9</v>
      </c>
      <c r="AB51" s="193">
        <v>2</v>
      </c>
      <c r="AC51" s="193" t="s">
        <v>1441</v>
      </c>
      <c r="AD51" s="193" t="s">
        <v>1442</v>
      </c>
      <c r="AE51" s="193" t="s">
        <v>1443</v>
      </c>
      <c r="AF51" s="193" t="s">
        <v>877</v>
      </c>
      <c r="AG51" s="193" t="s">
        <v>969</v>
      </c>
      <c r="AH51" s="193" t="s">
        <v>1432</v>
      </c>
      <c r="AI51" s="193" t="s">
        <v>877</v>
      </c>
      <c r="AJ51" s="193" t="s">
        <v>1431</v>
      </c>
      <c r="AK51" s="193" t="s">
        <v>1431</v>
      </c>
      <c r="AL51" s="193" t="s">
        <v>1431</v>
      </c>
    </row>
    <row r="52" spans="1:38">
      <c r="A52" t="e">
        <f t="shared" ca="1" si="4"/>
        <v>#NAME?</v>
      </c>
      <c r="B52" t="e">
        <f ca="1">_xll.BDP(I52&amp;" CORP",$B$4)</f>
        <v>#NAME?</v>
      </c>
      <c r="C52" t="e" cm="1">
        <f t="array" aca="1" ref="C52" ca="1">_xll.BDP($B52&amp;" CORP",$C$3)</f>
        <v>#NAME?</v>
      </c>
      <c r="D52" t="e" cm="1">
        <f t="array" aca="1" ref="D52" ca="1">_xll.BDP($B52&amp;" CORP",$D$3)</f>
        <v>#NAME?</v>
      </c>
      <c r="E52" t="e" cm="1">
        <f t="array" aca="1" ref="E52" ca="1">_xll.BDP($B52&amp;" CORP",$E$3)</f>
        <v>#NAME?</v>
      </c>
      <c r="F52" s="204" t="e" cm="1">
        <f t="array" aca="1" ref="F52" ca="1">_xll.BDP($B52&amp;" CORP",$F$3)</f>
        <v>#NAME?</v>
      </c>
      <c r="G52" s="193" t="s">
        <v>3759</v>
      </c>
      <c r="H52" s="193" t="s">
        <v>3757</v>
      </c>
      <c r="I52" s="193" t="s">
        <v>3760</v>
      </c>
      <c r="J52" s="193" t="s">
        <v>3760</v>
      </c>
      <c r="K52" s="193" t="s">
        <v>1611</v>
      </c>
      <c r="L52" s="464" t="s">
        <v>3914</v>
      </c>
      <c r="M52" s="193">
        <v>700000000</v>
      </c>
      <c r="N52" s="193">
        <v>30.603696098562629</v>
      </c>
      <c r="O52" s="193"/>
      <c r="P52" s="193"/>
      <c r="Q52" s="193">
        <v>6.1</v>
      </c>
      <c r="R52" s="193">
        <v>-28</v>
      </c>
      <c r="S52" s="193"/>
      <c r="T52" s="193">
        <v>1750</v>
      </c>
      <c r="U52" s="193">
        <v>1750000000</v>
      </c>
      <c r="V52" s="193">
        <v>2950</v>
      </c>
      <c r="W52" s="193">
        <v>2.5</v>
      </c>
      <c r="X52" s="193">
        <v>0</v>
      </c>
      <c r="Y52" s="193">
        <v>-40.68</v>
      </c>
      <c r="Z52" s="193">
        <v>195.80780000000004</v>
      </c>
      <c r="AA52" s="193">
        <v>201.3</v>
      </c>
      <c r="AB52" s="193">
        <v>-5</v>
      </c>
      <c r="AC52" s="193" t="s">
        <v>1441</v>
      </c>
      <c r="AD52" s="193" t="s">
        <v>1442</v>
      </c>
      <c r="AE52" s="193" t="s">
        <v>1443</v>
      </c>
      <c r="AF52" s="193" t="s">
        <v>877</v>
      </c>
      <c r="AG52" s="193" t="s">
        <v>969</v>
      </c>
      <c r="AH52" s="193" t="s">
        <v>1432</v>
      </c>
      <c r="AI52" s="193" t="s">
        <v>877</v>
      </c>
      <c r="AJ52" s="193" t="s">
        <v>1431</v>
      </c>
      <c r="AK52" s="193" t="s">
        <v>1431</v>
      </c>
      <c r="AL52" s="193" t="s">
        <v>1431</v>
      </c>
    </row>
    <row r="53" spans="1:38">
      <c r="A53" t="e">
        <f t="shared" ca="1" si="4"/>
        <v>#NAME?</v>
      </c>
      <c r="B53" t="e">
        <f ca="1">_xll.BDP(I53&amp;" CORP",$B$4)</f>
        <v>#NAME?</v>
      </c>
      <c r="C53" t="e" cm="1">
        <f t="array" aca="1" ref="C53" ca="1">_xll.BDP($B53&amp;" CORP",$C$3)</f>
        <v>#NAME?</v>
      </c>
      <c r="D53" t="e" cm="1">
        <f t="array" aca="1" ref="D53" ca="1">_xll.BDP($B53&amp;" CORP",$D$3)</f>
        <v>#NAME?</v>
      </c>
      <c r="E53" t="e" cm="1">
        <f t="array" aca="1" ref="E53" ca="1">_xll.BDP($B53&amp;" CORP",$E$3)</f>
        <v>#NAME?</v>
      </c>
      <c r="F53" s="204" t="e" cm="1">
        <f t="array" aca="1" ref="F53" ca="1">_xll.BDP($B53&amp;" CORP",$F$3)</f>
        <v>#NAME?</v>
      </c>
      <c r="G53" s="193" t="s">
        <v>3761</v>
      </c>
      <c r="H53" s="193" t="s">
        <v>3762</v>
      </c>
      <c r="I53" s="193" t="s">
        <v>3763</v>
      </c>
      <c r="J53" s="193" t="s">
        <v>3763</v>
      </c>
      <c r="K53" s="193" t="s">
        <v>3764</v>
      </c>
      <c r="L53" s="464" t="s">
        <v>3914</v>
      </c>
      <c r="M53" s="193">
        <v>600000000</v>
      </c>
      <c r="N53" s="193">
        <v>10.023271731690622</v>
      </c>
      <c r="O53" s="193"/>
      <c r="P53" s="193">
        <v>175</v>
      </c>
      <c r="Q53" s="193">
        <v>150</v>
      </c>
      <c r="R53" s="193">
        <v>-25</v>
      </c>
      <c r="S53" s="193">
        <v>15</v>
      </c>
      <c r="T53" s="193">
        <v>1800</v>
      </c>
      <c r="U53" s="193">
        <v>1800000000</v>
      </c>
      <c r="V53" s="193">
        <v>3200</v>
      </c>
      <c r="W53" s="193">
        <v>3</v>
      </c>
      <c r="X53" s="193">
        <v>0</v>
      </c>
      <c r="Y53" s="193">
        <v>-43.75</v>
      </c>
      <c r="Z53" s="193">
        <v>146.81770000000006</v>
      </c>
      <c r="AA53" s="193">
        <v>150</v>
      </c>
      <c r="AB53" s="193">
        <v>-3</v>
      </c>
      <c r="AC53" s="193" t="s">
        <v>1872</v>
      </c>
      <c r="AD53" s="193" t="s">
        <v>1873</v>
      </c>
      <c r="AE53" s="193" t="s">
        <v>2059</v>
      </c>
      <c r="AF53" s="193" t="s">
        <v>950</v>
      </c>
      <c r="AG53" s="193" t="s">
        <v>875</v>
      </c>
      <c r="AH53" s="193" t="s">
        <v>932</v>
      </c>
      <c r="AI53" s="193" t="s">
        <v>932</v>
      </c>
      <c r="AJ53" s="193" t="s">
        <v>1431</v>
      </c>
      <c r="AK53" s="193" t="s">
        <v>1431</v>
      </c>
      <c r="AL53" s="193" t="s">
        <v>1431</v>
      </c>
    </row>
    <row r="54" spans="1:38">
      <c r="A54" t="e">
        <f t="shared" ca="1" si="4"/>
        <v>#NAME?</v>
      </c>
      <c r="B54" t="e">
        <f ca="1">_xll.BDP(I54&amp;" CORP",$B$4)</f>
        <v>#NAME?</v>
      </c>
      <c r="C54" t="e" cm="1">
        <f t="array" aca="1" ref="C54" ca="1">_xll.BDP($B54&amp;" CORP",$C$3)</f>
        <v>#NAME?</v>
      </c>
      <c r="D54" t="e" cm="1">
        <f t="array" aca="1" ref="D54" ca="1">_xll.BDP($B54&amp;" CORP",$D$3)</f>
        <v>#NAME?</v>
      </c>
      <c r="E54" t="e" cm="1">
        <f t="array" aca="1" ref="E54" ca="1">_xll.BDP($B54&amp;" CORP",$E$3)</f>
        <v>#NAME?</v>
      </c>
      <c r="F54" s="204" t="e" cm="1">
        <f t="array" aca="1" ref="F54" ca="1">_xll.BDP($B54&amp;" CORP",$F$3)</f>
        <v>#NAME?</v>
      </c>
      <c r="G54" s="193" t="s">
        <v>3765</v>
      </c>
      <c r="H54" s="193" t="s">
        <v>3762</v>
      </c>
      <c r="I54" s="193" t="s">
        <v>3766</v>
      </c>
      <c r="J54" s="193" t="s">
        <v>3766</v>
      </c>
      <c r="K54" s="193" t="s">
        <v>3764</v>
      </c>
      <c r="L54" s="464" t="s">
        <v>3914</v>
      </c>
      <c r="M54" s="193">
        <v>600000000</v>
      </c>
      <c r="N54" s="193">
        <v>30.023271731690624</v>
      </c>
      <c r="O54" s="193"/>
      <c r="P54" s="193">
        <v>200</v>
      </c>
      <c r="Q54" s="193">
        <v>175</v>
      </c>
      <c r="R54" s="193">
        <v>-25</v>
      </c>
      <c r="S54" s="193">
        <v>15</v>
      </c>
      <c r="T54" s="193">
        <v>1300</v>
      </c>
      <c r="U54" s="193">
        <v>1300000000</v>
      </c>
      <c r="V54" s="193">
        <v>2700</v>
      </c>
      <c r="W54" s="193">
        <v>2.2000000000000002</v>
      </c>
      <c r="X54" s="193">
        <v>-1</v>
      </c>
      <c r="Y54" s="193">
        <v>-51.85</v>
      </c>
      <c r="Z54" s="193">
        <v>167.34309999999999</v>
      </c>
      <c r="AA54" s="193">
        <v>175</v>
      </c>
      <c r="AB54" s="193">
        <v>-8</v>
      </c>
      <c r="AC54" s="193" t="s">
        <v>1872</v>
      </c>
      <c r="AD54" s="193" t="s">
        <v>1873</v>
      </c>
      <c r="AE54" s="193" t="s">
        <v>2059</v>
      </c>
      <c r="AF54" s="193" t="s">
        <v>950</v>
      </c>
      <c r="AG54" s="193" t="s">
        <v>875</v>
      </c>
      <c r="AH54" s="193" t="s">
        <v>932</v>
      </c>
      <c r="AI54" s="193" t="s">
        <v>932</v>
      </c>
      <c r="AJ54" s="193" t="s">
        <v>1431</v>
      </c>
      <c r="AK54" s="193" t="s">
        <v>1431</v>
      </c>
      <c r="AL54" s="193" t="s">
        <v>1431</v>
      </c>
    </row>
    <row r="55" spans="1:38">
      <c r="A55" t="e">
        <f t="shared" ca="1" si="4"/>
        <v>#NAME?</v>
      </c>
      <c r="B55" t="e">
        <f ca="1">_xll.BDP(I55&amp;" CORP",$B$4)</f>
        <v>#NAME?</v>
      </c>
      <c r="C55" t="e" cm="1">
        <f t="array" aca="1" ref="C55" ca="1">_xll.BDP($B55&amp;" CORP",$C$3)</f>
        <v>#NAME?</v>
      </c>
      <c r="D55" t="e" cm="1">
        <f t="array" aca="1" ref="D55" ca="1">_xll.BDP($B55&amp;" CORP",$D$3)</f>
        <v>#NAME?</v>
      </c>
      <c r="E55" t="e" cm="1">
        <f t="array" aca="1" ref="E55" ca="1">_xll.BDP($B55&amp;" CORP",$E$3)</f>
        <v>#NAME?</v>
      </c>
      <c r="F55" s="204" t="e" cm="1">
        <f t="array" aca="1" ref="F55" ca="1">_xll.BDP($B55&amp;" CORP",$F$3)</f>
        <v>#NAME?</v>
      </c>
      <c r="G55" s="193" t="s">
        <v>3767</v>
      </c>
      <c r="H55" s="193" t="s">
        <v>1870</v>
      </c>
      <c r="I55" s="193" t="s">
        <v>3768</v>
      </c>
      <c r="J55" s="193" t="s">
        <v>3768</v>
      </c>
      <c r="K55" s="193" t="s">
        <v>1569</v>
      </c>
      <c r="L55" s="193"/>
      <c r="M55" s="193"/>
      <c r="N55" s="193">
        <v>8</v>
      </c>
      <c r="O55" s="193"/>
      <c r="P55" s="193">
        <v>120</v>
      </c>
      <c r="Q55" s="193">
        <v>95</v>
      </c>
      <c r="R55" s="193">
        <v>-25</v>
      </c>
      <c r="S55" s="193">
        <v>5</v>
      </c>
      <c r="T55" s="193"/>
      <c r="U55" s="193"/>
      <c r="V55" s="193">
        <v>5500</v>
      </c>
      <c r="W55" s="193"/>
      <c r="X55" s="193"/>
      <c r="Y55" s="193"/>
      <c r="Z55" s="193">
        <v>93.082300000000018</v>
      </c>
      <c r="AA55" s="193">
        <v>95</v>
      </c>
      <c r="AB55" s="193">
        <v>-2</v>
      </c>
      <c r="AC55" s="193" t="s">
        <v>1428</v>
      </c>
      <c r="AD55" s="193" t="s">
        <v>1429</v>
      </c>
      <c r="AE55" s="193" t="s">
        <v>1460</v>
      </c>
      <c r="AF55" s="193" t="s">
        <v>938</v>
      </c>
      <c r="AG55" s="193" t="s">
        <v>874</v>
      </c>
      <c r="AH55" s="193" t="s">
        <v>876</v>
      </c>
      <c r="AI55" s="193" t="s">
        <v>938</v>
      </c>
      <c r="AJ55" s="193" t="s">
        <v>1431</v>
      </c>
      <c r="AK55" s="193" t="s">
        <v>1431</v>
      </c>
      <c r="AL55" s="193" t="s">
        <v>1431</v>
      </c>
    </row>
    <row r="56" spans="1:38">
      <c r="A56" t="e">
        <f t="shared" ca="1" si="4"/>
        <v>#NAME?</v>
      </c>
      <c r="B56" t="e">
        <f ca="1">_xll.BDP(I56&amp;" CORP",$B$4)</f>
        <v>#NAME?</v>
      </c>
      <c r="C56" t="e" cm="1">
        <f t="array" aca="1" ref="C56" ca="1">_xll.BDP($B56&amp;" CORP",$C$3)</f>
        <v>#NAME?</v>
      </c>
      <c r="D56" t="e" cm="1">
        <f t="array" aca="1" ref="D56" ca="1">_xll.BDP($B56&amp;" CORP",$D$3)</f>
        <v>#NAME?</v>
      </c>
      <c r="E56" t="e" cm="1">
        <f t="array" aca="1" ref="E56" ca="1">_xll.BDP($B56&amp;" CORP",$E$3)</f>
        <v>#NAME?</v>
      </c>
      <c r="F56" s="204" t="e" cm="1">
        <f t="array" aca="1" ref="F56" ca="1">_xll.BDP($B56&amp;" CORP",$F$3)</f>
        <v>#NAME?</v>
      </c>
      <c r="G56" s="193" t="s">
        <v>3769</v>
      </c>
      <c r="H56" s="193" t="s">
        <v>1870</v>
      </c>
      <c r="I56" s="193" t="s">
        <v>3770</v>
      </c>
      <c r="J56" s="193" t="s">
        <v>3770</v>
      </c>
      <c r="K56" s="193" t="s">
        <v>1569</v>
      </c>
      <c r="L56" s="193"/>
      <c r="M56" s="193"/>
      <c r="N56" s="193">
        <v>21.494866529774129</v>
      </c>
      <c r="O56" s="193"/>
      <c r="P56" s="193">
        <v>115</v>
      </c>
      <c r="Q56" s="193">
        <v>87.5</v>
      </c>
      <c r="R56" s="193">
        <v>-28</v>
      </c>
      <c r="S56" s="193">
        <v>2.5</v>
      </c>
      <c r="T56" s="193"/>
      <c r="U56" s="193"/>
      <c r="V56" s="193">
        <v>6000</v>
      </c>
      <c r="W56" s="193"/>
      <c r="X56" s="193"/>
      <c r="Y56" s="193"/>
      <c r="Z56" s="193">
        <v>86.900599999999969</v>
      </c>
      <c r="AA56" s="193">
        <v>87.5</v>
      </c>
      <c r="AB56" s="193">
        <v>-1</v>
      </c>
      <c r="AC56" s="193" t="s">
        <v>1428</v>
      </c>
      <c r="AD56" s="193" t="s">
        <v>1429</v>
      </c>
      <c r="AE56" s="193" t="s">
        <v>1460</v>
      </c>
      <c r="AF56" s="193" t="s">
        <v>938</v>
      </c>
      <c r="AG56" s="193" t="s">
        <v>874</v>
      </c>
      <c r="AH56" s="193" t="s">
        <v>876</v>
      </c>
      <c r="AI56" s="193" t="s">
        <v>938</v>
      </c>
      <c r="AJ56" s="193" t="s">
        <v>1431</v>
      </c>
      <c r="AK56" s="193" t="s">
        <v>1431</v>
      </c>
      <c r="AL56" s="193" t="s">
        <v>1431</v>
      </c>
    </row>
    <row r="57" spans="1:38">
      <c r="A57" t="e">
        <f t="shared" ca="1" si="4"/>
        <v>#NAME?</v>
      </c>
      <c r="B57" t="e">
        <f ca="1">_xll.BDP(I57&amp;" CORP",$B$4)</f>
        <v>#NAME?</v>
      </c>
      <c r="C57" t="e" cm="1">
        <f t="array" aca="1" ref="C57" ca="1">_xll.BDP($B57&amp;" CORP",$C$3)</f>
        <v>#NAME?</v>
      </c>
      <c r="D57" t="e" cm="1">
        <f t="array" aca="1" ref="D57" ca="1">_xll.BDP($B57&amp;" CORP",$D$3)</f>
        <v>#NAME?</v>
      </c>
      <c r="E57" t="e" cm="1">
        <f t="array" aca="1" ref="E57" ca="1">_xll.BDP($B57&amp;" CORP",$E$3)</f>
        <v>#NAME?</v>
      </c>
      <c r="F57" s="204" t="e" cm="1">
        <f t="array" aca="1" ref="F57" ca="1">_xll.BDP($B57&amp;" CORP",$F$3)</f>
        <v>#NAME?</v>
      </c>
      <c r="G57" s="193" t="s">
        <v>3771</v>
      </c>
      <c r="H57" s="193" t="s">
        <v>2225</v>
      </c>
      <c r="I57" s="193" t="s">
        <v>3772</v>
      </c>
      <c r="J57" s="193" t="s">
        <v>3772</v>
      </c>
      <c r="K57" s="193" t="s">
        <v>1567</v>
      </c>
      <c r="L57" s="193"/>
      <c r="M57" s="193"/>
      <c r="N57" s="193">
        <v>3.0253251197809718</v>
      </c>
      <c r="O57" s="193"/>
      <c r="P57" s="193">
        <v>60</v>
      </c>
      <c r="Q57" s="193">
        <v>30</v>
      </c>
      <c r="R57" s="193">
        <v>-30</v>
      </c>
      <c r="S57" s="193">
        <v>10</v>
      </c>
      <c r="T57" s="193">
        <v>5700</v>
      </c>
      <c r="U57" s="193">
        <v>5700000000</v>
      </c>
      <c r="V57" s="193">
        <v>7700</v>
      </c>
      <c r="W57" s="193"/>
      <c r="X57" s="193">
        <v>0</v>
      </c>
      <c r="Y57" s="193">
        <v>-25.97</v>
      </c>
      <c r="Z57" s="193">
        <v>20.714799999999968</v>
      </c>
      <c r="AA57" s="193">
        <v>30</v>
      </c>
      <c r="AB57" s="193">
        <v>-9</v>
      </c>
      <c r="AC57" s="193" t="s">
        <v>1490</v>
      </c>
      <c r="AD57" s="193" t="s">
        <v>2227</v>
      </c>
      <c r="AE57" s="193" t="s">
        <v>2228</v>
      </c>
      <c r="AF57" s="193" t="s">
        <v>1432</v>
      </c>
      <c r="AG57" s="193" t="s">
        <v>1012</v>
      </c>
      <c r="AH57" s="193" t="s">
        <v>1432</v>
      </c>
      <c r="AI57" s="193" t="s">
        <v>1004</v>
      </c>
      <c r="AJ57" s="193" t="s">
        <v>1431</v>
      </c>
      <c r="AK57" s="193" t="s">
        <v>1431</v>
      </c>
      <c r="AL57" s="193" t="s">
        <v>1431</v>
      </c>
    </row>
    <row r="58" spans="1:38">
      <c r="A58" t="e">
        <f t="shared" ca="1" si="4"/>
        <v>#NAME?</v>
      </c>
      <c r="B58" t="e">
        <f ca="1">_xll.BDP(I58&amp;" CORP",$B$4)</f>
        <v>#NAME?</v>
      </c>
      <c r="C58" t="e" cm="1">
        <f t="array" aca="1" ref="C58" ca="1">_xll.BDP($B58&amp;" CORP",$C$3)</f>
        <v>#NAME?</v>
      </c>
      <c r="D58" t="e" cm="1">
        <f t="array" aca="1" ref="D58" ca="1">_xll.BDP($B58&amp;" CORP",$D$3)</f>
        <v>#NAME?</v>
      </c>
      <c r="E58" t="e" cm="1">
        <f t="array" aca="1" ref="E58" ca="1">_xll.BDP($B58&amp;" CORP",$E$3)</f>
        <v>#NAME?</v>
      </c>
      <c r="F58" s="204" t="e" cm="1">
        <f t="array" aca="1" ref="F58" ca="1">_xll.BDP($B58&amp;" CORP",$F$3)</f>
        <v>#NAME?</v>
      </c>
      <c r="G58" s="193" t="s">
        <v>3773</v>
      </c>
      <c r="H58" s="193" t="s">
        <v>2225</v>
      </c>
      <c r="I58" s="193" t="s">
        <v>3774</v>
      </c>
      <c r="J58" s="193" t="s">
        <v>3774</v>
      </c>
      <c r="K58" s="193" t="s">
        <v>1567</v>
      </c>
      <c r="L58" s="193"/>
      <c r="M58" s="193"/>
      <c r="N58" s="193">
        <v>3.0253251197809718</v>
      </c>
      <c r="O58" s="193"/>
      <c r="P58" s="193"/>
      <c r="Q58" s="193"/>
      <c r="R58" s="193"/>
      <c r="S58" s="193"/>
      <c r="T58" s="193">
        <v>3400</v>
      </c>
      <c r="U58" s="193">
        <v>3400000000</v>
      </c>
      <c r="V58" s="193">
        <v>3500</v>
      </c>
      <c r="W58" s="193"/>
      <c r="X58" s="193">
        <v>0</v>
      </c>
      <c r="Y58" s="193">
        <v>-2.86</v>
      </c>
      <c r="Z58" s="193" t="s">
        <v>1432</v>
      </c>
      <c r="AA58" s="193" t="s">
        <v>1432</v>
      </c>
      <c r="AB58" s="193" t="s">
        <v>1281</v>
      </c>
      <c r="AC58" s="193" t="s">
        <v>1490</v>
      </c>
      <c r="AD58" s="193" t="s">
        <v>2227</v>
      </c>
      <c r="AE58" s="193" t="s">
        <v>2228</v>
      </c>
      <c r="AF58" s="193" t="s">
        <v>1154</v>
      </c>
      <c r="AG58" s="193" t="s">
        <v>1012</v>
      </c>
      <c r="AH58" s="193" t="s">
        <v>1432</v>
      </c>
      <c r="AI58" s="193" t="s">
        <v>1011</v>
      </c>
      <c r="AJ58" s="193" t="s">
        <v>1431</v>
      </c>
      <c r="AK58" s="193" t="s">
        <v>1431</v>
      </c>
      <c r="AL58" s="193" t="s">
        <v>1431</v>
      </c>
    </row>
    <row r="59" spans="1:38">
      <c r="A59" t="e">
        <f t="shared" ca="1" si="4"/>
        <v>#NAME?</v>
      </c>
      <c r="B59" t="e">
        <f ca="1">_xll.BDP(I59&amp;" CORP",$B$4)</f>
        <v>#NAME?</v>
      </c>
      <c r="C59" t="e" cm="1">
        <f t="array" aca="1" ref="C59" ca="1">_xll.BDP($B59&amp;" CORP",$C$3)</f>
        <v>#NAME?</v>
      </c>
      <c r="D59" t="e" cm="1">
        <f t="array" aca="1" ref="D59" ca="1">_xll.BDP($B59&amp;" CORP",$D$3)</f>
        <v>#NAME?</v>
      </c>
      <c r="E59" t="e" cm="1">
        <f t="array" aca="1" ref="E59" ca="1">_xll.BDP($B59&amp;" CORP",$E$3)</f>
        <v>#NAME?</v>
      </c>
      <c r="F59" s="204" t="e" cm="1">
        <f t="array" aca="1" ref="F59" ca="1">_xll.BDP($B59&amp;" CORP",$F$3)</f>
        <v>#NAME?</v>
      </c>
      <c r="G59" s="193" t="s">
        <v>3775</v>
      </c>
      <c r="H59" s="193" t="s">
        <v>2225</v>
      </c>
      <c r="I59" s="193" t="s">
        <v>3776</v>
      </c>
      <c r="J59" s="193" t="s">
        <v>3776</v>
      </c>
      <c r="K59" s="193" t="s">
        <v>1567</v>
      </c>
      <c r="L59" s="193"/>
      <c r="M59" s="193"/>
      <c r="N59" s="193">
        <v>5.0239561943874058</v>
      </c>
      <c r="O59" s="193"/>
      <c r="P59" s="193">
        <v>70</v>
      </c>
      <c r="Q59" s="193">
        <v>40</v>
      </c>
      <c r="R59" s="193">
        <v>-30</v>
      </c>
      <c r="S59" s="193">
        <v>10</v>
      </c>
      <c r="T59" s="193">
        <v>9100</v>
      </c>
      <c r="U59" s="193">
        <v>9100000000</v>
      </c>
      <c r="V59" s="193">
        <v>11800</v>
      </c>
      <c r="W59" s="193"/>
      <c r="X59" s="193">
        <v>0</v>
      </c>
      <c r="Y59" s="193">
        <v>-22.88</v>
      </c>
      <c r="Z59" s="193">
        <v>34.386899999999976</v>
      </c>
      <c r="AA59" s="193">
        <v>40</v>
      </c>
      <c r="AB59" s="193">
        <v>-6</v>
      </c>
      <c r="AC59" s="193" t="s">
        <v>1490</v>
      </c>
      <c r="AD59" s="193" t="s">
        <v>2227</v>
      </c>
      <c r="AE59" s="193" t="s">
        <v>2228</v>
      </c>
      <c r="AF59" s="193" t="s">
        <v>1154</v>
      </c>
      <c r="AG59" s="193" t="s">
        <v>1012</v>
      </c>
      <c r="AH59" s="193" t="s">
        <v>1432</v>
      </c>
      <c r="AI59" s="193" t="s">
        <v>1011</v>
      </c>
      <c r="AJ59" s="193" t="s">
        <v>1431</v>
      </c>
      <c r="AK59" s="193" t="s">
        <v>1431</v>
      </c>
      <c r="AL59" s="193" t="s">
        <v>1431</v>
      </c>
    </row>
    <row r="60" spans="1:38">
      <c r="A60" t="e">
        <f t="shared" ca="1" si="4"/>
        <v>#NAME?</v>
      </c>
      <c r="B60" t="e">
        <f ca="1">_xll.BDP(I60&amp;" CORP",$B$4)</f>
        <v>#NAME?</v>
      </c>
      <c r="C60" t="e" cm="1">
        <f t="array" aca="1" ref="C60" ca="1">_xll.BDP($B60&amp;" CORP",$C$3)</f>
        <v>#NAME?</v>
      </c>
      <c r="D60" t="e" cm="1">
        <f t="array" aca="1" ref="D60" ca="1">_xll.BDP($B60&amp;" CORP",$D$3)</f>
        <v>#NAME?</v>
      </c>
      <c r="E60" t="e" cm="1">
        <f t="array" aca="1" ref="E60" ca="1">_xll.BDP($B60&amp;" CORP",$E$3)</f>
        <v>#NAME?</v>
      </c>
      <c r="F60" s="204" t="e" cm="1">
        <f t="array" aca="1" ref="F60" ca="1">_xll.BDP($B60&amp;" CORP",$F$3)</f>
        <v>#NAME?</v>
      </c>
      <c r="G60" s="193" t="s">
        <v>3777</v>
      </c>
      <c r="H60" s="193" t="s">
        <v>2225</v>
      </c>
      <c r="I60" s="193" t="s">
        <v>3778</v>
      </c>
      <c r="J60" s="193" t="s">
        <v>3778</v>
      </c>
      <c r="K60" s="193" t="s">
        <v>1567</v>
      </c>
      <c r="L60" s="193"/>
      <c r="M60" s="193"/>
      <c r="N60" s="193">
        <v>7.0253251197809723</v>
      </c>
      <c r="O60" s="193"/>
      <c r="P60" s="193">
        <v>80</v>
      </c>
      <c r="Q60" s="193">
        <v>50</v>
      </c>
      <c r="R60" s="193">
        <v>-30</v>
      </c>
      <c r="S60" s="193">
        <v>10</v>
      </c>
      <c r="T60" s="193">
        <v>11250</v>
      </c>
      <c r="U60" s="193">
        <v>11250000000</v>
      </c>
      <c r="V60" s="193">
        <v>13900</v>
      </c>
      <c r="W60" s="193"/>
      <c r="X60" s="193">
        <v>0</v>
      </c>
      <c r="Y60" s="193">
        <v>-19.059999999999999</v>
      </c>
      <c r="Z60" s="193">
        <v>38.78589999999997</v>
      </c>
      <c r="AA60" s="193">
        <v>50</v>
      </c>
      <c r="AB60" s="193">
        <v>-11</v>
      </c>
      <c r="AC60" s="193" t="s">
        <v>1490</v>
      </c>
      <c r="AD60" s="193" t="s">
        <v>2227</v>
      </c>
      <c r="AE60" s="193" t="s">
        <v>2228</v>
      </c>
      <c r="AF60" s="193" t="s">
        <v>1154</v>
      </c>
      <c r="AG60" s="193" t="s">
        <v>1012</v>
      </c>
      <c r="AH60" s="193" t="s">
        <v>1432</v>
      </c>
      <c r="AI60" s="193" t="s">
        <v>1011</v>
      </c>
      <c r="AJ60" s="193" t="s">
        <v>1431</v>
      </c>
      <c r="AK60" s="193" t="s">
        <v>1431</v>
      </c>
      <c r="AL60" s="193" t="s">
        <v>1431</v>
      </c>
    </row>
    <row r="61" spans="1:38">
      <c r="A61" t="e">
        <f t="shared" ca="1" si="4"/>
        <v>#NAME?</v>
      </c>
      <c r="B61" t="e">
        <f ca="1">_xll.BDP(I61&amp;" CORP",$B$4)</f>
        <v>#NAME?</v>
      </c>
      <c r="C61" t="e" cm="1">
        <f t="array" aca="1" ref="C61" ca="1">_xll.BDP($B61&amp;" CORP",$C$3)</f>
        <v>#NAME?</v>
      </c>
      <c r="D61" t="e" cm="1">
        <f t="array" aca="1" ref="D61" ca="1">_xll.BDP($B61&amp;" CORP",$D$3)</f>
        <v>#NAME?</v>
      </c>
      <c r="E61" t="e" cm="1">
        <f t="array" aca="1" ref="E61" ca="1">_xll.BDP($B61&amp;" CORP",$E$3)</f>
        <v>#NAME?</v>
      </c>
      <c r="F61" s="204" t="e" cm="1">
        <f t="array" aca="1" ref="F61" ca="1">_xll.BDP($B61&amp;" CORP",$F$3)</f>
        <v>#NAME?</v>
      </c>
      <c r="G61" s="193" t="s">
        <v>3779</v>
      </c>
      <c r="H61" s="193" t="s">
        <v>2225</v>
      </c>
      <c r="I61" s="193" t="s">
        <v>3780</v>
      </c>
      <c r="J61" s="193" t="s">
        <v>3780</v>
      </c>
      <c r="K61" s="193" t="s">
        <v>1567</v>
      </c>
      <c r="L61" s="193"/>
      <c r="M61" s="193"/>
      <c r="N61" s="193">
        <v>10.023271731690622</v>
      </c>
      <c r="O61" s="193"/>
      <c r="P61" s="193">
        <v>90</v>
      </c>
      <c r="Q61" s="193">
        <v>62</v>
      </c>
      <c r="R61" s="193">
        <v>-28</v>
      </c>
      <c r="S61" s="193">
        <v>12</v>
      </c>
      <c r="T61" s="193">
        <v>14500</v>
      </c>
      <c r="U61" s="193">
        <v>14500000000</v>
      </c>
      <c r="V61" s="193">
        <v>17000</v>
      </c>
      <c r="W61" s="193"/>
      <c r="X61" s="193">
        <v>0</v>
      </c>
      <c r="Y61" s="193">
        <v>-14.71</v>
      </c>
      <c r="Z61" s="193">
        <v>47.690899999999999</v>
      </c>
      <c r="AA61" s="193">
        <v>62</v>
      </c>
      <c r="AB61" s="193">
        <v>-14</v>
      </c>
      <c r="AC61" s="193" t="s">
        <v>1490</v>
      </c>
      <c r="AD61" s="193" t="s">
        <v>2227</v>
      </c>
      <c r="AE61" s="193" t="s">
        <v>2228</v>
      </c>
      <c r="AF61" s="193" t="s">
        <v>1154</v>
      </c>
      <c r="AG61" s="193" t="s">
        <v>1012</v>
      </c>
      <c r="AH61" s="193" t="s">
        <v>1432</v>
      </c>
      <c r="AI61" s="193" t="s">
        <v>1011</v>
      </c>
      <c r="AJ61" s="193" t="s">
        <v>1431</v>
      </c>
      <c r="AK61" s="193" t="s">
        <v>1431</v>
      </c>
      <c r="AL61" s="193" t="s">
        <v>1431</v>
      </c>
    </row>
    <row r="62" spans="1:38">
      <c r="A62" t="e">
        <f t="shared" ca="1" si="4"/>
        <v>#NAME?</v>
      </c>
      <c r="B62" t="e">
        <f ca="1">_xll.BDP(I62&amp;" CORP",$B$4)</f>
        <v>#NAME?</v>
      </c>
      <c r="C62" t="e" cm="1">
        <f t="array" aca="1" ref="C62" ca="1">_xll.BDP($B62&amp;" CORP",$C$3)</f>
        <v>#NAME?</v>
      </c>
      <c r="D62" t="e" cm="1">
        <f t="array" aca="1" ref="D62" ca="1">_xll.BDP($B62&amp;" CORP",$D$3)</f>
        <v>#NAME?</v>
      </c>
      <c r="E62" t="e" cm="1">
        <f t="array" aca="1" ref="E62" ca="1">_xll.BDP($B62&amp;" CORP",$E$3)</f>
        <v>#NAME?</v>
      </c>
      <c r="F62" s="204" t="e" cm="1">
        <f t="array" aca="1" ref="F62" ca="1">_xll.BDP($B62&amp;" CORP",$F$3)</f>
        <v>#NAME?</v>
      </c>
      <c r="G62" s="193" t="s">
        <v>3781</v>
      </c>
      <c r="H62" s="193" t="s">
        <v>2225</v>
      </c>
      <c r="I62" s="193" t="s">
        <v>3782</v>
      </c>
      <c r="J62" s="193" t="s">
        <v>3782</v>
      </c>
      <c r="K62" s="193" t="s">
        <v>1567</v>
      </c>
      <c r="L62" s="193"/>
      <c r="M62" s="193"/>
      <c r="N62" s="193">
        <v>20.024640657084188</v>
      </c>
      <c r="O62" s="193"/>
      <c r="P62" s="193">
        <v>100</v>
      </c>
      <c r="Q62" s="193">
        <v>72</v>
      </c>
      <c r="R62" s="193">
        <v>-28</v>
      </c>
      <c r="S62" s="193">
        <v>12</v>
      </c>
      <c r="T62" s="193">
        <v>5000</v>
      </c>
      <c r="U62" s="193">
        <v>5000000000</v>
      </c>
      <c r="V62" s="193">
        <v>7700</v>
      </c>
      <c r="W62" s="193"/>
      <c r="X62" s="193">
        <v>0</v>
      </c>
      <c r="Y62" s="193">
        <v>-35.06</v>
      </c>
      <c r="Z62" s="193">
        <v>56.107499999999973</v>
      </c>
      <c r="AA62" s="193">
        <v>72</v>
      </c>
      <c r="AB62" s="193">
        <v>-16</v>
      </c>
      <c r="AC62" s="193" t="s">
        <v>1490</v>
      </c>
      <c r="AD62" s="193" t="s">
        <v>2227</v>
      </c>
      <c r="AE62" s="193" t="s">
        <v>2228</v>
      </c>
      <c r="AF62" s="193" t="s">
        <v>1154</v>
      </c>
      <c r="AG62" s="193" t="s">
        <v>1012</v>
      </c>
      <c r="AH62" s="193" t="s">
        <v>1432</v>
      </c>
      <c r="AI62" s="193" t="s">
        <v>1011</v>
      </c>
      <c r="AJ62" s="193" t="s">
        <v>1431</v>
      </c>
      <c r="AK62" s="193" t="s">
        <v>1431</v>
      </c>
      <c r="AL62" s="193" t="s">
        <v>1431</v>
      </c>
    </row>
    <row r="63" spans="1:38">
      <c r="A63" t="e">
        <f t="shared" ca="1" si="4"/>
        <v>#NAME?</v>
      </c>
      <c r="B63" t="e">
        <f ca="1">_xll.BDP(I63&amp;" CORP",$B$4)</f>
        <v>#NAME?</v>
      </c>
      <c r="C63" t="e" cm="1">
        <f t="array" aca="1" ref="C63" ca="1">_xll.BDP($B63&amp;" CORP",$C$3)</f>
        <v>#NAME?</v>
      </c>
      <c r="D63" t="e" cm="1">
        <f t="array" aca="1" ref="D63" ca="1">_xll.BDP($B63&amp;" CORP",$D$3)</f>
        <v>#NAME?</v>
      </c>
      <c r="E63" t="e" cm="1">
        <f t="array" aca="1" ref="E63" ca="1">_xll.BDP($B63&amp;" CORP",$E$3)</f>
        <v>#NAME?</v>
      </c>
      <c r="F63" s="204" t="e" cm="1">
        <f t="array" aca="1" ref="F63" ca="1">_xll.BDP($B63&amp;" CORP",$F$3)</f>
        <v>#NAME?</v>
      </c>
      <c r="G63" s="193" t="s">
        <v>3783</v>
      </c>
      <c r="H63" s="193" t="s">
        <v>2225</v>
      </c>
      <c r="I63" s="193" t="s">
        <v>3784</v>
      </c>
      <c r="J63" s="193" t="s">
        <v>3784</v>
      </c>
      <c r="K63" s="193" t="s">
        <v>1567</v>
      </c>
      <c r="L63" s="193"/>
      <c r="M63" s="193"/>
      <c r="N63" s="193">
        <v>30.023271731690624</v>
      </c>
      <c r="O63" s="193"/>
      <c r="P63" s="193">
        <v>110</v>
      </c>
      <c r="Q63" s="193">
        <v>82</v>
      </c>
      <c r="R63" s="193">
        <v>-28</v>
      </c>
      <c r="S63" s="193">
        <v>12</v>
      </c>
      <c r="T63" s="193">
        <v>14250</v>
      </c>
      <c r="U63" s="193">
        <v>14250000000</v>
      </c>
      <c r="V63" s="193">
        <v>15900</v>
      </c>
      <c r="W63" s="193"/>
      <c r="X63" s="193">
        <v>0</v>
      </c>
      <c r="Y63" s="193">
        <v>-10.38</v>
      </c>
      <c r="Z63" s="193">
        <v>66.095999999999933</v>
      </c>
      <c r="AA63" s="193">
        <v>82</v>
      </c>
      <c r="AB63" s="193">
        <v>-16</v>
      </c>
      <c r="AC63" s="193" t="s">
        <v>1490</v>
      </c>
      <c r="AD63" s="193" t="s">
        <v>2227</v>
      </c>
      <c r="AE63" s="193" t="s">
        <v>2228</v>
      </c>
      <c r="AF63" s="193" t="s">
        <v>1154</v>
      </c>
      <c r="AG63" s="193" t="s">
        <v>1012</v>
      </c>
      <c r="AH63" s="193" t="s">
        <v>1432</v>
      </c>
      <c r="AI63" s="193" t="s">
        <v>1011</v>
      </c>
      <c r="AJ63" s="193" t="s">
        <v>1431</v>
      </c>
      <c r="AK63" s="193" t="s">
        <v>1431</v>
      </c>
      <c r="AL63" s="193" t="s">
        <v>1431</v>
      </c>
    </row>
    <row r="64" spans="1:38">
      <c r="A64" t="e">
        <f t="shared" ca="1" si="4"/>
        <v>#NAME?</v>
      </c>
      <c r="B64" t="e">
        <f ca="1">_xll.BDP(I64&amp;" CORP",$B$4)</f>
        <v>#NAME?</v>
      </c>
      <c r="C64" t="e" cm="1">
        <f t="array" aca="1" ref="C64" ca="1">_xll.BDP($B64&amp;" CORP",$C$3)</f>
        <v>#NAME?</v>
      </c>
      <c r="D64" t="e" cm="1">
        <f t="array" aca="1" ref="D64" ca="1">_xll.BDP($B64&amp;" CORP",$D$3)</f>
        <v>#NAME?</v>
      </c>
      <c r="E64" t="e" cm="1">
        <f t="array" aca="1" ref="E64" ca="1">_xll.BDP($B64&amp;" CORP",$E$3)</f>
        <v>#NAME?</v>
      </c>
      <c r="F64" s="204" t="e" cm="1">
        <f t="array" aca="1" ref="F64" ca="1">_xll.BDP($B64&amp;" CORP",$F$3)</f>
        <v>#NAME?</v>
      </c>
      <c r="G64" s="193" t="s">
        <v>3785</v>
      </c>
      <c r="H64" s="193" t="s">
        <v>2225</v>
      </c>
      <c r="I64" s="193" t="s">
        <v>3786</v>
      </c>
      <c r="J64" s="193" t="s">
        <v>3786</v>
      </c>
      <c r="K64" s="193" t="s">
        <v>1567</v>
      </c>
      <c r="L64" s="193"/>
      <c r="M64" s="193"/>
      <c r="N64" s="193">
        <v>50.02327173169062</v>
      </c>
      <c r="O64" s="193"/>
      <c r="P64" s="193">
        <v>135</v>
      </c>
      <c r="Q64" s="193">
        <v>107</v>
      </c>
      <c r="R64" s="193">
        <v>-28</v>
      </c>
      <c r="S64" s="193">
        <v>12</v>
      </c>
      <c r="T64" s="193">
        <v>10500</v>
      </c>
      <c r="U64" s="193">
        <v>10500000000</v>
      </c>
      <c r="V64" s="193">
        <v>11000</v>
      </c>
      <c r="W64" s="193"/>
      <c r="X64" s="193">
        <v>0</v>
      </c>
      <c r="Y64" s="193">
        <v>-4.55</v>
      </c>
      <c r="Z64" s="193">
        <v>84.124299999999948</v>
      </c>
      <c r="AA64" s="193">
        <v>107</v>
      </c>
      <c r="AB64" s="193">
        <v>-23</v>
      </c>
      <c r="AC64" s="193" t="s">
        <v>1490</v>
      </c>
      <c r="AD64" s="193" t="s">
        <v>2227</v>
      </c>
      <c r="AE64" s="193" t="s">
        <v>2228</v>
      </c>
      <c r="AF64" s="193" t="s">
        <v>1154</v>
      </c>
      <c r="AG64" s="193" t="s">
        <v>1012</v>
      </c>
      <c r="AH64" s="193" t="s">
        <v>1432</v>
      </c>
      <c r="AI64" s="193" t="s">
        <v>1011</v>
      </c>
      <c r="AJ64" s="193" t="s">
        <v>1431</v>
      </c>
      <c r="AK64" s="193" t="s">
        <v>1431</v>
      </c>
      <c r="AL64" s="193" t="s">
        <v>1431</v>
      </c>
    </row>
    <row r="65" spans="1:38">
      <c r="A65" t="e">
        <f t="shared" ca="1" si="4"/>
        <v>#NAME?</v>
      </c>
      <c r="B65" t="e">
        <f ca="1">_xll.BDP(I65&amp;" CORP",$B$4)</f>
        <v>#NAME?</v>
      </c>
      <c r="C65" t="e" cm="1">
        <f t="array" aca="1" ref="C65" ca="1">_xll.BDP($B65&amp;" CORP",$C$3)</f>
        <v>#NAME?</v>
      </c>
      <c r="D65" t="e" cm="1">
        <f t="array" aca="1" ref="D65" ca="1">_xll.BDP($B65&amp;" CORP",$D$3)</f>
        <v>#NAME?</v>
      </c>
      <c r="E65" t="e" cm="1">
        <f t="array" aca="1" ref="E65" ca="1">_xll.BDP($B65&amp;" CORP",$E$3)</f>
        <v>#NAME?</v>
      </c>
      <c r="F65" s="204" t="e" cm="1">
        <f t="array" aca="1" ref="F65" ca="1">_xll.BDP($B65&amp;" CORP",$F$3)</f>
        <v>#NAME?</v>
      </c>
      <c r="G65" s="193" t="s">
        <v>3787</v>
      </c>
      <c r="H65" s="193" t="s">
        <v>3788</v>
      </c>
      <c r="I65" s="193" t="s">
        <v>3789</v>
      </c>
      <c r="J65" s="193" t="s">
        <v>3789</v>
      </c>
      <c r="K65" s="193" t="s">
        <v>3790</v>
      </c>
      <c r="L65" s="193"/>
      <c r="M65" s="193"/>
      <c r="N65" s="193">
        <v>3.0006844626967832</v>
      </c>
      <c r="O65" s="193"/>
      <c r="P65" s="193">
        <v>55</v>
      </c>
      <c r="Q65" s="193">
        <v>30</v>
      </c>
      <c r="R65" s="193">
        <v>-25</v>
      </c>
      <c r="S65" s="193">
        <v>5</v>
      </c>
      <c r="T65" s="193">
        <v>2100</v>
      </c>
      <c r="U65" s="193">
        <v>2100000000</v>
      </c>
      <c r="V65" s="193">
        <v>3100</v>
      </c>
      <c r="W65" s="193"/>
      <c r="X65" s="193">
        <v>0</v>
      </c>
      <c r="Y65" s="193">
        <v>-32.26</v>
      </c>
      <c r="Z65" s="193">
        <v>24.025399999999976</v>
      </c>
      <c r="AA65" s="193">
        <v>30</v>
      </c>
      <c r="AB65" s="193">
        <v>-6</v>
      </c>
      <c r="AC65" s="193" t="s">
        <v>1447</v>
      </c>
      <c r="AD65" s="193" t="s">
        <v>3413</v>
      </c>
      <c r="AE65" s="193" t="s">
        <v>3414</v>
      </c>
      <c r="AF65" s="193" t="s">
        <v>997</v>
      </c>
      <c r="AG65" s="193" t="s">
        <v>998</v>
      </c>
      <c r="AH65" s="193" t="s">
        <v>1432</v>
      </c>
      <c r="AI65" s="193" t="s">
        <v>997</v>
      </c>
      <c r="AJ65" s="193" t="s">
        <v>1431</v>
      </c>
      <c r="AK65" s="193" t="s">
        <v>1431</v>
      </c>
      <c r="AL65" s="193" t="s">
        <v>1431</v>
      </c>
    </row>
    <row r="66" spans="1:38">
      <c r="A66" t="e">
        <f t="shared" ca="1" si="4"/>
        <v>#NAME?</v>
      </c>
      <c r="B66" t="e">
        <f ca="1">_xll.BDP(I66&amp;" CORP",$B$4)</f>
        <v>#NAME?</v>
      </c>
      <c r="C66" t="e" cm="1">
        <f t="array" aca="1" ref="C66" ca="1">_xll.BDP($B66&amp;" CORP",$C$3)</f>
        <v>#NAME?</v>
      </c>
      <c r="D66" t="e" cm="1">
        <f t="array" aca="1" ref="D66" ca="1">_xll.BDP($B66&amp;" CORP",$D$3)</f>
        <v>#NAME?</v>
      </c>
      <c r="E66" t="e" cm="1">
        <f t="array" aca="1" ref="E66" ca="1">_xll.BDP($B66&amp;" CORP",$E$3)</f>
        <v>#NAME?</v>
      </c>
      <c r="F66" s="204" t="e" cm="1">
        <f t="array" aca="1" ref="F66" ca="1">_xll.BDP($B66&amp;" CORP",$F$3)</f>
        <v>#NAME?</v>
      </c>
      <c r="G66" s="193" t="s">
        <v>3791</v>
      </c>
      <c r="H66" s="193" t="s">
        <v>3788</v>
      </c>
      <c r="I66" s="193" t="s">
        <v>3792</v>
      </c>
      <c r="J66" s="193" t="s">
        <v>3792</v>
      </c>
      <c r="K66" s="193" t="s">
        <v>3790</v>
      </c>
      <c r="L66" s="193"/>
      <c r="M66" s="193"/>
      <c r="N66" s="193">
        <v>3.0006844626967832</v>
      </c>
      <c r="O66" s="193"/>
      <c r="P66" s="193"/>
      <c r="Q66" s="193"/>
      <c r="R66" s="193"/>
      <c r="S66" s="193"/>
      <c r="T66" s="193">
        <v>2200</v>
      </c>
      <c r="U66" s="193">
        <v>2200000000</v>
      </c>
      <c r="V66" s="193">
        <v>2200</v>
      </c>
      <c r="W66" s="193"/>
      <c r="X66" s="193">
        <v>0</v>
      </c>
      <c r="Y66" s="193">
        <v>0</v>
      </c>
      <c r="Z66" s="193" t="s">
        <v>1432</v>
      </c>
      <c r="AA66" s="193" t="s">
        <v>1432</v>
      </c>
      <c r="AB66" s="193" t="s">
        <v>1281</v>
      </c>
      <c r="AC66" s="193" t="s">
        <v>1447</v>
      </c>
      <c r="AD66" s="193" t="s">
        <v>3413</v>
      </c>
      <c r="AE66" s="193" t="s">
        <v>3414</v>
      </c>
      <c r="AF66" s="193" t="s">
        <v>997</v>
      </c>
      <c r="AG66" s="193" t="s">
        <v>998</v>
      </c>
      <c r="AH66" s="193" t="s">
        <v>1432</v>
      </c>
      <c r="AI66" s="193" t="s">
        <v>997</v>
      </c>
      <c r="AJ66" s="193" t="s">
        <v>1431</v>
      </c>
      <c r="AK66" s="193" t="s">
        <v>1431</v>
      </c>
      <c r="AL66" s="193" t="s">
        <v>1431</v>
      </c>
    </row>
    <row r="67" spans="1:38">
      <c r="A67" t="e">
        <f t="shared" ca="1" si="4"/>
        <v>#NAME?</v>
      </c>
      <c r="B67" t="e">
        <f ca="1">_xll.BDP(I67&amp;" CORP",$B$4)</f>
        <v>#NAME?</v>
      </c>
      <c r="C67" t="e" cm="1">
        <f t="array" aca="1" ref="C67" ca="1">_xll.BDP($B67&amp;" CORP",$C$3)</f>
        <v>#NAME?</v>
      </c>
      <c r="D67" t="e" cm="1">
        <f t="array" aca="1" ref="D67" ca="1">_xll.BDP($B67&amp;" CORP",$D$3)</f>
        <v>#NAME?</v>
      </c>
      <c r="E67" t="e" cm="1">
        <f t="array" aca="1" ref="E67" ca="1">_xll.BDP($B67&amp;" CORP",$E$3)</f>
        <v>#NAME?</v>
      </c>
      <c r="F67" s="204" t="e" cm="1">
        <f t="array" aca="1" ref="F67" ca="1">_xll.BDP($B67&amp;" CORP",$F$3)</f>
        <v>#NAME?</v>
      </c>
      <c r="G67" s="193" t="s">
        <v>3793</v>
      </c>
      <c r="H67" s="193" t="s">
        <v>3788</v>
      </c>
      <c r="I67" s="193" t="s">
        <v>3794</v>
      </c>
      <c r="J67" s="193" t="s">
        <v>3794</v>
      </c>
      <c r="K67" s="193" t="s">
        <v>3790</v>
      </c>
      <c r="L67" s="193"/>
      <c r="M67" s="193"/>
      <c r="N67" s="193">
        <v>4.9993155373032172</v>
      </c>
      <c r="O67" s="193"/>
      <c r="P67" s="193">
        <v>70</v>
      </c>
      <c r="Q67" s="193">
        <v>45</v>
      </c>
      <c r="R67" s="193">
        <v>-25</v>
      </c>
      <c r="S67" s="193">
        <v>5</v>
      </c>
      <c r="T67" s="193">
        <v>3100</v>
      </c>
      <c r="U67" s="193">
        <v>3100000000</v>
      </c>
      <c r="V67" s="193">
        <v>4100</v>
      </c>
      <c r="W67" s="193"/>
      <c r="X67" s="193">
        <v>0</v>
      </c>
      <c r="Y67" s="193">
        <v>-24.39</v>
      </c>
      <c r="Z67" s="193">
        <v>40.835099999999969</v>
      </c>
      <c r="AA67" s="193">
        <v>45</v>
      </c>
      <c r="AB67" s="193">
        <v>-4</v>
      </c>
      <c r="AC67" s="193" t="s">
        <v>1447</v>
      </c>
      <c r="AD67" s="193" t="s">
        <v>3413</v>
      </c>
      <c r="AE67" s="193" t="s">
        <v>3414</v>
      </c>
      <c r="AF67" s="193" t="s">
        <v>997</v>
      </c>
      <c r="AG67" s="193" t="s">
        <v>998</v>
      </c>
      <c r="AH67" s="193" t="s">
        <v>1432</v>
      </c>
      <c r="AI67" s="193" t="s">
        <v>997</v>
      </c>
      <c r="AJ67" s="193" t="s">
        <v>1431</v>
      </c>
      <c r="AK67" s="193" t="s">
        <v>1431</v>
      </c>
      <c r="AL67" s="193" t="s">
        <v>1431</v>
      </c>
    </row>
    <row r="68" spans="1:38">
      <c r="A68" t="e">
        <f t="shared" ca="1" si="4"/>
        <v>#NAME?</v>
      </c>
      <c r="B68" t="e">
        <f ca="1">_xll.BDP(I68&amp;" CORP",$B$4)</f>
        <v>#NAME?</v>
      </c>
      <c r="C68" t="e" cm="1">
        <f t="array" aca="1" ref="C68" ca="1">_xll.BDP($B68&amp;" CORP",$C$3)</f>
        <v>#NAME?</v>
      </c>
      <c r="D68" t="e" cm="1">
        <f t="array" aca="1" ref="D68" ca="1">_xll.BDP($B68&amp;" CORP",$D$3)</f>
        <v>#NAME?</v>
      </c>
      <c r="E68" t="e" cm="1">
        <f t="array" aca="1" ref="E68" ca="1">_xll.BDP($B68&amp;" CORP",$E$3)</f>
        <v>#NAME?</v>
      </c>
      <c r="F68" s="204" t="e" cm="1">
        <f t="array" aca="1" ref="F68" ca="1">_xll.BDP($B68&amp;" CORP",$F$3)</f>
        <v>#NAME?</v>
      </c>
      <c r="G68" s="193" t="s">
        <v>3795</v>
      </c>
      <c r="H68" s="193" t="s">
        <v>3788</v>
      </c>
      <c r="I68" s="193" t="s">
        <v>3796</v>
      </c>
      <c r="J68" s="193" t="s">
        <v>3796</v>
      </c>
      <c r="K68" s="193" t="s">
        <v>3790</v>
      </c>
      <c r="L68" s="193"/>
      <c r="M68" s="193"/>
      <c r="N68" s="193">
        <v>7.0006844626967828</v>
      </c>
      <c r="O68" s="193"/>
      <c r="P68" s="193">
        <v>75</v>
      </c>
      <c r="Q68" s="193">
        <v>50</v>
      </c>
      <c r="R68" s="193">
        <v>-25</v>
      </c>
      <c r="S68" s="193">
        <v>5</v>
      </c>
      <c r="T68" s="193">
        <v>1800</v>
      </c>
      <c r="U68" s="193">
        <v>1800000000</v>
      </c>
      <c r="V68" s="193">
        <v>3700</v>
      </c>
      <c r="W68" s="193"/>
      <c r="X68" s="193">
        <v>-1</v>
      </c>
      <c r="Y68" s="193">
        <v>-51.35</v>
      </c>
      <c r="Z68" s="193">
        <v>46.384799999999956</v>
      </c>
      <c r="AA68" s="193">
        <v>50</v>
      </c>
      <c r="AB68" s="193">
        <v>-4</v>
      </c>
      <c r="AC68" s="193" t="s">
        <v>1447</v>
      </c>
      <c r="AD68" s="193" t="s">
        <v>3413</v>
      </c>
      <c r="AE68" s="193" t="s">
        <v>3414</v>
      </c>
      <c r="AF68" s="193" t="s">
        <v>997</v>
      </c>
      <c r="AG68" s="193" t="s">
        <v>998</v>
      </c>
      <c r="AH68" s="193" t="s">
        <v>1432</v>
      </c>
      <c r="AI68" s="193" t="s">
        <v>997</v>
      </c>
      <c r="AJ68" s="193" t="s">
        <v>1431</v>
      </c>
      <c r="AK68" s="193" t="s">
        <v>1431</v>
      </c>
      <c r="AL68" s="193" t="s">
        <v>1431</v>
      </c>
    </row>
    <row r="69" spans="1:38">
      <c r="A69" t="e">
        <f t="shared" ca="1" si="4"/>
        <v>#NAME?</v>
      </c>
      <c r="B69" t="e">
        <f ca="1">_xll.BDP(I69&amp;" CORP",$B$4)</f>
        <v>#NAME?</v>
      </c>
      <c r="C69" t="e" cm="1">
        <f t="array" aca="1" ref="C69" ca="1">_xll.BDP($B69&amp;" CORP",$C$3)</f>
        <v>#NAME?</v>
      </c>
      <c r="D69" t="e" cm="1">
        <f t="array" aca="1" ref="D69" ca="1">_xll.BDP($B69&amp;" CORP",$D$3)</f>
        <v>#NAME?</v>
      </c>
      <c r="E69" t="e" cm="1">
        <f t="array" aca="1" ref="E69" ca="1">_xll.BDP($B69&amp;" CORP",$E$3)</f>
        <v>#NAME?</v>
      </c>
      <c r="F69" s="204" t="e" cm="1">
        <f t="array" aca="1" ref="F69" ca="1">_xll.BDP($B69&amp;" CORP",$F$3)</f>
        <v>#NAME?</v>
      </c>
      <c r="G69" s="193" t="s">
        <v>3797</v>
      </c>
      <c r="H69" s="193" t="s">
        <v>3788</v>
      </c>
      <c r="I69" s="193" t="s">
        <v>3798</v>
      </c>
      <c r="J69" s="193" t="s">
        <v>3798</v>
      </c>
      <c r="K69" s="193" t="s">
        <v>3790</v>
      </c>
      <c r="L69" s="193"/>
      <c r="M69" s="193"/>
      <c r="N69" s="193">
        <v>9.9986310746064344</v>
      </c>
      <c r="O69" s="193"/>
      <c r="P69" s="193">
        <v>80</v>
      </c>
      <c r="Q69" s="193">
        <v>55</v>
      </c>
      <c r="R69" s="193">
        <v>-25</v>
      </c>
      <c r="S69" s="193">
        <v>5</v>
      </c>
      <c r="T69" s="193">
        <v>1400</v>
      </c>
      <c r="U69" s="193">
        <v>1400000000</v>
      </c>
      <c r="V69" s="193">
        <v>3700</v>
      </c>
      <c r="W69" s="193"/>
      <c r="X69" s="193">
        <v>-1</v>
      </c>
      <c r="Y69" s="193">
        <v>-62.16</v>
      </c>
      <c r="Z69" s="193">
        <v>56.058699999999995</v>
      </c>
      <c r="AA69" s="193">
        <v>55</v>
      </c>
      <c r="AB69" s="193">
        <v>1</v>
      </c>
      <c r="AC69" s="193" t="s">
        <v>1447</v>
      </c>
      <c r="AD69" s="193" t="s">
        <v>3413</v>
      </c>
      <c r="AE69" s="193" t="s">
        <v>3414</v>
      </c>
      <c r="AF69" s="193" t="s">
        <v>997</v>
      </c>
      <c r="AG69" s="193" t="s">
        <v>998</v>
      </c>
      <c r="AH69" s="193" t="s">
        <v>1432</v>
      </c>
      <c r="AI69" s="193" t="s">
        <v>997</v>
      </c>
      <c r="AJ69" s="193" t="s">
        <v>1431</v>
      </c>
      <c r="AK69" s="193" t="s">
        <v>1431</v>
      </c>
      <c r="AL69" s="193" t="s">
        <v>1431</v>
      </c>
    </row>
    <row r="70" spans="1:38">
      <c r="A70" t="e">
        <f t="shared" ca="1" si="4"/>
        <v>#NAME?</v>
      </c>
      <c r="B70" t="e">
        <f ca="1">_xll.BDP(I70&amp;" CORP",$B$4)</f>
        <v>#NAME?</v>
      </c>
      <c r="C70" t="e" cm="1">
        <f t="array" aca="1" ref="C70" ca="1">_xll.BDP($B70&amp;" CORP",$C$3)</f>
        <v>#NAME?</v>
      </c>
      <c r="D70" t="e" cm="1">
        <f t="array" aca="1" ref="D70" ca="1">_xll.BDP($B70&amp;" CORP",$D$3)</f>
        <v>#NAME?</v>
      </c>
      <c r="E70" t="e" cm="1">
        <f t="array" aca="1" ref="E70" ca="1">_xll.BDP($B70&amp;" CORP",$E$3)</f>
        <v>#NAME?</v>
      </c>
      <c r="F70" s="204" t="e" cm="1">
        <f t="array" aca="1" ref="F70" ca="1">_xll.BDP($B70&amp;" CORP",$F$3)</f>
        <v>#NAME?</v>
      </c>
      <c r="G70" s="193" t="s">
        <v>3799</v>
      </c>
      <c r="H70" s="193" t="s">
        <v>3788</v>
      </c>
      <c r="I70" s="193" t="s">
        <v>3800</v>
      </c>
      <c r="J70" s="193" t="s">
        <v>3800</v>
      </c>
      <c r="K70" s="193" t="s">
        <v>3790</v>
      </c>
      <c r="L70" s="193"/>
      <c r="M70" s="193"/>
      <c r="N70" s="193">
        <v>20</v>
      </c>
      <c r="O70" s="193"/>
      <c r="P70" s="193">
        <v>80</v>
      </c>
      <c r="Q70" s="193">
        <v>55</v>
      </c>
      <c r="R70" s="193">
        <v>-25</v>
      </c>
      <c r="S70" s="193">
        <v>5</v>
      </c>
      <c r="T70" s="193">
        <v>500</v>
      </c>
      <c r="U70" s="193">
        <v>500000000</v>
      </c>
      <c r="V70" s="193">
        <v>2200</v>
      </c>
      <c r="W70" s="193"/>
      <c r="X70" s="193">
        <v>-1</v>
      </c>
      <c r="Y70" s="193">
        <v>-77.27</v>
      </c>
      <c r="Z70" s="193">
        <v>57.966799999999985</v>
      </c>
      <c r="AA70" s="193">
        <v>55</v>
      </c>
      <c r="AB70" s="193">
        <v>3</v>
      </c>
      <c r="AC70" s="193" t="s">
        <v>1447</v>
      </c>
      <c r="AD70" s="193" t="s">
        <v>3413</v>
      </c>
      <c r="AE70" s="193" t="s">
        <v>3414</v>
      </c>
      <c r="AF70" s="193" t="s">
        <v>997</v>
      </c>
      <c r="AG70" s="193" t="s">
        <v>998</v>
      </c>
      <c r="AH70" s="193" t="s">
        <v>1432</v>
      </c>
      <c r="AI70" s="193" t="s">
        <v>997</v>
      </c>
      <c r="AJ70" s="193" t="s">
        <v>1431</v>
      </c>
      <c r="AK70" s="193" t="s">
        <v>1431</v>
      </c>
      <c r="AL70" s="193" t="s">
        <v>1431</v>
      </c>
    </row>
    <row r="71" spans="1:38">
      <c r="A71" t="e">
        <f t="shared" ca="1" si="4"/>
        <v>#NAME?</v>
      </c>
      <c r="B71" t="e">
        <f ca="1">_xll.BDP(I71&amp;" CORP",$B$4)</f>
        <v>#NAME?</v>
      </c>
      <c r="C71" t="e" cm="1">
        <f t="array" aca="1" ref="C71" ca="1">_xll.BDP($B71&amp;" CORP",$C$3)</f>
        <v>#NAME?</v>
      </c>
      <c r="D71" t="e" cm="1">
        <f t="array" aca="1" ref="D71" ca="1">_xll.BDP($B71&amp;" CORP",$D$3)</f>
        <v>#NAME?</v>
      </c>
      <c r="E71" t="e" cm="1">
        <f t="array" aca="1" ref="E71" ca="1">_xll.BDP($B71&amp;" CORP",$E$3)</f>
        <v>#NAME?</v>
      </c>
      <c r="F71" s="204" t="e" cm="1">
        <f t="array" aca="1" ref="F71" ca="1">_xll.BDP($B71&amp;" CORP",$F$3)</f>
        <v>#NAME?</v>
      </c>
      <c r="G71" s="193" t="s">
        <v>3801</v>
      </c>
      <c r="H71" s="193" t="s">
        <v>3788</v>
      </c>
      <c r="I71" s="193" t="s">
        <v>3802</v>
      </c>
      <c r="J71" s="193" t="s">
        <v>3802</v>
      </c>
      <c r="K71" s="193" t="s">
        <v>3790</v>
      </c>
      <c r="L71" s="193"/>
      <c r="M71" s="193"/>
      <c r="N71" s="193">
        <v>29.998631074606433</v>
      </c>
      <c r="O71" s="193"/>
      <c r="P71" s="193">
        <v>90</v>
      </c>
      <c r="Q71" s="193">
        <v>65</v>
      </c>
      <c r="R71" s="193">
        <v>-25</v>
      </c>
      <c r="S71" s="193">
        <v>5</v>
      </c>
      <c r="T71" s="193">
        <v>900</v>
      </c>
      <c r="U71" s="193">
        <v>900000000</v>
      </c>
      <c r="V71" s="193">
        <v>3300</v>
      </c>
      <c r="W71" s="193"/>
      <c r="X71" s="193">
        <v>-1</v>
      </c>
      <c r="Y71" s="193">
        <v>-72.73</v>
      </c>
      <c r="Z71" s="193">
        <v>66.752099999999984</v>
      </c>
      <c r="AA71" s="193">
        <v>65</v>
      </c>
      <c r="AB71" s="193">
        <v>2</v>
      </c>
      <c r="AC71" s="193" t="s">
        <v>1447</v>
      </c>
      <c r="AD71" s="193" t="s">
        <v>3413</v>
      </c>
      <c r="AE71" s="193" t="s">
        <v>3414</v>
      </c>
      <c r="AF71" s="193" t="s">
        <v>997</v>
      </c>
      <c r="AG71" s="193" t="s">
        <v>998</v>
      </c>
      <c r="AH71" s="193" t="s">
        <v>1432</v>
      </c>
      <c r="AI71" s="193" t="s">
        <v>997</v>
      </c>
      <c r="AJ71" s="193" t="s">
        <v>1431</v>
      </c>
      <c r="AK71" s="193" t="s">
        <v>1431</v>
      </c>
      <c r="AL71" s="193" t="s">
        <v>1431</v>
      </c>
    </row>
    <row r="72" spans="1:38">
      <c r="A72" t="e">
        <f t="shared" ca="1" si="4"/>
        <v>#NAME?</v>
      </c>
      <c r="B72" t="e">
        <f ca="1">_xll.BDP(I72&amp;" CORP",$B$4)</f>
        <v>#NAME?</v>
      </c>
      <c r="C72" t="e" cm="1">
        <f t="array" aca="1" ref="C72" ca="1">_xll.BDP($B72&amp;" CORP",$C$3)</f>
        <v>#NAME?</v>
      </c>
      <c r="D72" t="e" cm="1">
        <f t="array" aca="1" ref="D72" ca="1">_xll.BDP($B72&amp;" CORP",$D$3)</f>
        <v>#NAME?</v>
      </c>
      <c r="E72" t="e" cm="1">
        <f t="array" aca="1" ref="E72" ca="1">_xll.BDP($B72&amp;" CORP",$E$3)</f>
        <v>#NAME?</v>
      </c>
      <c r="F72" s="204" t="e" cm="1">
        <f t="array" aca="1" ref="F72" ca="1">_xll.BDP($B72&amp;" CORP",$F$3)</f>
        <v>#NAME?</v>
      </c>
      <c r="G72" s="193" t="s">
        <v>3803</v>
      </c>
      <c r="H72" s="193" t="s">
        <v>3804</v>
      </c>
      <c r="I72" s="193" t="s">
        <v>3805</v>
      </c>
      <c r="J72" s="193" t="s">
        <v>3805</v>
      </c>
      <c r="K72" s="193" t="s">
        <v>3806</v>
      </c>
      <c r="L72" s="193"/>
      <c r="M72" s="193"/>
      <c r="N72" s="193">
        <v>30.521560574948666</v>
      </c>
      <c r="O72" s="193"/>
      <c r="P72" s="193"/>
      <c r="Q72" s="193">
        <v>5.6</v>
      </c>
      <c r="R72" s="193">
        <v>-44</v>
      </c>
      <c r="S72" s="193"/>
      <c r="T72" s="193">
        <v>2850</v>
      </c>
      <c r="U72" s="193">
        <v>2850000000</v>
      </c>
      <c r="V72" s="193">
        <v>5100</v>
      </c>
      <c r="W72" s="193"/>
      <c r="X72" s="193">
        <v>0</v>
      </c>
      <c r="Y72" s="193">
        <v>-44.12</v>
      </c>
      <c r="Z72" s="193">
        <v>175.9093</v>
      </c>
      <c r="AA72" s="193">
        <v>190.5</v>
      </c>
      <c r="AB72" s="193">
        <v>-15</v>
      </c>
      <c r="AC72" s="193" t="s">
        <v>1441</v>
      </c>
      <c r="AD72" s="193" t="s">
        <v>1442</v>
      </c>
      <c r="AE72" s="193" t="s">
        <v>1443</v>
      </c>
      <c r="AF72" s="193" t="s">
        <v>932</v>
      </c>
      <c r="AG72" s="193" t="s">
        <v>875</v>
      </c>
      <c r="AH72" s="193" t="s">
        <v>877</v>
      </c>
      <c r="AI72" s="193" t="s">
        <v>877</v>
      </c>
      <c r="AJ72" s="193" t="s">
        <v>1431</v>
      </c>
      <c r="AK72" s="193" t="s">
        <v>1431</v>
      </c>
      <c r="AL72" s="193" t="s">
        <v>1431</v>
      </c>
    </row>
    <row r="73" spans="1:38">
      <c r="A73" t="e">
        <f t="shared" ca="1" si="4"/>
        <v>#NAME?</v>
      </c>
      <c r="B73" t="e">
        <f ca="1">_xll.BDP(I73&amp;" CORP",$B$4)</f>
        <v>#NAME?</v>
      </c>
      <c r="C73" t="e" cm="1">
        <f t="array" aca="1" ref="C73" ca="1">_xll.BDP($B73&amp;" CORP",$C$3)</f>
        <v>#NAME?</v>
      </c>
      <c r="D73" t="e" cm="1">
        <f t="array" aca="1" ref="D73" ca="1">_xll.BDP($B73&amp;" CORP",$D$3)</f>
        <v>#NAME?</v>
      </c>
      <c r="E73" t="e" cm="1">
        <f t="array" aca="1" ref="E73" ca="1">_xll.BDP($B73&amp;" CORP",$E$3)</f>
        <v>#NAME?</v>
      </c>
      <c r="F73" s="204" t="e" cm="1">
        <f t="array" aca="1" ref="F73" ca="1">_xll.BDP($B73&amp;" CORP",$F$3)</f>
        <v>#NAME?</v>
      </c>
      <c r="G73" s="193" t="s">
        <v>3807</v>
      </c>
      <c r="H73" s="193" t="s">
        <v>3808</v>
      </c>
      <c r="I73" s="193" t="s">
        <v>3809</v>
      </c>
      <c r="J73" s="193" t="s">
        <v>3809</v>
      </c>
      <c r="K73" s="193" t="s">
        <v>3810</v>
      </c>
      <c r="L73" s="193"/>
      <c r="M73" s="193"/>
      <c r="N73" s="193">
        <v>5.0047912388774813</v>
      </c>
      <c r="O73" s="193"/>
      <c r="P73" s="193">
        <v>152.5</v>
      </c>
      <c r="Q73" s="193">
        <v>130</v>
      </c>
      <c r="R73" s="193">
        <v>-23</v>
      </c>
      <c r="S73" s="193">
        <v>5</v>
      </c>
      <c r="T73" s="193"/>
      <c r="U73" s="193"/>
      <c r="V73" s="193"/>
      <c r="W73" s="193"/>
      <c r="X73" s="193"/>
      <c r="Y73" s="193"/>
      <c r="Z73" s="193">
        <v>126.99480000000003</v>
      </c>
      <c r="AA73" s="193">
        <v>130</v>
      </c>
      <c r="AB73" s="193">
        <v>-3</v>
      </c>
      <c r="AC73" s="193" t="s">
        <v>1428</v>
      </c>
      <c r="AD73" s="193" t="s">
        <v>1436</v>
      </c>
      <c r="AE73" s="193" t="s">
        <v>1914</v>
      </c>
      <c r="AF73" s="193" t="s">
        <v>877</v>
      </c>
      <c r="AG73" s="193" t="s">
        <v>969</v>
      </c>
      <c r="AH73" s="193" t="s">
        <v>877</v>
      </c>
      <c r="AI73" s="193" t="s">
        <v>877</v>
      </c>
      <c r="AJ73" s="193" t="s">
        <v>1431</v>
      </c>
      <c r="AK73" s="193" t="s">
        <v>1431</v>
      </c>
      <c r="AL73" s="193" t="s">
        <v>1431</v>
      </c>
    </row>
    <row r="74" spans="1:38">
      <c r="A74" t="e">
        <f t="shared" ca="1" si="4"/>
        <v>#NAME?</v>
      </c>
      <c r="B74" t="e">
        <f ca="1">_xll.BDP(I74&amp;" CORP",$B$4)</f>
        <v>#NAME?</v>
      </c>
      <c r="C74" t="e" cm="1">
        <f t="array" aca="1" ref="C74" ca="1">_xll.BDP($B74&amp;" CORP",$C$3)</f>
        <v>#NAME?</v>
      </c>
      <c r="D74" t="e" cm="1">
        <f t="array" aca="1" ref="D74" ca="1">_xll.BDP($B74&amp;" CORP",$D$3)</f>
        <v>#NAME?</v>
      </c>
      <c r="E74" t="e" cm="1">
        <f t="array" aca="1" ref="E74" ca="1">_xll.BDP($B74&amp;" CORP",$E$3)</f>
        <v>#NAME?</v>
      </c>
      <c r="F74" s="204" t="e" cm="1">
        <f t="array" aca="1" ref="F74" ca="1">_xll.BDP($B74&amp;" CORP",$F$3)</f>
        <v>#NAME?</v>
      </c>
      <c r="G74" s="193" t="s">
        <v>3811</v>
      </c>
      <c r="H74" s="193" t="s">
        <v>3812</v>
      </c>
      <c r="I74" s="193" t="s">
        <v>3813</v>
      </c>
      <c r="J74" s="193" t="s">
        <v>3813</v>
      </c>
      <c r="K74" s="193" t="s">
        <v>3814</v>
      </c>
      <c r="L74" s="193"/>
      <c r="M74" s="193"/>
      <c r="N74" s="193">
        <v>10.012320328542094</v>
      </c>
      <c r="O74" s="193"/>
      <c r="P74" s="193">
        <v>150</v>
      </c>
      <c r="Q74" s="193">
        <v>125</v>
      </c>
      <c r="R74" s="193">
        <v>-25</v>
      </c>
      <c r="S74" s="193">
        <v>10</v>
      </c>
      <c r="T74" s="193">
        <v>1350</v>
      </c>
      <c r="U74" s="193">
        <v>1350000000</v>
      </c>
      <c r="V74" s="193">
        <v>2200</v>
      </c>
      <c r="W74" s="193"/>
      <c r="X74" s="193">
        <v>0</v>
      </c>
      <c r="Y74" s="193">
        <v>-38.64</v>
      </c>
      <c r="Z74" s="193">
        <v>125.12950000000006</v>
      </c>
      <c r="AA74" s="193">
        <v>125</v>
      </c>
      <c r="AB74" s="193">
        <v>0</v>
      </c>
      <c r="AC74" s="193" t="s">
        <v>1428</v>
      </c>
      <c r="AD74" s="193" t="s">
        <v>1437</v>
      </c>
      <c r="AE74" s="193" t="s">
        <v>1896</v>
      </c>
      <c r="AF74" s="193" t="s">
        <v>950</v>
      </c>
      <c r="AG74" s="193" t="s">
        <v>875</v>
      </c>
      <c r="AH74" s="193" t="s">
        <v>950</v>
      </c>
      <c r="AI74" s="193" t="s">
        <v>932</v>
      </c>
      <c r="AJ74" s="193" t="s">
        <v>1431</v>
      </c>
      <c r="AK74" s="193" t="s">
        <v>1431</v>
      </c>
      <c r="AL74" s="193" t="s">
        <v>1431</v>
      </c>
    </row>
    <row r="75" spans="1:38">
      <c r="A75" t="e">
        <f t="shared" ca="1" si="4"/>
        <v>#NAME?</v>
      </c>
      <c r="B75" t="e">
        <f ca="1">_xll.BDP(I75&amp;" CORP",$B$4)</f>
        <v>#NAME?</v>
      </c>
      <c r="C75" t="e" cm="1">
        <f t="array" aca="1" ref="C75" ca="1">_xll.BDP($B75&amp;" CORP",$C$3)</f>
        <v>#NAME?</v>
      </c>
      <c r="D75" t="e" cm="1">
        <f t="array" aca="1" ref="D75" ca="1">_xll.BDP($B75&amp;" CORP",$D$3)</f>
        <v>#NAME?</v>
      </c>
      <c r="E75" t="e" cm="1">
        <f t="array" aca="1" ref="E75" ca="1">_xll.BDP($B75&amp;" CORP",$E$3)</f>
        <v>#NAME?</v>
      </c>
      <c r="F75" s="204" t="e" cm="1">
        <f t="array" aca="1" ref="F75" ca="1">_xll.BDP($B75&amp;" CORP",$F$3)</f>
        <v>#NAME?</v>
      </c>
      <c r="G75" s="193" t="s">
        <v>3815</v>
      </c>
      <c r="H75" s="193" t="s">
        <v>1925</v>
      </c>
      <c r="I75" s="193" t="s">
        <v>3816</v>
      </c>
      <c r="J75" s="193" t="s">
        <v>3816</v>
      </c>
      <c r="K75" s="193" t="s">
        <v>1556</v>
      </c>
      <c r="L75" s="193"/>
      <c r="M75" s="193"/>
      <c r="N75" s="193">
        <v>30.68583162217659</v>
      </c>
      <c r="O75" s="193"/>
      <c r="P75" s="193"/>
      <c r="Q75" s="193">
        <v>5.8</v>
      </c>
      <c r="R75" s="193">
        <v>-44</v>
      </c>
      <c r="S75" s="193"/>
      <c r="T75" s="193">
        <v>1950</v>
      </c>
      <c r="U75" s="193">
        <v>1950000000</v>
      </c>
      <c r="V75" s="193">
        <v>4200</v>
      </c>
      <c r="W75" s="193"/>
      <c r="X75" s="193">
        <v>-1</v>
      </c>
      <c r="Y75" s="193">
        <v>-53.57</v>
      </c>
      <c r="Z75" s="193">
        <v>207.87620000000001</v>
      </c>
      <c r="AA75" s="193">
        <v>203.5</v>
      </c>
      <c r="AB75" s="193">
        <v>4</v>
      </c>
      <c r="AC75" s="193" t="s">
        <v>1441</v>
      </c>
      <c r="AD75" s="193" t="s">
        <v>1926</v>
      </c>
      <c r="AE75" s="193" t="s">
        <v>1927</v>
      </c>
      <c r="AF75" s="193" t="s">
        <v>877</v>
      </c>
      <c r="AG75" s="193" t="s">
        <v>969</v>
      </c>
      <c r="AH75" s="193" t="s">
        <v>955</v>
      </c>
      <c r="AI75" s="193" t="s">
        <v>955</v>
      </c>
      <c r="AJ75" s="193" t="s">
        <v>1431</v>
      </c>
      <c r="AK75" s="193" t="s">
        <v>1431</v>
      </c>
      <c r="AL75" s="193" t="s">
        <v>1431</v>
      </c>
    </row>
    <row r="76" spans="1:38">
      <c r="A76" t="e">
        <f t="shared" ca="1" si="4"/>
        <v>#NAME?</v>
      </c>
      <c r="B76" t="e">
        <f ca="1">_xll.BDP(I76&amp;" CORP",$B$4)</f>
        <v>#NAME?</v>
      </c>
      <c r="C76" t="e" cm="1">
        <f t="array" aca="1" ref="C76" ca="1">_xll.BDP($B76&amp;" CORP",$C$3)</f>
        <v>#NAME?</v>
      </c>
      <c r="D76" t="e" cm="1">
        <f t="array" aca="1" ref="D76" ca="1">_xll.BDP($B76&amp;" CORP",$D$3)</f>
        <v>#NAME?</v>
      </c>
      <c r="E76" t="e" cm="1">
        <f t="array" aca="1" ref="E76" ca="1">_xll.BDP($B76&amp;" CORP",$E$3)</f>
        <v>#NAME?</v>
      </c>
      <c r="F76" s="204" t="e" cm="1">
        <f t="array" aca="1" ref="F76" ca="1">_xll.BDP($B76&amp;" CORP",$F$3)</f>
        <v>#NAME?</v>
      </c>
      <c r="G76" s="193" t="s">
        <v>3817</v>
      </c>
      <c r="H76" s="193" t="s">
        <v>3818</v>
      </c>
      <c r="I76" s="193" t="s">
        <v>3819</v>
      </c>
      <c r="J76" s="193" t="s">
        <v>3819</v>
      </c>
      <c r="K76" s="193" t="s">
        <v>1607</v>
      </c>
      <c r="L76" s="193"/>
      <c r="M76" s="193"/>
      <c r="N76" s="193">
        <v>31.028062970568104</v>
      </c>
      <c r="O76" s="193"/>
      <c r="P76" s="193">
        <v>105</v>
      </c>
      <c r="Q76" s="193">
        <v>85</v>
      </c>
      <c r="R76" s="193">
        <v>-20</v>
      </c>
      <c r="S76" s="193">
        <v>5</v>
      </c>
      <c r="T76" s="193">
        <v>1100</v>
      </c>
      <c r="U76" s="193">
        <v>1100000000</v>
      </c>
      <c r="V76" s="193">
        <v>1700</v>
      </c>
      <c r="W76" s="193"/>
      <c r="X76" s="193">
        <v>0</v>
      </c>
      <c r="Y76" s="193">
        <v>-35.29</v>
      </c>
      <c r="Z76" s="193">
        <v>86.202399999999983</v>
      </c>
      <c r="AA76" s="193">
        <v>85</v>
      </c>
      <c r="AB76" s="193">
        <v>1</v>
      </c>
      <c r="AC76" s="193" t="s">
        <v>1441</v>
      </c>
      <c r="AD76" s="193" t="s">
        <v>1442</v>
      </c>
      <c r="AE76" s="193" t="s">
        <v>1443</v>
      </c>
      <c r="AF76" s="193" t="s">
        <v>876</v>
      </c>
      <c r="AG76" s="193" t="s">
        <v>1012</v>
      </c>
      <c r="AH76" s="193" t="s">
        <v>1432</v>
      </c>
      <c r="AI76" s="193" t="s">
        <v>953</v>
      </c>
      <c r="AJ76" s="193" t="s">
        <v>1431</v>
      </c>
      <c r="AK76" s="193" t="s">
        <v>1431</v>
      </c>
      <c r="AL76" s="193" t="s">
        <v>1431</v>
      </c>
    </row>
    <row r="77" spans="1:38">
      <c r="A77" t="e">
        <f t="shared" ca="1" si="4"/>
        <v>#NAME?</v>
      </c>
      <c r="B77" t="e">
        <f ca="1">_xll.BDP(I77&amp;" CORP",$B$4)</f>
        <v>#NAME?</v>
      </c>
      <c r="C77" t="e" cm="1">
        <f t="array" aca="1" ref="C77" ca="1">_xll.BDP($B77&amp;" CORP",$C$3)</f>
        <v>#NAME?</v>
      </c>
      <c r="D77" t="e" cm="1">
        <f t="array" aca="1" ref="D77" ca="1">_xll.BDP($B77&amp;" CORP",$D$3)</f>
        <v>#NAME?</v>
      </c>
      <c r="E77" t="e" cm="1">
        <f t="array" aca="1" ref="E77" ca="1">_xll.BDP($B77&amp;" CORP",$E$3)</f>
        <v>#NAME?</v>
      </c>
      <c r="F77" s="204" t="e" cm="1">
        <f t="array" aca="1" ref="F77" ca="1">_xll.BDP($B77&amp;" CORP",$F$3)</f>
        <v>#NAME?</v>
      </c>
      <c r="G77" s="193" t="s">
        <v>3820</v>
      </c>
      <c r="H77" s="193" t="s">
        <v>3821</v>
      </c>
      <c r="I77" s="193" t="s">
        <v>3822</v>
      </c>
      <c r="J77" s="193" t="s">
        <v>3822</v>
      </c>
      <c r="K77" s="193" t="s">
        <v>3823</v>
      </c>
      <c r="L77" s="193"/>
      <c r="M77" s="193"/>
      <c r="N77" s="193">
        <v>15.000684462696784</v>
      </c>
      <c r="O77" s="193"/>
      <c r="P77" s="193">
        <v>225</v>
      </c>
      <c r="Q77" s="193">
        <v>200</v>
      </c>
      <c r="R77" s="193">
        <v>-25</v>
      </c>
      <c r="S77" s="193"/>
      <c r="T77" s="193"/>
      <c r="U77" s="193"/>
      <c r="V77" s="193"/>
      <c r="W77" s="193"/>
      <c r="X77" s="193"/>
      <c r="Y77" s="193"/>
      <c r="Z77" s="193">
        <v>188.26429999999999</v>
      </c>
      <c r="AA77" s="193">
        <v>200</v>
      </c>
      <c r="AB77" s="193">
        <v>-12</v>
      </c>
      <c r="AC77" s="193" t="s">
        <v>1428</v>
      </c>
      <c r="AD77" s="193" t="s">
        <v>1429</v>
      </c>
      <c r="AE77" s="193" t="s">
        <v>3824</v>
      </c>
      <c r="AF77" s="193" t="s">
        <v>950</v>
      </c>
      <c r="AG77" s="193" t="s">
        <v>1432</v>
      </c>
      <c r="AH77" s="193" t="s">
        <v>938</v>
      </c>
      <c r="AI77" s="193" t="s">
        <v>950</v>
      </c>
      <c r="AJ77" s="193" t="s">
        <v>1431</v>
      </c>
      <c r="AK77" s="193" t="s">
        <v>1431</v>
      </c>
      <c r="AL77" s="193" t="s">
        <v>1431</v>
      </c>
    </row>
    <row r="78" spans="1:38">
      <c r="A78" t="e">
        <f t="shared" ca="1" si="4"/>
        <v>#NAME?</v>
      </c>
      <c r="B78" t="e">
        <f ca="1">_xll.BDP(I78&amp;" CORP",$B$4)</f>
        <v>#NAME?</v>
      </c>
      <c r="C78" t="e" cm="1">
        <f t="array" aca="1" ref="C78" ca="1">_xll.BDP($B78&amp;" CORP",$C$3)</f>
        <v>#NAME?</v>
      </c>
      <c r="D78" t="e" cm="1">
        <f t="array" aca="1" ref="D78" ca="1">_xll.BDP($B78&amp;" CORP",$D$3)</f>
        <v>#NAME?</v>
      </c>
      <c r="E78" t="e" cm="1">
        <f t="array" aca="1" ref="E78" ca="1">_xll.BDP($B78&amp;" CORP",$E$3)</f>
        <v>#NAME?</v>
      </c>
      <c r="F78" s="204" t="e" cm="1">
        <f t="array" aca="1" ref="F78" ca="1">_xll.BDP($B78&amp;" CORP",$F$3)</f>
        <v>#NAME?</v>
      </c>
      <c r="G78" s="193" t="s">
        <v>3825</v>
      </c>
      <c r="H78" s="193" t="s">
        <v>3826</v>
      </c>
      <c r="I78" s="193" t="s">
        <v>3827</v>
      </c>
      <c r="J78" s="193" t="s">
        <v>3827</v>
      </c>
      <c r="K78" s="193" t="s">
        <v>3828</v>
      </c>
      <c r="L78" s="193"/>
      <c r="M78" s="193"/>
      <c r="N78" s="193">
        <v>3.3292265571526354</v>
      </c>
      <c r="O78" s="193"/>
      <c r="P78" s="193">
        <v>95</v>
      </c>
      <c r="Q78" s="193">
        <v>65</v>
      </c>
      <c r="R78" s="193">
        <v>-30</v>
      </c>
      <c r="S78" s="193">
        <v>5</v>
      </c>
      <c r="T78" s="193">
        <v>2100</v>
      </c>
      <c r="U78" s="193">
        <v>2100000000</v>
      </c>
      <c r="V78" s="193">
        <v>2600</v>
      </c>
      <c r="W78" s="193"/>
      <c r="X78" s="193">
        <v>0</v>
      </c>
      <c r="Y78" s="193">
        <v>-19.23</v>
      </c>
      <c r="Z78" s="193">
        <v>60.077799999999961</v>
      </c>
      <c r="AA78" s="193">
        <v>65</v>
      </c>
      <c r="AB78" s="193">
        <v>-5</v>
      </c>
      <c r="AC78" s="193" t="s">
        <v>1490</v>
      </c>
      <c r="AD78" s="193" t="s">
        <v>2227</v>
      </c>
      <c r="AE78" s="193" t="s">
        <v>3829</v>
      </c>
      <c r="AF78" s="193" t="s">
        <v>950</v>
      </c>
      <c r="AG78" s="193" t="s">
        <v>933</v>
      </c>
      <c r="AH78" s="193" t="s">
        <v>1432</v>
      </c>
      <c r="AI78" s="193" t="s">
        <v>950</v>
      </c>
      <c r="AJ78" s="193" t="s">
        <v>1431</v>
      </c>
      <c r="AK78" s="193" t="s">
        <v>1431</v>
      </c>
      <c r="AL78" s="193" t="s">
        <v>1431</v>
      </c>
    </row>
    <row r="79" spans="1:38">
      <c r="A79" t="e">
        <f t="shared" ca="1" si="4"/>
        <v>#NAME?</v>
      </c>
      <c r="B79" t="e">
        <f ca="1">_xll.BDP(I79&amp;" CORP",$B$4)</f>
        <v>#NAME?</v>
      </c>
      <c r="C79" t="e" cm="1">
        <f t="array" aca="1" ref="C79" ca="1">_xll.BDP($B79&amp;" CORP",$C$3)</f>
        <v>#NAME?</v>
      </c>
      <c r="D79" t="e" cm="1">
        <f t="array" aca="1" ref="D79" ca="1">_xll.BDP($B79&amp;" CORP",$D$3)</f>
        <v>#NAME?</v>
      </c>
      <c r="E79" t="e" cm="1">
        <f t="array" aca="1" ref="E79" ca="1">_xll.BDP($B79&amp;" CORP",$E$3)</f>
        <v>#NAME?</v>
      </c>
      <c r="F79" s="204" t="e" cm="1">
        <f t="array" aca="1" ref="F79" ca="1">_xll.BDP($B79&amp;" CORP",$F$3)</f>
        <v>#NAME?</v>
      </c>
      <c r="G79" s="193" t="s">
        <v>3830</v>
      </c>
      <c r="H79" s="193" t="s">
        <v>3826</v>
      </c>
      <c r="I79" s="193" t="s">
        <v>3831</v>
      </c>
      <c r="J79" s="193" t="s">
        <v>3831</v>
      </c>
      <c r="K79" s="193" t="s">
        <v>3828</v>
      </c>
      <c r="L79" s="193"/>
      <c r="M79" s="193"/>
      <c r="N79" s="193">
        <v>9.9986310746064344</v>
      </c>
      <c r="O79" s="193"/>
      <c r="P79" s="193">
        <v>125</v>
      </c>
      <c r="Q79" s="193">
        <v>103</v>
      </c>
      <c r="R79" s="193">
        <v>-22</v>
      </c>
      <c r="S79" s="193">
        <v>13</v>
      </c>
      <c r="T79" s="193">
        <v>750</v>
      </c>
      <c r="U79" s="193">
        <v>750000000</v>
      </c>
      <c r="V79" s="193">
        <v>1700</v>
      </c>
      <c r="W79" s="193"/>
      <c r="X79" s="193">
        <v>-1</v>
      </c>
      <c r="Y79" s="193">
        <v>-55.88</v>
      </c>
      <c r="Z79" s="193">
        <v>104.34090000000005</v>
      </c>
      <c r="AA79" s="193">
        <v>103</v>
      </c>
      <c r="AB79" s="193">
        <v>1</v>
      </c>
      <c r="AC79" s="193" t="s">
        <v>1490</v>
      </c>
      <c r="AD79" s="193" t="s">
        <v>2227</v>
      </c>
      <c r="AE79" s="193" t="s">
        <v>3829</v>
      </c>
      <c r="AF79" s="193" t="s">
        <v>950</v>
      </c>
      <c r="AG79" s="193" t="s">
        <v>933</v>
      </c>
      <c r="AH79" s="193" t="s">
        <v>1432</v>
      </c>
      <c r="AI79" s="193" t="s">
        <v>950</v>
      </c>
      <c r="AJ79" s="193" t="s">
        <v>1431</v>
      </c>
      <c r="AK79" s="193" t="s">
        <v>1431</v>
      </c>
      <c r="AL79" s="193" t="s">
        <v>1431</v>
      </c>
    </row>
    <row r="80" spans="1:38">
      <c r="A80" t="e">
        <f t="shared" ca="1" si="4"/>
        <v>#NAME?</v>
      </c>
      <c r="B80" t="e">
        <f ca="1">_xll.BDP(I80&amp;" CORP",$B$4)</f>
        <v>#NAME?</v>
      </c>
      <c r="C80" t="e" cm="1">
        <f t="array" aca="1" ref="C80" ca="1">_xll.BDP($B80&amp;" CORP",$C$3)</f>
        <v>#NAME?</v>
      </c>
      <c r="D80" t="e" cm="1">
        <f t="array" aca="1" ref="D80" ca="1">_xll.BDP($B80&amp;" CORP",$D$3)</f>
        <v>#NAME?</v>
      </c>
      <c r="E80" t="e" cm="1">
        <f t="array" aca="1" ref="E80" ca="1">_xll.BDP($B80&amp;" CORP",$E$3)</f>
        <v>#NAME?</v>
      </c>
      <c r="F80" s="204" t="e" cm="1">
        <f t="array" aca="1" ref="F80" ca="1">_xll.BDP($B80&amp;" CORP",$F$3)</f>
        <v>#NAME?</v>
      </c>
      <c r="G80" s="193" t="s">
        <v>3832</v>
      </c>
      <c r="H80" s="193" t="s">
        <v>3833</v>
      </c>
      <c r="I80" s="193" t="s">
        <v>3834</v>
      </c>
      <c r="J80" s="193" t="s">
        <v>3834</v>
      </c>
      <c r="K80" s="193" t="s">
        <v>3835</v>
      </c>
      <c r="L80" s="193"/>
      <c r="M80" s="193"/>
      <c r="N80" s="193">
        <v>4.9993155373032172</v>
      </c>
      <c r="O80" s="193"/>
      <c r="P80" s="193">
        <v>80</v>
      </c>
      <c r="Q80" s="193">
        <v>50</v>
      </c>
      <c r="R80" s="193">
        <v>-30</v>
      </c>
      <c r="S80" s="193">
        <v>5</v>
      </c>
      <c r="T80" s="193">
        <v>2100</v>
      </c>
      <c r="U80" s="193">
        <v>2100000000</v>
      </c>
      <c r="V80" s="193">
        <v>2600</v>
      </c>
      <c r="W80" s="193"/>
      <c r="X80" s="193">
        <v>0</v>
      </c>
      <c r="Y80" s="193">
        <v>-19.23</v>
      </c>
      <c r="Z80" s="193">
        <v>43.360100000000031</v>
      </c>
      <c r="AA80" s="193">
        <v>50</v>
      </c>
      <c r="AB80" s="193">
        <v>-7</v>
      </c>
      <c r="AC80" s="193" t="s">
        <v>1488</v>
      </c>
      <c r="AD80" s="193" t="s">
        <v>1909</v>
      </c>
      <c r="AE80" s="193" t="s">
        <v>1966</v>
      </c>
      <c r="AF80" s="193" t="s">
        <v>953</v>
      </c>
      <c r="AG80" s="193" t="s">
        <v>1012</v>
      </c>
      <c r="AH80" s="193" t="s">
        <v>997</v>
      </c>
      <c r="AI80" s="193" t="s">
        <v>997</v>
      </c>
      <c r="AJ80" s="193" t="s">
        <v>1431</v>
      </c>
      <c r="AK80" s="193" t="s">
        <v>1431</v>
      </c>
      <c r="AL80" s="193" t="s">
        <v>1431</v>
      </c>
    </row>
    <row r="81" spans="1:38">
      <c r="A81" t="e">
        <f t="shared" ca="1" si="4"/>
        <v>#NAME?</v>
      </c>
      <c r="B81" t="e">
        <f ca="1">_xll.BDP(I81&amp;" CORP",$B$4)</f>
        <v>#NAME?</v>
      </c>
      <c r="C81" t="e" cm="1">
        <f t="array" aca="1" ref="C81" ca="1">_xll.BDP($B81&amp;" CORP",$C$3)</f>
        <v>#NAME?</v>
      </c>
      <c r="D81" t="e" cm="1">
        <f t="array" aca="1" ref="D81" ca="1">_xll.BDP($B81&amp;" CORP",$D$3)</f>
        <v>#NAME?</v>
      </c>
      <c r="E81" t="e" cm="1">
        <f t="array" aca="1" ref="E81" ca="1">_xll.BDP($B81&amp;" CORP",$E$3)</f>
        <v>#NAME?</v>
      </c>
      <c r="F81" s="204" t="e" cm="1">
        <f t="array" aca="1" ref="F81" ca="1">_xll.BDP($B81&amp;" CORP",$F$3)</f>
        <v>#NAME?</v>
      </c>
      <c r="G81" s="193" t="s">
        <v>3836</v>
      </c>
      <c r="H81" s="193" t="s">
        <v>3833</v>
      </c>
      <c r="I81" s="193" t="s">
        <v>3837</v>
      </c>
      <c r="J81" s="193" t="s">
        <v>3837</v>
      </c>
      <c r="K81" s="193" t="s">
        <v>3835</v>
      </c>
      <c r="L81" s="193"/>
      <c r="M81" s="193"/>
      <c r="N81" s="193">
        <v>4.9993155373032172</v>
      </c>
      <c r="O81" s="193"/>
      <c r="P81" s="193"/>
      <c r="Q81" s="193">
        <v>78</v>
      </c>
      <c r="R81" s="193"/>
      <c r="S81" s="193"/>
      <c r="T81" s="193">
        <v>910</v>
      </c>
      <c r="U81" s="193">
        <v>910000000</v>
      </c>
      <c r="V81" s="193">
        <v>1350</v>
      </c>
      <c r="W81" s="193"/>
      <c r="X81" s="193">
        <v>0</v>
      </c>
      <c r="Y81" s="193">
        <v>-32.590000000000003</v>
      </c>
      <c r="Z81" s="193" t="s">
        <v>1432</v>
      </c>
      <c r="AA81" s="193" t="s">
        <v>1432</v>
      </c>
      <c r="AB81" s="193" t="s">
        <v>1281</v>
      </c>
      <c r="AC81" s="193" t="s">
        <v>1488</v>
      </c>
      <c r="AD81" s="193" t="s">
        <v>1909</v>
      </c>
      <c r="AE81" s="193" t="s">
        <v>1966</v>
      </c>
      <c r="AF81" s="193" t="s">
        <v>953</v>
      </c>
      <c r="AG81" s="193" t="s">
        <v>1012</v>
      </c>
      <c r="AH81" s="193" t="s">
        <v>997</v>
      </c>
      <c r="AI81" s="193" t="s">
        <v>997</v>
      </c>
      <c r="AJ81" s="193" t="s">
        <v>1431</v>
      </c>
      <c r="AK81" s="193" t="s">
        <v>1431</v>
      </c>
      <c r="AL81" s="193" t="s">
        <v>1431</v>
      </c>
    </row>
    <row r="82" spans="1:38">
      <c r="A82" t="e">
        <f t="shared" ca="1" si="4"/>
        <v>#NAME?</v>
      </c>
      <c r="B82" t="e">
        <f ca="1">_xll.BDP(I82&amp;" CORP",$B$4)</f>
        <v>#NAME?</v>
      </c>
      <c r="C82" t="e" cm="1">
        <f t="array" aca="1" ref="C82" ca="1">_xll.BDP($B82&amp;" CORP",$C$3)</f>
        <v>#NAME?</v>
      </c>
      <c r="D82" t="e" cm="1">
        <f t="array" aca="1" ref="D82" ca="1">_xll.BDP($B82&amp;" CORP",$D$3)</f>
        <v>#NAME?</v>
      </c>
      <c r="E82" t="e" cm="1">
        <f t="array" aca="1" ref="E82" ca="1">_xll.BDP($B82&amp;" CORP",$E$3)</f>
        <v>#NAME?</v>
      </c>
      <c r="F82" s="204" t="e" cm="1">
        <f t="array" aca="1" ref="F82" ca="1">_xll.BDP($B82&amp;" CORP",$F$3)</f>
        <v>#NAME?</v>
      </c>
      <c r="G82" s="193" t="s">
        <v>3838</v>
      </c>
      <c r="H82" s="193" t="s">
        <v>3833</v>
      </c>
      <c r="I82" s="193" t="s">
        <v>3839</v>
      </c>
      <c r="J82" s="193" t="s">
        <v>3839</v>
      </c>
      <c r="K82" s="193" t="s">
        <v>3835</v>
      </c>
      <c r="L82" s="193"/>
      <c r="M82" s="193"/>
      <c r="N82" s="193">
        <v>10.165639972621491</v>
      </c>
      <c r="O82" s="193"/>
      <c r="P82" s="193">
        <v>95</v>
      </c>
      <c r="Q82" s="193">
        <v>67</v>
      </c>
      <c r="R82" s="193">
        <v>-28</v>
      </c>
      <c r="S82" s="193">
        <v>7</v>
      </c>
      <c r="T82" s="193">
        <v>2375</v>
      </c>
      <c r="U82" s="193">
        <v>2375000000</v>
      </c>
      <c r="V82" s="193">
        <v>4300</v>
      </c>
      <c r="W82" s="193"/>
      <c r="X82" s="193">
        <v>0</v>
      </c>
      <c r="Y82" s="193">
        <v>-44.77</v>
      </c>
      <c r="Z82" s="193">
        <v>66.920500000000075</v>
      </c>
      <c r="AA82" s="193">
        <v>67</v>
      </c>
      <c r="AB82" s="193">
        <v>0</v>
      </c>
      <c r="AC82" s="193" t="s">
        <v>1488</v>
      </c>
      <c r="AD82" s="193" t="s">
        <v>1909</v>
      </c>
      <c r="AE82" s="193" t="s">
        <v>1966</v>
      </c>
      <c r="AF82" s="193" t="s">
        <v>953</v>
      </c>
      <c r="AG82" s="193" t="s">
        <v>1012</v>
      </c>
      <c r="AH82" s="193" t="s">
        <v>997</v>
      </c>
      <c r="AI82" s="193" t="s">
        <v>997</v>
      </c>
      <c r="AJ82" s="193" t="s">
        <v>1431</v>
      </c>
      <c r="AK82" s="193" t="s">
        <v>1431</v>
      </c>
      <c r="AL82" s="193" t="s">
        <v>1431</v>
      </c>
    </row>
    <row r="83" spans="1:38">
      <c r="A83" t="e">
        <f t="shared" ca="1" si="4"/>
        <v>#NAME?</v>
      </c>
      <c r="B83" t="e">
        <f ca="1">_xll.BDP(I83&amp;" CORP",$B$4)</f>
        <v>#NAME?</v>
      </c>
      <c r="C83" t="e" cm="1">
        <f t="array" aca="1" ref="C83" ca="1">_xll.BDP($B83&amp;" CORP",$C$3)</f>
        <v>#NAME?</v>
      </c>
      <c r="D83" t="e" cm="1">
        <f t="array" aca="1" ref="D83" ca="1">_xll.BDP($B83&amp;" CORP",$D$3)</f>
        <v>#NAME?</v>
      </c>
      <c r="E83" t="e" cm="1">
        <f t="array" aca="1" ref="E83" ca="1">_xll.BDP($B83&amp;" CORP",$E$3)</f>
        <v>#NAME?</v>
      </c>
      <c r="F83" s="204" t="e" cm="1">
        <f t="array" aca="1" ref="F83" ca="1">_xll.BDP($B83&amp;" CORP",$F$3)</f>
        <v>#NAME?</v>
      </c>
      <c r="G83" s="193" t="s">
        <v>3840</v>
      </c>
      <c r="H83" s="193" t="s">
        <v>3841</v>
      </c>
      <c r="I83" s="193" t="s">
        <v>3842</v>
      </c>
      <c r="J83" s="193" t="s">
        <v>3842</v>
      </c>
      <c r="K83" s="193" t="s">
        <v>3843</v>
      </c>
      <c r="L83" s="193"/>
      <c r="M83" s="193"/>
      <c r="N83" s="193">
        <v>7.008898015058179</v>
      </c>
      <c r="O83" s="193"/>
      <c r="P83" s="193">
        <v>95</v>
      </c>
      <c r="Q83" s="193">
        <v>65</v>
      </c>
      <c r="R83" s="193">
        <v>-30</v>
      </c>
      <c r="S83" s="193">
        <v>3</v>
      </c>
      <c r="T83" s="193">
        <v>1900</v>
      </c>
      <c r="U83" s="193">
        <v>1900000000</v>
      </c>
      <c r="V83" s="193">
        <v>3000</v>
      </c>
      <c r="W83" s="193"/>
      <c r="X83" s="193">
        <v>0</v>
      </c>
      <c r="Y83" s="193">
        <v>-36.67</v>
      </c>
      <c r="Z83" s="193">
        <v>65.902300000000039</v>
      </c>
      <c r="AA83" s="193">
        <v>65</v>
      </c>
      <c r="AB83" s="193">
        <v>1</v>
      </c>
      <c r="AC83" s="193" t="s">
        <v>1879</v>
      </c>
      <c r="AD83" s="193" t="s">
        <v>1880</v>
      </c>
      <c r="AE83" s="193" t="s">
        <v>3844</v>
      </c>
      <c r="AF83" s="193" t="s">
        <v>950</v>
      </c>
      <c r="AG83" s="193" t="s">
        <v>933</v>
      </c>
      <c r="AH83" s="193" t="s">
        <v>950</v>
      </c>
      <c r="AI83" s="193" t="s">
        <v>950</v>
      </c>
      <c r="AJ83" s="193" t="s">
        <v>1431</v>
      </c>
      <c r="AK83" s="193" t="s">
        <v>1431</v>
      </c>
      <c r="AL83" s="193" t="s">
        <v>1431</v>
      </c>
    </row>
    <row r="84" spans="1:38">
      <c r="A84" t="e">
        <f t="shared" ca="1" si="4"/>
        <v>#NAME?</v>
      </c>
      <c r="B84" t="e">
        <f ca="1">_xll.BDP(I84&amp;" CORP",$B$4)</f>
        <v>#NAME?</v>
      </c>
      <c r="C84" t="e" cm="1">
        <f t="array" aca="1" ref="C84" ca="1">_xll.BDP($B84&amp;" CORP",$C$3)</f>
        <v>#NAME?</v>
      </c>
      <c r="D84" t="e" cm="1">
        <f t="array" aca="1" ref="D84" ca="1">_xll.BDP($B84&amp;" CORP",$D$3)</f>
        <v>#NAME?</v>
      </c>
      <c r="E84" t="e" cm="1">
        <f t="array" aca="1" ref="E84" ca="1">_xll.BDP($B84&amp;" CORP",$E$3)</f>
        <v>#NAME?</v>
      </c>
      <c r="F84" s="204" t="e" cm="1">
        <f t="array" aca="1" ref="F84" ca="1">_xll.BDP($B84&amp;" CORP",$F$3)</f>
        <v>#NAME?</v>
      </c>
      <c r="G84" s="193" t="s">
        <v>3845</v>
      </c>
      <c r="H84" s="193" t="s">
        <v>3846</v>
      </c>
      <c r="I84" s="193" t="s">
        <v>3847</v>
      </c>
      <c r="J84" s="193" t="s">
        <v>3847</v>
      </c>
      <c r="K84" s="193" t="s">
        <v>3848</v>
      </c>
      <c r="L84" s="193"/>
      <c r="M84" s="193"/>
      <c r="N84" s="193">
        <v>7.1813826146475019</v>
      </c>
      <c r="O84" s="193"/>
      <c r="P84" s="193">
        <v>100</v>
      </c>
      <c r="Q84" s="193">
        <v>85</v>
      </c>
      <c r="R84" s="193">
        <v>-15</v>
      </c>
      <c r="S84" s="193">
        <v>10</v>
      </c>
      <c r="T84" s="193">
        <v>700</v>
      </c>
      <c r="U84" s="193">
        <v>700000000</v>
      </c>
      <c r="V84" s="193">
        <v>875</v>
      </c>
      <c r="W84" s="193"/>
      <c r="X84" s="193">
        <v>0</v>
      </c>
      <c r="Y84" s="193">
        <v>-20</v>
      </c>
      <c r="Z84" s="193">
        <v>78.76630000000003</v>
      </c>
      <c r="AA84" s="193">
        <v>85</v>
      </c>
      <c r="AB84" s="193">
        <v>-6</v>
      </c>
      <c r="AC84" s="193" t="s">
        <v>1428</v>
      </c>
      <c r="AD84" s="193" t="s">
        <v>1436</v>
      </c>
      <c r="AE84" s="193" t="s">
        <v>1920</v>
      </c>
      <c r="AF84" s="193" t="s">
        <v>938</v>
      </c>
      <c r="AG84" s="193" t="s">
        <v>942</v>
      </c>
      <c r="AH84" s="193" t="s">
        <v>938</v>
      </c>
      <c r="AI84" s="193" t="s">
        <v>938</v>
      </c>
      <c r="AJ84" s="193" t="s">
        <v>1431</v>
      </c>
      <c r="AK84" s="193" t="s">
        <v>1431</v>
      </c>
      <c r="AL84" s="193" t="s">
        <v>1431</v>
      </c>
    </row>
    <row r="85" spans="1:38">
      <c r="A85" t="e">
        <f t="shared" ca="1" si="4"/>
        <v>#NAME?</v>
      </c>
      <c r="B85" t="e">
        <f ca="1">_xll.BDP(I85&amp;" CORP",$B$4)</f>
        <v>#NAME?</v>
      </c>
      <c r="C85" t="e" cm="1">
        <f t="array" aca="1" ref="C85" ca="1">_xll.BDP($B85&amp;" CORP",$C$3)</f>
        <v>#NAME?</v>
      </c>
      <c r="D85" t="e" cm="1">
        <f t="array" aca="1" ref="D85" ca="1">_xll.BDP($B85&amp;" CORP",$D$3)</f>
        <v>#NAME?</v>
      </c>
      <c r="E85" t="e" cm="1">
        <f t="array" aca="1" ref="E85" ca="1">_xll.BDP($B85&amp;" CORP",$E$3)</f>
        <v>#NAME?</v>
      </c>
      <c r="F85" s="204" t="e" cm="1">
        <f t="array" aca="1" ref="F85" ca="1">_xll.BDP($B85&amp;" CORP",$F$3)</f>
        <v>#NAME?</v>
      </c>
      <c r="G85" s="193" t="s">
        <v>3320</v>
      </c>
      <c r="H85" s="193" t="s">
        <v>1950</v>
      </c>
      <c r="I85" s="193" t="s">
        <v>3321</v>
      </c>
      <c r="J85" s="193" t="s">
        <v>3321</v>
      </c>
      <c r="K85" s="193" t="s">
        <v>1559</v>
      </c>
      <c r="L85" s="193"/>
      <c r="M85" s="193"/>
      <c r="N85" s="193">
        <v>5.9986310746064335</v>
      </c>
      <c r="O85" s="193"/>
      <c r="P85" s="193">
        <v>115</v>
      </c>
      <c r="Q85" s="193">
        <v>90</v>
      </c>
      <c r="R85" s="193">
        <v>-25</v>
      </c>
      <c r="S85" s="193">
        <v>10</v>
      </c>
      <c r="T85" s="193">
        <v>8900</v>
      </c>
      <c r="U85" s="193">
        <v>8900000000</v>
      </c>
      <c r="V85" s="193">
        <v>9000</v>
      </c>
      <c r="W85" s="193"/>
      <c r="X85" s="193">
        <v>0</v>
      </c>
      <c r="Y85" s="193">
        <v>-1.1100000000000001</v>
      </c>
      <c r="Z85" s="193">
        <v>86.332400000000035</v>
      </c>
      <c r="AA85" s="193">
        <v>90</v>
      </c>
      <c r="AB85" s="193">
        <v>-4</v>
      </c>
      <c r="AC85" s="193" t="s">
        <v>1428</v>
      </c>
      <c r="AD85" s="193" t="s">
        <v>1429</v>
      </c>
      <c r="AE85" s="193" t="s">
        <v>1460</v>
      </c>
      <c r="AF85" s="193" t="s">
        <v>938</v>
      </c>
      <c r="AG85" s="193" t="s">
        <v>942</v>
      </c>
      <c r="AH85" s="193" t="s">
        <v>953</v>
      </c>
      <c r="AI85" s="193" t="s">
        <v>938</v>
      </c>
      <c r="AJ85" s="193" t="s">
        <v>1431</v>
      </c>
      <c r="AK85" s="193" t="s">
        <v>1431</v>
      </c>
      <c r="AL85" s="193" t="s">
        <v>1431</v>
      </c>
    </row>
    <row r="86" spans="1:38">
      <c r="A86" t="e">
        <f t="shared" ca="1" si="4"/>
        <v>#NAME?</v>
      </c>
      <c r="B86" t="e">
        <f ca="1">_xll.BDP(I86&amp;" CORP",$B$4)</f>
        <v>#NAME?</v>
      </c>
      <c r="C86" t="e" cm="1">
        <f t="array" aca="1" ref="C86" ca="1">_xll.BDP($B86&amp;" CORP",$C$3)</f>
        <v>#NAME?</v>
      </c>
      <c r="D86" t="e" cm="1">
        <f t="array" aca="1" ref="D86" ca="1">_xll.BDP($B86&amp;" CORP",$D$3)</f>
        <v>#NAME?</v>
      </c>
      <c r="E86" t="e" cm="1">
        <f t="array" aca="1" ref="E86" ca="1">_xll.BDP($B86&amp;" CORP",$E$3)</f>
        <v>#NAME?</v>
      </c>
      <c r="F86" s="204" t="e" cm="1">
        <f t="array" aca="1" ref="F86" ca="1">_xll.BDP($B86&amp;" CORP",$F$3)</f>
        <v>#NAME?</v>
      </c>
      <c r="G86" s="193" t="s">
        <v>3322</v>
      </c>
      <c r="H86" s="193" t="s">
        <v>1950</v>
      </c>
      <c r="I86" s="193" t="s">
        <v>3323</v>
      </c>
      <c r="J86" s="193" t="s">
        <v>3323</v>
      </c>
      <c r="K86" s="193" t="s">
        <v>1559</v>
      </c>
      <c r="L86" s="193"/>
      <c r="M86" s="193"/>
      <c r="N86" s="193">
        <v>5.9986310746064335</v>
      </c>
      <c r="O86" s="193"/>
      <c r="P86" s="193"/>
      <c r="Q86" s="193">
        <v>119</v>
      </c>
      <c r="R86" s="193"/>
      <c r="S86" s="193"/>
      <c r="T86" s="193">
        <v>3300</v>
      </c>
      <c r="U86" s="193">
        <v>3300000000</v>
      </c>
      <c r="V86" s="193">
        <v>3300</v>
      </c>
      <c r="W86" s="193"/>
      <c r="X86" s="193">
        <v>0</v>
      </c>
      <c r="Y86" s="193">
        <v>0</v>
      </c>
      <c r="Z86" s="193" t="s">
        <v>1432</v>
      </c>
      <c r="AA86" s="193" t="s">
        <v>1432</v>
      </c>
      <c r="AB86" s="193" t="s">
        <v>1281</v>
      </c>
      <c r="AC86" s="193" t="s">
        <v>1428</v>
      </c>
      <c r="AD86" s="193" t="s">
        <v>1429</v>
      </c>
      <c r="AE86" s="193" t="s">
        <v>1460</v>
      </c>
      <c r="AF86" s="193" t="s">
        <v>938</v>
      </c>
      <c r="AG86" s="193" t="s">
        <v>942</v>
      </c>
      <c r="AH86" s="193" t="s">
        <v>953</v>
      </c>
      <c r="AI86" s="193" t="s">
        <v>938</v>
      </c>
      <c r="AJ86" s="193" t="s">
        <v>1431</v>
      </c>
      <c r="AK86" s="193" t="s">
        <v>1431</v>
      </c>
      <c r="AL86" s="193" t="s">
        <v>1431</v>
      </c>
    </row>
    <row r="87" spans="1:38">
      <c r="A87" t="e">
        <f t="shared" ca="1" si="4"/>
        <v>#NAME?</v>
      </c>
      <c r="B87" t="e">
        <f ca="1">_xll.BDP(I87&amp;" CORP",$B$4)</f>
        <v>#NAME?</v>
      </c>
      <c r="C87" t="e" cm="1">
        <f t="array" aca="1" ref="C87" ca="1">_xll.BDP($B87&amp;" CORP",$C$3)</f>
        <v>#NAME?</v>
      </c>
      <c r="D87" t="e" cm="1">
        <f t="array" aca="1" ref="D87" ca="1">_xll.BDP($B87&amp;" CORP",$D$3)</f>
        <v>#NAME?</v>
      </c>
      <c r="E87" t="e" cm="1">
        <f t="array" aca="1" ref="E87" ca="1">_xll.BDP($B87&amp;" CORP",$E$3)</f>
        <v>#NAME?</v>
      </c>
      <c r="F87" s="204" t="e" cm="1">
        <f t="array" aca="1" ref="F87" ca="1">_xll.BDP($B87&amp;" CORP",$F$3)</f>
        <v>#NAME?</v>
      </c>
      <c r="G87" s="193" t="s">
        <v>3324</v>
      </c>
      <c r="H87" s="193" t="s">
        <v>1950</v>
      </c>
      <c r="I87" s="193" t="s">
        <v>3325</v>
      </c>
      <c r="J87" s="193" t="s">
        <v>3325</v>
      </c>
      <c r="K87" s="193" t="s">
        <v>1559</v>
      </c>
      <c r="L87" s="193"/>
      <c r="M87" s="193"/>
      <c r="N87" s="193">
        <v>11.000684462696784</v>
      </c>
      <c r="O87" s="193"/>
      <c r="P87" s="193">
        <v>130</v>
      </c>
      <c r="Q87" s="193">
        <v>105</v>
      </c>
      <c r="R87" s="193">
        <v>-25</v>
      </c>
      <c r="S87" s="193">
        <v>10</v>
      </c>
      <c r="T87" s="193">
        <v>8850</v>
      </c>
      <c r="U87" s="193">
        <v>8850000000</v>
      </c>
      <c r="V87" s="193">
        <v>9200</v>
      </c>
      <c r="W87" s="193"/>
      <c r="X87" s="193">
        <v>0</v>
      </c>
      <c r="Y87" s="193">
        <v>-3.8</v>
      </c>
      <c r="Z87" s="193">
        <v>99.92179999999999</v>
      </c>
      <c r="AA87" s="193">
        <v>105</v>
      </c>
      <c r="AB87" s="193">
        <v>-5</v>
      </c>
      <c r="AC87" s="193" t="s">
        <v>1428</v>
      </c>
      <c r="AD87" s="193" t="s">
        <v>1429</v>
      </c>
      <c r="AE87" s="193" t="s">
        <v>1460</v>
      </c>
      <c r="AF87" s="193" t="s">
        <v>938</v>
      </c>
      <c r="AG87" s="193" t="s">
        <v>942</v>
      </c>
      <c r="AH87" s="193" t="s">
        <v>953</v>
      </c>
      <c r="AI87" s="193" t="s">
        <v>938</v>
      </c>
      <c r="AJ87" s="193" t="s">
        <v>1431</v>
      </c>
      <c r="AK87" s="193" t="s">
        <v>1431</v>
      </c>
      <c r="AL87" s="193" t="s">
        <v>1431</v>
      </c>
    </row>
    <row r="88" spans="1:38">
      <c r="A88" t="e">
        <f t="shared" ca="1" si="4"/>
        <v>#NAME?</v>
      </c>
      <c r="B88" t="e">
        <f ca="1">_xll.BDP(I88&amp;" CORP",$B$4)</f>
        <v>#NAME?</v>
      </c>
      <c r="C88" t="e" cm="1">
        <f t="array" aca="1" ref="C88" ca="1">_xll.BDP($B88&amp;" CORP",$C$3)</f>
        <v>#NAME?</v>
      </c>
      <c r="D88" t="e" cm="1">
        <f t="array" aca="1" ref="D88" ca="1">_xll.BDP($B88&amp;" CORP",$D$3)</f>
        <v>#NAME?</v>
      </c>
      <c r="E88" t="e" cm="1">
        <f t="array" aca="1" ref="E88" ca="1">_xll.BDP($B88&amp;" CORP",$E$3)</f>
        <v>#NAME?</v>
      </c>
      <c r="F88" s="204" t="e" cm="1">
        <f t="array" aca="1" ref="F88" ca="1">_xll.BDP($B88&amp;" CORP",$F$3)</f>
        <v>#NAME?</v>
      </c>
      <c r="G88" s="193" t="s">
        <v>3327</v>
      </c>
      <c r="H88" s="193" t="s">
        <v>3328</v>
      </c>
      <c r="I88" s="193" t="s">
        <v>3329</v>
      </c>
      <c r="J88" s="193" t="s">
        <v>3329</v>
      </c>
      <c r="K88" s="193" t="s">
        <v>3058</v>
      </c>
      <c r="L88" s="193"/>
      <c r="M88" s="193"/>
      <c r="N88" s="193">
        <v>5.032169746748802</v>
      </c>
      <c r="O88" s="193"/>
      <c r="P88" s="193">
        <v>85</v>
      </c>
      <c r="Q88" s="193">
        <v>50</v>
      </c>
      <c r="R88" s="193">
        <v>-35</v>
      </c>
      <c r="S88" s="193">
        <v>15</v>
      </c>
      <c r="T88" s="193">
        <v>15800</v>
      </c>
      <c r="U88" s="193">
        <v>15800000000</v>
      </c>
      <c r="V88" s="193">
        <v>18700</v>
      </c>
      <c r="W88" s="193"/>
      <c r="X88" s="193">
        <v>0</v>
      </c>
      <c r="Y88" s="193">
        <v>-15.51</v>
      </c>
      <c r="Z88" s="193">
        <v>44.981799999999964</v>
      </c>
      <c r="AA88" s="193">
        <v>50</v>
      </c>
      <c r="AB88" s="193">
        <v>-5</v>
      </c>
      <c r="AC88" s="193" t="s">
        <v>1490</v>
      </c>
      <c r="AD88" s="193" t="s">
        <v>2227</v>
      </c>
      <c r="AE88" s="193" t="s">
        <v>3330</v>
      </c>
      <c r="AF88" s="193" t="s">
        <v>997</v>
      </c>
      <c r="AG88" s="193" t="s">
        <v>998</v>
      </c>
      <c r="AH88" s="193" t="s">
        <v>1432</v>
      </c>
      <c r="AI88" s="193" t="s">
        <v>997</v>
      </c>
      <c r="AJ88" s="193" t="s">
        <v>1431</v>
      </c>
      <c r="AK88" s="193" t="s">
        <v>1431</v>
      </c>
      <c r="AL88" s="193" t="s">
        <v>1431</v>
      </c>
    </row>
    <row r="89" spans="1:38">
      <c r="A89" t="e">
        <f t="shared" ca="1" si="4"/>
        <v>#NAME?</v>
      </c>
      <c r="B89" t="e">
        <f ca="1">_xll.BDP(I89&amp;" CORP",$B$4)</f>
        <v>#NAME?</v>
      </c>
      <c r="C89" t="e" cm="1">
        <f t="array" aca="1" ref="C89" ca="1">_xll.BDP($B89&amp;" CORP",$C$3)</f>
        <v>#NAME?</v>
      </c>
      <c r="D89" t="e" cm="1">
        <f t="array" aca="1" ref="D89" ca="1">_xll.BDP($B89&amp;" CORP",$D$3)</f>
        <v>#NAME?</v>
      </c>
      <c r="E89" t="e" cm="1">
        <f t="array" aca="1" ref="E89" ca="1">_xll.BDP($B89&amp;" CORP",$E$3)</f>
        <v>#NAME?</v>
      </c>
      <c r="F89" s="204" t="e" cm="1">
        <f t="array" aca="1" ref="F89" ca="1">_xll.BDP($B89&amp;" CORP",$F$3)</f>
        <v>#NAME?</v>
      </c>
      <c r="G89" s="193" t="s">
        <v>3331</v>
      </c>
      <c r="H89" s="193" t="s">
        <v>3328</v>
      </c>
      <c r="I89" s="193" t="s">
        <v>3332</v>
      </c>
      <c r="J89" s="193" t="s">
        <v>3332</v>
      </c>
      <c r="K89" s="193" t="s">
        <v>3058</v>
      </c>
      <c r="L89" s="193"/>
      <c r="M89" s="193"/>
      <c r="N89" s="193">
        <v>7.0335386721423685</v>
      </c>
      <c r="O89" s="193"/>
      <c r="P89" s="193">
        <v>105</v>
      </c>
      <c r="Q89" s="193">
        <v>70</v>
      </c>
      <c r="R89" s="193">
        <v>-35</v>
      </c>
      <c r="S89" s="193">
        <v>20</v>
      </c>
      <c r="T89" s="193">
        <v>20500</v>
      </c>
      <c r="U89" s="193">
        <v>20500000000</v>
      </c>
      <c r="V89" s="193">
        <v>21100</v>
      </c>
      <c r="W89" s="193"/>
      <c r="X89" s="193">
        <v>0</v>
      </c>
      <c r="Y89" s="193">
        <v>-2.84</v>
      </c>
      <c r="Z89" s="193">
        <v>56.077200000000005</v>
      </c>
      <c r="AA89" s="193">
        <v>70</v>
      </c>
      <c r="AB89" s="193">
        <v>-14</v>
      </c>
      <c r="AC89" s="193" t="s">
        <v>1490</v>
      </c>
      <c r="AD89" s="193" t="s">
        <v>2227</v>
      </c>
      <c r="AE89" s="193" t="s">
        <v>3330</v>
      </c>
      <c r="AF89" s="193" t="s">
        <v>997</v>
      </c>
      <c r="AG89" s="193" t="s">
        <v>998</v>
      </c>
      <c r="AH89" s="193" t="s">
        <v>1432</v>
      </c>
      <c r="AI89" s="193" t="s">
        <v>997</v>
      </c>
      <c r="AJ89" s="193" t="s">
        <v>1431</v>
      </c>
      <c r="AK89" s="193" t="s">
        <v>1431</v>
      </c>
      <c r="AL89" s="193" t="s">
        <v>1431</v>
      </c>
    </row>
    <row r="90" spans="1:38">
      <c r="A90" t="e">
        <f t="shared" ca="1" si="4"/>
        <v>#NAME?</v>
      </c>
      <c r="B90" t="e">
        <f ca="1">_xll.BDP(I90&amp;" CORP",$B$4)</f>
        <v>#NAME?</v>
      </c>
      <c r="C90" t="e" cm="1">
        <f t="array" aca="1" ref="C90" ca="1">_xll.BDP($B90&amp;" CORP",$C$3)</f>
        <v>#NAME?</v>
      </c>
      <c r="D90" t="e" cm="1">
        <f t="array" aca="1" ref="D90" ca="1">_xll.BDP($B90&amp;" CORP",$D$3)</f>
        <v>#NAME?</v>
      </c>
      <c r="E90" t="e" cm="1">
        <f t="array" aca="1" ref="E90" ca="1">_xll.BDP($B90&amp;" CORP",$E$3)</f>
        <v>#NAME?</v>
      </c>
      <c r="F90" s="204" t="e" cm="1">
        <f t="array" aca="1" ref="F90" ca="1">_xll.BDP($B90&amp;" CORP",$F$3)</f>
        <v>#NAME?</v>
      </c>
      <c r="G90" s="193" t="s">
        <v>3334</v>
      </c>
      <c r="H90" s="193" t="s">
        <v>3328</v>
      </c>
      <c r="I90" s="193" t="s">
        <v>3335</v>
      </c>
      <c r="J90" s="193" t="s">
        <v>3335</v>
      </c>
      <c r="K90" s="193" t="s">
        <v>3058</v>
      </c>
      <c r="L90" s="193"/>
      <c r="M90" s="193"/>
      <c r="N90" s="193">
        <v>10.031485284052019</v>
      </c>
      <c r="O90" s="193"/>
      <c r="P90" s="193">
        <v>110</v>
      </c>
      <c r="Q90" s="193">
        <v>78</v>
      </c>
      <c r="R90" s="193">
        <v>-32</v>
      </c>
      <c r="S90" s="193">
        <v>18</v>
      </c>
      <c r="T90" s="193">
        <v>24300</v>
      </c>
      <c r="U90" s="193">
        <v>24300000000</v>
      </c>
      <c r="V90" s="193">
        <v>24600</v>
      </c>
      <c r="W90" s="193"/>
      <c r="X90" s="193">
        <v>0</v>
      </c>
      <c r="Y90" s="193">
        <v>-1.22</v>
      </c>
      <c r="Z90" s="193">
        <v>69.562300000000036</v>
      </c>
      <c r="AA90" s="193">
        <v>78</v>
      </c>
      <c r="AB90" s="193">
        <v>-8</v>
      </c>
      <c r="AC90" s="193" t="s">
        <v>1490</v>
      </c>
      <c r="AD90" s="193" t="s">
        <v>2227</v>
      </c>
      <c r="AE90" s="193" t="s">
        <v>3330</v>
      </c>
      <c r="AF90" s="193" t="s">
        <v>997</v>
      </c>
      <c r="AG90" s="193" t="s">
        <v>998</v>
      </c>
      <c r="AH90" s="193" t="s">
        <v>1432</v>
      </c>
      <c r="AI90" s="193" t="s">
        <v>997</v>
      </c>
      <c r="AJ90" s="193" t="s">
        <v>1431</v>
      </c>
      <c r="AK90" s="193" t="s">
        <v>1431</v>
      </c>
      <c r="AL90" s="193" t="s">
        <v>1431</v>
      </c>
    </row>
    <row r="91" spans="1:38">
      <c r="A91" t="e">
        <f t="shared" ca="1" si="4"/>
        <v>#NAME?</v>
      </c>
      <c r="B91" t="e">
        <f ca="1">_xll.BDP(I91&amp;" CORP",$B$4)</f>
        <v>#NAME?</v>
      </c>
      <c r="C91" t="e" cm="1">
        <f t="array" aca="1" ref="C91" ca="1">_xll.BDP($B91&amp;" CORP",$C$3)</f>
        <v>#NAME?</v>
      </c>
      <c r="D91" t="e" cm="1">
        <f t="array" aca="1" ref="D91" ca="1">_xll.BDP($B91&amp;" CORP",$D$3)</f>
        <v>#NAME?</v>
      </c>
      <c r="E91" t="e" cm="1">
        <f t="array" aca="1" ref="E91" ca="1">_xll.BDP($B91&amp;" CORP",$E$3)</f>
        <v>#NAME?</v>
      </c>
      <c r="F91" s="204" t="e" cm="1">
        <f t="array" aca="1" ref="F91" ca="1">_xll.BDP($B91&amp;" CORP",$F$3)</f>
        <v>#NAME?</v>
      </c>
      <c r="G91" s="193" t="s">
        <v>3336</v>
      </c>
      <c r="H91" s="193" t="s">
        <v>3328</v>
      </c>
      <c r="I91" s="193" t="s">
        <v>3337</v>
      </c>
      <c r="J91" s="193" t="s">
        <v>3337</v>
      </c>
      <c r="K91" s="193" t="s">
        <v>3058</v>
      </c>
      <c r="L91" s="193"/>
      <c r="M91" s="193"/>
      <c r="N91" s="193">
        <v>20.032854209445585</v>
      </c>
      <c r="O91" s="193"/>
      <c r="P91" s="193">
        <v>120</v>
      </c>
      <c r="Q91" s="193">
        <v>88</v>
      </c>
      <c r="R91" s="193">
        <v>-32</v>
      </c>
      <c r="S91" s="193">
        <v>13</v>
      </c>
      <c r="T91" s="193">
        <v>15400</v>
      </c>
      <c r="U91" s="193">
        <v>15400000000</v>
      </c>
      <c r="V91" s="193">
        <v>17000</v>
      </c>
      <c r="W91" s="193"/>
      <c r="X91" s="193">
        <v>0</v>
      </c>
      <c r="Y91" s="193">
        <v>-9.41</v>
      </c>
      <c r="Z91" s="193">
        <v>86.969700000000046</v>
      </c>
      <c r="AA91" s="193">
        <v>88</v>
      </c>
      <c r="AB91" s="193">
        <v>-1</v>
      </c>
      <c r="AC91" s="193" t="s">
        <v>1490</v>
      </c>
      <c r="AD91" s="193" t="s">
        <v>2227</v>
      </c>
      <c r="AE91" s="193" t="s">
        <v>3330</v>
      </c>
      <c r="AF91" s="193" t="s">
        <v>997</v>
      </c>
      <c r="AG91" s="193" t="s">
        <v>998</v>
      </c>
      <c r="AH91" s="193" t="s">
        <v>1432</v>
      </c>
      <c r="AI91" s="193" t="s">
        <v>997</v>
      </c>
      <c r="AJ91" s="193" t="s">
        <v>1431</v>
      </c>
      <c r="AK91" s="193" t="s">
        <v>1431</v>
      </c>
      <c r="AL91" s="193" t="s">
        <v>1431</v>
      </c>
    </row>
    <row r="92" spans="1:38">
      <c r="A92" t="e">
        <f t="shared" ca="1" si="4"/>
        <v>#NAME?</v>
      </c>
      <c r="B92" t="e">
        <f ca="1">_xll.BDP(I92&amp;" CORP",$B$4)</f>
        <v>#NAME?</v>
      </c>
      <c r="C92" t="e" cm="1">
        <f t="array" aca="1" ref="C92" ca="1">_xll.BDP($B92&amp;" CORP",$C$3)</f>
        <v>#NAME?</v>
      </c>
      <c r="D92" t="e" cm="1">
        <f t="array" aca="1" ref="D92" ca="1">_xll.BDP($B92&amp;" CORP",$D$3)</f>
        <v>#NAME?</v>
      </c>
      <c r="E92" t="e" cm="1">
        <f t="array" aca="1" ref="E92" ca="1">_xll.BDP($B92&amp;" CORP",$E$3)</f>
        <v>#NAME?</v>
      </c>
      <c r="F92" s="204" t="e" cm="1">
        <f t="array" aca="1" ref="F92" ca="1">_xll.BDP($B92&amp;" CORP",$F$3)</f>
        <v>#NAME?</v>
      </c>
      <c r="G92" s="193" t="s">
        <v>3849</v>
      </c>
      <c r="H92" s="193" t="s">
        <v>3328</v>
      </c>
      <c r="I92" s="193" t="s">
        <v>3338</v>
      </c>
      <c r="J92" s="193" t="s">
        <v>3338</v>
      </c>
      <c r="K92" s="193" t="s">
        <v>3058</v>
      </c>
      <c r="L92" s="193"/>
      <c r="M92" s="193"/>
      <c r="N92" s="193">
        <v>30.031485284052017</v>
      </c>
      <c r="O92" s="193"/>
      <c r="P92" s="193">
        <v>130</v>
      </c>
      <c r="Q92" s="193">
        <v>98</v>
      </c>
      <c r="R92" s="193">
        <v>-32</v>
      </c>
      <c r="S92" s="193">
        <v>13</v>
      </c>
      <c r="T92" s="193">
        <v>23800</v>
      </c>
      <c r="U92" s="193">
        <v>23800000000</v>
      </c>
      <c r="V92" s="193">
        <v>25400</v>
      </c>
      <c r="W92" s="193"/>
      <c r="X92" s="193">
        <v>0</v>
      </c>
      <c r="Y92" s="193">
        <v>-6.3</v>
      </c>
      <c r="Z92" s="193">
        <v>94.298299999999983</v>
      </c>
      <c r="AA92" s="193">
        <v>98</v>
      </c>
      <c r="AB92" s="193" t="s">
        <v>1281</v>
      </c>
      <c r="AC92" s="193" t="s">
        <v>1490</v>
      </c>
      <c r="AD92" s="193" t="s">
        <v>2227</v>
      </c>
      <c r="AE92" s="193" t="s">
        <v>3330</v>
      </c>
      <c r="AF92" s="193" t="s">
        <v>997</v>
      </c>
      <c r="AG92" s="193" t="s">
        <v>998</v>
      </c>
      <c r="AH92" s="193" t="s">
        <v>1432</v>
      </c>
      <c r="AI92" s="193" t="s">
        <v>997</v>
      </c>
      <c r="AJ92" s="193" t="s">
        <v>1431</v>
      </c>
      <c r="AK92" s="193" t="s">
        <v>1431</v>
      </c>
      <c r="AL92" s="193" t="s">
        <v>1431</v>
      </c>
    </row>
    <row r="93" spans="1:38">
      <c r="A93" t="e">
        <f t="shared" ca="1" si="4"/>
        <v>#NAME?</v>
      </c>
      <c r="B93" t="e">
        <f ca="1">_xll.BDP(I93&amp;" CORP",$B$4)</f>
        <v>#NAME?</v>
      </c>
      <c r="C93" t="e" cm="1">
        <f t="array" aca="1" ref="C93" ca="1">_xll.BDP($B93&amp;" CORP",$C$3)</f>
        <v>#NAME?</v>
      </c>
      <c r="D93" t="e" cm="1">
        <f t="array" aca="1" ref="D93" ca="1">_xll.BDP($B93&amp;" CORP",$D$3)</f>
        <v>#NAME?</v>
      </c>
      <c r="E93" t="e" cm="1">
        <f t="array" aca="1" ref="E93" ca="1">_xll.BDP($B93&amp;" CORP",$E$3)</f>
        <v>#NAME?</v>
      </c>
      <c r="F93" s="204" t="e" cm="1">
        <f t="array" aca="1" ref="F93" ca="1">_xll.BDP($B93&amp;" CORP",$F$3)</f>
        <v>#NAME?</v>
      </c>
      <c r="G93" s="193" t="s">
        <v>3850</v>
      </c>
      <c r="H93" s="193" t="s">
        <v>3328</v>
      </c>
      <c r="I93" s="193" t="s">
        <v>3339</v>
      </c>
      <c r="J93" s="193" t="s">
        <v>3339</v>
      </c>
      <c r="K93" s="193" t="s">
        <v>3058</v>
      </c>
      <c r="L93" s="193"/>
      <c r="M93" s="193"/>
      <c r="N93" s="193">
        <v>40.032854209445588</v>
      </c>
      <c r="O93" s="193"/>
      <c r="P93" s="193">
        <v>140</v>
      </c>
      <c r="Q93" s="193">
        <v>110</v>
      </c>
      <c r="R93" s="193">
        <v>-30</v>
      </c>
      <c r="S93" s="193">
        <v>15</v>
      </c>
      <c r="T93" s="193">
        <v>16500</v>
      </c>
      <c r="U93" s="193">
        <v>16500000000</v>
      </c>
      <c r="V93" s="193">
        <v>17300</v>
      </c>
      <c r="W93" s="193"/>
      <c r="X93" s="193">
        <v>0</v>
      </c>
      <c r="Y93" s="193">
        <v>-4.62</v>
      </c>
      <c r="Z93" s="193">
        <v>107.35929999999998</v>
      </c>
      <c r="AA93" s="193">
        <v>110</v>
      </c>
      <c r="AB93" s="193" t="s">
        <v>1281</v>
      </c>
      <c r="AC93" s="193" t="s">
        <v>1490</v>
      </c>
      <c r="AD93" s="193" t="s">
        <v>2227</v>
      </c>
      <c r="AE93" s="193" t="s">
        <v>3330</v>
      </c>
      <c r="AF93" s="193" t="s">
        <v>997</v>
      </c>
      <c r="AG93" s="193" t="s">
        <v>998</v>
      </c>
      <c r="AH93" s="193" t="s">
        <v>1432</v>
      </c>
      <c r="AI93" s="193" t="s">
        <v>997</v>
      </c>
      <c r="AJ93" s="193" t="s">
        <v>1431</v>
      </c>
      <c r="AK93" s="193" t="s">
        <v>1431</v>
      </c>
      <c r="AL93" s="193" t="s">
        <v>1431</v>
      </c>
    </row>
    <row r="94" spans="1:38">
      <c r="A94" t="e">
        <f t="shared" ca="1" si="4"/>
        <v>#NAME?</v>
      </c>
      <c r="B94" t="e">
        <f ca="1">_xll.BDP(I94&amp;" CORP",$B$4)</f>
        <v>#NAME?</v>
      </c>
      <c r="C94" t="e" cm="1">
        <f t="array" aca="1" ref="C94" ca="1">_xll.BDP($B94&amp;" CORP",$C$3)</f>
        <v>#NAME?</v>
      </c>
      <c r="D94" t="e" cm="1">
        <f t="array" aca="1" ref="D94" ca="1">_xll.BDP($B94&amp;" CORP",$D$3)</f>
        <v>#NAME?</v>
      </c>
      <c r="E94" t="e" cm="1">
        <f t="array" aca="1" ref="E94" ca="1">_xll.BDP($B94&amp;" CORP",$E$3)</f>
        <v>#NAME?</v>
      </c>
      <c r="F94" s="204" t="e" cm="1">
        <f t="array" aca="1" ref="F94" ca="1">_xll.BDP($B94&amp;" CORP",$F$3)</f>
        <v>#NAME?</v>
      </c>
      <c r="G94" s="193" t="s">
        <v>3851</v>
      </c>
      <c r="H94" s="193" t="s">
        <v>2672</v>
      </c>
      <c r="I94" s="193" t="s">
        <v>3340</v>
      </c>
      <c r="J94" s="193" t="s">
        <v>3340</v>
      </c>
      <c r="K94" s="193" t="s">
        <v>1551</v>
      </c>
      <c r="L94" s="193"/>
      <c r="M94" s="193"/>
      <c r="N94" s="193">
        <v>3.0006844626967832</v>
      </c>
      <c r="O94" s="193"/>
      <c r="P94" s="193">
        <v>80</v>
      </c>
      <c r="Q94" s="193">
        <v>57</v>
      </c>
      <c r="R94" s="193">
        <v>-23</v>
      </c>
      <c r="S94" s="193">
        <v>7</v>
      </c>
      <c r="T94" s="193">
        <v>1625</v>
      </c>
      <c r="U94" s="193">
        <v>1625000000</v>
      </c>
      <c r="V94" s="193">
        <v>2050</v>
      </c>
      <c r="W94" s="193"/>
      <c r="X94" s="193">
        <v>0</v>
      </c>
      <c r="Y94" s="193">
        <v>-20.73</v>
      </c>
      <c r="Z94" s="193">
        <v>56.824300000000029</v>
      </c>
      <c r="AA94" s="193">
        <v>57</v>
      </c>
      <c r="AB94" s="193" t="s">
        <v>1281</v>
      </c>
      <c r="AC94" s="193" t="s">
        <v>1428</v>
      </c>
      <c r="AD94" s="193" t="s">
        <v>1429</v>
      </c>
      <c r="AE94" s="193" t="s">
        <v>1460</v>
      </c>
      <c r="AF94" s="193" t="s">
        <v>876</v>
      </c>
      <c r="AG94" s="193" t="s">
        <v>939</v>
      </c>
      <c r="AH94" s="193" t="s">
        <v>997</v>
      </c>
      <c r="AI94" s="193" t="s">
        <v>953</v>
      </c>
      <c r="AJ94" s="193" t="s">
        <v>1431</v>
      </c>
      <c r="AK94" s="193" t="s">
        <v>1431</v>
      </c>
      <c r="AL94" s="193" t="s">
        <v>1431</v>
      </c>
    </row>
    <row r="95" spans="1:38">
      <c r="A95" t="e">
        <f t="shared" ca="1" si="4"/>
        <v>#NAME?</v>
      </c>
      <c r="B95" t="e">
        <f ca="1">_xll.BDP(I95&amp;" CORP",$B$4)</f>
        <v>#NAME?</v>
      </c>
      <c r="C95" t="e" cm="1">
        <f t="array" aca="1" ref="C95" ca="1">_xll.BDP($B95&amp;" CORP",$C$3)</f>
        <v>#NAME?</v>
      </c>
      <c r="D95" t="e" cm="1">
        <f t="array" aca="1" ref="D95" ca="1">_xll.BDP($B95&amp;" CORP",$D$3)</f>
        <v>#NAME?</v>
      </c>
      <c r="E95" t="e" cm="1">
        <f t="array" aca="1" ref="E95" ca="1">_xll.BDP($B95&amp;" CORP",$E$3)</f>
        <v>#NAME?</v>
      </c>
      <c r="F95" s="204" t="e" cm="1">
        <f t="array" aca="1" ref="F95" ca="1">_xll.BDP($B95&amp;" CORP",$F$3)</f>
        <v>#NAME?</v>
      </c>
      <c r="G95" s="193" t="s">
        <v>3852</v>
      </c>
      <c r="H95" s="193" t="s">
        <v>2672</v>
      </c>
      <c r="I95" s="193" t="s">
        <v>3341</v>
      </c>
      <c r="J95" s="193" t="s">
        <v>3341</v>
      </c>
      <c r="K95" s="193" t="s">
        <v>1551</v>
      </c>
      <c r="L95" s="193"/>
      <c r="M95" s="193"/>
      <c r="N95" s="193">
        <v>3.0006844626967832</v>
      </c>
      <c r="O95" s="193"/>
      <c r="P95" s="193"/>
      <c r="Q95" s="193">
        <v>80</v>
      </c>
      <c r="R95" s="193"/>
      <c r="S95" s="193"/>
      <c r="T95" s="193">
        <v>1500</v>
      </c>
      <c r="U95" s="193">
        <v>1500000000</v>
      </c>
      <c r="V95" s="193">
        <v>1500</v>
      </c>
      <c r="W95" s="193"/>
      <c r="X95" s="193">
        <v>0</v>
      </c>
      <c r="Y95" s="193">
        <v>0</v>
      </c>
      <c r="Z95" s="193" t="s">
        <v>1432</v>
      </c>
      <c r="AA95" s="193" t="s">
        <v>1432</v>
      </c>
      <c r="AB95" s="193" t="s">
        <v>1281</v>
      </c>
      <c r="AC95" s="193" t="s">
        <v>1428</v>
      </c>
      <c r="AD95" s="193" t="s">
        <v>1429</v>
      </c>
      <c r="AE95" s="193" t="s">
        <v>1460</v>
      </c>
      <c r="AF95" s="193" t="s">
        <v>876</v>
      </c>
      <c r="AG95" s="193" t="s">
        <v>939</v>
      </c>
      <c r="AH95" s="193" t="s">
        <v>997</v>
      </c>
      <c r="AI95" s="193" t="s">
        <v>953</v>
      </c>
      <c r="AJ95" s="193" t="s">
        <v>1431</v>
      </c>
      <c r="AK95" s="193" t="s">
        <v>1431</v>
      </c>
      <c r="AL95" s="193" t="s">
        <v>1431</v>
      </c>
    </row>
    <row r="96" spans="1:38">
      <c r="A96" t="e">
        <f t="shared" ref="A96:A107" ca="1" si="5">IF(LEN(C96)&lt;&gt;LENB(C96),"中文","英文")</f>
        <v>#NAME?</v>
      </c>
      <c r="B96" t="e">
        <f ca="1">_xll.BDP(I96&amp;" CORP",$B$4)</f>
        <v>#NAME?</v>
      </c>
      <c r="C96" t="e" cm="1">
        <f t="array" aca="1" ref="C96" ca="1">_xll.BDP($B96&amp;" CORP",$C$3)</f>
        <v>#NAME?</v>
      </c>
      <c r="D96" t="e" cm="1">
        <f t="array" aca="1" ref="D96" ca="1">_xll.BDP($B96&amp;" CORP",$D$3)</f>
        <v>#NAME?</v>
      </c>
      <c r="E96" t="e" cm="1">
        <f t="array" aca="1" ref="E96" ca="1">_xll.BDP($B96&amp;" CORP",$E$3)</f>
        <v>#NAME?</v>
      </c>
      <c r="F96" s="204" t="e" cm="1">
        <f t="array" aca="1" ref="F96" ca="1">_xll.BDP($B96&amp;" CORP",$F$3)</f>
        <v>#NAME?</v>
      </c>
      <c r="G96" s="193" t="s">
        <v>3853</v>
      </c>
      <c r="H96" s="193" t="s">
        <v>2672</v>
      </c>
      <c r="I96" s="193" t="s">
        <v>3342</v>
      </c>
      <c r="J96" s="193" t="s">
        <v>3342</v>
      </c>
      <c r="K96" s="193" t="s">
        <v>1551</v>
      </c>
      <c r="L96" s="193"/>
      <c r="M96" s="193"/>
      <c r="N96" s="193">
        <v>4.9993155373032172</v>
      </c>
      <c r="O96" s="193"/>
      <c r="P96" s="193">
        <v>95</v>
      </c>
      <c r="Q96" s="193">
        <v>70</v>
      </c>
      <c r="R96" s="193">
        <v>-25</v>
      </c>
      <c r="S96" s="193">
        <v>5</v>
      </c>
      <c r="T96" s="193">
        <v>1900</v>
      </c>
      <c r="U96" s="193">
        <v>1900000000</v>
      </c>
      <c r="V96" s="193">
        <v>2675</v>
      </c>
      <c r="W96" s="193"/>
      <c r="X96" s="193">
        <v>0</v>
      </c>
      <c r="Y96" s="193">
        <v>-28.97</v>
      </c>
      <c r="Z96" s="193">
        <v>70.143700000000024</v>
      </c>
      <c r="AA96" s="193">
        <v>70</v>
      </c>
      <c r="AB96" s="193" t="s">
        <v>1281</v>
      </c>
      <c r="AC96" s="193" t="s">
        <v>1428</v>
      </c>
      <c r="AD96" s="193" t="s">
        <v>1429</v>
      </c>
      <c r="AE96" s="193" t="s">
        <v>1460</v>
      </c>
      <c r="AF96" s="193" t="s">
        <v>876</v>
      </c>
      <c r="AG96" s="193" t="s">
        <v>939</v>
      </c>
      <c r="AH96" s="193" t="s">
        <v>997</v>
      </c>
      <c r="AI96" s="193" t="s">
        <v>953</v>
      </c>
      <c r="AJ96" s="193" t="s">
        <v>1431</v>
      </c>
      <c r="AK96" s="193" t="s">
        <v>1431</v>
      </c>
      <c r="AL96" s="193" t="s">
        <v>1431</v>
      </c>
    </row>
    <row r="97" spans="1:38">
      <c r="A97" t="e">
        <f t="shared" ca="1" si="5"/>
        <v>#NAME?</v>
      </c>
      <c r="B97" t="e">
        <f ca="1">_xll.BDP(I97&amp;" CORP",$B$4)</f>
        <v>#NAME?</v>
      </c>
      <c r="C97" t="e" cm="1">
        <f t="array" aca="1" ref="C97" ca="1">_xll.BDP($B97&amp;" CORP",$C$3)</f>
        <v>#NAME?</v>
      </c>
      <c r="D97" t="e" cm="1">
        <f t="array" aca="1" ref="D97" ca="1">_xll.BDP($B97&amp;" CORP",$D$3)</f>
        <v>#NAME?</v>
      </c>
      <c r="E97" t="e" cm="1">
        <f t="array" aca="1" ref="E97" ca="1">_xll.BDP($B97&amp;" CORP",$E$3)</f>
        <v>#NAME?</v>
      </c>
      <c r="F97" s="204" t="e" cm="1">
        <f t="array" aca="1" ref="F97" ca="1">_xll.BDP($B97&amp;" CORP",$F$3)</f>
        <v>#NAME?</v>
      </c>
      <c r="G97" s="193" t="s">
        <v>3854</v>
      </c>
      <c r="H97" s="193" t="s">
        <v>3344</v>
      </c>
      <c r="I97" s="193" t="s">
        <v>3345</v>
      </c>
      <c r="J97" s="193" t="s">
        <v>3345</v>
      </c>
      <c r="K97" s="193" t="s">
        <v>2974</v>
      </c>
      <c r="L97" s="193"/>
      <c r="M97" s="193"/>
      <c r="N97" s="193">
        <v>4.9993155373032172</v>
      </c>
      <c r="O97" s="193"/>
      <c r="P97" s="193">
        <v>110</v>
      </c>
      <c r="Q97" s="193">
        <v>83</v>
      </c>
      <c r="R97" s="193">
        <v>-27</v>
      </c>
      <c r="S97" s="193">
        <v>5</v>
      </c>
      <c r="T97" s="193">
        <v>4000</v>
      </c>
      <c r="U97" s="193">
        <v>4000000000</v>
      </c>
      <c r="V97" s="193">
        <v>4060</v>
      </c>
      <c r="W97" s="193"/>
      <c r="X97" s="193">
        <v>0</v>
      </c>
      <c r="Y97" s="193">
        <v>-1.48</v>
      </c>
      <c r="Z97" s="193">
        <v>82.096299999999985</v>
      </c>
      <c r="AA97" s="193">
        <v>83</v>
      </c>
      <c r="AB97" s="193" t="s">
        <v>1281</v>
      </c>
      <c r="AC97" s="193" t="s">
        <v>1428</v>
      </c>
      <c r="AD97" s="193" t="s">
        <v>1429</v>
      </c>
      <c r="AE97" s="193" t="s">
        <v>1460</v>
      </c>
      <c r="AF97" s="193" t="s">
        <v>938</v>
      </c>
      <c r="AG97" s="193" t="s">
        <v>933</v>
      </c>
      <c r="AH97" s="193" t="s">
        <v>876</v>
      </c>
      <c r="AI97" s="193" t="s">
        <v>938</v>
      </c>
      <c r="AJ97" s="193" t="s">
        <v>1431</v>
      </c>
      <c r="AK97" s="193" t="s">
        <v>1431</v>
      </c>
      <c r="AL97" s="193" t="s">
        <v>1431</v>
      </c>
    </row>
    <row r="98" spans="1:38">
      <c r="A98" t="e">
        <f t="shared" ca="1" si="5"/>
        <v>#NAME?</v>
      </c>
      <c r="B98" t="e">
        <f ca="1">_xll.BDP(I98&amp;" CORP",$B$4)</f>
        <v>#NAME?</v>
      </c>
      <c r="C98" t="e" cm="1">
        <f t="array" aca="1" ref="C98" ca="1">_xll.BDP($B98&amp;" CORP",$C$3)</f>
        <v>#NAME?</v>
      </c>
      <c r="D98" t="e" cm="1">
        <f t="array" aca="1" ref="D98" ca="1">_xll.BDP($B98&amp;" CORP",$D$3)</f>
        <v>#NAME?</v>
      </c>
      <c r="E98" t="e" cm="1">
        <f t="array" aca="1" ref="E98" ca="1">_xll.BDP($B98&amp;" CORP",$E$3)</f>
        <v>#NAME?</v>
      </c>
      <c r="F98" s="204" t="e" cm="1">
        <f t="array" aca="1" ref="F98" ca="1">_xll.BDP($B98&amp;" CORP",$F$3)</f>
        <v>#NAME?</v>
      </c>
      <c r="G98" s="193" t="s">
        <v>3855</v>
      </c>
      <c r="H98" s="193" t="s">
        <v>3344</v>
      </c>
      <c r="I98" s="193" t="s">
        <v>3346</v>
      </c>
      <c r="J98" s="193" t="s">
        <v>3346</v>
      </c>
      <c r="K98" s="193" t="s">
        <v>2974</v>
      </c>
      <c r="L98" s="193"/>
      <c r="M98" s="193"/>
      <c r="N98" s="193">
        <v>4.9993155373032172</v>
      </c>
      <c r="O98" s="193"/>
      <c r="P98" s="193"/>
      <c r="Q98" s="193">
        <v>112</v>
      </c>
      <c r="R98" s="193"/>
      <c r="S98" s="193"/>
      <c r="T98" s="193">
        <v>660</v>
      </c>
      <c r="U98" s="193">
        <v>660000000</v>
      </c>
      <c r="V98" s="193">
        <v>700</v>
      </c>
      <c r="W98" s="193"/>
      <c r="X98" s="193">
        <v>0</v>
      </c>
      <c r="Y98" s="193">
        <v>-5.71</v>
      </c>
      <c r="Z98" s="193" t="s">
        <v>1432</v>
      </c>
      <c r="AA98" s="193" t="s">
        <v>1432</v>
      </c>
      <c r="AB98" s="193" t="s">
        <v>1281</v>
      </c>
      <c r="AC98" s="193" t="s">
        <v>1428</v>
      </c>
      <c r="AD98" s="193" t="s">
        <v>1429</v>
      </c>
      <c r="AE98" s="193" t="s">
        <v>1460</v>
      </c>
      <c r="AF98" s="193" t="s">
        <v>938</v>
      </c>
      <c r="AG98" s="193" t="s">
        <v>933</v>
      </c>
      <c r="AH98" s="193" t="s">
        <v>876</v>
      </c>
      <c r="AI98" s="193" t="s">
        <v>938</v>
      </c>
      <c r="AJ98" s="193" t="s">
        <v>1431</v>
      </c>
      <c r="AK98" s="193" t="s">
        <v>1431</v>
      </c>
      <c r="AL98" s="193" t="s">
        <v>1431</v>
      </c>
    </row>
    <row r="99" spans="1:38">
      <c r="A99" t="e">
        <f t="shared" ca="1" si="5"/>
        <v>#NAME?</v>
      </c>
      <c r="B99" t="e">
        <f ca="1">_xll.BDP(I99&amp;" CORP",$B$4)</f>
        <v>#NAME?</v>
      </c>
      <c r="C99" t="e" cm="1">
        <f t="array" aca="1" ref="C99" ca="1">_xll.BDP($B99&amp;" CORP",$C$3)</f>
        <v>#NAME?</v>
      </c>
      <c r="D99" t="e" cm="1">
        <f t="array" aca="1" ref="D99" ca="1">_xll.BDP($B99&amp;" CORP",$D$3)</f>
        <v>#NAME?</v>
      </c>
      <c r="E99" t="e" cm="1">
        <f t="array" aca="1" ref="E99" ca="1">_xll.BDP($B99&amp;" CORP",$E$3)</f>
        <v>#NAME?</v>
      </c>
      <c r="F99" s="204" t="e" cm="1">
        <f t="array" aca="1" ref="F99" ca="1">_xll.BDP($B99&amp;" CORP",$F$3)</f>
        <v>#NAME?</v>
      </c>
      <c r="G99" s="193" t="s">
        <v>3856</v>
      </c>
      <c r="H99" s="193" t="s">
        <v>3344</v>
      </c>
      <c r="I99" s="193" t="s">
        <v>3347</v>
      </c>
      <c r="J99" s="193" t="s">
        <v>3347</v>
      </c>
      <c r="K99" s="193" t="s">
        <v>2974</v>
      </c>
      <c r="L99" s="193"/>
      <c r="M99" s="193"/>
      <c r="N99" s="193">
        <v>9.9986310746064344</v>
      </c>
      <c r="O99" s="193"/>
      <c r="P99" s="193">
        <v>130</v>
      </c>
      <c r="Q99" s="193">
        <v>103</v>
      </c>
      <c r="R99" s="193">
        <v>-27</v>
      </c>
      <c r="S99" s="193">
        <v>8</v>
      </c>
      <c r="T99" s="193">
        <v>4600</v>
      </c>
      <c r="U99" s="193">
        <v>4600000000</v>
      </c>
      <c r="V99" s="193">
        <v>5300</v>
      </c>
      <c r="W99" s="193"/>
      <c r="X99" s="193">
        <v>0</v>
      </c>
      <c r="Y99" s="193">
        <v>-13.21</v>
      </c>
      <c r="Z99" s="193">
        <v>99.748200000000068</v>
      </c>
      <c r="AA99" s="193">
        <v>103</v>
      </c>
      <c r="AB99" s="193" t="s">
        <v>1281</v>
      </c>
      <c r="AC99" s="193" t="s">
        <v>1428</v>
      </c>
      <c r="AD99" s="193" t="s">
        <v>1429</v>
      </c>
      <c r="AE99" s="193" t="s">
        <v>1460</v>
      </c>
      <c r="AF99" s="193" t="s">
        <v>938</v>
      </c>
      <c r="AG99" s="193" t="s">
        <v>933</v>
      </c>
      <c r="AH99" s="193" t="s">
        <v>876</v>
      </c>
      <c r="AI99" s="193" t="s">
        <v>938</v>
      </c>
      <c r="AJ99" s="193" t="s">
        <v>1431</v>
      </c>
      <c r="AK99" s="193" t="s">
        <v>1431</v>
      </c>
      <c r="AL99" s="193" t="s">
        <v>1431</v>
      </c>
    </row>
    <row r="100" spans="1:38">
      <c r="A100" t="e">
        <f t="shared" ca="1" si="5"/>
        <v>#NAME?</v>
      </c>
      <c r="B100" t="e">
        <f ca="1">_xll.BDP(I100&amp;" CORP",$B$4)</f>
        <v>#NAME?</v>
      </c>
      <c r="C100" t="e" cm="1">
        <f t="array" aca="1" ref="C100" ca="1">_xll.BDP($B100&amp;" CORP",$C$3)</f>
        <v>#NAME?</v>
      </c>
      <c r="D100" t="e" cm="1">
        <f t="array" aca="1" ref="D100" ca="1">_xll.BDP($B100&amp;" CORP",$D$3)</f>
        <v>#NAME?</v>
      </c>
      <c r="E100" t="e" cm="1">
        <f t="array" aca="1" ref="E100" ca="1">_xll.BDP($B100&amp;" CORP",$E$3)</f>
        <v>#NAME?</v>
      </c>
      <c r="F100" s="204" t="e" cm="1">
        <f t="array" aca="1" ref="F100" ca="1">_xll.BDP($B100&amp;" CORP",$F$3)</f>
        <v>#NAME?</v>
      </c>
      <c r="G100" s="193" t="s">
        <v>3857</v>
      </c>
      <c r="H100" s="193" t="s">
        <v>3348</v>
      </c>
      <c r="I100" s="193" t="s">
        <v>3349</v>
      </c>
      <c r="J100" s="193" t="s">
        <v>3349</v>
      </c>
      <c r="K100" s="193" t="s">
        <v>3350</v>
      </c>
      <c r="L100" s="193"/>
      <c r="M100" s="193"/>
      <c r="N100" s="193">
        <v>5.3607118412046546</v>
      </c>
      <c r="O100" s="193"/>
      <c r="P100" s="193">
        <v>95</v>
      </c>
      <c r="Q100" s="193">
        <v>75</v>
      </c>
      <c r="R100" s="193">
        <v>-20</v>
      </c>
      <c r="S100" s="193">
        <v>10</v>
      </c>
      <c r="T100" s="193">
        <v>1500</v>
      </c>
      <c r="U100" s="193">
        <v>1500000000</v>
      </c>
      <c r="V100" s="193">
        <v>1800</v>
      </c>
      <c r="W100" s="193"/>
      <c r="X100" s="193">
        <v>0</v>
      </c>
      <c r="Y100" s="193">
        <v>-16.670000000000002</v>
      </c>
      <c r="Z100" s="193">
        <v>78.136700000000033</v>
      </c>
      <c r="AA100" s="193">
        <v>75</v>
      </c>
      <c r="AB100" s="193" t="s">
        <v>1281</v>
      </c>
      <c r="AC100" s="193" t="s">
        <v>1872</v>
      </c>
      <c r="AD100" s="193" t="s">
        <v>1873</v>
      </c>
      <c r="AE100" s="193" t="s">
        <v>2059</v>
      </c>
      <c r="AF100" s="193" t="s">
        <v>1432</v>
      </c>
      <c r="AG100" s="193" t="s">
        <v>942</v>
      </c>
      <c r="AH100" s="193" t="s">
        <v>950</v>
      </c>
      <c r="AI100" s="193" t="s">
        <v>950</v>
      </c>
      <c r="AJ100" s="193" t="s">
        <v>1431</v>
      </c>
      <c r="AK100" s="193" t="s">
        <v>1431</v>
      </c>
      <c r="AL100" s="193" t="s">
        <v>1431</v>
      </c>
    </row>
    <row r="101" spans="1:38">
      <c r="A101" t="e">
        <f t="shared" ca="1" si="5"/>
        <v>#NAME?</v>
      </c>
      <c r="B101" t="e">
        <f ca="1">_xll.BDP(I101&amp;" CORP",$B$4)</f>
        <v>#NAME?</v>
      </c>
      <c r="C101" t="e" cm="1">
        <f t="array" aca="1" ref="C101" ca="1">_xll.BDP($B101&amp;" CORP",$C$3)</f>
        <v>#NAME?</v>
      </c>
      <c r="D101" t="e" cm="1">
        <f t="array" aca="1" ref="D101" ca="1">_xll.BDP($B101&amp;" CORP",$D$3)</f>
        <v>#NAME?</v>
      </c>
      <c r="E101" t="e" cm="1">
        <f t="array" aca="1" ref="E101" ca="1">_xll.BDP($B101&amp;" CORP",$E$3)</f>
        <v>#NAME?</v>
      </c>
      <c r="F101" s="204" t="e" cm="1">
        <f t="array" aca="1" ref="F101" ca="1">_xll.BDP($B101&amp;" CORP",$F$3)</f>
        <v>#NAME?</v>
      </c>
      <c r="G101" s="193" t="s">
        <v>3858</v>
      </c>
      <c r="H101" s="193" t="s">
        <v>3351</v>
      </c>
      <c r="I101" s="193" t="s">
        <v>3352</v>
      </c>
      <c r="J101" s="193" t="s">
        <v>3352</v>
      </c>
      <c r="K101" s="193" t="s">
        <v>3353</v>
      </c>
      <c r="L101" s="193"/>
      <c r="M101" s="193"/>
      <c r="N101" s="193">
        <v>10.001368925393566</v>
      </c>
      <c r="O101" s="193"/>
      <c r="P101" s="193">
        <v>110</v>
      </c>
      <c r="Q101" s="193">
        <v>82</v>
      </c>
      <c r="R101" s="193">
        <v>-28</v>
      </c>
      <c r="S101" s="193">
        <v>2</v>
      </c>
      <c r="T101" s="193">
        <v>2650</v>
      </c>
      <c r="U101" s="193">
        <v>2650000000</v>
      </c>
      <c r="V101" s="193">
        <v>3300</v>
      </c>
      <c r="W101" s="193"/>
      <c r="X101" s="193">
        <v>0</v>
      </c>
      <c r="Y101" s="193">
        <v>-19.7</v>
      </c>
      <c r="Z101" s="193">
        <v>77.865700000000089</v>
      </c>
      <c r="AA101" s="193">
        <v>82</v>
      </c>
      <c r="AB101" s="193" t="s">
        <v>1281</v>
      </c>
      <c r="AC101" s="193" t="s">
        <v>1879</v>
      </c>
      <c r="AD101" s="193" t="s">
        <v>1935</v>
      </c>
      <c r="AE101" s="193" t="s">
        <v>3354</v>
      </c>
      <c r="AF101" s="193" t="s">
        <v>950</v>
      </c>
      <c r="AG101" s="193" t="s">
        <v>933</v>
      </c>
      <c r="AH101" s="193" t="s">
        <v>938</v>
      </c>
      <c r="AI101" s="193" t="s">
        <v>950</v>
      </c>
      <c r="AJ101" s="193" t="s">
        <v>1431</v>
      </c>
      <c r="AK101" s="193" t="s">
        <v>1431</v>
      </c>
      <c r="AL101" s="193" t="s">
        <v>1431</v>
      </c>
    </row>
    <row r="102" spans="1:38">
      <c r="A102" t="e">
        <f t="shared" ca="1" si="5"/>
        <v>#NAME?</v>
      </c>
      <c r="B102" t="e">
        <f ca="1">_xll.BDP(I102&amp;" CORP",$B$4)</f>
        <v>#NAME?</v>
      </c>
      <c r="C102" t="e" cm="1">
        <f t="array" aca="1" ref="C102" ca="1">_xll.BDP($B102&amp;" CORP",$C$3)</f>
        <v>#NAME?</v>
      </c>
      <c r="D102" t="e" cm="1">
        <f t="array" aca="1" ref="D102" ca="1">_xll.BDP($B102&amp;" CORP",$D$3)</f>
        <v>#NAME?</v>
      </c>
      <c r="E102" t="e" cm="1">
        <f t="array" aca="1" ref="E102" ca="1">_xll.BDP($B102&amp;" CORP",$E$3)</f>
        <v>#NAME?</v>
      </c>
      <c r="F102" s="204" t="e" cm="1">
        <f t="array" aca="1" ref="F102" ca="1">_xll.BDP($B102&amp;" CORP",$F$3)</f>
        <v>#NAME?</v>
      </c>
      <c r="G102" s="193" t="s">
        <v>3859</v>
      </c>
      <c r="H102" s="193" t="s">
        <v>3860</v>
      </c>
      <c r="I102" s="193" t="s">
        <v>3861</v>
      </c>
      <c r="J102" s="193" t="s">
        <v>3861</v>
      </c>
      <c r="K102" s="193" t="s">
        <v>3355</v>
      </c>
      <c r="L102" s="193"/>
      <c r="M102" s="193"/>
      <c r="N102" s="193">
        <v>10.064339493497604</v>
      </c>
      <c r="O102" s="193"/>
      <c r="P102" s="193">
        <v>140</v>
      </c>
      <c r="Q102" s="193">
        <v>112.5</v>
      </c>
      <c r="R102" s="193">
        <v>-28</v>
      </c>
      <c r="S102" s="193">
        <v>3</v>
      </c>
      <c r="T102" s="193">
        <v>1300</v>
      </c>
      <c r="U102" s="193">
        <v>1300000000</v>
      </c>
      <c r="V102" s="193">
        <v>1500</v>
      </c>
      <c r="W102" s="193"/>
      <c r="X102" s="193">
        <v>0</v>
      </c>
      <c r="Y102" s="193">
        <v>-13.33</v>
      </c>
      <c r="Z102" s="193">
        <v>106.63879999999999</v>
      </c>
      <c r="AA102" s="193">
        <v>112.5</v>
      </c>
      <c r="AB102" s="193" t="s">
        <v>1281</v>
      </c>
      <c r="AC102" s="193" t="s">
        <v>1439</v>
      </c>
      <c r="AD102" s="193" t="s">
        <v>1440</v>
      </c>
      <c r="AE102" s="193" t="s">
        <v>3862</v>
      </c>
      <c r="AF102" s="193" t="s">
        <v>877</v>
      </c>
      <c r="AG102" s="193" t="s">
        <v>969</v>
      </c>
      <c r="AH102" s="193" t="s">
        <v>877</v>
      </c>
      <c r="AI102" s="193" t="s">
        <v>877</v>
      </c>
      <c r="AJ102" s="193" t="s">
        <v>1431</v>
      </c>
      <c r="AK102" s="193" t="s">
        <v>1431</v>
      </c>
      <c r="AL102" s="193" t="s">
        <v>1431</v>
      </c>
    </row>
    <row r="103" spans="1:38">
      <c r="A103" t="e">
        <f t="shared" ca="1" si="5"/>
        <v>#NAME?</v>
      </c>
      <c r="B103" t="e">
        <f ca="1">_xll.BDP(I103&amp;" CORP",$B$4)</f>
        <v>#NAME?</v>
      </c>
      <c r="C103" t="e" cm="1">
        <f t="array" aca="1" ref="C103" ca="1">_xll.BDP($B103&amp;" CORP",$C$3)</f>
        <v>#NAME?</v>
      </c>
      <c r="D103" t="e" cm="1">
        <f t="array" aca="1" ref="D103" ca="1">_xll.BDP($B103&amp;" CORP",$D$3)</f>
        <v>#NAME?</v>
      </c>
      <c r="E103" t="e" cm="1">
        <f t="array" aca="1" ref="E103" ca="1">_xll.BDP($B103&amp;" CORP",$E$3)</f>
        <v>#NAME?</v>
      </c>
      <c r="F103" s="204" t="e" cm="1">
        <f t="array" aca="1" ref="F103" ca="1">_xll.BDP($B103&amp;" CORP",$F$3)</f>
        <v>#NAME?</v>
      </c>
      <c r="G103" s="193" t="s">
        <v>3863</v>
      </c>
      <c r="H103" s="193" t="s">
        <v>3356</v>
      </c>
      <c r="I103" s="193" t="s">
        <v>3357</v>
      </c>
      <c r="J103" s="193" t="s">
        <v>3357</v>
      </c>
      <c r="K103" s="193" t="s">
        <v>3358</v>
      </c>
      <c r="L103" s="193"/>
      <c r="M103" s="193"/>
      <c r="N103" s="193">
        <v>5.9986310746064335</v>
      </c>
      <c r="O103" s="193"/>
      <c r="P103" s="193">
        <v>110</v>
      </c>
      <c r="Q103" s="193">
        <v>82</v>
      </c>
      <c r="R103" s="193">
        <v>-28</v>
      </c>
      <c r="S103" s="193">
        <v>4</v>
      </c>
      <c r="T103" s="193">
        <v>5800</v>
      </c>
      <c r="U103" s="193">
        <v>5800000000</v>
      </c>
      <c r="V103" s="193">
        <v>6700</v>
      </c>
      <c r="W103" s="193"/>
      <c r="X103" s="193">
        <v>0</v>
      </c>
      <c r="Y103" s="193">
        <v>-13.43</v>
      </c>
      <c r="Z103" s="193">
        <v>75.398700000000048</v>
      </c>
      <c r="AA103" s="193">
        <v>82</v>
      </c>
      <c r="AB103" s="193" t="s">
        <v>1281</v>
      </c>
      <c r="AC103" s="193" t="s">
        <v>1428</v>
      </c>
      <c r="AD103" s="193" t="s">
        <v>1429</v>
      </c>
      <c r="AE103" s="193" t="s">
        <v>1460</v>
      </c>
      <c r="AF103" s="193" t="s">
        <v>938</v>
      </c>
      <c r="AG103" s="193" t="s">
        <v>942</v>
      </c>
      <c r="AH103" s="193" t="s">
        <v>953</v>
      </c>
      <c r="AI103" s="193" t="s">
        <v>938</v>
      </c>
      <c r="AJ103" s="193" t="s">
        <v>1431</v>
      </c>
      <c r="AK103" s="193" t="s">
        <v>1431</v>
      </c>
      <c r="AL103" s="193" t="s">
        <v>1431</v>
      </c>
    </row>
    <row r="104" spans="1:38">
      <c r="A104" t="e">
        <f t="shared" ca="1" si="5"/>
        <v>#NAME?</v>
      </c>
      <c r="B104" t="e">
        <f ca="1">_xll.BDP(I104&amp;" CORP",$B$4)</f>
        <v>#NAME?</v>
      </c>
      <c r="C104" t="e" cm="1">
        <f t="array" aca="1" ref="C104" ca="1">_xll.BDP($B104&amp;" CORP",$C$3)</f>
        <v>#NAME?</v>
      </c>
      <c r="D104" t="e" cm="1">
        <f t="array" aca="1" ref="D104" ca="1">_xll.BDP($B104&amp;" CORP",$D$3)</f>
        <v>#NAME?</v>
      </c>
      <c r="E104" t="e" cm="1">
        <f t="array" aca="1" ref="E104" ca="1">_xll.BDP($B104&amp;" CORP",$E$3)</f>
        <v>#NAME?</v>
      </c>
      <c r="F104" s="204" t="e" cm="1">
        <f t="array" aca="1" ref="F104" ca="1">_xll.BDP($B104&amp;" CORP",$F$3)</f>
        <v>#NAME?</v>
      </c>
      <c r="G104" s="193" t="s">
        <v>3864</v>
      </c>
      <c r="H104" s="193" t="s">
        <v>3356</v>
      </c>
      <c r="I104" s="193" t="s">
        <v>3360</v>
      </c>
      <c r="J104" s="193" t="s">
        <v>3360</v>
      </c>
      <c r="K104" s="193" t="s">
        <v>3358</v>
      </c>
      <c r="L104" s="193"/>
      <c r="M104" s="193"/>
      <c r="N104" s="193">
        <v>5.9986310746064335</v>
      </c>
      <c r="O104" s="193"/>
      <c r="P104" s="193"/>
      <c r="Q104" s="193">
        <v>110</v>
      </c>
      <c r="R104" s="193"/>
      <c r="S104" s="193"/>
      <c r="T104" s="193">
        <v>750</v>
      </c>
      <c r="U104" s="193">
        <v>750000000</v>
      </c>
      <c r="V104" s="193">
        <v>1200</v>
      </c>
      <c r="W104" s="193"/>
      <c r="X104" s="193">
        <v>0</v>
      </c>
      <c r="Y104" s="193">
        <v>-37.5</v>
      </c>
      <c r="Z104" s="193" t="s">
        <v>1432</v>
      </c>
      <c r="AA104" s="193" t="s">
        <v>1432</v>
      </c>
      <c r="AB104" s="193" t="s">
        <v>1281</v>
      </c>
      <c r="AC104" s="193" t="s">
        <v>1428</v>
      </c>
      <c r="AD104" s="193" t="s">
        <v>1429</v>
      </c>
      <c r="AE104" s="193" t="s">
        <v>1460</v>
      </c>
      <c r="AF104" s="193" t="s">
        <v>938</v>
      </c>
      <c r="AG104" s="193" t="s">
        <v>942</v>
      </c>
      <c r="AH104" s="193" t="s">
        <v>953</v>
      </c>
      <c r="AI104" s="193" t="s">
        <v>938</v>
      </c>
      <c r="AJ104" s="193" t="s">
        <v>1431</v>
      </c>
      <c r="AK104" s="193" t="s">
        <v>1431</v>
      </c>
      <c r="AL104" s="193" t="s">
        <v>1431</v>
      </c>
    </row>
    <row r="105" spans="1:38">
      <c r="A105" t="e">
        <f t="shared" ca="1" si="5"/>
        <v>#NAME?</v>
      </c>
      <c r="B105" t="e">
        <f ca="1">_xll.BDP(I105&amp;" CORP",$B$4)</f>
        <v>#NAME?</v>
      </c>
      <c r="C105" t="e" cm="1">
        <f t="array" aca="1" ref="C105" ca="1">_xll.BDP($B105&amp;" CORP",$C$3)</f>
        <v>#NAME?</v>
      </c>
      <c r="D105" t="e" cm="1">
        <f t="array" aca="1" ref="D105" ca="1">_xll.BDP($B105&amp;" CORP",$D$3)</f>
        <v>#NAME?</v>
      </c>
      <c r="E105" t="e" cm="1">
        <f t="array" aca="1" ref="E105" ca="1">_xll.BDP($B105&amp;" CORP",$E$3)</f>
        <v>#NAME?</v>
      </c>
      <c r="F105" s="204" t="e" cm="1">
        <f t="array" aca="1" ref="F105" ca="1">_xll.BDP($B105&amp;" CORP",$F$3)</f>
        <v>#NAME?</v>
      </c>
      <c r="G105" s="193" t="s">
        <v>3865</v>
      </c>
      <c r="H105" s="193" t="s">
        <v>3356</v>
      </c>
      <c r="I105" s="193" t="s">
        <v>3361</v>
      </c>
      <c r="J105" s="193" t="s">
        <v>3361</v>
      </c>
      <c r="K105" s="193" t="s">
        <v>3358</v>
      </c>
      <c r="L105" s="193"/>
      <c r="M105" s="193"/>
      <c r="N105" s="193">
        <v>11.000684462696784</v>
      </c>
      <c r="O105" s="193"/>
      <c r="P105" s="193">
        <v>127.5</v>
      </c>
      <c r="Q105" s="193">
        <v>97</v>
      </c>
      <c r="R105" s="193">
        <v>-31</v>
      </c>
      <c r="S105" s="193">
        <v>2</v>
      </c>
      <c r="T105" s="193">
        <v>2600</v>
      </c>
      <c r="U105" s="193">
        <v>2600000000</v>
      </c>
      <c r="V105" s="193">
        <v>6600</v>
      </c>
      <c r="W105" s="193"/>
      <c r="X105" s="193">
        <v>-1</v>
      </c>
      <c r="Y105" s="193">
        <v>-60.61</v>
      </c>
      <c r="Z105" s="193">
        <v>93.121200000000044</v>
      </c>
      <c r="AA105" s="193">
        <v>97</v>
      </c>
      <c r="AB105" s="193" t="s">
        <v>1281</v>
      </c>
      <c r="AC105" s="193" t="s">
        <v>1428</v>
      </c>
      <c r="AD105" s="193" t="s">
        <v>1429</v>
      </c>
      <c r="AE105" s="193" t="s">
        <v>1460</v>
      </c>
      <c r="AF105" s="193" t="s">
        <v>938</v>
      </c>
      <c r="AG105" s="193" t="s">
        <v>942</v>
      </c>
      <c r="AH105" s="193" t="s">
        <v>953</v>
      </c>
      <c r="AI105" s="193" t="s">
        <v>938</v>
      </c>
      <c r="AJ105" s="193" t="s">
        <v>1431</v>
      </c>
      <c r="AK105" s="193" t="s">
        <v>1431</v>
      </c>
      <c r="AL105" s="193" t="s">
        <v>1431</v>
      </c>
    </row>
    <row r="106" spans="1:38">
      <c r="A106" t="e">
        <f t="shared" ca="1" si="5"/>
        <v>#NAME?</v>
      </c>
      <c r="B106" t="e">
        <f ca="1">_xll.BDP(I106&amp;" CORP",$B$4)</f>
        <v>#NAME?</v>
      </c>
      <c r="C106" t="e" cm="1">
        <f t="array" aca="1" ref="C106" ca="1">_xll.BDP($B106&amp;" CORP",$C$3)</f>
        <v>#NAME?</v>
      </c>
      <c r="D106" t="e" cm="1">
        <f t="array" aca="1" ref="D106" ca="1">_xll.BDP($B106&amp;" CORP",$D$3)</f>
        <v>#NAME?</v>
      </c>
      <c r="E106" t="e" cm="1">
        <f t="array" aca="1" ref="E106" ca="1">_xll.BDP($B106&amp;" CORP",$E$3)</f>
        <v>#NAME?</v>
      </c>
      <c r="F106" s="204" t="e" cm="1">
        <f t="array" aca="1" ref="F106" ca="1">_xll.BDP($B106&amp;" CORP",$F$3)</f>
        <v>#NAME?</v>
      </c>
      <c r="G106" s="193" t="s">
        <v>3362</v>
      </c>
      <c r="H106" s="193" t="s">
        <v>3363</v>
      </c>
      <c r="I106" s="193" t="s">
        <v>3364</v>
      </c>
      <c r="J106" s="193" t="s">
        <v>3364</v>
      </c>
      <c r="K106" s="193" t="s">
        <v>3365</v>
      </c>
      <c r="L106" s="193"/>
      <c r="M106" s="193"/>
      <c r="N106" s="193">
        <v>8.9965776865160851</v>
      </c>
      <c r="O106" s="193"/>
      <c r="P106" s="193"/>
      <c r="Q106" s="193">
        <v>4.9000000000000004</v>
      </c>
      <c r="R106" s="193">
        <v>-35</v>
      </c>
      <c r="S106" s="193"/>
      <c r="T106" s="193">
        <v>4400</v>
      </c>
      <c r="U106" s="193">
        <v>4400000000</v>
      </c>
      <c r="V106" s="193">
        <v>6100</v>
      </c>
      <c r="W106" s="193"/>
      <c r="X106" s="193">
        <v>0</v>
      </c>
      <c r="Y106" s="193">
        <v>-27.87</v>
      </c>
      <c r="Z106" s="193">
        <v>170.04900000000004</v>
      </c>
      <c r="AA106" s="193" t="s">
        <v>1432</v>
      </c>
      <c r="AB106" s="193" t="s">
        <v>1281</v>
      </c>
      <c r="AC106" s="193" t="s">
        <v>1433</v>
      </c>
      <c r="AD106" s="193" t="s">
        <v>3366</v>
      </c>
      <c r="AE106" s="193" t="s">
        <v>3366</v>
      </c>
      <c r="AF106" s="193" t="s">
        <v>3866</v>
      </c>
      <c r="AG106" s="193" t="s">
        <v>1432</v>
      </c>
      <c r="AH106" s="193" t="s">
        <v>877</v>
      </c>
      <c r="AI106" s="193" t="s">
        <v>1004</v>
      </c>
      <c r="AJ106" s="193" t="s">
        <v>1431</v>
      </c>
      <c r="AK106" s="193" t="s">
        <v>1431</v>
      </c>
      <c r="AL106" s="193" t="s">
        <v>1431</v>
      </c>
    </row>
    <row r="107" spans="1:38">
      <c r="A107" t="e">
        <f t="shared" ca="1" si="5"/>
        <v>#NAME?</v>
      </c>
      <c r="B107" t="e">
        <f ca="1">_xll.BDP(I107&amp;" CORP",$B$4)</f>
        <v>#NAME?</v>
      </c>
      <c r="C107" t="e" cm="1">
        <f t="array" aca="1" ref="C107" ca="1">_xll.BDP($B107&amp;" CORP",$C$3)</f>
        <v>#NAME?</v>
      </c>
      <c r="D107" t="e" cm="1">
        <f t="array" aca="1" ref="D107" ca="1">_xll.BDP($B107&amp;" CORP",$D$3)</f>
        <v>#NAME?</v>
      </c>
      <c r="E107" t="e" cm="1">
        <f t="array" aca="1" ref="E107" ca="1">_xll.BDP($B107&amp;" CORP",$E$3)</f>
        <v>#NAME?</v>
      </c>
      <c r="F107" s="204" t="e" cm="1">
        <f t="array" aca="1" ref="F107" ca="1">_xll.BDP($B107&amp;" CORP",$F$3)</f>
        <v>#NAME?</v>
      </c>
      <c r="G107" s="193" t="s">
        <v>3867</v>
      </c>
      <c r="H107" s="193" t="s">
        <v>3367</v>
      </c>
      <c r="I107" s="193" t="s">
        <v>3368</v>
      </c>
      <c r="J107" s="193" t="s">
        <v>3368</v>
      </c>
      <c r="K107" s="193" t="s">
        <v>3365</v>
      </c>
      <c r="L107" s="193"/>
      <c r="M107" s="193"/>
      <c r="N107" s="193">
        <v>12.492813141683778</v>
      </c>
      <c r="O107" s="193"/>
      <c r="P107" s="193"/>
      <c r="Q107" s="193">
        <v>5.7</v>
      </c>
      <c r="R107" s="193">
        <v>-41</v>
      </c>
      <c r="S107" s="193"/>
      <c r="T107" s="193">
        <v>1700</v>
      </c>
      <c r="U107" s="193">
        <v>1700000000</v>
      </c>
      <c r="V107" s="193">
        <v>2000</v>
      </c>
      <c r="W107" s="193"/>
      <c r="X107" s="193">
        <v>0</v>
      </c>
      <c r="Y107" s="193">
        <v>-15</v>
      </c>
      <c r="Z107" s="193">
        <v>79.191500000000033</v>
      </c>
      <c r="AA107" s="193" t="s">
        <v>1432</v>
      </c>
      <c r="AB107" s="193" t="s">
        <v>1281</v>
      </c>
      <c r="AC107" s="193" t="s">
        <v>1433</v>
      </c>
      <c r="AD107" s="193" t="s">
        <v>3366</v>
      </c>
      <c r="AE107" s="193" t="s">
        <v>3366</v>
      </c>
      <c r="AF107" s="193" t="s">
        <v>3369</v>
      </c>
      <c r="AG107" s="193" t="s">
        <v>1432</v>
      </c>
      <c r="AH107" s="193" t="s">
        <v>938</v>
      </c>
      <c r="AI107" s="193" t="s">
        <v>1004</v>
      </c>
      <c r="AJ107" s="193" t="s">
        <v>1431</v>
      </c>
      <c r="AK107" s="193" t="s">
        <v>1431</v>
      </c>
      <c r="AL107" s="193" t="s">
        <v>1431</v>
      </c>
    </row>
    <row r="108" spans="1:38">
      <c r="F108" s="204"/>
      <c r="G108" s="193" t="s">
        <v>3868</v>
      </c>
      <c r="H108" s="193" t="s">
        <v>1874</v>
      </c>
      <c r="I108" s="193" t="s">
        <v>3370</v>
      </c>
      <c r="J108" s="193" t="s">
        <v>3370</v>
      </c>
      <c r="K108" s="193" t="s">
        <v>1554</v>
      </c>
      <c r="L108" s="193"/>
      <c r="M108" s="193"/>
      <c r="N108" s="193">
        <v>3.0006844626967832</v>
      </c>
      <c r="O108" s="193"/>
      <c r="P108" s="193">
        <v>70</v>
      </c>
      <c r="Q108" s="193">
        <v>50</v>
      </c>
      <c r="R108" s="193">
        <v>-20</v>
      </c>
      <c r="S108" s="193">
        <v>8</v>
      </c>
      <c r="T108" s="193">
        <v>1300</v>
      </c>
      <c r="U108" s="193">
        <v>1300000000</v>
      </c>
      <c r="V108" s="193">
        <v>1500</v>
      </c>
      <c r="W108" s="193"/>
      <c r="X108" s="193">
        <v>0</v>
      </c>
      <c r="Y108" s="193">
        <v>-13.33</v>
      </c>
      <c r="Z108" s="193">
        <v>53.761899999999983</v>
      </c>
      <c r="AA108" s="193">
        <v>50</v>
      </c>
      <c r="AB108" s="193" t="s">
        <v>1281</v>
      </c>
      <c r="AC108" s="193" t="s">
        <v>1428</v>
      </c>
      <c r="AD108" s="193" t="s">
        <v>1429</v>
      </c>
      <c r="AE108" s="193" t="s">
        <v>1430</v>
      </c>
      <c r="AF108" s="193" t="s">
        <v>876</v>
      </c>
      <c r="AG108" s="193" t="s">
        <v>939</v>
      </c>
      <c r="AH108" s="193" t="s">
        <v>997</v>
      </c>
      <c r="AI108" s="193" t="s">
        <v>953</v>
      </c>
      <c r="AJ108" s="193" t="s">
        <v>1431</v>
      </c>
      <c r="AK108" s="193" t="s">
        <v>1431</v>
      </c>
      <c r="AL108" s="193" t="s">
        <v>1431</v>
      </c>
    </row>
    <row r="109" spans="1:38">
      <c r="F109" s="204"/>
      <c r="G109" s="193" t="s">
        <v>3869</v>
      </c>
      <c r="H109" s="193" t="s">
        <v>1874</v>
      </c>
      <c r="I109" s="193" t="s">
        <v>3371</v>
      </c>
      <c r="J109" s="193" t="s">
        <v>3371</v>
      </c>
      <c r="K109" s="193" t="s">
        <v>1554</v>
      </c>
      <c r="L109" s="193"/>
      <c r="M109" s="193"/>
      <c r="N109" s="193">
        <v>3.0006844626967832</v>
      </c>
      <c r="O109" s="193"/>
      <c r="P109" s="193">
        <v>90</v>
      </c>
      <c r="Q109" s="193">
        <v>70</v>
      </c>
      <c r="R109" s="193">
        <v>-20</v>
      </c>
      <c r="S109" s="193"/>
      <c r="T109" s="193">
        <v>790</v>
      </c>
      <c r="U109" s="193">
        <v>790000000</v>
      </c>
      <c r="V109" s="193">
        <v>900</v>
      </c>
      <c r="W109" s="193"/>
      <c r="X109" s="193">
        <v>0</v>
      </c>
      <c r="Y109" s="193">
        <v>-12.22</v>
      </c>
      <c r="Z109" s="193" t="s">
        <v>1432</v>
      </c>
      <c r="AA109" s="193" t="s">
        <v>1432</v>
      </c>
      <c r="AB109" s="193" t="s">
        <v>1281</v>
      </c>
      <c r="AC109" s="193" t="s">
        <v>1428</v>
      </c>
      <c r="AD109" s="193" t="s">
        <v>1429</v>
      </c>
      <c r="AE109" s="193" t="s">
        <v>1430</v>
      </c>
      <c r="AF109" s="193" t="s">
        <v>876</v>
      </c>
      <c r="AG109" s="193" t="s">
        <v>939</v>
      </c>
      <c r="AH109" s="193" t="s">
        <v>997</v>
      </c>
      <c r="AI109" s="193" t="s">
        <v>953</v>
      </c>
      <c r="AJ109" s="193" t="s">
        <v>1431</v>
      </c>
      <c r="AK109" s="193" t="s">
        <v>1431</v>
      </c>
      <c r="AL109" s="193" t="s">
        <v>1431</v>
      </c>
    </row>
    <row r="110" spans="1:38">
      <c r="F110" s="204"/>
      <c r="G110" s="193" t="s">
        <v>3870</v>
      </c>
      <c r="H110" s="193" t="s">
        <v>1874</v>
      </c>
      <c r="I110" s="193" t="s">
        <v>3372</v>
      </c>
      <c r="J110" s="193" t="s">
        <v>3372</v>
      </c>
      <c r="K110" s="193" t="s">
        <v>1554</v>
      </c>
      <c r="L110" s="193"/>
      <c r="M110" s="193"/>
      <c r="N110" s="193">
        <v>5.9986310746064335</v>
      </c>
      <c r="O110" s="193"/>
      <c r="P110" s="193">
        <v>90</v>
      </c>
      <c r="Q110" s="193">
        <v>70</v>
      </c>
      <c r="R110" s="193">
        <v>-20</v>
      </c>
      <c r="S110" s="193">
        <v>8</v>
      </c>
      <c r="T110" s="193">
        <v>2100</v>
      </c>
      <c r="U110" s="193">
        <v>2100000000</v>
      </c>
      <c r="V110" s="193">
        <v>2600</v>
      </c>
      <c r="W110" s="193"/>
      <c r="X110" s="193">
        <v>0</v>
      </c>
      <c r="Y110" s="193">
        <v>-19.23</v>
      </c>
      <c r="Z110" s="193">
        <v>70.992500000000007</v>
      </c>
      <c r="AA110" s="193">
        <v>70</v>
      </c>
      <c r="AB110" s="193" t="s">
        <v>1281</v>
      </c>
      <c r="AC110" s="193" t="s">
        <v>1428</v>
      </c>
      <c r="AD110" s="193" t="s">
        <v>1429</v>
      </c>
      <c r="AE110" s="193" t="s">
        <v>1430</v>
      </c>
      <c r="AF110" s="193" t="s">
        <v>876</v>
      </c>
      <c r="AG110" s="193" t="s">
        <v>939</v>
      </c>
      <c r="AH110" s="193" t="s">
        <v>997</v>
      </c>
      <c r="AI110" s="193" t="s">
        <v>953</v>
      </c>
      <c r="AJ110" s="193" t="s">
        <v>1431</v>
      </c>
      <c r="AK110" s="193" t="s">
        <v>1431</v>
      </c>
      <c r="AL110" s="193" t="s">
        <v>1431</v>
      </c>
    </row>
    <row r="111" spans="1:38">
      <c r="F111" s="204"/>
      <c r="G111" s="193" t="s">
        <v>3871</v>
      </c>
      <c r="H111" s="193" t="s">
        <v>3373</v>
      </c>
      <c r="I111" s="193" t="s">
        <v>3374</v>
      </c>
      <c r="J111" s="193" t="s">
        <v>3374</v>
      </c>
      <c r="K111" s="193" t="s">
        <v>3375</v>
      </c>
      <c r="L111" s="193"/>
      <c r="M111" s="193"/>
      <c r="N111" s="193">
        <v>4.9993155373032172</v>
      </c>
      <c r="O111" s="193"/>
      <c r="P111" s="193">
        <v>105</v>
      </c>
      <c r="Q111" s="193">
        <v>73</v>
      </c>
      <c r="R111" s="193">
        <v>-32</v>
      </c>
      <c r="S111" s="193">
        <v>0</v>
      </c>
      <c r="T111" s="193">
        <v>2000</v>
      </c>
      <c r="U111" s="193">
        <v>2000000000</v>
      </c>
      <c r="V111" s="193"/>
      <c r="W111" s="193"/>
      <c r="X111" s="193"/>
      <c r="Y111" s="193"/>
      <c r="Z111" s="193">
        <v>65.304300000000026</v>
      </c>
      <c r="AA111" s="193">
        <v>73</v>
      </c>
      <c r="AB111" s="193" t="s">
        <v>1281</v>
      </c>
      <c r="AC111" s="193" t="s">
        <v>1428</v>
      </c>
      <c r="AD111" s="193" t="s">
        <v>1456</v>
      </c>
      <c r="AE111" s="193" t="s">
        <v>1456</v>
      </c>
      <c r="AF111" s="193" t="s">
        <v>953</v>
      </c>
      <c r="AG111" s="193" t="s">
        <v>1432</v>
      </c>
      <c r="AH111" s="193" t="s">
        <v>953</v>
      </c>
      <c r="AI111" s="193" t="s">
        <v>953</v>
      </c>
      <c r="AJ111" s="193" t="s">
        <v>1431</v>
      </c>
      <c r="AK111" s="193" t="s">
        <v>1431</v>
      </c>
      <c r="AL111" s="193" t="s">
        <v>1431</v>
      </c>
    </row>
    <row r="112" spans="1:38">
      <c r="F112" s="204"/>
      <c r="G112" s="193" t="s">
        <v>3872</v>
      </c>
      <c r="H112" s="193" t="s">
        <v>3373</v>
      </c>
      <c r="I112" s="193" t="s">
        <v>3376</v>
      </c>
      <c r="J112" s="193" t="s">
        <v>3376</v>
      </c>
      <c r="K112" s="193" t="s">
        <v>3375</v>
      </c>
      <c r="L112" s="193"/>
      <c r="M112" s="193"/>
      <c r="N112" s="193">
        <v>10.283367556468173</v>
      </c>
      <c r="O112" s="193"/>
      <c r="P112" s="193">
        <v>125</v>
      </c>
      <c r="Q112" s="193">
        <v>98</v>
      </c>
      <c r="R112" s="193">
        <v>-27</v>
      </c>
      <c r="S112" s="193">
        <v>5</v>
      </c>
      <c r="T112" s="193">
        <v>2100</v>
      </c>
      <c r="U112" s="193">
        <v>2100000000</v>
      </c>
      <c r="V112" s="193"/>
      <c r="W112" s="193"/>
      <c r="X112" s="193"/>
      <c r="Y112" s="193"/>
      <c r="Z112" s="193">
        <v>94.239900000000006</v>
      </c>
      <c r="AA112" s="193">
        <v>98</v>
      </c>
      <c r="AB112" s="193" t="s">
        <v>1281</v>
      </c>
      <c r="AC112" s="193" t="s">
        <v>1428</v>
      </c>
      <c r="AD112" s="193" t="s">
        <v>1456</v>
      </c>
      <c r="AE112" s="193" t="s">
        <v>1456</v>
      </c>
      <c r="AF112" s="193" t="s">
        <v>953</v>
      </c>
      <c r="AG112" s="193" t="s">
        <v>1432</v>
      </c>
      <c r="AH112" s="193" t="s">
        <v>953</v>
      </c>
      <c r="AI112" s="193" t="s">
        <v>953</v>
      </c>
      <c r="AJ112" s="193" t="s">
        <v>1431</v>
      </c>
      <c r="AK112" s="193" t="s">
        <v>1431</v>
      </c>
      <c r="AL112" s="193" t="s">
        <v>1431</v>
      </c>
    </row>
    <row r="113" spans="6:38">
      <c r="F113" s="204"/>
      <c r="G113" s="193" t="s">
        <v>3873</v>
      </c>
      <c r="H113" s="193" t="s">
        <v>3377</v>
      </c>
      <c r="I113" s="193" t="s">
        <v>3378</v>
      </c>
      <c r="J113" s="193" t="s">
        <v>3378</v>
      </c>
      <c r="K113" s="193" t="s">
        <v>3379</v>
      </c>
      <c r="L113" s="193"/>
      <c r="M113" s="193"/>
      <c r="N113" s="193">
        <v>5.4948665297741277</v>
      </c>
      <c r="O113" s="193"/>
      <c r="P113" s="193">
        <v>130</v>
      </c>
      <c r="Q113" s="193">
        <v>95</v>
      </c>
      <c r="R113" s="193">
        <v>-35</v>
      </c>
      <c r="S113" s="193">
        <v>5</v>
      </c>
      <c r="T113" s="193"/>
      <c r="U113" s="193"/>
      <c r="V113" s="193"/>
      <c r="W113" s="193"/>
      <c r="X113" s="193"/>
      <c r="Y113" s="193"/>
      <c r="Z113" s="193">
        <v>93.727300000000028</v>
      </c>
      <c r="AA113" s="193">
        <v>95</v>
      </c>
      <c r="AB113" s="193" t="s">
        <v>1281</v>
      </c>
      <c r="AC113" s="193" t="s">
        <v>1490</v>
      </c>
      <c r="AD113" s="193" t="s">
        <v>2227</v>
      </c>
      <c r="AE113" s="193" t="s">
        <v>3380</v>
      </c>
      <c r="AF113" s="193" t="s">
        <v>938</v>
      </c>
      <c r="AG113" s="193" t="s">
        <v>933</v>
      </c>
      <c r="AH113" s="193" t="s">
        <v>950</v>
      </c>
      <c r="AI113" s="193" t="s">
        <v>950</v>
      </c>
      <c r="AJ113" s="193" t="s">
        <v>1431</v>
      </c>
      <c r="AK113" s="193" t="s">
        <v>1431</v>
      </c>
      <c r="AL113" s="193" t="s">
        <v>1431</v>
      </c>
    </row>
    <row r="114" spans="6:38">
      <c r="F114" s="204"/>
      <c r="G114" s="193" t="s">
        <v>3874</v>
      </c>
      <c r="H114" s="193" t="s">
        <v>3377</v>
      </c>
      <c r="I114" s="193" t="s">
        <v>3381</v>
      </c>
      <c r="J114" s="193" t="s">
        <v>3381</v>
      </c>
      <c r="K114" s="193" t="s">
        <v>3379</v>
      </c>
      <c r="L114" s="193"/>
      <c r="M114" s="193"/>
      <c r="N114" s="193">
        <v>7.0006844626967828</v>
      </c>
      <c r="O114" s="193"/>
      <c r="P114" s="193">
        <v>140</v>
      </c>
      <c r="Q114" s="193">
        <v>105</v>
      </c>
      <c r="R114" s="193">
        <v>-35</v>
      </c>
      <c r="S114" s="193">
        <v>5</v>
      </c>
      <c r="T114" s="193"/>
      <c r="U114" s="193"/>
      <c r="V114" s="193"/>
      <c r="W114" s="193"/>
      <c r="X114" s="193"/>
      <c r="Y114" s="193"/>
      <c r="Z114" s="193">
        <v>95.605299999999986</v>
      </c>
      <c r="AA114" s="193">
        <v>105</v>
      </c>
      <c r="AB114" s="193" t="s">
        <v>1281</v>
      </c>
      <c r="AC114" s="193" t="s">
        <v>1490</v>
      </c>
      <c r="AD114" s="193" t="s">
        <v>2227</v>
      </c>
      <c r="AE114" s="193" t="s">
        <v>3380</v>
      </c>
      <c r="AF114" s="193" t="s">
        <v>938</v>
      </c>
      <c r="AG114" s="193" t="s">
        <v>933</v>
      </c>
      <c r="AH114" s="193" t="s">
        <v>950</v>
      </c>
      <c r="AI114" s="193" t="s">
        <v>950</v>
      </c>
      <c r="AJ114" s="193" t="s">
        <v>1431</v>
      </c>
      <c r="AK114" s="193" t="s">
        <v>1431</v>
      </c>
      <c r="AL114" s="193" t="s">
        <v>1431</v>
      </c>
    </row>
    <row r="115" spans="6:38">
      <c r="F115" s="204"/>
      <c r="G115" s="193" t="s">
        <v>3875</v>
      </c>
      <c r="H115" s="193" t="s">
        <v>3377</v>
      </c>
      <c r="I115" s="193" t="s">
        <v>3382</v>
      </c>
      <c r="J115" s="193" t="s">
        <v>3382</v>
      </c>
      <c r="K115" s="193" t="s">
        <v>3379</v>
      </c>
      <c r="L115" s="193"/>
      <c r="M115" s="193"/>
      <c r="N115" s="193">
        <v>9.9986310746064344</v>
      </c>
      <c r="O115" s="193"/>
      <c r="P115" s="193">
        <v>150</v>
      </c>
      <c r="Q115" s="193">
        <v>115</v>
      </c>
      <c r="R115" s="193">
        <v>-35</v>
      </c>
      <c r="S115" s="193">
        <v>5</v>
      </c>
      <c r="T115" s="193"/>
      <c r="U115" s="193"/>
      <c r="V115" s="193"/>
      <c r="W115" s="193"/>
      <c r="X115" s="193"/>
      <c r="Y115" s="193"/>
      <c r="Z115" s="193">
        <v>103.80800000000008</v>
      </c>
      <c r="AA115" s="193">
        <v>115</v>
      </c>
      <c r="AB115" s="193" t="s">
        <v>1281</v>
      </c>
      <c r="AC115" s="193" t="s">
        <v>1490</v>
      </c>
      <c r="AD115" s="193" t="s">
        <v>2227</v>
      </c>
      <c r="AE115" s="193" t="s">
        <v>3380</v>
      </c>
      <c r="AF115" s="193" t="s">
        <v>938</v>
      </c>
      <c r="AG115" s="193" t="s">
        <v>933</v>
      </c>
      <c r="AH115" s="193" t="s">
        <v>950</v>
      </c>
      <c r="AI115" s="193" t="s">
        <v>950</v>
      </c>
      <c r="AJ115" s="193" t="s">
        <v>1431</v>
      </c>
      <c r="AK115" s="193" t="s">
        <v>1431</v>
      </c>
      <c r="AL115" s="193" t="s">
        <v>1431</v>
      </c>
    </row>
    <row r="116" spans="6:38">
      <c r="F116" s="204"/>
      <c r="G116" s="193" t="s">
        <v>3876</v>
      </c>
      <c r="H116" s="193" t="s">
        <v>2651</v>
      </c>
      <c r="I116" s="193" t="s">
        <v>3383</v>
      </c>
      <c r="J116" s="193" t="s">
        <v>3383</v>
      </c>
      <c r="K116" s="193" t="s">
        <v>2653</v>
      </c>
      <c r="L116" s="193"/>
      <c r="M116" s="193"/>
      <c r="N116" s="193">
        <v>9.9986310746064344</v>
      </c>
      <c r="O116" s="193"/>
      <c r="P116" s="193">
        <v>215</v>
      </c>
      <c r="Q116" s="193">
        <v>188</v>
      </c>
      <c r="R116" s="193">
        <v>-27</v>
      </c>
      <c r="S116" s="193">
        <v>0</v>
      </c>
      <c r="T116" s="193">
        <v>1800</v>
      </c>
      <c r="U116" s="193">
        <v>1800000000</v>
      </c>
      <c r="V116" s="193">
        <v>4500</v>
      </c>
      <c r="W116" s="193"/>
      <c r="X116" s="193">
        <v>-1</v>
      </c>
      <c r="Y116" s="193">
        <v>-60</v>
      </c>
      <c r="Z116" s="193">
        <v>191.92370000000008</v>
      </c>
      <c r="AA116" s="193">
        <v>188</v>
      </c>
      <c r="AB116" s="193" t="s">
        <v>1281</v>
      </c>
      <c r="AC116" s="193" t="s">
        <v>1433</v>
      </c>
      <c r="AD116" s="193" t="s">
        <v>1434</v>
      </c>
      <c r="AE116" s="193" t="s">
        <v>1867</v>
      </c>
      <c r="AF116" s="193" t="s">
        <v>877</v>
      </c>
      <c r="AG116" s="193" t="s">
        <v>1432</v>
      </c>
      <c r="AH116" s="193" t="s">
        <v>877</v>
      </c>
      <c r="AI116" s="193" t="s">
        <v>877</v>
      </c>
      <c r="AJ116" s="193" t="s">
        <v>1431</v>
      </c>
      <c r="AK116" s="193" t="s">
        <v>1431</v>
      </c>
      <c r="AL116" s="193" t="s">
        <v>1431</v>
      </c>
    </row>
    <row r="117" spans="6:38">
      <c r="F117" s="204"/>
      <c r="G117" s="193" t="s">
        <v>3384</v>
      </c>
      <c r="H117" s="193" t="s">
        <v>3385</v>
      </c>
      <c r="I117" s="193" t="s">
        <v>3386</v>
      </c>
      <c r="J117" s="193" t="s">
        <v>3386</v>
      </c>
      <c r="K117" s="193" t="s">
        <v>3387</v>
      </c>
      <c r="L117" s="193" t="s">
        <v>3359</v>
      </c>
      <c r="M117" s="193">
        <v>240000000</v>
      </c>
      <c r="N117" s="193">
        <v>5.7193702943189599</v>
      </c>
      <c r="O117" s="193" t="s">
        <v>3333</v>
      </c>
      <c r="P117" s="193">
        <v>105</v>
      </c>
      <c r="Q117" s="193">
        <v>82</v>
      </c>
      <c r="R117" s="193">
        <v>-23</v>
      </c>
      <c r="S117" s="193">
        <v>2</v>
      </c>
      <c r="T117" s="193">
        <v>680</v>
      </c>
      <c r="U117" s="193">
        <v>680000000</v>
      </c>
      <c r="V117" s="193">
        <v>965</v>
      </c>
      <c r="W117" s="193">
        <v>2.8</v>
      </c>
      <c r="X117" s="193">
        <v>0</v>
      </c>
      <c r="Y117" s="193">
        <v>-29.53</v>
      </c>
      <c r="Z117" s="193">
        <v>87.426400000000015</v>
      </c>
      <c r="AA117" s="193">
        <v>135</v>
      </c>
      <c r="AB117" s="193">
        <v>-48</v>
      </c>
      <c r="AC117" s="193" t="s">
        <v>1439</v>
      </c>
      <c r="AD117" s="193" t="s">
        <v>1912</v>
      </c>
      <c r="AE117" s="193" t="s">
        <v>1913</v>
      </c>
      <c r="AF117" s="193" t="s">
        <v>932</v>
      </c>
      <c r="AG117" s="193" t="s">
        <v>875</v>
      </c>
      <c r="AH117" s="193" t="s">
        <v>932</v>
      </c>
      <c r="AI117" s="193" t="s">
        <v>932</v>
      </c>
      <c r="AJ117" s="193" t="s">
        <v>1431</v>
      </c>
      <c r="AK117" s="193" t="s">
        <v>1431</v>
      </c>
      <c r="AL117" s="193" t="s">
        <v>1431</v>
      </c>
    </row>
    <row r="118" spans="6:38">
      <c r="F118" s="204"/>
      <c r="G118" s="193" t="s">
        <v>3877</v>
      </c>
      <c r="H118" s="193" t="s">
        <v>3385</v>
      </c>
      <c r="I118" s="193" t="s">
        <v>3388</v>
      </c>
      <c r="J118" s="193" t="s">
        <v>3388</v>
      </c>
      <c r="K118" s="193" t="s">
        <v>3387</v>
      </c>
      <c r="L118" s="193" t="s">
        <v>3359</v>
      </c>
      <c r="M118" s="193">
        <v>155000000</v>
      </c>
      <c r="N118" s="193">
        <v>5.9630390143737166</v>
      </c>
      <c r="O118" s="193" t="s">
        <v>3108</v>
      </c>
      <c r="P118" s="193">
        <v>115</v>
      </c>
      <c r="Q118" s="193">
        <v>90</v>
      </c>
      <c r="R118" s="193">
        <v>-25</v>
      </c>
      <c r="S118" s="193">
        <v>-1</v>
      </c>
      <c r="T118" s="193">
        <v>485</v>
      </c>
      <c r="U118" s="193">
        <v>485000000</v>
      </c>
      <c r="V118" s="193">
        <v>1100</v>
      </c>
      <c r="W118" s="193">
        <v>3.1</v>
      </c>
      <c r="X118" s="193">
        <v>-1</v>
      </c>
      <c r="Y118" s="193">
        <v>-55.91</v>
      </c>
      <c r="Z118" s="193">
        <v>104.26169999999999</v>
      </c>
      <c r="AA118" s="193">
        <v>120</v>
      </c>
      <c r="AB118" s="193" t="s">
        <v>1281</v>
      </c>
      <c r="AC118" s="193" t="s">
        <v>1439</v>
      </c>
      <c r="AD118" s="193" t="s">
        <v>1912</v>
      </c>
      <c r="AE118" s="193" t="s">
        <v>1913</v>
      </c>
      <c r="AF118" s="193" t="s">
        <v>932</v>
      </c>
      <c r="AG118" s="193" t="s">
        <v>875</v>
      </c>
      <c r="AH118" s="193" t="s">
        <v>932</v>
      </c>
      <c r="AI118" s="193" t="s">
        <v>932</v>
      </c>
      <c r="AJ118" s="193" t="s">
        <v>1431</v>
      </c>
      <c r="AK118" s="193" t="s">
        <v>1431</v>
      </c>
      <c r="AL118" s="193" t="s">
        <v>1431</v>
      </c>
    </row>
    <row r="119" spans="6:38">
      <c r="F119" s="204"/>
      <c r="G119" s="193" t="s">
        <v>3389</v>
      </c>
      <c r="H119" s="193" t="s">
        <v>3385</v>
      </c>
      <c r="I119" s="193" t="s">
        <v>3390</v>
      </c>
      <c r="J119" s="193" t="s">
        <v>3390</v>
      </c>
      <c r="K119" s="193" t="s">
        <v>3387</v>
      </c>
      <c r="L119" s="193" t="s">
        <v>3359</v>
      </c>
      <c r="M119" s="193">
        <v>215000000</v>
      </c>
      <c r="N119" s="193">
        <v>7.7180013689253935</v>
      </c>
      <c r="O119" s="193" t="s">
        <v>1425</v>
      </c>
      <c r="P119" s="193">
        <v>120</v>
      </c>
      <c r="Q119" s="193">
        <v>100</v>
      </c>
      <c r="R119" s="193">
        <v>-20</v>
      </c>
      <c r="S119" s="193">
        <v>3</v>
      </c>
      <c r="T119" s="193">
        <v>910</v>
      </c>
      <c r="U119" s="193">
        <v>910000000</v>
      </c>
      <c r="V119" s="193">
        <v>780</v>
      </c>
      <c r="W119" s="193">
        <v>4.2</v>
      </c>
      <c r="X119" s="193">
        <v>0</v>
      </c>
      <c r="Y119" s="193">
        <v>16.670000000000002</v>
      </c>
      <c r="Z119" s="193">
        <v>104.98349999999999</v>
      </c>
      <c r="AA119" s="193">
        <v>160</v>
      </c>
      <c r="AB119" s="193">
        <v>-55</v>
      </c>
      <c r="AC119" s="193" t="s">
        <v>1439</v>
      </c>
      <c r="AD119" s="193" t="s">
        <v>1912</v>
      </c>
      <c r="AE119" s="193" t="s">
        <v>1913</v>
      </c>
      <c r="AF119" s="193" t="s">
        <v>932</v>
      </c>
      <c r="AG119" s="193" t="s">
        <v>875</v>
      </c>
      <c r="AH119" s="193" t="s">
        <v>932</v>
      </c>
      <c r="AI119" s="193" t="s">
        <v>932</v>
      </c>
      <c r="AJ119" s="193" t="s">
        <v>1431</v>
      </c>
      <c r="AK119" s="193" t="s">
        <v>1431</v>
      </c>
      <c r="AL119" s="193" t="s">
        <v>1431</v>
      </c>
    </row>
    <row r="120" spans="6:38">
      <c r="F120" s="204"/>
      <c r="G120" s="193" t="s">
        <v>3878</v>
      </c>
      <c r="H120" s="193" t="s">
        <v>3385</v>
      </c>
      <c r="I120" s="193" t="s">
        <v>3391</v>
      </c>
      <c r="J120" s="193" t="s">
        <v>3391</v>
      </c>
      <c r="K120" s="193" t="s">
        <v>3387</v>
      </c>
      <c r="L120" s="193" t="s">
        <v>3359</v>
      </c>
      <c r="M120" s="193">
        <v>140000000</v>
      </c>
      <c r="N120" s="193">
        <v>7.9644079397672831</v>
      </c>
      <c r="O120" s="193" t="s">
        <v>3392</v>
      </c>
      <c r="P120" s="193">
        <v>135</v>
      </c>
      <c r="Q120" s="193">
        <v>105</v>
      </c>
      <c r="R120" s="193">
        <v>-30</v>
      </c>
      <c r="S120" s="193">
        <v>-6</v>
      </c>
      <c r="T120" s="193">
        <v>600</v>
      </c>
      <c r="U120" s="193">
        <v>600000000</v>
      </c>
      <c r="V120" s="193">
        <v>1400</v>
      </c>
      <c r="W120" s="193">
        <v>4.3</v>
      </c>
      <c r="X120" s="193">
        <v>-1</v>
      </c>
      <c r="Y120" s="193">
        <v>-57.14</v>
      </c>
      <c r="Z120" s="193">
        <v>116.79500000000003</v>
      </c>
      <c r="AA120" s="193">
        <v>150</v>
      </c>
      <c r="AB120" s="193" t="s">
        <v>1281</v>
      </c>
      <c r="AC120" s="193" t="s">
        <v>1439</v>
      </c>
      <c r="AD120" s="193" t="s">
        <v>1912</v>
      </c>
      <c r="AE120" s="193" t="s">
        <v>1913</v>
      </c>
      <c r="AF120" s="193" t="s">
        <v>932</v>
      </c>
      <c r="AG120" s="193" t="s">
        <v>875</v>
      </c>
      <c r="AH120" s="193" t="s">
        <v>932</v>
      </c>
      <c r="AI120" s="193" t="s">
        <v>932</v>
      </c>
      <c r="AJ120" s="193" t="s">
        <v>1431</v>
      </c>
      <c r="AK120" s="193" t="s">
        <v>1431</v>
      </c>
      <c r="AL120" s="193" t="s">
        <v>1431</v>
      </c>
    </row>
    <row r="121" spans="6:38">
      <c r="F121" s="204"/>
      <c r="G121" s="193" t="s">
        <v>3393</v>
      </c>
      <c r="H121" s="193" t="s">
        <v>3385</v>
      </c>
      <c r="I121" s="193" t="s">
        <v>3394</v>
      </c>
      <c r="J121" s="193" t="s">
        <v>3394</v>
      </c>
      <c r="K121" s="193" t="s">
        <v>3387</v>
      </c>
      <c r="L121" s="193" t="s">
        <v>3359</v>
      </c>
      <c r="M121" s="193">
        <v>265000000</v>
      </c>
      <c r="N121" s="193">
        <v>10.688569472963723</v>
      </c>
      <c r="O121" s="193" t="s">
        <v>3395</v>
      </c>
      <c r="P121" s="193">
        <v>145</v>
      </c>
      <c r="Q121" s="193">
        <v>120</v>
      </c>
      <c r="R121" s="193">
        <v>-25</v>
      </c>
      <c r="S121" s="193">
        <v>7</v>
      </c>
      <c r="T121" s="193">
        <v>900</v>
      </c>
      <c r="U121" s="193">
        <v>900000000</v>
      </c>
      <c r="V121" s="193">
        <v>1250</v>
      </c>
      <c r="W121" s="193">
        <v>3.4</v>
      </c>
      <c r="X121" s="193">
        <v>0</v>
      </c>
      <c r="Y121" s="193">
        <v>-28</v>
      </c>
      <c r="Z121" s="193">
        <v>127.44740000000006</v>
      </c>
      <c r="AA121" s="193">
        <v>260</v>
      </c>
      <c r="AB121" s="193">
        <v>-133</v>
      </c>
      <c r="AC121" s="193" t="s">
        <v>1439</v>
      </c>
      <c r="AD121" s="193" t="s">
        <v>1912</v>
      </c>
      <c r="AE121" s="193" t="s">
        <v>1913</v>
      </c>
      <c r="AF121" s="193" t="s">
        <v>932</v>
      </c>
      <c r="AG121" s="193" t="s">
        <v>875</v>
      </c>
      <c r="AH121" s="193" t="s">
        <v>932</v>
      </c>
      <c r="AI121" s="193" t="s">
        <v>932</v>
      </c>
      <c r="AJ121" s="193" t="s">
        <v>1431</v>
      </c>
      <c r="AK121" s="193" t="s">
        <v>1431</v>
      </c>
      <c r="AL121" s="193" t="s">
        <v>1431</v>
      </c>
    </row>
    <row r="122" spans="6:38">
      <c r="F122" s="204"/>
      <c r="G122" s="193" t="s">
        <v>3396</v>
      </c>
      <c r="H122" s="193" t="s">
        <v>3385</v>
      </c>
      <c r="I122" s="193" t="s">
        <v>3397</v>
      </c>
      <c r="J122" s="193" t="s">
        <v>3397</v>
      </c>
      <c r="K122" s="193" t="s">
        <v>3387</v>
      </c>
      <c r="L122" s="193" t="s">
        <v>3359</v>
      </c>
      <c r="M122" s="193">
        <v>245000000</v>
      </c>
      <c r="N122" s="193">
        <v>10.718685831622176</v>
      </c>
      <c r="O122" s="193" t="s">
        <v>3395</v>
      </c>
      <c r="P122" s="193">
        <v>145</v>
      </c>
      <c r="Q122" s="193">
        <v>115</v>
      </c>
      <c r="R122" s="193">
        <v>-30</v>
      </c>
      <c r="S122" s="193">
        <v>0</v>
      </c>
      <c r="T122" s="193">
        <v>1050</v>
      </c>
      <c r="U122" s="193">
        <v>1050000000</v>
      </c>
      <c r="V122" s="193">
        <v>2000</v>
      </c>
      <c r="W122" s="193">
        <v>4.3</v>
      </c>
      <c r="X122" s="193">
        <v>0</v>
      </c>
      <c r="Y122" s="193">
        <v>-47.5</v>
      </c>
      <c r="Z122" s="193">
        <v>122.62450000000004</v>
      </c>
      <c r="AA122" s="193">
        <v>170</v>
      </c>
      <c r="AB122" s="193">
        <v>-47</v>
      </c>
      <c r="AC122" s="193" t="s">
        <v>1439</v>
      </c>
      <c r="AD122" s="193" t="s">
        <v>1912</v>
      </c>
      <c r="AE122" s="193" t="s">
        <v>1913</v>
      </c>
      <c r="AF122" s="193" t="s">
        <v>932</v>
      </c>
      <c r="AG122" s="193" t="s">
        <v>875</v>
      </c>
      <c r="AH122" s="193" t="s">
        <v>932</v>
      </c>
      <c r="AI122" s="193" t="s">
        <v>932</v>
      </c>
      <c r="AJ122" s="193" t="s">
        <v>1431</v>
      </c>
      <c r="AK122" s="193" t="s">
        <v>1431</v>
      </c>
      <c r="AL122" s="193" t="s">
        <v>1431</v>
      </c>
    </row>
    <row r="123" spans="6:38">
      <c r="F123" s="204"/>
      <c r="G123" s="193" t="s">
        <v>3879</v>
      </c>
      <c r="H123" s="193" t="s">
        <v>3385</v>
      </c>
      <c r="I123" s="193" t="s">
        <v>3398</v>
      </c>
      <c r="J123" s="193" t="s">
        <v>3398</v>
      </c>
      <c r="K123" s="193" t="s">
        <v>3387</v>
      </c>
      <c r="L123" s="193" t="s">
        <v>3359</v>
      </c>
      <c r="M123" s="193">
        <v>145000000</v>
      </c>
      <c r="N123" s="193">
        <v>10.962354551676933</v>
      </c>
      <c r="O123" s="193" t="s">
        <v>3399</v>
      </c>
      <c r="P123" s="193">
        <v>150</v>
      </c>
      <c r="Q123" s="193">
        <v>117</v>
      </c>
      <c r="R123" s="193">
        <v>-33</v>
      </c>
      <c r="S123" s="193">
        <v>0</v>
      </c>
      <c r="T123" s="193">
        <v>1050</v>
      </c>
      <c r="U123" s="193">
        <v>1050000000</v>
      </c>
      <c r="V123" s="193">
        <v>2350</v>
      </c>
      <c r="W123" s="193">
        <v>7.2</v>
      </c>
      <c r="X123" s="193">
        <v>-1</v>
      </c>
      <c r="Y123" s="193">
        <v>-55.32</v>
      </c>
      <c r="Z123" s="193">
        <v>129.13920000000002</v>
      </c>
      <c r="AA123" s="193">
        <v>160</v>
      </c>
      <c r="AB123" s="193" t="s">
        <v>1281</v>
      </c>
      <c r="AC123" s="193" t="s">
        <v>1439</v>
      </c>
      <c r="AD123" s="193" t="s">
        <v>1912</v>
      </c>
      <c r="AE123" s="193" t="s">
        <v>1913</v>
      </c>
      <c r="AF123" s="193" t="s">
        <v>932</v>
      </c>
      <c r="AG123" s="193" t="s">
        <v>875</v>
      </c>
      <c r="AH123" s="193" t="s">
        <v>932</v>
      </c>
      <c r="AI123" s="193" t="s">
        <v>932</v>
      </c>
      <c r="AJ123" s="193" t="s">
        <v>1431</v>
      </c>
      <c r="AK123" s="193" t="s">
        <v>1431</v>
      </c>
      <c r="AL123" s="193" t="s">
        <v>1431</v>
      </c>
    </row>
    <row r="124" spans="6:38">
      <c r="F124" s="204"/>
      <c r="G124" s="193" t="s">
        <v>3880</v>
      </c>
      <c r="H124" s="193" t="s">
        <v>3385</v>
      </c>
      <c r="I124" s="193" t="s">
        <v>3400</v>
      </c>
      <c r="J124" s="193" t="s">
        <v>3400</v>
      </c>
      <c r="K124" s="193" t="s">
        <v>3387</v>
      </c>
      <c r="L124" s="193" t="s">
        <v>3359</v>
      </c>
      <c r="M124" s="193">
        <v>155000000</v>
      </c>
      <c r="N124" s="193">
        <v>11.964407939767282</v>
      </c>
      <c r="O124" s="193" t="s">
        <v>3401</v>
      </c>
      <c r="P124" s="193">
        <v>155</v>
      </c>
      <c r="Q124" s="193">
        <v>122</v>
      </c>
      <c r="R124" s="193">
        <v>-33</v>
      </c>
      <c r="S124" s="193">
        <v>-3</v>
      </c>
      <c r="T124" s="193">
        <v>715</v>
      </c>
      <c r="U124" s="193">
        <v>715000000</v>
      </c>
      <c r="V124" s="193">
        <v>2150</v>
      </c>
      <c r="W124" s="193">
        <v>4.5999999999999996</v>
      </c>
      <c r="X124" s="193">
        <v>-1</v>
      </c>
      <c r="Y124" s="193">
        <v>-66.739999999999995</v>
      </c>
      <c r="Z124" s="193">
        <v>136.31670000000008</v>
      </c>
      <c r="AA124" s="193">
        <v>170</v>
      </c>
      <c r="AB124" s="193" t="s">
        <v>1281</v>
      </c>
      <c r="AC124" s="193" t="s">
        <v>1439</v>
      </c>
      <c r="AD124" s="193" t="s">
        <v>1912</v>
      </c>
      <c r="AE124" s="193" t="s">
        <v>1913</v>
      </c>
      <c r="AF124" s="193" t="s">
        <v>932</v>
      </c>
      <c r="AG124" s="193" t="s">
        <v>875</v>
      </c>
      <c r="AH124" s="193" t="s">
        <v>932</v>
      </c>
      <c r="AI124" s="193" t="s">
        <v>932</v>
      </c>
      <c r="AJ124" s="193" t="s">
        <v>1431</v>
      </c>
      <c r="AK124" s="193" t="s">
        <v>1431</v>
      </c>
      <c r="AL124" s="193" t="s">
        <v>1431</v>
      </c>
    </row>
    <row r="125" spans="6:38">
      <c r="F125" s="204"/>
      <c r="G125" s="193" t="s">
        <v>3402</v>
      </c>
      <c r="H125" s="193" t="s">
        <v>3385</v>
      </c>
      <c r="I125" s="193" t="s">
        <v>3403</v>
      </c>
      <c r="J125" s="193" t="s">
        <v>3403</v>
      </c>
      <c r="K125" s="193" t="s">
        <v>3387</v>
      </c>
      <c r="L125" s="193" t="s">
        <v>3359</v>
      </c>
      <c r="M125" s="193">
        <v>230000000</v>
      </c>
      <c r="N125" s="193">
        <v>13.71937029431896</v>
      </c>
      <c r="O125" s="193" t="s">
        <v>3404</v>
      </c>
      <c r="P125" s="193">
        <v>160</v>
      </c>
      <c r="Q125" s="193">
        <v>132</v>
      </c>
      <c r="R125" s="193">
        <v>-28</v>
      </c>
      <c r="S125" s="193">
        <v>0</v>
      </c>
      <c r="T125" s="193">
        <v>740</v>
      </c>
      <c r="U125" s="193">
        <v>740000000</v>
      </c>
      <c r="V125" s="193">
        <v>1750</v>
      </c>
      <c r="W125" s="193">
        <v>3.2</v>
      </c>
      <c r="X125" s="193">
        <v>-1</v>
      </c>
      <c r="Y125" s="193">
        <v>-57.71</v>
      </c>
      <c r="Z125" s="193">
        <v>145.94820000000004</v>
      </c>
      <c r="AA125" s="193">
        <v>185</v>
      </c>
      <c r="AB125" s="193">
        <v>-39</v>
      </c>
      <c r="AC125" s="193" t="s">
        <v>1439</v>
      </c>
      <c r="AD125" s="193" t="s">
        <v>1912</v>
      </c>
      <c r="AE125" s="193" t="s">
        <v>1913</v>
      </c>
      <c r="AF125" s="193" t="s">
        <v>932</v>
      </c>
      <c r="AG125" s="193" t="s">
        <v>875</v>
      </c>
      <c r="AH125" s="193" t="s">
        <v>932</v>
      </c>
      <c r="AI125" s="193" t="s">
        <v>932</v>
      </c>
      <c r="AJ125" s="193" t="s">
        <v>1431</v>
      </c>
      <c r="AK125" s="193" t="s">
        <v>1431</v>
      </c>
      <c r="AL125" s="193" t="s">
        <v>1431</v>
      </c>
    </row>
    <row r="126" spans="6:38">
      <c r="F126" s="204"/>
      <c r="G126" s="193" t="s">
        <v>3881</v>
      </c>
      <c r="H126" s="193" t="s">
        <v>3405</v>
      </c>
      <c r="I126" s="193" t="s">
        <v>3406</v>
      </c>
      <c r="J126" s="193" t="s">
        <v>3406</v>
      </c>
      <c r="K126" s="193" t="s">
        <v>3407</v>
      </c>
      <c r="L126" s="193"/>
      <c r="M126" s="193"/>
      <c r="N126" s="193">
        <v>10.370978781656399</v>
      </c>
      <c r="O126" s="193"/>
      <c r="P126" s="193">
        <v>125</v>
      </c>
      <c r="Q126" s="193">
        <v>97</v>
      </c>
      <c r="R126" s="193">
        <v>-28</v>
      </c>
      <c r="S126" s="193">
        <v>2</v>
      </c>
      <c r="T126" s="193">
        <v>1800</v>
      </c>
      <c r="U126" s="193">
        <v>1800000000</v>
      </c>
      <c r="V126" s="193">
        <v>2900</v>
      </c>
      <c r="W126" s="193"/>
      <c r="X126" s="193">
        <v>0</v>
      </c>
      <c r="Y126" s="193">
        <v>-37.93</v>
      </c>
      <c r="Z126" s="193">
        <v>95.341900000000024</v>
      </c>
      <c r="AA126" s="193">
        <v>97</v>
      </c>
      <c r="AB126" s="193" t="s">
        <v>1281</v>
      </c>
      <c r="AC126" s="193" t="s">
        <v>1879</v>
      </c>
      <c r="AD126" s="193" t="s">
        <v>3408</v>
      </c>
      <c r="AE126" s="193" t="s">
        <v>3409</v>
      </c>
      <c r="AF126" s="193" t="s">
        <v>932</v>
      </c>
      <c r="AG126" s="193" t="s">
        <v>875</v>
      </c>
      <c r="AH126" s="193" t="s">
        <v>1432</v>
      </c>
      <c r="AI126" s="193" t="s">
        <v>932</v>
      </c>
      <c r="AJ126" s="193" t="s">
        <v>1431</v>
      </c>
      <c r="AK126" s="193" t="s">
        <v>1431</v>
      </c>
      <c r="AL126" s="193" t="s">
        <v>1431</v>
      </c>
    </row>
    <row r="127" spans="6:38">
      <c r="F127" s="204"/>
      <c r="G127" s="193" t="s">
        <v>3410</v>
      </c>
      <c r="H127" s="193" t="s">
        <v>3356</v>
      </c>
      <c r="I127" s="193" t="s">
        <v>3279</v>
      </c>
      <c r="J127" s="193" t="s">
        <v>3279</v>
      </c>
      <c r="K127" s="193" t="s">
        <v>3358</v>
      </c>
      <c r="L127" s="193"/>
      <c r="M127" s="193"/>
      <c r="N127" s="193" t="s">
        <v>1871</v>
      </c>
      <c r="O127" s="193">
        <v>7.125</v>
      </c>
      <c r="P127" s="193">
        <v>7.125</v>
      </c>
      <c r="Q127" s="193">
        <v>6.625</v>
      </c>
      <c r="R127" s="193">
        <v>-50</v>
      </c>
      <c r="S127" s="193"/>
      <c r="T127" s="193">
        <v>8000</v>
      </c>
      <c r="U127" s="193">
        <v>8000000000</v>
      </c>
      <c r="V127" s="193">
        <v>9000</v>
      </c>
      <c r="W127" s="193"/>
      <c r="X127" s="193">
        <v>0</v>
      </c>
      <c r="Y127" s="193">
        <v>-11.11</v>
      </c>
      <c r="Z127" s="193">
        <v>270.37469999999996</v>
      </c>
      <c r="AA127" s="193">
        <v>268.10000000000002</v>
      </c>
      <c r="AB127" s="193">
        <v>2</v>
      </c>
      <c r="AC127" s="193" t="s">
        <v>1428</v>
      </c>
      <c r="AD127" s="193" t="s">
        <v>1429</v>
      </c>
      <c r="AE127" s="193" t="s">
        <v>1460</v>
      </c>
      <c r="AF127" s="193" t="s">
        <v>1432</v>
      </c>
      <c r="AG127" s="193" t="s">
        <v>969</v>
      </c>
      <c r="AH127" s="193" t="s">
        <v>932</v>
      </c>
      <c r="AI127" s="193" t="s">
        <v>877</v>
      </c>
      <c r="AJ127" s="193" t="s">
        <v>1431</v>
      </c>
      <c r="AK127" s="193" t="s">
        <v>1431</v>
      </c>
      <c r="AL127" s="193" t="s">
        <v>1431</v>
      </c>
    </row>
    <row r="128" spans="6:38">
      <c r="F128" s="204"/>
      <c r="G128" s="193" t="s">
        <v>3882</v>
      </c>
      <c r="H128" s="193" t="s">
        <v>3411</v>
      </c>
      <c r="I128" s="193" t="s">
        <v>3283</v>
      </c>
      <c r="J128" s="193" t="s">
        <v>3283</v>
      </c>
      <c r="K128" s="193" t="s">
        <v>3412</v>
      </c>
      <c r="L128" s="193"/>
      <c r="M128" s="193"/>
      <c r="N128" s="193">
        <v>1.998631074606434</v>
      </c>
      <c r="O128" s="193"/>
      <c r="P128" s="193">
        <v>45</v>
      </c>
      <c r="Q128" s="193">
        <v>25</v>
      </c>
      <c r="R128" s="193">
        <v>-20</v>
      </c>
      <c r="S128" s="193">
        <v>5</v>
      </c>
      <c r="T128" s="193">
        <v>1100</v>
      </c>
      <c r="U128" s="193">
        <v>1100000000</v>
      </c>
      <c r="V128" s="193">
        <v>1200</v>
      </c>
      <c r="W128" s="193"/>
      <c r="X128" s="193">
        <v>0</v>
      </c>
      <c r="Y128" s="193">
        <v>-8.33</v>
      </c>
      <c r="Z128" s="193">
        <v>16.169900000000005</v>
      </c>
      <c r="AA128" s="193">
        <v>25</v>
      </c>
      <c r="AB128" s="193" t="s">
        <v>1281</v>
      </c>
      <c r="AC128" s="193" t="s">
        <v>1447</v>
      </c>
      <c r="AD128" s="193" t="s">
        <v>3413</v>
      </c>
      <c r="AE128" s="193" t="s">
        <v>3414</v>
      </c>
      <c r="AF128" s="193" t="s">
        <v>1011</v>
      </c>
      <c r="AG128" s="193" t="s">
        <v>998</v>
      </c>
      <c r="AH128" s="193" t="s">
        <v>1432</v>
      </c>
      <c r="AI128" s="193" t="s">
        <v>997</v>
      </c>
      <c r="AJ128" s="193" t="s">
        <v>1431</v>
      </c>
      <c r="AK128" s="193" t="s">
        <v>1431</v>
      </c>
      <c r="AL128" s="193" t="s">
        <v>1431</v>
      </c>
    </row>
    <row r="129" spans="6:38">
      <c r="F129" s="204"/>
      <c r="G129" s="193" t="s">
        <v>3883</v>
      </c>
      <c r="H129" s="193" t="s">
        <v>3411</v>
      </c>
      <c r="I129" s="193" t="s">
        <v>3415</v>
      </c>
      <c r="J129" s="193" t="s">
        <v>3415</v>
      </c>
      <c r="K129" s="193" t="s">
        <v>3412</v>
      </c>
      <c r="L129" s="193"/>
      <c r="M129" s="193"/>
      <c r="N129" s="193">
        <v>1.998631074606434</v>
      </c>
      <c r="O129" s="193"/>
      <c r="P129" s="193"/>
      <c r="Q129" s="193">
        <v>46</v>
      </c>
      <c r="R129" s="193"/>
      <c r="S129" s="193"/>
      <c r="T129" s="193">
        <v>1200</v>
      </c>
      <c r="U129" s="193">
        <v>1200000000</v>
      </c>
      <c r="V129" s="193">
        <v>1350</v>
      </c>
      <c r="W129" s="193"/>
      <c r="X129" s="193">
        <v>0</v>
      </c>
      <c r="Y129" s="193">
        <v>-11.11</v>
      </c>
      <c r="Z129" s="193" t="s">
        <v>1432</v>
      </c>
      <c r="AA129" s="193" t="s">
        <v>1432</v>
      </c>
      <c r="AB129" s="193" t="s">
        <v>1281</v>
      </c>
      <c r="AC129" s="193" t="s">
        <v>1447</v>
      </c>
      <c r="AD129" s="193" t="s">
        <v>3413</v>
      </c>
      <c r="AE129" s="193" t="s">
        <v>3414</v>
      </c>
      <c r="AF129" s="193" t="s">
        <v>1011</v>
      </c>
      <c r="AG129" s="193" t="s">
        <v>998</v>
      </c>
      <c r="AH129" s="193" t="s">
        <v>1432</v>
      </c>
      <c r="AI129" s="193" t="s">
        <v>997</v>
      </c>
      <c r="AJ129" s="193" t="s">
        <v>1431</v>
      </c>
      <c r="AK129" s="193" t="s">
        <v>1431</v>
      </c>
      <c r="AL129" s="193" t="s">
        <v>1431</v>
      </c>
    </row>
    <row r="130" spans="6:38">
      <c r="F130" s="204"/>
      <c r="G130" s="193" t="s">
        <v>3884</v>
      </c>
      <c r="H130" s="193" t="s">
        <v>3411</v>
      </c>
      <c r="I130" s="193" t="s">
        <v>3280</v>
      </c>
      <c r="J130" s="193" t="s">
        <v>3280</v>
      </c>
      <c r="K130" s="193" t="s">
        <v>3412</v>
      </c>
      <c r="L130" s="193"/>
      <c r="M130" s="193"/>
      <c r="N130" s="193">
        <v>3.0006844626967832</v>
      </c>
      <c r="O130" s="193"/>
      <c r="P130" s="193">
        <v>50</v>
      </c>
      <c r="Q130" s="193">
        <v>30</v>
      </c>
      <c r="R130" s="193">
        <v>-20</v>
      </c>
      <c r="S130" s="193">
        <v>5</v>
      </c>
      <c r="T130" s="193">
        <v>1250</v>
      </c>
      <c r="U130" s="193">
        <v>1250000000</v>
      </c>
      <c r="V130" s="193">
        <v>1350</v>
      </c>
      <c r="W130" s="193"/>
      <c r="X130" s="193">
        <v>0</v>
      </c>
      <c r="Y130" s="193">
        <v>-7.41</v>
      </c>
      <c r="Z130" s="193">
        <v>25.972399999999986</v>
      </c>
      <c r="AA130" s="193">
        <v>30</v>
      </c>
      <c r="AB130" s="193" t="s">
        <v>1281</v>
      </c>
      <c r="AC130" s="193" t="s">
        <v>1447</v>
      </c>
      <c r="AD130" s="193" t="s">
        <v>3413</v>
      </c>
      <c r="AE130" s="193" t="s">
        <v>3414</v>
      </c>
      <c r="AF130" s="193" t="s">
        <v>1011</v>
      </c>
      <c r="AG130" s="193" t="s">
        <v>998</v>
      </c>
      <c r="AH130" s="193" t="s">
        <v>1432</v>
      </c>
      <c r="AI130" s="193" t="s">
        <v>997</v>
      </c>
      <c r="AJ130" s="193" t="s">
        <v>1431</v>
      </c>
      <c r="AK130" s="193" t="s">
        <v>1431</v>
      </c>
      <c r="AL130" s="193" t="s">
        <v>1431</v>
      </c>
    </row>
    <row r="131" spans="6:38">
      <c r="F131" s="204"/>
      <c r="G131" s="193" t="s">
        <v>3885</v>
      </c>
      <c r="H131" s="193" t="s">
        <v>3411</v>
      </c>
      <c r="I131" s="193" t="s">
        <v>3282</v>
      </c>
      <c r="J131" s="193" t="s">
        <v>3282</v>
      </c>
      <c r="K131" s="193" t="s">
        <v>3412</v>
      </c>
      <c r="L131" s="193"/>
      <c r="M131" s="193"/>
      <c r="N131" s="193">
        <v>3.0006844626967832</v>
      </c>
      <c r="O131" s="193"/>
      <c r="P131" s="193"/>
      <c r="Q131" s="193">
        <v>54</v>
      </c>
      <c r="R131" s="193"/>
      <c r="S131" s="193"/>
      <c r="T131" s="193">
        <v>1100</v>
      </c>
      <c r="U131" s="193">
        <v>1100000000</v>
      </c>
      <c r="V131" s="193">
        <v>1150</v>
      </c>
      <c r="W131" s="193"/>
      <c r="X131" s="193">
        <v>0</v>
      </c>
      <c r="Y131" s="193">
        <v>-4.3499999999999996</v>
      </c>
      <c r="Z131" s="193" t="s">
        <v>1432</v>
      </c>
      <c r="AA131" s="193" t="s">
        <v>1432</v>
      </c>
      <c r="AB131" s="193" t="s">
        <v>1281</v>
      </c>
      <c r="AC131" s="193" t="s">
        <v>1447</v>
      </c>
      <c r="AD131" s="193" t="s">
        <v>3413</v>
      </c>
      <c r="AE131" s="193" t="s">
        <v>3414</v>
      </c>
      <c r="AF131" s="193" t="s">
        <v>1011</v>
      </c>
      <c r="AG131" s="193" t="s">
        <v>998</v>
      </c>
      <c r="AH131" s="193" t="s">
        <v>1432</v>
      </c>
      <c r="AI131" s="193" t="s">
        <v>997</v>
      </c>
      <c r="AJ131" s="193" t="s">
        <v>1431</v>
      </c>
      <c r="AK131" s="193" t="s">
        <v>1431</v>
      </c>
      <c r="AL131" s="193" t="s">
        <v>1431</v>
      </c>
    </row>
    <row r="132" spans="6:38">
      <c r="F132" s="204"/>
      <c r="G132" s="193" t="s">
        <v>3886</v>
      </c>
      <c r="H132" s="193" t="s">
        <v>3411</v>
      </c>
      <c r="I132" s="193" t="s">
        <v>3281</v>
      </c>
      <c r="J132" s="193" t="s">
        <v>3281</v>
      </c>
      <c r="K132" s="193" t="s">
        <v>3412</v>
      </c>
      <c r="L132" s="193"/>
      <c r="M132" s="193"/>
      <c r="N132" s="193">
        <v>7.0006844626967828</v>
      </c>
      <c r="O132" s="193"/>
      <c r="P132" s="193">
        <v>70</v>
      </c>
      <c r="Q132" s="193">
        <v>45</v>
      </c>
      <c r="R132" s="193">
        <v>-25</v>
      </c>
      <c r="S132" s="193">
        <v>0</v>
      </c>
      <c r="T132" s="193">
        <v>2600</v>
      </c>
      <c r="U132" s="193">
        <v>2600000000</v>
      </c>
      <c r="V132" s="193">
        <v>3100</v>
      </c>
      <c r="W132" s="193"/>
      <c r="X132" s="193">
        <v>0</v>
      </c>
      <c r="Y132" s="193">
        <v>-16.13</v>
      </c>
      <c r="Z132" s="193">
        <v>42.200599999999966</v>
      </c>
      <c r="AA132" s="193">
        <v>45</v>
      </c>
      <c r="AB132" s="193" t="s">
        <v>1281</v>
      </c>
      <c r="AC132" s="193" t="s">
        <v>1447</v>
      </c>
      <c r="AD132" s="193" t="s">
        <v>3413</v>
      </c>
      <c r="AE132" s="193" t="s">
        <v>3414</v>
      </c>
      <c r="AF132" s="193" t="s">
        <v>1011</v>
      </c>
      <c r="AG132" s="193" t="s">
        <v>998</v>
      </c>
      <c r="AH132" s="193" t="s">
        <v>1432</v>
      </c>
      <c r="AI132" s="193" t="s">
        <v>997</v>
      </c>
      <c r="AJ132" s="193" t="s">
        <v>1431</v>
      </c>
      <c r="AK132" s="193" t="s">
        <v>1431</v>
      </c>
      <c r="AL132" s="193" t="s">
        <v>1431</v>
      </c>
    </row>
    <row r="133" spans="6:38">
      <c r="F133" s="204"/>
      <c r="G133" s="193" t="s">
        <v>3887</v>
      </c>
      <c r="H133" s="193" t="s">
        <v>3416</v>
      </c>
      <c r="I133" s="193" t="s">
        <v>3417</v>
      </c>
      <c r="J133" s="193" t="s">
        <v>3417</v>
      </c>
      <c r="K133" s="193" t="s">
        <v>3418</v>
      </c>
      <c r="L133" s="193"/>
      <c r="M133" s="193"/>
      <c r="N133" s="193">
        <v>5.9986310746064335</v>
      </c>
      <c r="O133" s="193"/>
      <c r="P133" s="193">
        <v>105</v>
      </c>
      <c r="Q133" s="193">
        <v>77</v>
      </c>
      <c r="R133" s="193">
        <v>-28</v>
      </c>
      <c r="S133" s="193">
        <v>-3</v>
      </c>
      <c r="T133" s="193">
        <v>3000</v>
      </c>
      <c r="U133" s="193">
        <v>3000000000</v>
      </c>
      <c r="V133" s="193">
        <v>4500</v>
      </c>
      <c r="W133" s="193"/>
      <c r="X133" s="193">
        <v>0</v>
      </c>
      <c r="Y133" s="193">
        <v>-33.33</v>
      </c>
      <c r="Z133" s="193">
        <v>78.481299999999976</v>
      </c>
      <c r="AA133" s="193">
        <v>77</v>
      </c>
      <c r="AB133" s="193" t="s">
        <v>1281</v>
      </c>
      <c r="AC133" s="193" t="s">
        <v>1428</v>
      </c>
      <c r="AD133" s="193" t="s">
        <v>1429</v>
      </c>
      <c r="AE133" s="193" t="s">
        <v>1430</v>
      </c>
      <c r="AF133" s="193" t="s">
        <v>876</v>
      </c>
      <c r="AG133" s="193" t="s">
        <v>874</v>
      </c>
      <c r="AH133" s="193" t="s">
        <v>1432</v>
      </c>
      <c r="AI133" s="193" t="s">
        <v>876</v>
      </c>
      <c r="AJ133" s="193" t="s">
        <v>1431</v>
      </c>
      <c r="AK133" s="193" t="s">
        <v>1431</v>
      </c>
      <c r="AL133" s="193" t="s">
        <v>1431</v>
      </c>
    </row>
    <row r="134" spans="6:38">
      <c r="F134" s="204"/>
      <c r="G134" s="193" t="s">
        <v>3888</v>
      </c>
      <c r="H134" s="193" t="s">
        <v>3419</v>
      </c>
      <c r="I134" s="193" t="s">
        <v>3284</v>
      </c>
      <c r="J134" s="193" t="s">
        <v>3284</v>
      </c>
      <c r="K134" s="193" t="s">
        <v>3051</v>
      </c>
      <c r="L134" s="193"/>
      <c r="M134" s="193"/>
      <c r="N134" s="193">
        <v>5.0403832991101982</v>
      </c>
      <c r="O134" s="193"/>
      <c r="P134" s="193">
        <v>110</v>
      </c>
      <c r="Q134" s="193">
        <v>72</v>
      </c>
      <c r="R134" s="193">
        <v>-38</v>
      </c>
      <c r="S134" s="193">
        <v>-6</v>
      </c>
      <c r="T134" s="193">
        <v>3300</v>
      </c>
      <c r="U134" s="193">
        <v>3300000000</v>
      </c>
      <c r="V134" s="193">
        <v>8200</v>
      </c>
      <c r="W134" s="193"/>
      <c r="X134" s="193">
        <v>-1</v>
      </c>
      <c r="Y134" s="193">
        <v>-59.76</v>
      </c>
      <c r="Z134" s="193">
        <v>74.528499999999994</v>
      </c>
      <c r="AA134" s="193">
        <v>72</v>
      </c>
      <c r="AB134" s="193" t="s">
        <v>1281</v>
      </c>
      <c r="AC134" s="193" t="s">
        <v>1447</v>
      </c>
      <c r="AD134" s="193" t="s">
        <v>3420</v>
      </c>
      <c r="AE134" s="193" t="s">
        <v>3421</v>
      </c>
      <c r="AF134" s="193" t="s">
        <v>877</v>
      </c>
      <c r="AG134" s="193" t="s">
        <v>875</v>
      </c>
      <c r="AH134" s="193" t="s">
        <v>1432</v>
      </c>
      <c r="AI134" s="193" t="s">
        <v>877</v>
      </c>
      <c r="AJ134" s="193" t="s">
        <v>1431</v>
      </c>
      <c r="AK134" s="193" t="s">
        <v>1431</v>
      </c>
      <c r="AL134" s="193" t="s">
        <v>1431</v>
      </c>
    </row>
    <row r="135" spans="6:38">
      <c r="F135" s="204"/>
      <c r="G135" s="193" t="s">
        <v>3889</v>
      </c>
      <c r="H135" s="193" t="s">
        <v>3419</v>
      </c>
      <c r="I135" s="193" t="s">
        <v>3285</v>
      </c>
      <c r="J135" s="193" t="s">
        <v>3285</v>
      </c>
      <c r="K135" s="193" t="s">
        <v>3051</v>
      </c>
      <c r="L135" s="193"/>
      <c r="M135" s="193"/>
      <c r="N135" s="193">
        <v>7.0417522245037647</v>
      </c>
      <c r="O135" s="193"/>
      <c r="P135" s="193">
        <v>120</v>
      </c>
      <c r="Q135" s="193">
        <v>85</v>
      </c>
      <c r="R135" s="193">
        <v>-35</v>
      </c>
      <c r="S135" s="193">
        <v>-3</v>
      </c>
      <c r="T135" s="193">
        <v>3800</v>
      </c>
      <c r="U135" s="193">
        <v>3800000000</v>
      </c>
      <c r="V135" s="193">
        <v>6600</v>
      </c>
      <c r="W135" s="193"/>
      <c r="X135" s="193">
        <v>0</v>
      </c>
      <c r="Y135" s="193">
        <v>-42.42</v>
      </c>
      <c r="Z135" s="193">
        <v>85.565400000000039</v>
      </c>
      <c r="AA135" s="193">
        <v>85</v>
      </c>
      <c r="AB135" s="193" t="s">
        <v>1281</v>
      </c>
      <c r="AC135" s="193" t="s">
        <v>1447</v>
      </c>
      <c r="AD135" s="193" t="s">
        <v>3420</v>
      </c>
      <c r="AE135" s="193" t="s">
        <v>3421</v>
      </c>
      <c r="AF135" s="193" t="s">
        <v>877</v>
      </c>
      <c r="AG135" s="193" t="s">
        <v>875</v>
      </c>
      <c r="AH135" s="193" t="s">
        <v>1432</v>
      </c>
      <c r="AI135" s="193" t="s">
        <v>877</v>
      </c>
      <c r="AJ135" s="193" t="s">
        <v>1431</v>
      </c>
      <c r="AK135" s="193" t="s">
        <v>1431</v>
      </c>
      <c r="AL135" s="193" t="s">
        <v>1431</v>
      </c>
    </row>
    <row r="136" spans="6:38">
      <c r="F136" s="204"/>
      <c r="G136" s="193" t="s">
        <v>3890</v>
      </c>
      <c r="H136" s="193" t="s">
        <v>3419</v>
      </c>
      <c r="I136" s="193" t="s">
        <v>3286</v>
      </c>
      <c r="J136" s="193" t="s">
        <v>3286</v>
      </c>
      <c r="K136" s="193" t="s">
        <v>3051</v>
      </c>
      <c r="L136" s="193"/>
      <c r="M136" s="193"/>
      <c r="N136" s="193">
        <v>10.039698836413416</v>
      </c>
      <c r="O136" s="193"/>
      <c r="P136" s="193">
        <v>130</v>
      </c>
      <c r="Q136" s="193">
        <v>95</v>
      </c>
      <c r="R136" s="193">
        <v>-35</v>
      </c>
      <c r="S136" s="193">
        <v>-3</v>
      </c>
      <c r="T136" s="193">
        <v>3800</v>
      </c>
      <c r="U136" s="193">
        <v>3800000000</v>
      </c>
      <c r="V136" s="193">
        <v>8800</v>
      </c>
      <c r="W136" s="193"/>
      <c r="X136" s="193">
        <v>-1</v>
      </c>
      <c r="Y136" s="193">
        <v>-56.82</v>
      </c>
      <c r="Z136" s="193">
        <v>98.506799999999998</v>
      </c>
      <c r="AA136" s="193">
        <v>95</v>
      </c>
      <c r="AB136" s="193" t="s">
        <v>1281</v>
      </c>
      <c r="AC136" s="193" t="s">
        <v>1447</v>
      </c>
      <c r="AD136" s="193" t="s">
        <v>3420</v>
      </c>
      <c r="AE136" s="193" t="s">
        <v>3421</v>
      </c>
      <c r="AF136" s="193" t="s">
        <v>877</v>
      </c>
      <c r="AG136" s="193" t="s">
        <v>875</v>
      </c>
      <c r="AH136" s="193" t="s">
        <v>1432</v>
      </c>
      <c r="AI136" s="193" t="s">
        <v>877</v>
      </c>
      <c r="AJ136" s="193" t="s">
        <v>1431</v>
      </c>
      <c r="AK136" s="193" t="s">
        <v>1431</v>
      </c>
      <c r="AL136" s="193" t="s">
        <v>1431</v>
      </c>
    </row>
    <row r="137" spans="6:38">
      <c r="F137" s="204"/>
      <c r="G137" s="193" t="s">
        <v>3891</v>
      </c>
      <c r="H137" s="193" t="s">
        <v>3419</v>
      </c>
      <c r="I137" s="193" t="s">
        <v>3287</v>
      </c>
      <c r="J137" s="193" t="s">
        <v>3287</v>
      </c>
      <c r="K137" s="193" t="s">
        <v>3051</v>
      </c>
      <c r="L137" s="193"/>
      <c r="M137" s="193"/>
      <c r="N137" s="193">
        <v>30.039698836413415</v>
      </c>
      <c r="O137" s="193"/>
      <c r="P137" s="193">
        <v>150</v>
      </c>
      <c r="Q137" s="193">
        <v>115</v>
      </c>
      <c r="R137" s="193">
        <v>-35</v>
      </c>
      <c r="S137" s="193">
        <v>-3</v>
      </c>
      <c r="T137" s="193">
        <v>2300</v>
      </c>
      <c r="U137" s="193">
        <v>2300000000</v>
      </c>
      <c r="V137" s="193">
        <v>8800</v>
      </c>
      <c r="W137" s="193"/>
      <c r="X137" s="193">
        <v>-1</v>
      </c>
      <c r="Y137" s="193">
        <v>-73.86</v>
      </c>
      <c r="Z137" s="193">
        <v>124.80089999999997</v>
      </c>
      <c r="AA137" s="193">
        <v>115</v>
      </c>
      <c r="AB137" s="193" t="s">
        <v>1281</v>
      </c>
      <c r="AC137" s="193" t="s">
        <v>1447</v>
      </c>
      <c r="AD137" s="193" t="s">
        <v>3420</v>
      </c>
      <c r="AE137" s="193" t="s">
        <v>3421</v>
      </c>
      <c r="AF137" s="193" t="s">
        <v>877</v>
      </c>
      <c r="AG137" s="193" t="s">
        <v>875</v>
      </c>
      <c r="AH137" s="193" t="s">
        <v>1432</v>
      </c>
      <c r="AI137" s="193" t="s">
        <v>877</v>
      </c>
      <c r="AJ137" s="193" t="s">
        <v>1431</v>
      </c>
      <c r="AK137" s="193" t="s">
        <v>1431</v>
      </c>
      <c r="AL137" s="193" t="s">
        <v>1431</v>
      </c>
    </row>
    <row r="138" spans="6:38">
      <c r="F138" s="204"/>
      <c r="G138" s="193" t="s">
        <v>3892</v>
      </c>
      <c r="H138" s="193" t="s">
        <v>2263</v>
      </c>
      <c r="I138" s="193" t="s">
        <v>3288</v>
      </c>
      <c r="J138" s="193" t="s">
        <v>3288</v>
      </c>
      <c r="K138" s="193" t="s">
        <v>1616</v>
      </c>
      <c r="L138" s="193"/>
      <c r="M138" s="193"/>
      <c r="N138" s="193">
        <v>2.9952087611225187</v>
      </c>
      <c r="O138" s="193"/>
      <c r="P138" s="193">
        <v>70</v>
      </c>
      <c r="Q138" s="193">
        <v>43</v>
      </c>
      <c r="R138" s="193">
        <v>-27</v>
      </c>
      <c r="S138" s="193">
        <v>-5</v>
      </c>
      <c r="T138" s="193">
        <v>2850</v>
      </c>
      <c r="U138" s="193">
        <v>2850000000</v>
      </c>
      <c r="V138" s="193">
        <v>3300</v>
      </c>
      <c r="W138" s="193"/>
      <c r="X138" s="193">
        <v>0</v>
      </c>
      <c r="Y138" s="193">
        <v>-13.64</v>
      </c>
      <c r="Z138" s="193">
        <v>47.804799999999979</v>
      </c>
      <c r="AA138" s="193">
        <v>43</v>
      </c>
      <c r="AB138" s="193" t="s">
        <v>1281</v>
      </c>
      <c r="AC138" s="193" t="s">
        <v>1447</v>
      </c>
      <c r="AD138" s="193" t="s">
        <v>1458</v>
      </c>
      <c r="AE138" s="193" t="s">
        <v>1459</v>
      </c>
      <c r="AF138" s="193" t="s">
        <v>938</v>
      </c>
      <c r="AG138" s="193" t="s">
        <v>874</v>
      </c>
      <c r="AH138" s="193" t="s">
        <v>876</v>
      </c>
      <c r="AI138" s="193" t="s">
        <v>938</v>
      </c>
      <c r="AJ138" s="193" t="s">
        <v>1431</v>
      </c>
      <c r="AK138" s="193" t="s">
        <v>1431</v>
      </c>
      <c r="AL138" s="193" t="s">
        <v>1431</v>
      </c>
    </row>
    <row r="139" spans="6:38">
      <c r="F139" s="204"/>
      <c r="G139" s="193" t="s">
        <v>3893</v>
      </c>
      <c r="H139" s="193" t="s">
        <v>2263</v>
      </c>
      <c r="I139" s="193" t="s">
        <v>3289</v>
      </c>
      <c r="J139" s="193" t="s">
        <v>3289</v>
      </c>
      <c r="K139" s="193" t="s">
        <v>1616</v>
      </c>
      <c r="L139" s="193"/>
      <c r="M139" s="193"/>
      <c r="N139" s="193">
        <v>2.9952087611225187</v>
      </c>
      <c r="O139" s="193"/>
      <c r="P139" s="193"/>
      <c r="Q139" s="193">
        <v>66</v>
      </c>
      <c r="R139" s="193"/>
      <c r="S139" s="193"/>
      <c r="T139" s="193">
        <v>950</v>
      </c>
      <c r="U139" s="193">
        <v>950000000</v>
      </c>
      <c r="V139" s="193">
        <v>1000</v>
      </c>
      <c r="W139" s="193"/>
      <c r="X139" s="193">
        <v>0</v>
      </c>
      <c r="Y139" s="193">
        <v>-5</v>
      </c>
      <c r="Z139" s="193" t="s">
        <v>1432</v>
      </c>
      <c r="AA139" s="193" t="s">
        <v>1432</v>
      </c>
      <c r="AB139" s="193" t="s">
        <v>1281</v>
      </c>
      <c r="AC139" s="193" t="s">
        <v>1447</v>
      </c>
      <c r="AD139" s="193" t="s">
        <v>1458</v>
      </c>
      <c r="AE139" s="193" t="s">
        <v>1459</v>
      </c>
      <c r="AF139" s="193" t="s">
        <v>938</v>
      </c>
      <c r="AG139" s="193" t="s">
        <v>874</v>
      </c>
      <c r="AH139" s="193" t="s">
        <v>876</v>
      </c>
      <c r="AI139" s="193" t="s">
        <v>938</v>
      </c>
      <c r="AJ139" s="193" t="s">
        <v>1431</v>
      </c>
      <c r="AK139" s="193" t="s">
        <v>1431</v>
      </c>
      <c r="AL139" s="193" t="s">
        <v>1431</v>
      </c>
    </row>
    <row r="140" spans="6:38">
      <c r="F140" s="204"/>
      <c r="G140" s="193" t="s">
        <v>3894</v>
      </c>
      <c r="H140" s="193" t="s">
        <v>2263</v>
      </c>
      <c r="I140" s="193" t="s">
        <v>3290</v>
      </c>
      <c r="J140" s="193" t="s">
        <v>3290</v>
      </c>
      <c r="K140" s="193" t="s">
        <v>1616</v>
      </c>
      <c r="L140" s="193"/>
      <c r="M140" s="193"/>
      <c r="N140" s="193">
        <v>4.9993155373032172</v>
      </c>
      <c r="O140" s="193"/>
      <c r="P140" s="193">
        <v>85</v>
      </c>
      <c r="Q140" s="193">
        <v>58</v>
      </c>
      <c r="R140" s="193">
        <v>-27</v>
      </c>
      <c r="S140" s="193">
        <v>-5</v>
      </c>
      <c r="T140" s="193">
        <v>3000</v>
      </c>
      <c r="U140" s="193">
        <v>3000000000</v>
      </c>
      <c r="V140" s="193">
        <v>3500</v>
      </c>
      <c r="W140" s="193"/>
      <c r="X140" s="193">
        <v>0</v>
      </c>
      <c r="Y140" s="193">
        <v>-14.29</v>
      </c>
      <c r="Z140" s="193">
        <v>64.376199999999969</v>
      </c>
      <c r="AA140" s="193">
        <v>58</v>
      </c>
      <c r="AB140" s="193" t="s">
        <v>1281</v>
      </c>
      <c r="AC140" s="193" t="s">
        <v>1447</v>
      </c>
      <c r="AD140" s="193" t="s">
        <v>1458</v>
      </c>
      <c r="AE140" s="193" t="s">
        <v>1459</v>
      </c>
      <c r="AF140" s="193" t="s">
        <v>938</v>
      </c>
      <c r="AG140" s="193" t="s">
        <v>874</v>
      </c>
      <c r="AH140" s="193" t="s">
        <v>876</v>
      </c>
      <c r="AI140" s="193" t="s">
        <v>938</v>
      </c>
      <c r="AJ140" s="193" t="s">
        <v>1431</v>
      </c>
      <c r="AK140" s="193" t="s">
        <v>1431</v>
      </c>
      <c r="AL140" s="193" t="s">
        <v>1431</v>
      </c>
    </row>
    <row r="141" spans="6:38">
      <c r="F141" s="204"/>
      <c r="G141" s="193" t="s">
        <v>3895</v>
      </c>
      <c r="H141" s="193" t="s">
        <v>2263</v>
      </c>
      <c r="I141" s="193" t="s">
        <v>3292</v>
      </c>
      <c r="J141" s="193" t="s">
        <v>3292</v>
      </c>
      <c r="K141" s="193" t="s">
        <v>1616</v>
      </c>
      <c r="L141" s="193"/>
      <c r="M141" s="193"/>
      <c r="N141" s="193">
        <v>7.0006844626967828</v>
      </c>
      <c r="O141" s="193"/>
      <c r="P141" s="193">
        <v>95</v>
      </c>
      <c r="Q141" s="193">
        <v>68</v>
      </c>
      <c r="R141" s="193">
        <v>-27</v>
      </c>
      <c r="S141" s="193">
        <v>-2</v>
      </c>
      <c r="T141" s="193">
        <v>3150</v>
      </c>
      <c r="U141" s="193">
        <v>3150000000</v>
      </c>
      <c r="V141" s="193">
        <v>3800</v>
      </c>
      <c r="W141" s="193"/>
      <c r="X141" s="193">
        <v>0</v>
      </c>
      <c r="Y141" s="193">
        <v>-17.11</v>
      </c>
      <c r="Z141" s="193">
        <v>76.043699999999959</v>
      </c>
      <c r="AA141" s="193">
        <v>68</v>
      </c>
      <c r="AB141" s="193" t="s">
        <v>1281</v>
      </c>
      <c r="AC141" s="193" t="s">
        <v>1447</v>
      </c>
      <c r="AD141" s="193" t="s">
        <v>1458</v>
      </c>
      <c r="AE141" s="193" t="s">
        <v>1459</v>
      </c>
      <c r="AF141" s="193" t="s">
        <v>938</v>
      </c>
      <c r="AG141" s="193" t="s">
        <v>874</v>
      </c>
      <c r="AH141" s="193" t="s">
        <v>876</v>
      </c>
      <c r="AI141" s="193" t="s">
        <v>938</v>
      </c>
      <c r="AJ141" s="193" t="s">
        <v>1431</v>
      </c>
      <c r="AK141" s="193" t="s">
        <v>1431</v>
      </c>
      <c r="AL141" s="193" t="s">
        <v>1431</v>
      </c>
    </row>
    <row r="142" spans="6:38">
      <c r="F142" s="204"/>
      <c r="G142" s="193" t="s">
        <v>3896</v>
      </c>
      <c r="H142" s="193" t="s">
        <v>2263</v>
      </c>
      <c r="I142" s="193" t="s">
        <v>3291</v>
      </c>
      <c r="J142" s="193" t="s">
        <v>3291</v>
      </c>
      <c r="K142" s="193" t="s">
        <v>1616</v>
      </c>
      <c r="L142" s="193"/>
      <c r="M142" s="193"/>
      <c r="N142" s="193">
        <v>9.9986310746064344</v>
      </c>
      <c r="O142" s="193"/>
      <c r="P142" s="193">
        <v>105</v>
      </c>
      <c r="Q142" s="193">
        <v>78</v>
      </c>
      <c r="R142" s="193">
        <v>-27</v>
      </c>
      <c r="S142" s="193">
        <v>-2</v>
      </c>
      <c r="T142" s="193">
        <v>4750</v>
      </c>
      <c r="U142" s="193">
        <v>4750000000</v>
      </c>
      <c r="V142" s="193">
        <v>5400</v>
      </c>
      <c r="W142" s="193"/>
      <c r="X142" s="193">
        <v>0</v>
      </c>
      <c r="Y142" s="193">
        <v>-12.04</v>
      </c>
      <c r="Z142" s="193">
        <v>84.312100000000001</v>
      </c>
      <c r="AA142" s="193">
        <v>78</v>
      </c>
      <c r="AB142" s="193" t="s">
        <v>1281</v>
      </c>
      <c r="AC142" s="193" t="s">
        <v>1447</v>
      </c>
      <c r="AD142" s="193" t="s">
        <v>1458</v>
      </c>
      <c r="AE142" s="193" t="s">
        <v>1459</v>
      </c>
      <c r="AF142" s="193" t="s">
        <v>938</v>
      </c>
      <c r="AG142" s="193" t="s">
        <v>874</v>
      </c>
      <c r="AH142" s="193" t="s">
        <v>876</v>
      </c>
      <c r="AI142" s="193" t="s">
        <v>938</v>
      </c>
      <c r="AJ142" s="193" t="s">
        <v>1431</v>
      </c>
      <c r="AK142" s="193" t="s">
        <v>1431</v>
      </c>
      <c r="AL142" s="193" t="s">
        <v>1431</v>
      </c>
    </row>
    <row r="143" spans="6:38">
      <c r="F143" s="204"/>
      <c r="G143" s="193" t="s">
        <v>3897</v>
      </c>
      <c r="H143" s="193" t="s">
        <v>3422</v>
      </c>
      <c r="I143" s="193" t="s">
        <v>3293</v>
      </c>
      <c r="J143" s="193" t="s">
        <v>3293</v>
      </c>
      <c r="K143" s="193" t="s">
        <v>3423</v>
      </c>
      <c r="L143" s="193"/>
      <c r="M143" s="193"/>
      <c r="N143" s="193">
        <v>3.0335386721423681</v>
      </c>
      <c r="O143" s="193"/>
      <c r="P143" s="193">
        <v>115</v>
      </c>
      <c r="Q143" s="193">
        <v>88</v>
      </c>
      <c r="R143" s="193">
        <v>-27</v>
      </c>
      <c r="S143" s="193">
        <v>3</v>
      </c>
      <c r="T143" s="193">
        <v>3100</v>
      </c>
      <c r="U143" s="193">
        <v>3100000000</v>
      </c>
      <c r="V143" s="193">
        <v>3100</v>
      </c>
      <c r="W143" s="193"/>
      <c r="X143" s="193">
        <v>0</v>
      </c>
      <c r="Y143" s="193">
        <v>0</v>
      </c>
      <c r="Z143" s="193">
        <v>87.888499999999993</v>
      </c>
      <c r="AA143" s="193">
        <v>88</v>
      </c>
      <c r="AB143" s="193" t="s">
        <v>1281</v>
      </c>
      <c r="AC143" s="193" t="s">
        <v>1433</v>
      </c>
      <c r="AD143" s="193" t="s">
        <v>3366</v>
      </c>
      <c r="AE143" s="193" t="s">
        <v>3366</v>
      </c>
      <c r="AF143" s="193" t="s">
        <v>932</v>
      </c>
      <c r="AG143" s="193" t="s">
        <v>875</v>
      </c>
      <c r="AH143" s="193" t="s">
        <v>950</v>
      </c>
      <c r="AI143" s="193" t="s">
        <v>932</v>
      </c>
      <c r="AJ143" s="193" t="s">
        <v>1431</v>
      </c>
      <c r="AK143" s="193" t="s">
        <v>1431</v>
      </c>
      <c r="AL143" s="193" t="s">
        <v>1431</v>
      </c>
    </row>
    <row r="144" spans="6:38">
      <c r="F144" s="204"/>
      <c r="G144" s="193" t="s">
        <v>3898</v>
      </c>
      <c r="H144" s="193" t="s">
        <v>3422</v>
      </c>
      <c r="I144" s="193" t="s">
        <v>3294</v>
      </c>
      <c r="J144" s="193" t="s">
        <v>3294</v>
      </c>
      <c r="K144" s="193" t="s">
        <v>3423</v>
      </c>
      <c r="L144" s="193"/>
      <c r="M144" s="193"/>
      <c r="N144" s="193">
        <v>10.031485284052019</v>
      </c>
      <c r="O144" s="193"/>
      <c r="P144" s="193">
        <v>155</v>
      </c>
      <c r="Q144" s="193">
        <v>128</v>
      </c>
      <c r="R144" s="193">
        <v>-27</v>
      </c>
      <c r="S144" s="193">
        <v>3</v>
      </c>
      <c r="T144" s="193">
        <v>3800</v>
      </c>
      <c r="U144" s="193">
        <v>3800000000</v>
      </c>
      <c r="V144" s="193">
        <v>4400</v>
      </c>
      <c r="W144" s="193"/>
      <c r="X144" s="193">
        <v>0</v>
      </c>
      <c r="Y144" s="193">
        <v>-13.64</v>
      </c>
      <c r="Z144" s="193">
        <v>146.00829999999999</v>
      </c>
      <c r="AA144" s="193">
        <v>128</v>
      </c>
      <c r="AB144" s="193" t="s">
        <v>1281</v>
      </c>
      <c r="AC144" s="193" t="s">
        <v>1433</v>
      </c>
      <c r="AD144" s="193" t="s">
        <v>3366</v>
      </c>
      <c r="AE144" s="193" t="s">
        <v>3366</v>
      </c>
      <c r="AF144" s="193" t="s">
        <v>932</v>
      </c>
      <c r="AG144" s="193" t="s">
        <v>875</v>
      </c>
      <c r="AH144" s="193" t="s">
        <v>950</v>
      </c>
      <c r="AI144" s="193" t="s">
        <v>932</v>
      </c>
      <c r="AJ144" s="193" t="s">
        <v>1431</v>
      </c>
      <c r="AK144" s="193" t="s">
        <v>1431</v>
      </c>
      <c r="AL144" s="193" t="s">
        <v>1431</v>
      </c>
    </row>
    <row r="145" spans="6:38">
      <c r="F145" s="204"/>
      <c r="G145" s="193" t="s">
        <v>3899</v>
      </c>
      <c r="H145" s="193" t="s">
        <v>2236</v>
      </c>
      <c r="I145" s="193" t="s">
        <v>3295</v>
      </c>
      <c r="J145" s="193" t="s">
        <v>3295</v>
      </c>
      <c r="K145" s="193" t="s">
        <v>1628</v>
      </c>
      <c r="L145" s="193"/>
      <c r="M145" s="193"/>
      <c r="N145" s="193">
        <v>7.0006844626967828</v>
      </c>
      <c r="O145" s="193"/>
      <c r="P145" s="193">
        <v>55</v>
      </c>
      <c r="Q145" s="193">
        <v>32</v>
      </c>
      <c r="R145" s="193">
        <v>-23</v>
      </c>
      <c r="S145" s="193">
        <v>7</v>
      </c>
      <c r="T145" s="193">
        <v>1700</v>
      </c>
      <c r="U145" s="193">
        <v>1700000000</v>
      </c>
      <c r="V145" s="193">
        <v>2050</v>
      </c>
      <c r="W145" s="193"/>
      <c r="X145" s="193">
        <v>0</v>
      </c>
      <c r="Y145" s="193">
        <v>-17.07</v>
      </c>
      <c r="Z145" s="193">
        <v>37.401000000000018</v>
      </c>
      <c r="AA145" s="193">
        <v>32</v>
      </c>
      <c r="AB145" s="193" t="s">
        <v>1281</v>
      </c>
      <c r="AC145" s="193" t="s">
        <v>1447</v>
      </c>
      <c r="AD145" s="193" t="s">
        <v>1956</v>
      </c>
      <c r="AE145" s="193" t="s">
        <v>1957</v>
      </c>
      <c r="AF145" s="193" t="s">
        <v>997</v>
      </c>
      <c r="AG145" s="193" t="s">
        <v>998</v>
      </c>
      <c r="AH145" s="193" t="s">
        <v>1432</v>
      </c>
      <c r="AI145" s="193" t="s">
        <v>997</v>
      </c>
      <c r="AJ145" s="193" t="s">
        <v>1431</v>
      </c>
      <c r="AK145" s="193" t="s">
        <v>1431</v>
      </c>
      <c r="AL145" s="193" t="s">
        <v>1431</v>
      </c>
    </row>
    <row r="146" spans="6:38">
      <c r="F146" s="204"/>
      <c r="G146" s="193" t="s">
        <v>3900</v>
      </c>
      <c r="H146" s="193" t="s">
        <v>2236</v>
      </c>
      <c r="I146" s="193" t="s">
        <v>3296</v>
      </c>
      <c r="J146" s="193" t="s">
        <v>3296</v>
      </c>
      <c r="K146" s="193" t="s">
        <v>1628</v>
      </c>
      <c r="L146" s="193"/>
      <c r="M146" s="193"/>
      <c r="N146" s="193">
        <v>9.9986310746064344</v>
      </c>
      <c r="O146" s="193"/>
      <c r="P146" s="193">
        <v>60</v>
      </c>
      <c r="Q146" s="193">
        <v>37</v>
      </c>
      <c r="R146" s="193">
        <v>-23</v>
      </c>
      <c r="S146" s="193">
        <v>7</v>
      </c>
      <c r="T146" s="193">
        <v>1200</v>
      </c>
      <c r="U146" s="193">
        <v>1200000000</v>
      </c>
      <c r="V146" s="193">
        <v>2050</v>
      </c>
      <c r="W146" s="193"/>
      <c r="X146" s="193">
        <v>0</v>
      </c>
      <c r="Y146" s="193">
        <v>-41.46</v>
      </c>
      <c r="Z146" s="193">
        <v>43.503900000000058</v>
      </c>
      <c r="AA146" s="193">
        <v>37</v>
      </c>
      <c r="AB146" s="193" t="s">
        <v>1281</v>
      </c>
      <c r="AC146" s="193" t="s">
        <v>1447</v>
      </c>
      <c r="AD146" s="193" t="s">
        <v>1956</v>
      </c>
      <c r="AE146" s="193" t="s">
        <v>1957</v>
      </c>
      <c r="AF146" s="193" t="s">
        <v>997</v>
      </c>
      <c r="AG146" s="193" t="s">
        <v>998</v>
      </c>
      <c r="AH146" s="193" t="s">
        <v>1432</v>
      </c>
      <c r="AI146" s="193" t="s">
        <v>997</v>
      </c>
      <c r="AJ146" s="193" t="s">
        <v>1431</v>
      </c>
      <c r="AK146" s="193" t="s">
        <v>1431</v>
      </c>
      <c r="AL146" s="193" t="s">
        <v>1431</v>
      </c>
    </row>
    <row r="147" spans="6:38">
      <c r="F147" s="204"/>
      <c r="G147" s="193" t="s">
        <v>3901</v>
      </c>
      <c r="H147" s="193" t="s">
        <v>2260</v>
      </c>
      <c r="I147" s="193" t="s">
        <v>3297</v>
      </c>
      <c r="J147" s="193" t="s">
        <v>3297</v>
      </c>
      <c r="K147" s="193" t="s">
        <v>1517</v>
      </c>
      <c r="L147" s="193"/>
      <c r="M147" s="193"/>
      <c r="N147" s="193">
        <v>5.0704996577686519</v>
      </c>
      <c r="O147" s="193"/>
      <c r="P147" s="193">
        <v>100</v>
      </c>
      <c r="Q147" s="193">
        <v>73</v>
      </c>
      <c r="R147" s="193">
        <v>-27</v>
      </c>
      <c r="S147" s="193">
        <v>-2</v>
      </c>
      <c r="T147" s="193">
        <v>1100</v>
      </c>
      <c r="U147" s="193">
        <v>1100000000</v>
      </c>
      <c r="V147" s="193">
        <v>1550</v>
      </c>
      <c r="W147" s="193"/>
      <c r="X147" s="193">
        <v>0</v>
      </c>
      <c r="Y147" s="193">
        <v>-29.03</v>
      </c>
      <c r="Z147" s="193">
        <v>70.783299999999997</v>
      </c>
      <c r="AA147" s="193">
        <v>73</v>
      </c>
      <c r="AB147" s="193" t="s">
        <v>1281</v>
      </c>
      <c r="AC147" s="193" t="s">
        <v>1879</v>
      </c>
      <c r="AD147" s="193" t="s">
        <v>1947</v>
      </c>
      <c r="AE147" s="193" t="s">
        <v>1961</v>
      </c>
      <c r="AF147" s="193" t="s">
        <v>950</v>
      </c>
      <c r="AG147" s="193" t="s">
        <v>1432</v>
      </c>
      <c r="AH147" s="193" t="s">
        <v>950</v>
      </c>
      <c r="AI147" s="193" t="s">
        <v>950</v>
      </c>
      <c r="AJ147" s="193" t="s">
        <v>1431</v>
      </c>
      <c r="AK147" s="193" t="s">
        <v>1431</v>
      </c>
      <c r="AL147" s="193" t="s">
        <v>1431</v>
      </c>
    </row>
    <row r="148" spans="6:38">
      <c r="F148" s="204"/>
      <c r="G148" s="193" t="s">
        <v>3902</v>
      </c>
      <c r="H148" s="193" t="s">
        <v>3424</v>
      </c>
      <c r="I148" s="193" t="s">
        <v>3298</v>
      </c>
      <c r="J148" s="193" t="s">
        <v>3298</v>
      </c>
      <c r="K148" s="193" t="s">
        <v>3308</v>
      </c>
      <c r="L148" s="193"/>
      <c r="M148" s="193"/>
      <c r="N148" s="193">
        <v>2.0123203285420943</v>
      </c>
      <c r="O148" s="193"/>
      <c r="P148" s="193">
        <v>60</v>
      </c>
      <c r="Q148" s="193">
        <v>33</v>
      </c>
      <c r="R148" s="193">
        <v>-27</v>
      </c>
      <c r="S148" s="193">
        <v>3</v>
      </c>
      <c r="T148" s="193">
        <v>2300</v>
      </c>
      <c r="U148" s="193">
        <v>2300000000</v>
      </c>
      <c r="V148" s="193">
        <v>2600</v>
      </c>
      <c r="W148" s="193"/>
      <c r="X148" s="193">
        <v>0</v>
      </c>
      <c r="Y148" s="193">
        <v>-11.54</v>
      </c>
      <c r="Z148" s="193">
        <v>36.308500000000031</v>
      </c>
      <c r="AA148" s="193">
        <v>33</v>
      </c>
      <c r="AB148" s="193" t="s">
        <v>1281</v>
      </c>
      <c r="AC148" s="193" t="s">
        <v>1879</v>
      </c>
      <c r="AD148" s="193" t="s">
        <v>1935</v>
      </c>
      <c r="AE148" s="193" t="s">
        <v>1936</v>
      </c>
      <c r="AF148" s="193" t="s">
        <v>938</v>
      </c>
      <c r="AG148" s="193" t="s">
        <v>942</v>
      </c>
      <c r="AH148" s="193" t="s">
        <v>1432</v>
      </c>
      <c r="AI148" s="193" t="s">
        <v>938</v>
      </c>
      <c r="AJ148" s="193" t="s">
        <v>1431</v>
      </c>
      <c r="AK148" s="193" t="s">
        <v>1431</v>
      </c>
      <c r="AL148" s="193" t="s">
        <v>1431</v>
      </c>
    </row>
    <row r="149" spans="6:38">
      <c r="F149" s="204"/>
      <c r="G149" s="193" t="s">
        <v>3903</v>
      </c>
      <c r="H149" s="193" t="s">
        <v>3424</v>
      </c>
      <c r="I149" s="193" t="s">
        <v>3299</v>
      </c>
      <c r="J149" s="193" t="s">
        <v>3299</v>
      </c>
      <c r="K149" s="193" t="s">
        <v>3308</v>
      </c>
      <c r="L149" s="193"/>
      <c r="M149" s="193"/>
      <c r="N149" s="193">
        <v>2.0123203285420943</v>
      </c>
      <c r="O149" s="193"/>
      <c r="P149" s="193"/>
      <c r="Q149" s="193">
        <v>53</v>
      </c>
      <c r="R149" s="193"/>
      <c r="S149" s="193"/>
      <c r="T149" s="193">
        <v>1200</v>
      </c>
      <c r="U149" s="193">
        <v>1200000000</v>
      </c>
      <c r="V149" s="193">
        <v>1500</v>
      </c>
      <c r="W149" s="193"/>
      <c r="X149" s="193">
        <v>0</v>
      </c>
      <c r="Y149" s="193">
        <v>-20</v>
      </c>
      <c r="Z149" s="193" t="s">
        <v>1432</v>
      </c>
      <c r="AA149" s="193" t="s">
        <v>1432</v>
      </c>
      <c r="AB149" s="193" t="s">
        <v>1281</v>
      </c>
      <c r="AC149" s="193" t="s">
        <v>1879</v>
      </c>
      <c r="AD149" s="193" t="s">
        <v>1935</v>
      </c>
      <c r="AE149" s="193" t="s">
        <v>1936</v>
      </c>
      <c r="AF149" s="193" t="s">
        <v>938</v>
      </c>
      <c r="AG149" s="193" t="s">
        <v>942</v>
      </c>
      <c r="AH149" s="193" t="s">
        <v>1432</v>
      </c>
      <c r="AI149" s="193" t="s">
        <v>938</v>
      </c>
      <c r="AJ149" s="193" t="s">
        <v>1431</v>
      </c>
      <c r="AK149" s="193" t="s">
        <v>1431</v>
      </c>
      <c r="AL149" s="193" t="s">
        <v>1431</v>
      </c>
    </row>
    <row r="150" spans="6:38">
      <c r="F150" s="204"/>
      <c r="G150" s="193" t="s">
        <v>3904</v>
      </c>
      <c r="H150" s="193" t="s">
        <v>3424</v>
      </c>
      <c r="I150" s="193" t="s">
        <v>3303</v>
      </c>
      <c r="J150" s="193" t="s">
        <v>3303</v>
      </c>
      <c r="K150" s="193" t="s">
        <v>3308</v>
      </c>
      <c r="L150" s="193"/>
      <c r="M150" s="193"/>
      <c r="N150" s="193">
        <v>3.0143737166324436</v>
      </c>
      <c r="O150" s="193"/>
      <c r="P150" s="193">
        <v>70</v>
      </c>
      <c r="Q150" s="193">
        <v>43</v>
      </c>
      <c r="R150" s="193">
        <v>-27</v>
      </c>
      <c r="S150" s="193">
        <v>3</v>
      </c>
      <c r="T150" s="193">
        <v>3200</v>
      </c>
      <c r="U150" s="193">
        <v>3200000000</v>
      </c>
      <c r="V150" s="193">
        <v>3600</v>
      </c>
      <c r="W150" s="193"/>
      <c r="X150" s="193">
        <v>0</v>
      </c>
      <c r="Y150" s="193">
        <v>-11.11</v>
      </c>
      <c r="Z150" s="193">
        <v>47.828799999999958</v>
      </c>
      <c r="AA150" s="193">
        <v>43</v>
      </c>
      <c r="AB150" s="193" t="s">
        <v>1281</v>
      </c>
      <c r="AC150" s="193" t="s">
        <v>1879</v>
      </c>
      <c r="AD150" s="193" t="s">
        <v>1935</v>
      </c>
      <c r="AE150" s="193" t="s">
        <v>1936</v>
      </c>
      <c r="AF150" s="193" t="s">
        <v>938</v>
      </c>
      <c r="AG150" s="193" t="s">
        <v>942</v>
      </c>
      <c r="AH150" s="193" t="s">
        <v>1432</v>
      </c>
      <c r="AI150" s="193" t="s">
        <v>938</v>
      </c>
      <c r="AJ150" s="193" t="s">
        <v>1431</v>
      </c>
      <c r="AK150" s="193" t="s">
        <v>1431</v>
      </c>
      <c r="AL150" s="193" t="s">
        <v>1431</v>
      </c>
    </row>
    <row r="151" spans="6:38">
      <c r="F151" s="204"/>
      <c r="G151" s="193" t="s">
        <v>3905</v>
      </c>
      <c r="H151" s="193" t="s">
        <v>3424</v>
      </c>
      <c r="I151" s="193" t="s">
        <v>3300</v>
      </c>
      <c r="J151" s="193" t="s">
        <v>3300</v>
      </c>
      <c r="K151" s="193" t="s">
        <v>3308</v>
      </c>
      <c r="L151" s="193"/>
      <c r="M151" s="193"/>
      <c r="N151" s="193">
        <v>5.0130047912388775</v>
      </c>
      <c r="O151" s="193"/>
      <c r="P151" s="193">
        <v>80</v>
      </c>
      <c r="Q151" s="193">
        <v>53</v>
      </c>
      <c r="R151" s="193">
        <v>-27</v>
      </c>
      <c r="S151" s="193">
        <v>3</v>
      </c>
      <c r="T151" s="193">
        <v>4600</v>
      </c>
      <c r="U151" s="193">
        <v>4600000000</v>
      </c>
      <c r="V151" s="193">
        <v>5400</v>
      </c>
      <c r="W151" s="193"/>
      <c r="X151" s="193">
        <v>0</v>
      </c>
      <c r="Y151" s="193">
        <v>-14.81</v>
      </c>
      <c r="Z151" s="193">
        <v>62.083799999999997</v>
      </c>
      <c r="AA151" s="193">
        <v>53</v>
      </c>
      <c r="AB151" s="193" t="s">
        <v>1281</v>
      </c>
      <c r="AC151" s="193" t="s">
        <v>1879</v>
      </c>
      <c r="AD151" s="193" t="s">
        <v>1935</v>
      </c>
      <c r="AE151" s="193" t="s">
        <v>1936</v>
      </c>
      <c r="AF151" s="193" t="s">
        <v>938</v>
      </c>
      <c r="AG151" s="193" t="s">
        <v>942</v>
      </c>
      <c r="AH151" s="193" t="s">
        <v>1432</v>
      </c>
      <c r="AI151" s="193" t="s">
        <v>938</v>
      </c>
      <c r="AJ151" s="193" t="s">
        <v>1431</v>
      </c>
      <c r="AK151" s="193" t="s">
        <v>1431</v>
      </c>
      <c r="AL151" s="193" t="s">
        <v>1431</v>
      </c>
    </row>
    <row r="152" spans="6:38">
      <c r="F152" s="204"/>
      <c r="G152" s="193" t="s">
        <v>3906</v>
      </c>
      <c r="H152" s="193" t="s">
        <v>3424</v>
      </c>
      <c r="I152" s="193" t="s">
        <v>3301</v>
      </c>
      <c r="J152" s="193" t="s">
        <v>3301</v>
      </c>
      <c r="K152" s="193" t="s">
        <v>3308</v>
      </c>
      <c r="L152" s="193"/>
      <c r="M152" s="193"/>
      <c r="N152" s="193">
        <v>7.2662559890485969</v>
      </c>
      <c r="O152" s="193"/>
      <c r="P152" s="193">
        <v>90</v>
      </c>
      <c r="Q152" s="193">
        <v>63</v>
      </c>
      <c r="R152" s="193">
        <v>-27</v>
      </c>
      <c r="S152" s="193">
        <v>3</v>
      </c>
      <c r="T152" s="193">
        <v>4700</v>
      </c>
      <c r="U152" s="193">
        <v>4700000000</v>
      </c>
      <c r="V152" s="193">
        <v>5700</v>
      </c>
      <c r="W152" s="193"/>
      <c r="X152" s="193">
        <v>0</v>
      </c>
      <c r="Y152" s="193">
        <v>-17.54</v>
      </c>
      <c r="Z152" s="193">
        <v>69.850399999999979</v>
      </c>
      <c r="AA152" s="193">
        <v>63</v>
      </c>
      <c r="AB152" s="193" t="s">
        <v>1281</v>
      </c>
      <c r="AC152" s="193" t="s">
        <v>1879</v>
      </c>
      <c r="AD152" s="193" t="s">
        <v>1935</v>
      </c>
      <c r="AE152" s="193" t="s">
        <v>1936</v>
      </c>
      <c r="AF152" s="193" t="s">
        <v>938</v>
      </c>
      <c r="AG152" s="193" t="s">
        <v>942</v>
      </c>
      <c r="AH152" s="193" t="s">
        <v>1432</v>
      </c>
      <c r="AI152" s="193" t="s">
        <v>938</v>
      </c>
      <c r="AJ152" s="193" t="s">
        <v>1431</v>
      </c>
      <c r="AK152" s="193" t="s">
        <v>1431</v>
      </c>
      <c r="AL152" s="193" t="s">
        <v>1431</v>
      </c>
    </row>
    <row r="153" spans="6:38">
      <c r="F153" s="204"/>
      <c r="G153" s="193" t="s">
        <v>3907</v>
      </c>
      <c r="H153" s="193" t="s">
        <v>3424</v>
      </c>
      <c r="I153" s="193" t="s">
        <v>3302</v>
      </c>
      <c r="J153" s="193" t="s">
        <v>3302</v>
      </c>
      <c r="K153" s="193" t="s">
        <v>3308</v>
      </c>
      <c r="L153" s="193"/>
      <c r="M153" s="193"/>
      <c r="N153" s="193">
        <v>10.264202600958248</v>
      </c>
      <c r="O153" s="193"/>
      <c r="P153" s="193">
        <v>95</v>
      </c>
      <c r="Q153" s="193">
        <v>65</v>
      </c>
      <c r="R153" s="193">
        <v>-30</v>
      </c>
      <c r="S153" s="193">
        <v>-2</v>
      </c>
      <c r="T153" s="193">
        <v>5300</v>
      </c>
      <c r="U153" s="193">
        <v>5300000000</v>
      </c>
      <c r="V153" s="193">
        <v>7100</v>
      </c>
      <c r="W153" s="193"/>
      <c r="X153" s="193">
        <v>0</v>
      </c>
      <c r="Y153" s="193">
        <v>-25.35</v>
      </c>
      <c r="Z153" s="193">
        <v>74.804100000000062</v>
      </c>
      <c r="AA153" s="193">
        <v>65</v>
      </c>
      <c r="AB153" s="193" t="s">
        <v>1281</v>
      </c>
      <c r="AC153" s="193" t="s">
        <v>1879</v>
      </c>
      <c r="AD153" s="193" t="s">
        <v>1935</v>
      </c>
      <c r="AE153" s="193" t="s">
        <v>1936</v>
      </c>
      <c r="AF153" s="193" t="s">
        <v>938</v>
      </c>
      <c r="AG153" s="193" t="s">
        <v>942</v>
      </c>
      <c r="AH153" s="193" t="s">
        <v>1432</v>
      </c>
      <c r="AI153" s="193" t="s">
        <v>938</v>
      </c>
      <c r="AJ153" s="193" t="s">
        <v>1431</v>
      </c>
      <c r="AK153" s="193" t="s">
        <v>1431</v>
      </c>
      <c r="AL153" s="193" t="s">
        <v>1431</v>
      </c>
    </row>
    <row r="154" spans="6:38">
      <c r="F154" s="204"/>
      <c r="G154" s="193" t="s">
        <v>3908</v>
      </c>
      <c r="H154" s="193" t="s">
        <v>3424</v>
      </c>
      <c r="I154" s="193" t="s">
        <v>3304</v>
      </c>
      <c r="J154" s="193" t="s">
        <v>3304</v>
      </c>
      <c r="K154" s="193" t="s">
        <v>3308</v>
      </c>
      <c r="L154" s="193"/>
      <c r="M154" s="193"/>
      <c r="N154" s="193">
        <v>30.012320328542096</v>
      </c>
      <c r="O154" s="193"/>
      <c r="P154" s="193">
        <v>110</v>
      </c>
      <c r="Q154" s="193">
        <v>75</v>
      </c>
      <c r="R154" s="193">
        <v>-35</v>
      </c>
      <c r="S154" s="193">
        <v>0</v>
      </c>
      <c r="T154" s="193">
        <v>7700</v>
      </c>
      <c r="U154" s="193">
        <v>7700000000</v>
      </c>
      <c r="V154" s="193">
        <v>9800</v>
      </c>
      <c r="W154" s="193"/>
      <c r="X154" s="193">
        <v>0</v>
      </c>
      <c r="Y154" s="193">
        <v>-21.43</v>
      </c>
      <c r="Z154" s="193">
        <v>79.70109999999994</v>
      </c>
      <c r="AA154" s="193">
        <v>75</v>
      </c>
      <c r="AB154" s="193" t="s">
        <v>1281</v>
      </c>
      <c r="AC154" s="193" t="s">
        <v>1879</v>
      </c>
      <c r="AD154" s="193" t="s">
        <v>1935</v>
      </c>
      <c r="AE154" s="193" t="s">
        <v>1936</v>
      </c>
      <c r="AF154" s="193" t="s">
        <v>938</v>
      </c>
      <c r="AG154" s="193" t="s">
        <v>942</v>
      </c>
      <c r="AH154" s="193" t="s">
        <v>1432</v>
      </c>
      <c r="AI154" s="193" t="s">
        <v>938</v>
      </c>
      <c r="AJ154" s="193" t="s">
        <v>1431</v>
      </c>
      <c r="AK154" s="193" t="s">
        <v>1431</v>
      </c>
      <c r="AL154" s="193" t="s">
        <v>1431</v>
      </c>
    </row>
    <row r="155" spans="6:38">
      <c r="F155" s="204"/>
      <c r="G155" s="193" t="s">
        <v>3909</v>
      </c>
      <c r="H155" s="193" t="s">
        <v>3425</v>
      </c>
      <c r="I155" s="193" t="s">
        <v>3305</v>
      </c>
      <c r="J155" s="193" t="s">
        <v>3305</v>
      </c>
      <c r="K155" s="193" t="s">
        <v>3426</v>
      </c>
      <c r="L155" s="193"/>
      <c r="M155" s="193"/>
      <c r="N155" s="193">
        <v>5.2101300479123891</v>
      </c>
      <c r="O155" s="193"/>
      <c r="P155" s="193">
        <v>95</v>
      </c>
      <c r="Q155" s="193">
        <v>70</v>
      </c>
      <c r="R155" s="193">
        <v>-25</v>
      </c>
      <c r="S155" s="193">
        <v>3</v>
      </c>
      <c r="T155" s="193">
        <v>2000</v>
      </c>
      <c r="U155" s="193">
        <v>2000000000</v>
      </c>
      <c r="V155" s="193">
        <v>2200</v>
      </c>
      <c r="W155" s="193"/>
      <c r="X155" s="193">
        <v>0</v>
      </c>
      <c r="Y155" s="193">
        <v>-9.09</v>
      </c>
      <c r="Z155" s="193">
        <v>72.407600000000016</v>
      </c>
      <c r="AA155" s="193">
        <v>70</v>
      </c>
      <c r="AB155" s="193" t="s">
        <v>1281</v>
      </c>
      <c r="AC155" s="193" t="s">
        <v>1428</v>
      </c>
      <c r="AD155" s="193" t="s">
        <v>1436</v>
      </c>
      <c r="AE155" s="193" t="s">
        <v>1933</v>
      </c>
      <c r="AF155" s="193" t="s">
        <v>938</v>
      </c>
      <c r="AG155" s="193" t="s">
        <v>942</v>
      </c>
      <c r="AH155" s="193" t="s">
        <v>1432</v>
      </c>
      <c r="AI155" s="193" t="s">
        <v>938</v>
      </c>
      <c r="AJ155" s="193" t="s">
        <v>1431</v>
      </c>
      <c r="AK155" s="193" t="s">
        <v>1431</v>
      </c>
      <c r="AL155" s="193" t="s">
        <v>1431</v>
      </c>
    </row>
    <row r="156" spans="6:38">
      <c r="F156" s="204"/>
      <c r="G156" s="193" t="s">
        <v>3910</v>
      </c>
      <c r="H156" s="193" t="s">
        <v>3425</v>
      </c>
      <c r="I156" s="193" t="s">
        <v>3306</v>
      </c>
      <c r="J156" s="193" t="s">
        <v>3306</v>
      </c>
      <c r="K156" s="193" t="s">
        <v>3426</v>
      </c>
      <c r="L156" s="193"/>
      <c r="M156" s="193"/>
      <c r="N156" s="193">
        <v>10.209445585215606</v>
      </c>
      <c r="O156" s="193"/>
      <c r="P156" s="193">
        <v>115</v>
      </c>
      <c r="Q156" s="193">
        <v>90</v>
      </c>
      <c r="R156" s="193">
        <v>-25</v>
      </c>
      <c r="S156" s="193">
        <v>-2</v>
      </c>
      <c r="T156" s="193">
        <v>1700</v>
      </c>
      <c r="U156" s="193">
        <v>1700000000</v>
      </c>
      <c r="V156" s="193">
        <v>2100</v>
      </c>
      <c r="W156" s="193"/>
      <c r="X156" s="193">
        <v>0</v>
      </c>
      <c r="Y156" s="193">
        <v>-19.05</v>
      </c>
      <c r="Z156" s="193">
        <v>94.590900000000033</v>
      </c>
      <c r="AA156" s="193">
        <v>90</v>
      </c>
      <c r="AB156" s="193" t="s">
        <v>1281</v>
      </c>
      <c r="AC156" s="193" t="s">
        <v>1428</v>
      </c>
      <c r="AD156" s="193" t="s">
        <v>1436</v>
      </c>
      <c r="AE156" s="193" t="s">
        <v>1933</v>
      </c>
      <c r="AF156" s="193" t="s">
        <v>938</v>
      </c>
      <c r="AG156" s="193" t="s">
        <v>942</v>
      </c>
      <c r="AH156" s="193" t="s">
        <v>1432</v>
      </c>
      <c r="AI156" s="193" t="s">
        <v>938</v>
      </c>
      <c r="AJ156" s="193" t="s">
        <v>1431</v>
      </c>
      <c r="AK156" s="193" t="s">
        <v>1431</v>
      </c>
      <c r="AL156" s="193" t="s">
        <v>1431</v>
      </c>
    </row>
    <row r="157" spans="6:38">
      <c r="F157" s="204"/>
      <c r="G157" s="193" t="s">
        <v>3911</v>
      </c>
      <c r="H157" s="193" t="s">
        <v>3427</v>
      </c>
      <c r="I157" s="193" t="s">
        <v>3307</v>
      </c>
      <c r="J157" s="193" t="s">
        <v>3307</v>
      </c>
      <c r="K157" s="193" t="s">
        <v>3428</v>
      </c>
      <c r="L157" s="193"/>
      <c r="M157" s="193"/>
      <c r="N157" s="193">
        <v>9.9986310746064344</v>
      </c>
      <c r="O157" s="193"/>
      <c r="P157" s="193">
        <v>160</v>
      </c>
      <c r="Q157" s="193">
        <v>132</v>
      </c>
      <c r="R157" s="193">
        <v>-28</v>
      </c>
      <c r="S157" s="193">
        <v>-3</v>
      </c>
      <c r="T157" s="193">
        <v>3100</v>
      </c>
      <c r="U157" s="193">
        <v>3100000000</v>
      </c>
      <c r="V157" s="193">
        <v>4100</v>
      </c>
      <c r="W157" s="193"/>
      <c r="X157" s="193">
        <v>0</v>
      </c>
      <c r="Y157" s="193">
        <v>-24.39</v>
      </c>
      <c r="Z157" s="193">
        <v>142.91640000000001</v>
      </c>
      <c r="AA157" s="193">
        <v>132</v>
      </c>
      <c r="AB157" s="193" t="s">
        <v>1281</v>
      </c>
      <c r="AC157" s="193" t="s">
        <v>1488</v>
      </c>
      <c r="AD157" s="193" t="s">
        <v>1909</v>
      </c>
      <c r="AE157" s="193" t="s">
        <v>1910</v>
      </c>
      <c r="AF157" s="193" t="s">
        <v>932</v>
      </c>
      <c r="AG157" s="193" t="s">
        <v>1432</v>
      </c>
      <c r="AH157" s="193" t="s">
        <v>932</v>
      </c>
      <c r="AI157" s="193" t="s">
        <v>932</v>
      </c>
      <c r="AJ157" s="193" t="s">
        <v>1431</v>
      </c>
      <c r="AK157" s="193" t="s">
        <v>1431</v>
      </c>
      <c r="AL157" s="193" t="s">
        <v>1431</v>
      </c>
    </row>
    <row r="158" spans="6:38">
      <c r="F158" s="204"/>
      <c r="G158" s="193" t="s">
        <v>3912</v>
      </c>
      <c r="H158" s="193" t="s">
        <v>3274</v>
      </c>
      <c r="I158" s="193" t="s">
        <v>3275</v>
      </c>
      <c r="J158" s="193" t="s">
        <v>3275</v>
      </c>
      <c r="K158" s="193" t="s">
        <v>3276</v>
      </c>
      <c r="L158" s="193"/>
      <c r="M158" s="193"/>
      <c r="N158" s="193">
        <v>7.0006844626967828</v>
      </c>
      <c r="O158" s="193"/>
      <c r="P158" s="193">
        <v>200</v>
      </c>
      <c r="Q158" s="193">
        <v>175</v>
      </c>
      <c r="R158" s="193">
        <v>-25</v>
      </c>
      <c r="S158" s="193"/>
      <c r="T158" s="193"/>
      <c r="U158" s="193"/>
      <c r="V158" s="193"/>
      <c r="W158" s="193"/>
      <c r="X158" s="193"/>
      <c r="Y158" s="193"/>
      <c r="Z158" s="193">
        <v>158.34650000000005</v>
      </c>
      <c r="AA158" s="193">
        <v>175</v>
      </c>
      <c r="AB158" s="193" t="s">
        <v>1281</v>
      </c>
      <c r="AC158" s="193" t="s">
        <v>1428</v>
      </c>
      <c r="AD158" s="193" t="s">
        <v>1897</v>
      </c>
      <c r="AE158" s="193" t="s">
        <v>1897</v>
      </c>
      <c r="AF158" s="193" t="s">
        <v>938</v>
      </c>
      <c r="AG158" s="193" t="s">
        <v>1432</v>
      </c>
      <c r="AH158" s="193" t="s">
        <v>932</v>
      </c>
      <c r="AI158" s="193" t="s">
        <v>950</v>
      </c>
      <c r="AJ158" s="193" t="s">
        <v>1431</v>
      </c>
      <c r="AK158" s="193" t="s">
        <v>1431</v>
      </c>
      <c r="AL158" s="193" t="s">
        <v>1431</v>
      </c>
    </row>
    <row r="159" spans="6:38">
      <c r="F159" s="204"/>
      <c r="G159" s="193" t="s">
        <v>3913</v>
      </c>
      <c r="H159" s="193" t="s">
        <v>3277</v>
      </c>
      <c r="I159" s="193" t="s">
        <v>3278</v>
      </c>
      <c r="J159" s="193" t="s">
        <v>3278</v>
      </c>
      <c r="K159" s="193" t="s">
        <v>1545</v>
      </c>
      <c r="L159" s="193"/>
      <c r="M159" s="193"/>
      <c r="N159" s="193">
        <v>3.0006844626967832</v>
      </c>
      <c r="O159" s="193"/>
      <c r="P159" s="193">
        <v>110</v>
      </c>
      <c r="Q159" s="193">
        <v>78</v>
      </c>
      <c r="R159" s="193">
        <v>-32</v>
      </c>
      <c r="S159" s="193">
        <v>0</v>
      </c>
      <c r="T159" s="193">
        <v>4000</v>
      </c>
      <c r="U159" s="193">
        <v>4000000000</v>
      </c>
      <c r="V159" s="193">
        <v>6000</v>
      </c>
      <c r="W159" s="193"/>
      <c r="X159" s="193">
        <v>0</v>
      </c>
      <c r="Y159" s="193">
        <v>-33.33</v>
      </c>
      <c r="Z159" s="193">
        <v>67.975399999999951</v>
      </c>
      <c r="AA159" s="193">
        <v>78</v>
      </c>
      <c r="AB159" s="193" t="s">
        <v>1281</v>
      </c>
      <c r="AC159" s="193" t="s">
        <v>1433</v>
      </c>
      <c r="AD159" s="193" t="s">
        <v>1434</v>
      </c>
      <c r="AE159" s="193" t="s">
        <v>1867</v>
      </c>
      <c r="AF159" s="193" t="s">
        <v>932</v>
      </c>
      <c r="AG159" s="193" t="s">
        <v>875</v>
      </c>
      <c r="AH159" s="193" t="s">
        <v>932</v>
      </c>
      <c r="AI159" s="193" t="s">
        <v>932</v>
      </c>
      <c r="AJ159" s="193" t="s">
        <v>1431</v>
      </c>
      <c r="AK159" s="193" t="s">
        <v>1431</v>
      </c>
      <c r="AL159" s="193" t="s">
        <v>1431</v>
      </c>
    </row>
    <row r="160" spans="6:38">
      <c r="F160" s="204"/>
      <c r="G160" s="193"/>
      <c r="H160" s="193"/>
      <c r="I160" s="193"/>
      <c r="J160" s="193"/>
      <c r="K160" s="193"/>
      <c r="L160" s="193"/>
      <c r="M160" s="193"/>
      <c r="N160" s="193"/>
      <c r="O160" s="193"/>
      <c r="P160" s="193"/>
      <c r="Q160" s="193"/>
      <c r="R160" s="193"/>
      <c r="S160" s="193"/>
      <c r="T160" s="193"/>
      <c r="U160" s="193"/>
      <c r="V160" s="193"/>
      <c r="W160" s="193"/>
      <c r="X160" s="193"/>
      <c r="Y160" s="193"/>
      <c r="Z160" s="193"/>
      <c r="AA160" s="193"/>
      <c r="AB160" s="193"/>
      <c r="AC160" s="193"/>
      <c r="AD160" s="193"/>
      <c r="AE160" s="193"/>
      <c r="AF160" s="193"/>
      <c r="AG160" s="193"/>
      <c r="AH160" s="193"/>
      <c r="AI160" s="193"/>
      <c r="AJ160" s="193"/>
      <c r="AK160" s="193"/>
      <c r="AL160" s="193"/>
    </row>
    <row r="161" spans="6:38">
      <c r="F161" s="204"/>
      <c r="G161" s="193"/>
      <c r="H161" s="193"/>
      <c r="I161" s="193"/>
      <c r="J161" s="193"/>
      <c r="K161" s="193"/>
      <c r="L161" s="193"/>
      <c r="M161" s="193"/>
      <c r="N161" s="193"/>
      <c r="O161" s="193"/>
      <c r="P161" s="193"/>
      <c r="Q161" s="193"/>
      <c r="R161" s="193"/>
      <c r="S161" s="193"/>
      <c r="T161" s="193"/>
      <c r="U161" s="193"/>
      <c r="V161" s="193"/>
      <c r="W161" s="193"/>
      <c r="X161" s="193"/>
      <c r="Y161" s="193"/>
      <c r="Z161" s="193"/>
      <c r="AA161" s="193"/>
      <c r="AB161" s="193"/>
      <c r="AC161" s="193"/>
      <c r="AD161" s="193"/>
      <c r="AE161" s="193"/>
      <c r="AF161" s="193"/>
      <c r="AG161" s="193"/>
      <c r="AH161" s="193"/>
      <c r="AI161" s="193"/>
      <c r="AJ161" s="193"/>
      <c r="AK161" s="193"/>
      <c r="AL161" s="193"/>
    </row>
    <row r="162" spans="6:38">
      <c r="F162" s="204"/>
      <c r="G162" s="193"/>
      <c r="H162" s="193"/>
      <c r="I162" s="193"/>
      <c r="J162" s="193"/>
      <c r="K162" s="193"/>
      <c r="L162" s="193"/>
      <c r="M162" s="193"/>
      <c r="N162" s="193"/>
      <c r="O162" s="193"/>
      <c r="P162" s="193"/>
      <c r="Q162" s="193"/>
      <c r="R162" s="193"/>
      <c r="S162" s="193"/>
      <c r="T162" s="193"/>
      <c r="U162" s="193"/>
      <c r="V162" s="193"/>
      <c r="W162" s="193"/>
      <c r="X162" s="193"/>
      <c r="Y162" s="193"/>
      <c r="Z162" s="193"/>
      <c r="AA162" s="193"/>
      <c r="AB162" s="193"/>
      <c r="AC162" s="193"/>
      <c r="AD162" s="193"/>
      <c r="AE162" s="193"/>
      <c r="AF162" s="193"/>
      <c r="AG162" s="193"/>
      <c r="AH162" s="193"/>
      <c r="AI162" s="193"/>
      <c r="AJ162" s="193"/>
      <c r="AK162" s="193"/>
      <c r="AL162" s="193"/>
    </row>
    <row r="163" spans="6:38">
      <c r="F163" s="204"/>
      <c r="G163" s="193"/>
      <c r="H163" s="193"/>
      <c r="I163" s="193"/>
      <c r="J163" s="193"/>
      <c r="K163" s="193"/>
      <c r="L163" s="193"/>
      <c r="M163" s="193"/>
      <c r="N163" s="193"/>
      <c r="O163" s="193"/>
      <c r="P163" s="193"/>
      <c r="Q163" s="193"/>
      <c r="R163" s="193"/>
      <c r="S163" s="193"/>
      <c r="T163" s="193"/>
      <c r="U163" s="193"/>
      <c r="V163" s="193"/>
      <c r="W163" s="193"/>
      <c r="X163" s="193"/>
      <c r="Y163" s="193"/>
      <c r="Z163" s="193"/>
      <c r="AA163" s="193"/>
      <c r="AB163" s="193"/>
      <c r="AC163" s="193"/>
      <c r="AD163" s="193"/>
      <c r="AE163" s="193"/>
      <c r="AF163" s="193"/>
      <c r="AG163" s="193"/>
      <c r="AH163" s="193"/>
      <c r="AI163" s="193"/>
      <c r="AJ163" s="193"/>
      <c r="AK163" s="193"/>
      <c r="AL163" s="193"/>
    </row>
    <row r="164" spans="6:38">
      <c r="F164" s="204"/>
      <c r="G164" s="193"/>
      <c r="H164" s="193"/>
      <c r="I164" s="193"/>
      <c r="J164" s="193"/>
      <c r="K164" s="193"/>
      <c r="L164" s="193"/>
      <c r="M164" s="193"/>
      <c r="N164" s="193"/>
      <c r="O164" s="193"/>
      <c r="P164" s="193"/>
      <c r="Q164" s="193"/>
      <c r="R164" s="193"/>
      <c r="S164" s="193"/>
      <c r="T164" s="193"/>
      <c r="U164" s="193"/>
      <c r="V164" s="193"/>
      <c r="W164" s="193"/>
      <c r="X164" s="193"/>
      <c r="Y164" s="193"/>
      <c r="Z164" s="193"/>
      <c r="AA164" s="193"/>
      <c r="AB164" s="193"/>
      <c r="AC164" s="193"/>
      <c r="AD164" s="193"/>
      <c r="AE164" s="193"/>
      <c r="AF164" s="193"/>
      <c r="AG164" s="193"/>
      <c r="AH164" s="193"/>
      <c r="AI164" s="193"/>
      <c r="AJ164" s="193"/>
      <c r="AK164" s="193"/>
      <c r="AL164" s="193"/>
    </row>
    <row r="165" spans="6:38">
      <c r="F165" s="204"/>
      <c r="G165" s="193"/>
      <c r="H165" s="193"/>
      <c r="I165" s="193"/>
      <c r="J165" s="193"/>
      <c r="K165" s="193"/>
      <c r="L165" s="193"/>
      <c r="M165" s="193"/>
      <c r="N165" s="193"/>
      <c r="O165" s="193"/>
      <c r="P165" s="193"/>
      <c r="Q165" s="193"/>
      <c r="R165" s="193"/>
      <c r="S165" s="193"/>
      <c r="T165" s="193"/>
      <c r="U165" s="193"/>
      <c r="V165" s="193"/>
      <c r="W165" s="193"/>
      <c r="X165" s="193"/>
      <c r="Y165" s="193"/>
      <c r="Z165" s="193"/>
      <c r="AA165" s="193"/>
      <c r="AB165" s="193"/>
      <c r="AC165" s="193"/>
      <c r="AD165" s="193"/>
      <c r="AE165" s="193"/>
      <c r="AF165" s="193"/>
      <c r="AG165" s="193"/>
      <c r="AH165" s="193"/>
      <c r="AI165" s="193"/>
      <c r="AJ165" s="193"/>
      <c r="AK165" s="193"/>
      <c r="AL165" s="193"/>
    </row>
    <row r="166" spans="6:38">
      <c r="F166" s="204"/>
      <c r="G166" s="193"/>
      <c r="H166" s="193"/>
      <c r="I166" s="193"/>
      <c r="J166" s="193"/>
      <c r="K166" s="193"/>
      <c r="L166" s="193"/>
      <c r="M166" s="193"/>
      <c r="N166" s="193"/>
      <c r="O166" s="193"/>
      <c r="P166" s="193"/>
      <c r="Q166" s="193"/>
      <c r="R166" s="193"/>
      <c r="S166" s="193"/>
      <c r="T166" s="193"/>
      <c r="U166" s="193"/>
      <c r="V166" s="193"/>
      <c r="W166" s="193"/>
      <c r="X166" s="193"/>
      <c r="Y166" s="193"/>
      <c r="Z166" s="193"/>
      <c r="AA166" s="193"/>
      <c r="AB166" s="193"/>
      <c r="AC166" s="193"/>
      <c r="AD166" s="193"/>
      <c r="AE166" s="193"/>
      <c r="AF166" s="193"/>
      <c r="AG166" s="193"/>
      <c r="AH166" s="193"/>
      <c r="AI166" s="193"/>
      <c r="AJ166" s="193"/>
      <c r="AK166" s="193"/>
      <c r="AL166" s="193"/>
    </row>
    <row r="167" spans="6:38">
      <c r="F167" s="204"/>
      <c r="G167" s="193"/>
      <c r="H167" s="193"/>
      <c r="I167" s="193"/>
      <c r="J167" s="193"/>
      <c r="K167" s="193"/>
      <c r="L167" s="193"/>
      <c r="M167" s="193"/>
      <c r="N167" s="193"/>
      <c r="O167" s="193"/>
      <c r="P167" s="193"/>
      <c r="Q167" s="193"/>
      <c r="R167" s="193"/>
      <c r="S167" s="193"/>
      <c r="T167" s="193"/>
      <c r="U167" s="193"/>
      <c r="V167" s="193"/>
      <c r="W167" s="193"/>
      <c r="X167" s="193"/>
      <c r="Y167" s="193"/>
      <c r="Z167" s="193"/>
      <c r="AA167" s="193"/>
      <c r="AB167" s="193"/>
      <c r="AC167" s="193"/>
      <c r="AD167" s="193"/>
      <c r="AE167" s="193"/>
      <c r="AF167" s="193"/>
      <c r="AG167" s="193"/>
      <c r="AH167" s="193"/>
      <c r="AI167" s="193"/>
      <c r="AJ167" s="193"/>
      <c r="AK167" s="193"/>
      <c r="AL167" s="193"/>
    </row>
    <row r="168" spans="6:38">
      <c r="F168" s="204"/>
      <c r="G168" s="193"/>
      <c r="H168" s="193"/>
      <c r="I168" s="193"/>
      <c r="J168" s="193"/>
      <c r="K168" s="193"/>
      <c r="L168" s="193"/>
      <c r="M168" s="193"/>
      <c r="N168" s="193"/>
      <c r="O168" s="193"/>
      <c r="P168" s="193"/>
      <c r="Q168" s="193"/>
      <c r="R168" s="193"/>
      <c r="S168" s="193"/>
      <c r="T168" s="193"/>
      <c r="U168" s="193"/>
      <c r="V168" s="193"/>
      <c r="W168" s="193"/>
      <c r="X168" s="193"/>
      <c r="Y168" s="193"/>
      <c r="Z168" s="193"/>
      <c r="AA168" s="193"/>
      <c r="AB168" s="193"/>
      <c r="AC168" s="193"/>
      <c r="AD168" s="193"/>
      <c r="AE168" s="193"/>
      <c r="AF168" s="193"/>
      <c r="AG168" s="193"/>
      <c r="AH168" s="193"/>
      <c r="AI168" s="193"/>
      <c r="AJ168" s="193"/>
      <c r="AK168" s="193"/>
      <c r="AL168" s="193"/>
    </row>
    <row r="169" spans="6:38">
      <c r="F169" s="204"/>
      <c r="G169" s="193"/>
      <c r="H169" s="193"/>
      <c r="I169" s="193"/>
      <c r="J169" s="193"/>
      <c r="K169" s="193"/>
      <c r="L169" s="193"/>
      <c r="M169" s="193"/>
      <c r="N169" s="193"/>
      <c r="O169" s="193"/>
      <c r="P169" s="193"/>
      <c r="Q169" s="193"/>
      <c r="R169" s="193"/>
      <c r="S169" s="193"/>
      <c r="T169" s="193"/>
      <c r="U169" s="193"/>
      <c r="V169" s="193"/>
      <c r="W169" s="193"/>
      <c r="X169" s="193"/>
      <c r="Y169" s="193"/>
      <c r="Z169" s="193"/>
      <c r="AA169" s="193"/>
      <c r="AB169" s="193"/>
      <c r="AC169" s="193"/>
      <c r="AD169" s="193"/>
      <c r="AE169" s="193"/>
      <c r="AF169" s="193"/>
      <c r="AG169" s="193"/>
      <c r="AH169" s="193"/>
      <c r="AI169" s="193"/>
      <c r="AJ169" s="193"/>
      <c r="AK169" s="193"/>
      <c r="AL169" s="193"/>
    </row>
    <row r="170" spans="6:38">
      <c r="F170" s="204"/>
      <c r="G170" s="193"/>
      <c r="H170" s="193"/>
      <c r="I170" s="193"/>
      <c r="J170" s="193"/>
      <c r="K170" s="193"/>
      <c r="L170" s="193"/>
      <c r="M170" s="193"/>
      <c r="N170" s="193"/>
      <c r="O170" s="193"/>
      <c r="P170" s="193"/>
      <c r="Q170" s="193"/>
      <c r="R170" s="193"/>
      <c r="S170" s="193"/>
      <c r="T170" s="193"/>
      <c r="U170" s="193"/>
      <c r="V170" s="193"/>
      <c r="W170" s="193"/>
      <c r="X170" s="193"/>
      <c r="Y170" s="193"/>
      <c r="Z170" s="193"/>
      <c r="AA170" s="193"/>
      <c r="AB170" s="193"/>
      <c r="AC170" s="193"/>
      <c r="AD170" s="193"/>
      <c r="AE170" s="193"/>
      <c r="AF170" s="193"/>
      <c r="AG170" s="193"/>
      <c r="AH170" s="193"/>
      <c r="AI170" s="193"/>
      <c r="AJ170" s="193"/>
      <c r="AK170" s="193"/>
      <c r="AL170" s="193"/>
    </row>
    <row r="171" spans="6:38">
      <c r="F171" s="204"/>
      <c r="G171" s="193"/>
      <c r="H171" s="193"/>
      <c r="I171" s="193"/>
      <c r="J171" s="193"/>
      <c r="K171" s="193"/>
      <c r="L171" s="193"/>
      <c r="M171" s="193"/>
      <c r="N171" s="193"/>
      <c r="O171" s="193"/>
      <c r="P171" s="193"/>
      <c r="Q171" s="193"/>
      <c r="R171" s="193"/>
      <c r="S171" s="193"/>
      <c r="T171" s="193"/>
      <c r="U171" s="193"/>
      <c r="V171" s="193"/>
      <c r="W171" s="193"/>
      <c r="X171" s="193"/>
      <c r="Y171" s="193"/>
      <c r="Z171" s="193"/>
      <c r="AA171" s="193"/>
      <c r="AB171" s="193"/>
      <c r="AC171" s="193"/>
      <c r="AD171" s="193"/>
      <c r="AE171" s="193"/>
      <c r="AF171" s="193"/>
      <c r="AG171" s="193"/>
      <c r="AH171" s="193"/>
      <c r="AI171" s="193"/>
      <c r="AJ171" s="193"/>
      <c r="AK171" s="193"/>
      <c r="AL171" s="193"/>
    </row>
    <row r="172" spans="6:38">
      <c r="F172" s="204"/>
      <c r="G172" s="193"/>
      <c r="H172" s="193"/>
      <c r="I172" s="193"/>
      <c r="J172" s="193"/>
      <c r="K172" s="193"/>
      <c r="L172" s="193"/>
      <c r="M172" s="193"/>
      <c r="N172" s="193"/>
      <c r="O172" s="193"/>
      <c r="P172" s="193"/>
      <c r="Q172" s="193"/>
      <c r="R172" s="193"/>
      <c r="S172" s="193"/>
      <c r="T172" s="193"/>
      <c r="U172" s="193"/>
      <c r="V172" s="193"/>
      <c r="W172" s="193"/>
      <c r="X172" s="193"/>
      <c r="Y172" s="193"/>
      <c r="Z172" s="193"/>
      <c r="AA172" s="193"/>
      <c r="AB172" s="193"/>
      <c r="AC172" s="193"/>
      <c r="AD172" s="193"/>
      <c r="AE172" s="193"/>
      <c r="AF172" s="193"/>
      <c r="AG172" s="193"/>
      <c r="AH172" s="193"/>
      <c r="AI172" s="193"/>
      <c r="AJ172" s="193"/>
      <c r="AK172" s="193"/>
      <c r="AL172" s="193"/>
    </row>
    <row r="173" spans="6:38">
      <c r="F173" s="204"/>
      <c r="G173" s="193"/>
      <c r="H173" s="193"/>
      <c r="I173" s="193"/>
      <c r="J173" s="193"/>
      <c r="K173" s="193"/>
      <c r="L173" s="193"/>
      <c r="M173" s="193"/>
      <c r="N173" s="193"/>
      <c r="O173" s="193"/>
      <c r="P173" s="193"/>
      <c r="Q173" s="193"/>
      <c r="R173" s="193"/>
      <c r="S173" s="193"/>
      <c r="T173" s="193"/>
      <c r="U173" s="193"/>
      <c r="V173" s="193"/>
      <c r="W173" s="193"/>
      <c r="X173" s="193"/>
      <c r="Y173" s="193"/>
      <c r="Z173" s="193"/>
      <c r="AA173" s="193"/>
      <c r="AB173" s="193"/>
      <c r="AC173" s="193"/>
      <c r="AD173" s="193"/>
      <c r="AE173" s="193"/>
      <c r="AF173" s="193"/>
      <c r="AG173" s="193"/>
      <c r="AH173" s="193"/>
      <c r="AI173" s="193"/>
      <c r="AJ173" s="193"/>
      <c r="AK173" s="193"/>
      <c r="AL173" s="193"/>
    </row>
    <row r="174" spans="6:38">
      <c r="F174" s="204"/>
      <c r="G174" s="193"/>
      <c r="H174" s="193"/>
      <c r="I174" s="193"/>
      <c r="J174" s="193"/>
      <c r="K174" s="193"/>
      <c r="L174" s="193"/>
      <c r="M174" s="193"/>
      <c r="N174" s="193"/>
      <c r="O174" s="193"/>
      <c r="P174" s="193"/>
      <c r="Q174" s="193"/>
      <c r="R174" s="193"/>
      <c r="S174" s="193"/>
      <c r="T174" s="193"/>
      <c r="U174" s="193"/>
      <c r="V174" s="193"/>
      <c r="W174" s="193"/>
      <c r="X174" s="193"/>
      <c r="Y174" s="193"/>
      <c r="Z174" s="193"/>
      <c r="AA174" s="193"/>
      <c r="AB174" s="193"/>
      <c r="AC174" s="193"/>
      <c r="AD174" s="193"/>
      <c r="AE174" s="193"/>
      <c r="AF174" s="193"/>
      <c r="AG174" s="193"/>
      <c r="AH174" s="193"/>
      <c r="AI174" s="193"/>
      <c r="AJ174" s="193"/>
      <c r="AK174" s="193"/>
      <c r="AL174" s="193"/>
    </row>
    <row r="175" spans="6:38">
      <c r="F175" s="204"/>
      <c r="G175" s="193"/>
      <c r="H175" s="193"/>
      <c r="I175" s="193"/>
      <c r="J175" s="193"/>
      <c r="K175" s="193"/>
      <c r="L175" s="193"/>
      <c r="M175" s="193"/>
      <c r="N175" s="193"/>
      <c r="O175" s="193"/>
      <c r="P175" s="193"/>
      <c r="Q175" s="193"/>
      <c r="R175" s="193"/>
      <c r="S175" s="193"/>
      <c r="T175" s="193"/>
      <c r="U175" s="193"/>
      <c r="V175" s="193"/>
      <c r="W175" s="193"/>
      <c r="X175" s="193"/>
      <c r="Y175" s="193"/>
      <c r="Z175" s="193"/>
      <c r="AA175" s="193"/>
      <c r="AB175" s="193"/>
      <c r="AC175" s="193"/>
      <c r="AD175" s="193"/>
      <c r="AE175" s="193"/>
      <c r="AF175" s="193"/>
      <c r="AG175" s="193"/>
      <c r="AH175" s="193"/>
      <c r="AI175" s="193"/>
      <c r="AJ175" s="193"/>
      <c r="AK175" s="193"/>
      <c r="AL175" s="193"/>
    </row>
    <row r="176" spans="6:38">
      <c r="F176" s="204"/>
      <c r="G176" s="193"/>
      <c r="H176" s="193"/>
      <c r="I176" s="193"/>
      <c r="J176" s="193"/>
      <c r="K176" s="193"/>
      <c r="L176" s="193"/>
      <c r="M176" s="193"/>
      <c r="N176" s="193"/>
      <c r="O176" s="193"/>
      <c r="P176" s="193"/>
      <c r="Q176" s="193"/>
      <c r="R176" s="193"/>
      <c r="S176" s="193"/>
      <c r="T176" s="193"/>
      <c r="U176" s="193"/>
      <c r="V176" s="193"/>
      <c r="W176" s="193"/>
      <c r="X176" s="193"/>
      <c r="Y176" s="193"/>
      <c r="Z176" s="193"/>
      <c r="AA176" s="193"/>
      <c r="AB176" s="193"/>
      <c r="AC176" s="193"/>
      <c r="AD176" s="193"/>
      <c r="AE176" s="193"/>
      <c r="AF176" s="193"/>
      <c r="AG176" s="193"/>
      <c r="AH176" s="193"/>
      <c r="AI176" s="193"/>
      <c r="AJ176" s="193"/>
      <c r="AK176" s="193"/>
      <c r="AL176" s="193"/>
    </row>
    <row r="177" spans="6:38">
      <c r="F177" s="204"/>
      <c r="G177" s="193"/>
      <c r="H177" s="193"/>
      <c r="I177" s="193"/>
      <c r="J177" s="193"/>
      <c r="K177" s="193"/>
      <c r="L177" s="193"/>
      <c r="M177" s="193"/>
      <c r="N177" s="193"/>
      <c r="O177" s="193"/>
      <c r="P177" s="193"/>
      <c r="Q177" s="193"/>
      <c r="R177" s="193"/>
      <c r="S177" s="193"/>
      <c r="T177" s="193"/>
      <c r="U177" s="193"/>
      <c r="V177" s="193"/>
      <c r="W177" s="193"/>
      <c r="X177" s="193"/>
      <c r="Y177" s="193"/>
      <c r="Z177" s="193"/>
      <c r="AA177" s="193"/>
      <c r="AB177" s="193"/>
      <c r="AC177" s="193"/>
      <c r="AD177" s="193"/>
      <c r="AE177" s="193"/>
      <c r="AF177" s="193"/>
      <c r="AG177" s="193"/>
      <c r="AH177" s="193"/>
      <c r="AI177" s="193"/>
      <c r="AJ177" s="193"/>
      <c r="AK177" s="193"/>
      <c r="AL177" s="193"/>
    </row>
    <row r="178" spans="6:38">
      <c r="F178" s="204"/>
      <c r="G178" s="193"/>
      <c r="H178" s="193"/>
      <c r="I178" s="193"/>
      <c r="J178" s="193"/>
      <c r="K178" s="193"/>
      <c r="L178" s="193"/>
      <c r="M178" s="193"/>
      <c r="N178" s="193"/>
      <c r="O178" s="193"/>
      <c r="P178" s="193"/>
      <c r="Q178" s="193"/>
      <c r="R178" s="193"/>
      <c r="S178" s="193"/>
      <c r="T178" s="193"/>
      <c r="U178" s="193"/>
      <c r="V178" s="193"/>
      <c r="W178" s="193"/>
      <c r="X178" s="193"/>
      <c r="Y178" s="193"/>
      <c r="Z178" s="193"/>
      <c r="AA178" s="193"/>
      <c r="AB178" s="193"/>
      <c r="AC178" s="193"/>
      <c r="AD178" s="193"/>
      <c r="AE178" s="193"/>
      <c r="AF178" s="193"/>
      <c r="AG178" s="193"/>
      <c r="AH178" s="193"/>
      <c r="AI178" s="193"/>
      <c r="AJ178" s="193"/>
      <c r="AK178" s="193"/>
      <c r="AL178" s="193"/>
    </row>
    <row r="179" spans="6:38">
      <c r="F179" s="204"/>
      <c r="G179" s="193"/>
      <c r="H179" s="193"/>
      <c r="I179" s="193"/>
      <c r="J179" s="193"/>
      <c r="K179" s="193"/>
      <c r="L179" s="193"/>
      <c r="M179" s="193"/>
      <c r="N179" s="193"/>
      <c r="O179" s="193"/>
      <c r="P179" s="193"/>
      <c r="Q179" s="193"/>
      <c r="R179" s="193"/>
      <c r="S179" s="193"/>
      <c r="T179" s="193"/>
      <c r="U179" s="193"/>
      <c r="V179" s="193"/>
      <c r="W179" s="193"/>
      <c r="X179" s="193"/>
      <c r="Y179" s="193"/>
      <c r="Z179" s="193"/>
      <c r="AA179" s="193"/>
      <c r="AB179" s="193"/>
      <c r="AC179" s="193"/>
      <c r="AD179" s="193"/>
      <c r="AE179" s="193"/>
      <c r="AF179" s="193"/>
      <c r="AG179" s="193"/>
      <c r="AH179" s="193"/>
      <c r="AI179" s="193"/>
      <c r="AJ179" s="193"/>
      <c r="AK179" s="193"/>
      <c r="AL179" s="193"/>
    </row>
    <row r="180" spans="6:38">
      <c r="F180" s="204"/>
      <c r="G180" s="193"/>
      <c r="H180" s="193"/>
      <c r="I180" s="193"/>
      <c r="J180" s="193"/>
      <c r="K180" s="193"/>
      <c r="L180" s="193"/>
      <c r="M180" s="193"/>
      <c r="N180" s="193"/>
      <c r="O180" s="193"/>
      <c r="P180" s="193"/>
      <c r="Q180" s="193"/>
      <c r="R180" s="193"/>
      <c r="S180" s="193"/>
      <c r="T180" s="193"/>
      <c r="U180" s="193"/>
      <c r="V180" s="193"/>
      <c r="W180" s="193"/>
      <c r="X180" s="193"/>
      <c r="Y180" s="193"/>
      <c r="Z180" s="193"/>
      <c r="AA180" s="193"/>
      <c r="AB180" s="193"/>
      <c r="AC180" s="193"/>
      <c r="AD180" s="193"/>
      <c r="AE180" s="193"/>
      <c r="AF180" s="193"/>
      <c r="AG180" s="193"/>
      <c r="AH180" s="193"/>
      <c r="AI180" s="193"/>
      <c r="AJ180" s="193"/>
      <c r="AK180" s="193"/>
      <c r="AL180" s="193"/>
    </row>
    <row r="181" spans="6:38">
      <c r="F181" s="204"/>
      <c r="G181" s="193"/>
      <c r="H181" s="193"/>
      <c r="I181" s="193"/>
      <c r="J181" s="193"/>
      <c r="K181" s="193"/>
      <c r="L181" s="193"/>
      <c r="M181" s="193"/>
      <c r="N181" s="193"/>
      <c r="O181" s="193"/>
      <c r="P181" s="193"/>
      <c r="Q181" s="193"/>
      <c r="R181" s="193"/>
      <c r="S181" s="193"/>
      <c r="T181" s="193"/>
      <c r="U181" s="193"/>
      <c r="V181" s="193"/>
      <c r="W181" s="193"/>
      <c r="X181" s="193"/>
      <c r="Y181" s="193"/>
      <c r="Z181" s="193"/>
      <c r="AA181" s="193"/>
      <c r="AB181" s="193"/>
      <c r="AC181" s="193"/>
      <c r="AD181" s="193"/>
      <c r="AE181" s="193"/>
      <c r="AF181" s="193"/>
      <c r="AG181" s="193"/>
      <c r="AH181" s="193"/>
      <c r="AI181" s="193"/>
      <c r="AJ181" s="193"/>
      <c r="AK181" s="193"/>
      <c r="AL181" s="193"/>
    </row>
    <row r="182" spans="6:38">
      <c r="F182" s="204"/>
      <c r="G182" s="193"/>
      <c r="H182" s="193"/>
      <c r="I182" s="193"/>
      <c r="J182" s="193"/>
      <c r="K182" s="193"/>
      <c r="L182" s="193"/>
      <c r="M182" s="193"/>
      <c r="N182" s="193"/>
      <c r="O182" s="193"/>
      <c r="P182" s="193"/>
      <c r="Q182" s="193"/>
      <c r="R182" s="193"/>
      <c r="S182" s="193"/>
      <c r="T182" s="193"/>
      <c r="U182" s="193"/>
      <c r="V182" s="193"/>
      <c r="W182" s="193"/>
      <c r="X182" s="193"/>
      <c r="Y182" s="193"/>
      <c r="Z182" s="193"/>
      <c r="AA182" s="193"/>
      <c r="AB182" s="193"/>
      <c r="AC182" s="193"/>
      <c r="AD182" s="193"/>
      <c r="AE182" s="193"/>
      <c r="AF182" s="193"/>
      <c r="AG182" s="193"/>
      <c r="AH182" s="193"/>
      <c r="AI182" s="193"/>
      <c r="AJ182" s="193"/>
      <c r="AK182" s="193"/>
      <c r="AL182" s="193"/>
    </row>
    <row r="183" spans="6:38">
      <c r="F183" s="204"/>
      <c r="G183" s="193"/>
      <c r="H183" s="193"/>
      <c r="I183" s="193"/>
      <c r="J183" s="193"/>
      <c r="K183" s="193"/>
      <c r="L183" s="193"/>
      <c r="M183" s="193"/>
      <c r="N183" s="193"/>
      <c r="O183" s="193"/>
      <c r="P183" s="193"/>
      <c r="Q183" s="193"/>
      <c r="R183" s="193"/>
      <c r="S183" s="193"/>
      <c r="T183" s="193"/>
      <c r="U183" s="193"/>
      <c r="V183" s="193"/>
      <c r="W183" s="193"/>
      <c r="X183" s="193"/>
      <c r="Y183" s="193"/>
      <c r="Z183" s="193"/>
      <c r="AA183" s="193"/>
      <c r="AB183" s="193"/>
      <c r="AC183" s="193"/>
      <c r="AD183" s="193"/>
      <c r="AE183" s="193"/>
      <c r="AF183" s="193"/>
      <c r="AG183" s="193"/>
      <c r="AH183" s="193"/>
      <c r="AI183" s="193"/>
      <c r="AJ183" s="193"/>
      <c r="AK183" s="193"/>
      <c r="AL183" s="193"/>
    </row>
    <row r="184" spans="6:38">
      <c r="F184" s="204"/>
      <c r="G184" s="193"/>
      <c r="H184" s="193"/>
      <c r="I184" s="193"/>
      <c r="J184" s="193"/>
      <c r="K184" s="193"/>
      <c r="L184" s="193"/>
      <c r="M184" s="193"/>
      <c r="N184" s="193"/>
      <c r="O184" s="193"/>
      <c r="P184" s="193"/>
      <c r="Q184" s="193"/>
      <c r="R184" s="193"/>
      <c r="S184" s="193"/>
      <c r="T184" s="193"/>
      <c r="U184" s="193"/>
      <c r="V184" s="193"/>
      <c r="W184" s="193"/>
      <c r="X184" s="193"/>
      <c r="Y184" s="193"/>
      <c r="Z184" s="193"/>
      <c r="AA184" s="193"/>
      <c r="AB184" s="193"/>
      <c r="AC184" s="193"/>
      <c r="AD184" s="193"/>
      <c r="AE184" s="193"/>
      <c r="AF184" s="193"/>
      <c r="AG184" s="193"/>
      <c r="AH184" s="193"/>
      <c r="AI184" s="193"/>
      <c r="AJ184" s="193"/>
      <c r="AK184" s="193"/>
      <c r="AL184" s="193"/>
    </row>
    <row r="185" spans="6:38">
      <c r="F185" s="204"/>
      <c r="G185" s="193"/>
      <c r="H185" s="193"/>
      <c r="I185" s="193"/>
      <c r="J185" s="193"/>
      <c r="K185" s="193"/>
      <c r="L185" s="193"/>
      <c r="M185" s="193"/>
      <c r="N185" s="193"/>
      <c r="O185" s="193"/>
      <c r="P185" s="193"/>
      <c r="Q185" s="193"/>
      <c r="R185" s="193"/>
      <c r="S185" s="193"/>
      <c r="T185" s="193"/>
      <c r="U185" s="193"/>
      <c r="V185" s="193"/>
      <c r="W185" s="193"/>
      <c r="X185" s="193"/>
      <c r="Y185" s="193"/>
      <c r="Z185" s="193"/>
      <c r="AA185" s="193"/>
      <c r="AB185" s="193"/>
      <c r="AC185" s="193"/>
      <c r="AD185" s="193"/>
      <c r="AE185" s="193"/>
      <c r="AF185" s="193"/>
      <c r="AG185" s="193"/>
      <c r="AH185" s="193"/>
      <c r="AI185" s="193"/>
      <c r="AJ185" s="193"/>
      <c r="AK185" s="193"/>
      <c r="AL185" s="193"/>
    </row>
    <row r="186" spans="6:38">
      <c r="F186" s="204"/>
      <c r="G186" s="193"/>
      <c r="H186" s="193"/>
      <c r="I186" s="193"/>
      <c r="J186" s="193"/>
      <c r="K186" s="193"/>
      <c r="L186" s="193"/>
      <c r="M186" s="193"/>
      <c r="N186" s="193"/>
      <c r="O186" s="193"/>
      <c r="P186" s="193"/>
      <c r="Q186" s="193"/>
      <c r="R186" s="193"/>
      <c r="S186" s="193"/>
      <c r="T186" s="193"/>
      <c r="U186" s="193"/>
      <c r="V186" s="193"/>
      <c r="W186" s="193"/>
      <c r="X186" s="193"/>
      <c r="Y186" s="193"/>
      <c r="Z186" s="193"/>
      <c r="AA186" s="193"/>
      <c r="AB186" s="193"/>
      <c r="AC186" s="193"/>
      <c r="AD186" s="193"/>
      <c r="AE186" s="193"/>
      <c r="AF186" s="193"/>
      <c r="AG186" s="193"/>
      <c r="AH186" s="193"/>
      <c r="AI186" s="193"/>
      <c r="AJ186" s="193"/>
      <c r="AK186" s="193"/>
      <c r="AL186" s="193"/>
    </row>
    <row r="187" spans="6:38">
      <c r="F187" s="204"/>
      <c r="G187" s="193"/>
      <c r="H187" s="193"/>
      <c r="I187" s="193"/>
      <c r="J187" s="193"/>
      <c r="K187" s="193"/>
      <c r="L187" s="193"/>
      <c r="M187" s="193"/>
      <c r="N187" s="193"/>
      <c r="O187" s="193"/>
      <c r="P187" s="193"/>
      <c r="Q187" s="193"/>
      <c r="R187" s="193"/>
      <c r="S187" s="193"/>
      <c r="T187" s="193"/>
      <c r="U187" s="193"/>
      <c r="V187" s="193"/>
      <c r="W187" s="193"/>
      <c r="X187" s="193"/>
      <c r="Y187" s="193"/>
      <c r="Z187" s="193"/>
      <c r="AA187" s="193"/>
      <c r="AB187" s="193"/>
      <c r="AC187" s="193"/>
      <c r="AD187" s="193"/>
      <c r="AE187" s="193"/>
      <c r="AF187" s="193"/>
      <c r="AG187" s="193"/>
      <c r="AH187" s="193"/>
      <c r="AI187" s="193"/>
      <c r="AJ187" s="193"/>
      <c r="AK187" s="193"/>
      <c r="AL187" s="193"/>
    </row>
    <row r="188" spans="6:38">
      <c r="F188" s="204"/>
      <c r="G188" s="193"/>
      <c r="H188" s="193"/>
      <c r="I188" s="193"/>
      <c r="J188" s="193"/>
      <c r="K188" s="193"/>
      <c r="L188" s="193"/>
      <c r="M188" s="193"/>
      <c r="N188" s="193"/>
      <c r="O188" s="193"/>
      <c r="P188" s="193"/>
      <c r="Q188" s="193"/>
      <c r="R188" s="193"/>
      <c r="S188" s="193"/>
      <c r="T188" s="193"/>
      <c r="U188" s="193"/>
      <c r="V188" s="193"/>
      <c r="W188" s="193"/>
      <c r="X188" s="193"/>
      <c r="Y188" s="193"/>
      <c r="Z188" s="193"/>
      <c r="AA188" s="193"/>
      <c r="AB188" s="193"/>
      <c r="AC188" s="193"/>
      <c r="AD188" s="193"/>
      <c r="AE188" s="193"/>
      <c r="AF188" s="193"/>
      <c r="AG188" s="193"/>
      <c r="AH188" s="193"/>
      <c r="AI188" s="193"/>
      <c r="AJ188" s="193"/>
      <c r="AK188" s="193"/>
      <c r="AL188" s="193"/>
    </row>
    <row r="189" spans="6:38">
      <c r="F189" s="204"/>
      <c r="G189" s="193"/>
      <c r="H189" s="193"/>
      <c r="I189" s="193"/>
      <c r="J189" s="193"/>
      <c r="K189" s="193"/>
      <c r="L189" s="193"/>
      <c r="M189" s="193"/>
      <c r="N189" s="193"/>
      <c r="O189" s="193"/>
      <c r="P189" s="193"/>
      <c r="Q189" s="193"/>
      <c r="R189" s="193"/>
      <c r="S189" s="193"/>
      <c r="T189" s="193"/>
      <c r="U189" s="193"/>
      <c r="V189" s="193"/>
      <c r="W189" s="193"/>
      <c r="X189" s="193"/>
      <c r="Y189" s="193"/>
      <c r="Z189" s="193"/>
      <c r="AA189" s="193"/>
      <c r="AB189" s="193"/>
      <c r="AC189" s="193"/>
      <c r="AD189" s="193"/>
      <c r="AE189" s="193"/>
      <c r="AF189" s="193"/>
      <c r="AG189" s="193"/>
      <c r="AH189" s="193"/>
      <c r="AI189" s="193"/>
      <c r="AJ189" s="193"/>
      <c r="AK189" s="193"/>
      <c r="AL189" s="193"/>
    </row>
    <row r="190" spans="6:38">
      <c r="F190" s="204"/>
      <c r="G190" s="193"/>
      <c r="H190" s="193"/>
      <c r="I190" s="193"/>
      <c r="J190" s="193"/>
      <c r="K190" s="193"/>
      <c r="L190" s="193"/>
      <c r="M190" s="193"/>
      <c r="N190" s="193"/>
      <c r="O190" s="193"/>
      <c r="P190" s="193"/>
      <c r="Q190" s="193"/>
      <c r="R190" s="193"/>
      <c r="S190" s="193"/>
      <c r="T190" s="193"/>
      <c r="U190" s="193"/>
      <c r="V190" s="193"/>
      <c r="W190" s="193"/>
      <c r="X190" s="193"/>
      <c r="Y190" s="193"/>
      <c r="Z190" s="193"/>
      <c r="AA190" s="193"/>
      <c r="AB190" s="193"/>
      <c r="AC190" s="193"/>
      <c r="AD190" s="193"/>
      <c r="AE190" s="193"/>
      <c r="AF190" s="193"/>
      <c r="AG190" s="193"/>
      <c r="AH190" s="193"/>
      <c r="AI190" s="193"/>
      <c r="AJ190" s="193"/>
      <c r="AK190" s="193"/>
      <c r="AL190" s="193"/>
    </row>
    <row r="191" spans="6:38">
      <c r="F191" s="204"/>
      <c r="G191" s="193"/>
      <c r="H191" s="193"/>
      <c r="I191" s="193"/>
      <c r="J191" s="193"/>
      <c r="K191" s="193"/>
      <c r="L191" s="193"/>
      <c r="M191" s="193"/>
      <c r="N191" s="193"/>
      <c r="O191" s="193"/>
      <c r="P191" s="193"/>
      <c r="Q191" s="193"/>
      <c r="R191" s="193"/>
      <c r="S191" s="193"/>
      <c r="T191" s="193"/>
      <c r="U191" s="193"/>
      <c r="V191" s="193"/>
      <c r="W191" s="193"/>
      <c r="X191" s="193"/>
      <c r="Y191" s="193"/>
      <c r="Z191" s="193"/>
      <c r="AA191" s="193"/>
      <c r="AB191" s="193"/>
      <c r="AC191" s="193"/>
      <c r="AD191" s="193"/>
      <c r="AE191" s="193"/>
      <c r="AF191" s="193"/>
      <c r="AG191" s="193"/>
      <c r="AH191" s="193"/>
      <c r="AI191" s="193"/>
      <c r="AJ191" s="193"/>
      <c r="AK191" s="193"/>
      <c r="AL191" s="193"/>
    </row>
    <row r="192" spans="6:38">
      <c r="F192" s="204"/>
      <c r="G192" s="193"/>
      <c r="H192" s="193"/>
      <c r="I192" s="193"/>
      <c r="J192" s="193"/>
      <c r="K192" s="193"/>
      <c r="L192" s="193"/>
      <c r="M192" s="193"/>
      <c r="N192" s="193"/>
      <c r="O192" s="193"/>
      <c r="P192" s="193"/>
      <c r="Q192" s="193"/>
      <c r="R192" s="193"/>
      <c r="S192" s="193"/>
      <c r="T192" s="193"/>
      <c r="U192" s="193"/>
      <c r="V192" s="193"/>
      <c r="W192" s="193"/>
      <c r="X192" s="193"/>
      <c r="Y192" s="193"/>
      <c r="Z192" s="193"/>
      <c r="AA192" s="193"/>
      <c r="AB192" s="193"/>
      <c r="AC192" s="193"/>
      <c r="AD192" s="193"/>
      <c r="AE192" s="193"/>
      <c r="AF192" s="193"/>
      <c r="AG192" s="193"/>
      <c r="AH192" s="193"/>
      <c r="AI192" s="193"/>
      <c r="AJ192" s="193"/>
      <c r="AK192" s="193"/>
      <c r="AL192" s="193"/>
    </row>
    <row r="193" spans="6:38">
      <c r="F193" s="204"/>
      <c r="G193" s="193"/>
      <c r="H193" s="193"/>
      <c r="I193" s="193"/>
      <c r="J193" s="193"/>
      <c r="K193" s="193"/>
      <c r="L193" s="193"/>
      <c r="M193" s="193"/>
      <c r="N193" s="193"/>
      <c r="O193" s="193"/>
      <c r="P193" s="193"/>
      <c r="Q193" s="193"/>
      <c r="R193" s="193"/>
      <c r="S193" s="193"/>
      <c r="T193" s="193"/>
      <c r="U193" s="193"/>
      <c r="V193" s="193"/>
      <c r="W193" s="193"/>
      <c r="X193" s="193"/>
      <c r="Y193" s="193"/>
      <c r="Z193" s="193"/>
      <c r="AA193" s="193"/>
      <c r="AB193" s="193"/>
      <c r="AC193" s="193"/>
      <c r="AD193" s="193"/>
      <c r="AE193" s="193"/>
      <c r="AF193" s="193"/>
      <c r="AG193" s="193"/>
      <c r="AH193" s="193"/>
      <c r="AI193" s="193"/>
      <c r="AJ193" s="193"/>
      <c r="AK193" s="193"/>
      <c r="AL193" s="193"/>
    </row>
    <row r="194" spans="6:38">
      <c r="F194" s="204"/>
      <c r="G194" s="193"/>
      <c r="H194" s="193"/>
      <c r="I194" s="193"/>
      <c r="J194" s="193"/>
      <c r="K194" s="193"/>
      <c r="L194" s="193"/>
      <c r="M194" s="193"/>
      <c r="N194" s="193"/>
      <c r="O194" s="193"/>
      <c r="P194" s="193"/>
      <c r="Q194" s="193"/>
      <c r="R194" s="193"/>
      <c r="S194" s="193"/>
      <c r="T194" s="193"/>
      <c r="U194" s="193"/>
      <c r="V194" s="193"/>
      <c r="W194" s="193"/>
      <c r="X194" s="193"/>
      <c r="Y194" s="193"/>
      <c r="Z194" s="193"/>
      <c r="AA194" s="193"/>
      <c r="AB194" s="193"/>
      <c r="AC194" s="193"/>
      <c r="AD194" s="193"/>
      <c r="AE194" s="193"/>
      <c r="AF194" s="193"/>
      <c r="AG194" s="193"/>
      <c r="AH194" s="193"/>
      <c r="AI194" s="193"/>
      <c r="AJ194" s="193"/>
      <c r="AK194" s="193"/>
      <c r="AL194" s="193"/>
    </row>
    <row r="195" spans="6:38">
      <c r="F195" s="204"/>
      <c r="G195" s="193"/>
      <c r="H195" s="193"/>
      <c r="I195" s="193"/>
      <c r="J195" s="193"/>
      <c r="K195" s="193"/>
      <c r="L195" s="193"/>
      <c r="M195" s="193"/>
      <c r="N195" s="193"/>
      <c r="O195" s="193"/>
      <c r="P195" s="193"/>
      <c r="Q195" s="193"/>
      <c r="R195" s="193"/>
      <c r="S195" s="193"/>
      <c r="T195" s="193"/>
      <c r="U195" s="193"/>
      <c r="V195" s="193"/>
      <c r="W195" s="193"/>
      <c r="X195" s="193"/>
      <c r="Y195" s="193"/>
      <c r="Z195" s="193"/>
      <c r="AA195" s="193"/>
      <c r="AB195" s="193"/>
      <c r="AC195" s="193"/>
      <c r="AD195" s="193"/>
      <c r="AE195" s="193"/>
      <c r="AF195" s="193"/>
      <c r="AG195" s="193"/>
      <c r="AH195" s="193"/>
      <c r="AI195" s="193"/>
      <c r="AJ195" s="193"/>
      <c r="AK195" s="193"/>
      <c r="AL195" s="193"/>
    </row>
    <row r="196" spans="6:38">
      <c r="F196" s="204"/>
      <c r="G196" s="193"/>
      <c r="H196" s="193"/>
      <c r="I196" s="193"/>
      <c r="J196" s="193"/>
      <c r="K196" s="193"/>
      <c r="L196" s="193"/>
      <c r="M196" s="193"/>
      <c r="N196" s="193"/>
      <c r="O196" s="193"/>
      <c r="P196" s="193"/>
      <c r="Q196" s="193"/>
      <c r="R196" s="193"/>
      <c r="S196" s="193"/>
      <c r="T196" s="193"/>
      <c r="U196" s="193"/>
      <c r="V196" s="193"/>
      <c r="W196" s="193"/>
      <c r="X196" s="193"/>
      <c r="Y196" s="193"/>
      <c r="Z196" s="193"/>
      <c r="AA196" s="193"/>
      <c r="AB196" s="193"/>
      <c r="AC196" s="193"/>
      <c r="AD196" s="193"/>
      <c r="AE196" s="193"/>
      <c r="AF196" s="193"/>
      <c r="AG196" s="193"/>
      <c r="AH196" s="193"/>
      <c r="AI196" s="193"/>
      <c r="AJ196" s="193"/>
      <c r="AK196" s="193"/>
      <c r="AL196" s="193"/>
    </row>
    <row r="197" spans="6:38">
      <c r="F197" s="204"/>
      <c r="G197" s="193"/>
      <c r="H197" s="193"/>
      <c r="I197" s="193"/>
      <c r="J197" s="193"/>
      <c r="K197" s="193"/>
      <c r="L197" s="193"/>
      <c r="M197" s="193"/>
      <c r="N197" s="193"/>
      <c r="O197" s="193"/>
      <c r="P197" s="193"/>
      <c r="Q197" s="193"/>
      <c r="R197" s="193"/>
      <c r="S197" s="193"/>
      <c r="T197" s="193"/>
      <c r="U197" s="193"/>
      <c r="V197" s="193"/>
      <c r="W197" s="193"/>
      <c r="X197" s="193"/>
      <c r="Y197" s="193"/>
      <c r="Z197" s="193"/>
      <c r="AA197" s="193"/>
      <c r="AB197" s="193"/>
      <c r="AC197" s="193"/>
      <c r="AD197" s="193"/>
      <c r="AE197" s="193"/>
      <c r="AF197" s="193"/>
      <c r="AG197" s="193"/>
      <c r="AH197" s="193"/>
      <c r="AI197" s="193"/>
      <c r="AJ197" s="193"/>
      <c r="AK197" s="193"/>
      <c r="AL197" s="193"/>
    </row>
    <row r="198" spans="6:38">
      <c r="F198" s="204"/>
      <c r="G198" s="193"/>
      <c r="H198" s="193"/>
      <c r="I198" s="193"/>
      <c r="J198" s="193"/>
      <c r="K198" s="193"/>
      <c r="L198" s="193"/>
      <c r="M198" s="193"/>
      <c r="N198" s="193"/>
      <c r="O198" s="193"/>
      <c r="P198" s="193"/>
      <c r="Q198" s="193"/>
      <c r="R198" s="193"/>
      <c r="S198" s="193"/>
      <c r="T198" s="193"/>
      <c r="U198" s="193"/>
      <c r="V198" s="193"/>
      <c r="W198" s="193"/>
      <c r="X198" s="193"/>
      <c r="Y198" s="193"/>
      <c r="Z198" s="193"/>
      <c r="AA198" s="193"/>
      <c r="AB198" s="193"/>
      <c r="AC198" s="193"/>
      <c r="AD198" s="193"/>
      <c r="AE198" s="193"/>
      <c r="AF198" s="193"/>
      <c r="AG198" s="193"/>
      <c r="AH198" s="193"/>
      <c r="AI198" s="193"/>
      <c r="AJ198" s="193"/>
      <c r="AK198" s="193"/>
      <c r="AL198" s="193"/>
    </row>
    <row r="199" spans="6:38">
      <c r="F199" s="204"/>
      <c r="G199" s="193"/>
      <c r="H199" s="193"/>
      <c r="I199" s="193"/>
      <c r="J199" s="193"/>
      <c r="K199" s="193"/>
      <c r="L199" s="193"/>
      <c r="M199" s="193"/>
      <c r="N199" s="193"/>
      <c r="O199" s="193"/>
      <c r="P199" s="193"/>
      <c r="Q199" s="193"/>
      <c r="R199" s="193"/>
      <c r="S199" s="193"/>
      <c r="T199" s="193"/>
      <c r="U199" s="193"/>
      <c r="V199" s="193"/>
      <c r="W199" s="193"/>
      <c r="X199" s="193"/>
      <c r="Y199" s="193"/>
      <c r="Z199" s="193"/>
      <c r="AA199" s="193"/>
      <c r="AB199" s="193"/>
      <c r="AC199" s="193"/>
      <c r="AD199" s="193"/>
      <c r="AE199" s="193"/>
      <c r="AF199" s="193"/>
      <c r="AG199" s="193"/>
      <c r="AH199" s="193"/>
      <c r="AI199" s="193"/>
      <c r="AJ199" s="193"/>
      <c r="AK199" s="193"/>
      <c r="AL199" s="193"/>
    </row>
    <row r="200" spans="6:38">
      <c r="F200" s="204"/>
      <c r="G200" s="193"/>
      <c r="H200" s="193"/>
      <c r="I200" s="193"/>
      <c r="J200" s="193"/>
      <c r="K200" s="193"/>
      <c r="L200" s="193"/>
      <c r="M200" s="193"/>
      <c r="N200" s="193"/>
      <c r="O200" s="193"/>
      <c r="P200" s="193"/>
      <c r="Q200" s="193"/>
      <c r="R200" s="193"/>
      <c r="S200" s="193"/>
      <c r="T200" s="193"/>
      <c r="U200" s="193"/>
      <c r="V200" s="193"/>
      <c r="W200" s="193"/>
      <c r="X200" s="193"/>
      <c r="Y200" s="193"/>
      <c r="Z200" s="193"/>
      <c r="AA200" s="193"/>
      <c r="AB200" s="193"/>
      <c r="AC200" s="193"/>
      <c r="AD200" s="193"/>
      <c r="AE200" s="193"/>
      <c r="AF200" s="193"/>
      <c r="AG200" s="193"/>
      <c r="AH200" s="193"/>
      <c r="AI200" s="193"/>
      <c r="AJ200" s="193"/>
      <c r="AK200" s="193"/>
      <c r="AL200" s="193"/>
    </row>
    <row r="201" spans="6:38">
      <c r="F201" s="204"/>
      <c r="G201" s="193"/>
      <c r="H201" s="193"/>
      <c r="I201" s="193"/>
      <c r="J201" s="193"/>
      <c r="K201" s="193"/>
      <c r="L201" s="193"/>
      <c r="M201" s="193"/>
      <c r="N201" s="193"/>
      <c r="O201" s="193"/>
      <c r="P201" s="193"/>
      <c r="Q201" s="193"/>
      <c r="R201" s="193"/>
      <c r="S201" s="193"/>
      <c r="T201" s="193"/>
      <c r="U201" s="193"/>
      <c r="V201" s="193"/>
      <c r="W201" s="193"/>
      <c r="X201" s="193"/>
      <c r="Y201" s="193"/>
      <c r="Z201" s="193"/>
      <c r="AA201" s="193"/>
      <c r="AB201" s="193"/>
      <c r="AC201" s="193"/>
      <c r="AD201" s="193"/>
      <c r="AE201" s="193"/>
      <c r="AF201" s="193"/>
      <c r="AG201" s="193"/>
      <c r="AH201" s="193"/>
      <c r="AI201" s="193"/>
      <c r="AJ201" s="193"/>
      <c r="AK201" s="193"/>
      <c r="AL201" s="193"/>
    </row>
    <row r="202" spans="6:38">
      <c r="F202" s="204"/>
      <c r="G202" s="193"/>
      <c r="H202" s="193"/>
      <c r="I202" s="193"/>
      <c r="J202" s="193"/>
      <c r="K202" s="193"/>
      <c r="L202" s="193"/>
      <c r="M202" s="193"/>
      <c r="N202" s="193"/>
      <c r="O202" s="193"/>
      <c r="P202" s="193"/>
      <c r="Q202" s="193"/>
      <c r="R202" s="193"/>
      <c r="S202" s="193"/>
      <c r="T202" s="193"/>
      <c r="U202" s="193"/>
      <c r="V202" s="193"/>
      <c r="W202" s="193"/>
      <c r="X202" s="193"/>
      <c r="Y202" s="193"/>
      <c r="Z202" s="193"/>
      <c r="AA202" s="193"/>
      <c r="AB202" s="193"/>
      <c r="AC202" s="193"/>
      <c r="AD202" s="193"/>
      <c r="AE202" s="193"/>
      <c r="AF202" s="193"/>
      <c r="AG202" s="193"/>
      <c r="AH202" s="193"/>
      <c r="AI202" s="193"/>
      <c r="AJ202" s="193"/>
      <c r="AK202" s="193"/>
      <c r="AL202" s="193"/>
    </row>
    <row r="203" spans="6:38">
      <c r="F203" s="204"/>
      <c r="G203" s="193"/>
      <c r="H203" s="193"/>
      <c r="I203" s="193"/>
      <c r="J203" s="193"/>
      <c r="K203" s="193"/>
      <c r="L203" s="193"/>
      <c r="M203" s="193"/>
      <c r="N203" s="193"/>
      <c r="O203" s="193"/>
      <c r="P203" s="193"/>
      <c r="Q203" s="193"/>
      <c r="R203" s="193"/>
      <c r="S203" s="193"/>
      <c r="T203" s="193"/>
      <c r="U203" s="193"/>
      <c r="V203" s="193"/>
      <c r="W203" s="193"/>
      <c r="X203" s="193"/>
      <c r="Y203" s="193"/>
      <c r="Z203" s="193"/>
      <c r="AA203" s="193"/>
      <c r="AB203" s="193"/>
      <c r="AC203" s="193"/>
      <c r="AD203" s="193"/>
      <c r="AE203" s="193"/>
      <c r="AF203" s="193"/>
      <c r="AG203" s="193"/>
      <c r="AH203" s="193"/>
      <c r="AI203" s="193"/>
      <c r="AJ203" s="193"/>
      <c r="AK203" s="193"/>
      <c r="AL203" s="193"/>
    </row>
    <row r="204" spans="6:38">
      <c r="F204" s="204"/>
      <c r="G204" s="193"/>
      <c r="H204" s="193"/>
      <c r="I204" s="193"/>
      <c r="J204" s="193"/>
      <c r="K204" s="193"/>
      <c r="L204" s="193"/>
      <c r="M204" s="193"/>
      <c r="N204" s="193"/>
      <c r="O204" s="193"/>
      <c r="P204" s="193"/>
      <c r="Q204" s="193"/>
      <c r="R204" s="193"/>
      <c r="S204" s="193"/>
      <c r="T204" s="193"/>
      <c r="U204" s="193"/>
      <c r="V204" s="193"/>
      <c r="W204" s="193"/>
      <c r="X204" s="193"/>
      <c r="Y204" s="193"/>
      <c r="Z204" s="193"/>
      <c r="AA204" s="193"/>
      <c r="AB204" s="193"/>
      <c r="AC204" s="193"/>
      <c r="AD204" s="193"/>
      <c r="AE204" s="193"/>
      <c r="AF204" s="193"/>
      <c r="AG204" s="193"/>
      <c r="AH204" s="193"/>
      <c r="AI204" s="193"/>
      <c r="AJ204" s="193"/>
      <c r="AK204" s="193"/>
      <c r="AL204" s="193"/>
    </row>
    <row r="205" spans="6:38">
      <c r="F205" s="204"/>
      <c r="G205" s="193"/>
      <c r="H205" s="193"/>
      <c r="I205" s="193"/>
      <c r="J205" s="193"/>
      <c r="K205" s="193"/>
      <c r="L205" s="193"/>
      <c r="M205" s="193"/>
      <c r="N205" s="193"/>
      <c r="O205" s="193"/>
      <c r="P205" s="193"/>
      <c r="Q205" s="193"/>
      <c r="R205" s="193"/>
      <c r="S205" s="193"/>
      <c r="T205" s="193"/>
      <c r="U205" s="193"/>
      <c r="V205" s="193"/>
      <c r="W205" s="193"/>
      <c r="X205" s="193"/>
      <c r="Y205" s="193"/>
      <c r="Z205" s="193"/>
      <c r="AA205" s="193"/>
      <c r="AB205" s="193"/>
      <c r="AC205" s="193"/>
      <c r="AD205" s="193"/>
      <c r="AE205" s="193"/>
      <c r="AF205" s="193"/>
      <c r="AG205" s="193"/>
      <c r="AH205" s="193"/>
      <c r="AI205" s="193"/>
      <c r="AJ205" s="193"/>
      <c r="AK205" s="193"/>
      <c r="AL205" s="193"/>
    </row>
    <row r="206" spans="6:38">
      <c r="F206" s="204"/>
      <c r="G206" s="193"/>
      <c r="H206" s="193"/>
      <c r="I206" s="193"/>
      <c r="J206" s="193"/>
      <c r="K206" s="193"/>
      <c r="L206" s="193"/>
      <c r="M206" s="193"/>
      <c r="N206" s="193"/>
      <c r="O206" s="193"/>
      <c r="P206" s="193"/>
      <c r="Q206" s="193"/>
      <c r="R206" s="193"/>
      <c r="S206" s="193"/>
      <c r="T206" s="193"/>
      <c r="U206" s="193"/>
      <c r="V206" s="193"/>
      <c r="W206" s="193"/>
      <c r="X206" s="193"/>
      <c r="Y206" s="193"/>
      <c r="Z206" s="193"/>
      <c r="AA206" s="193"/>
      <c r="AB206" s="193"/>
      <c r="AC206" s="193"/>
      <c r="AD206" s="193"/>
      <c r="AE206" s="193"/>
      <c r="AF206" s="193"/>
      <c r="AG206" s="193"/>
      <c r="AH206" s="193"/>
      <c r="AI206" s="193"/>
      <c r="AJ206" s="193"/>
      <c r="AK206" s="193"/>
      <c r="AL206" s="193"/>
    </row>
    <row r="207" spans="6:38">
      <c r="F207" s="204"/>
      <c r="G207" s="193"/>
      <c r="H207" s="193"/>
      <c r="I207" s="193"/>
      <c r="J207" s="193"/>
      <c r="K207" s="193"/>
      <c r="L207" s="193"/>
      <c r="M207" s="193"/>
      <c r="N207" s="193"/>
      <c r="O207" s="193"/>
      <c r="P207" s="193"/>
      <c r="Q207" s="193"/>
      <c r="R207" s="193"/>
      <c r="S207" s="193"/>
      <c r="T207" s="193"/>
      <c r="U207" s="193"/>
      <c r="V207" s="193"/>
      <c r="W207" s="193"/>
      <c r="X207" s="193"/>
      <c r="Y207" s="193"/>
      <c r="Z207" s="193"/>
      <c r="AA207" s="193"/>
      <c r="AB207" s="193"/>
      <c r="AC207" s="193"/>
      <c r="AD207" s="193"/>
      <c r="AE207" s="193"/>
      <c r="AF207" s="193"/>
      <c r="AG207" s="193"/>
      <c r="AH207" s="193"/>
      <c r="AI207" s="193"/>
      <c r="AJ207" s="193"/>
      <c r="AK207" s="193"/>
      <c r="AL207" s="193"/>
    </row>
    <row r="208" spans="6:38">
      <c r="F208" s="204"/>
      <c r="G208" s="193"/>
      <c r="H208" s="193"/>
      <c r="I208" s="193"/>
      <c r="J208" s="193"/>
      <c r="K208" s="193"/>
      <c r="L208" s="193"/>
      <c r="M208" s="193"/>
      <c r="N208" s="193"/>
      <c r="O208" s="193"/>
      <c r="P208" s="193"/>
      <c r="Q208" s="193"/>
      <c r="R208" s="193"/>
      <c r="S208" s="193"/>
      <c r="T208" s="193"/>
      <c r="U208" s="193"/>
      <c r="V208" s="193"/>
      <c r="W208" s="193"/>
      <c r="X208" s="193"/>
      <c r="Y208" s="193"/>
      <c r="Z208" s="193"/>
      <c r="AA208" s="193"/>
      <c r="AB208" s="193"/>
      <c r="AC208" s="193"/>
      <c r="AD208" s="193"/>
      <c r="AE208" s="193"/>
      <c r="AF208" s="193"/>
      <c r="AG208" s="193"/>
      <c r="AH208" s="193"/>
      <c r="AI208" s="193"/>
      <c r="AJ208" s="193"/>
      <c r="AK208" s="193"/>
      <c r="AL208" s="193"/>
    </row>
    <row r="209" spans="6:38">
      <c r="F209" s="204"/>
      <c r="G209" s="193"/>
      <c r="H209" s="193"/>
      <c r="I209" s="193"/>
      <c r="J209" s="193"/>
      <c r="K209" s="193"/>
      <c r="L209" s="193"/>
      <c r="M209" s="193"/>
      <c r="N209" s="193"/>
      <c r="O209" s="193"/>
      <c r="P209" s="193"/>
      <c r="Q209" s="193"/>
      <c r="R209" s="193"/>
      <c r="S209" s="193"/>
      <c r="T209" s="193"/>
      <c r="U209" s="193"/>
      <c r="V209" s="193"/>
      <c r="W209" s="193"/>
      <c r="X209" s="193"/>
      <c r="Y209" s="193"/>
      <c r="Z209" s="193"/>
      <c r="AA209" s="193"/>
      <c r="AB209" s="193"/>
      <c r="AC209" s="193"/>
      <c r="AD209" s="193"/>
      <c r="AE209" s="193"/>
      <c r="AF209" s="193"/>
      <c r="AG209" s="193"/>
      <c r="AH209" s="193"/>
      <c r="AI209" s="193"/>
      <c r="AJ209" s="193"/>
      <c r="AK209" s="193"/>
      <c r="AL209" s="193"/>
    </row>
    <row r="210" spans="6:38">
      <c r="F210" s="204"/>
      <c r="G210" s="193"/>
      <c r="H210" s="193"/>
      <c r="I210" s="193"/>
      <c r="J210" s="193"/>
      <c r="K210" s="193"/>
      <c r="L210" s="193"/>
      <c r="M210" s="193"/>
      <c r="N210" s="193"/>
      <c r="O210" s="193"/>
      <c r="P210" s="193"/>
      <c r="Q210" s="193"/>
      <c r="R210" s="193"/>
      <c r="S210" s="193"/>
      <c r="T210" s="193"/>
      <c r="U210" s="193"/>
      <c r="V210" s="193"/>
      <c r="W210" s="193"/>
      <c r="X210" s="193"/>
      <c r="Y210" s="193"/>
      <c r="Z210" s="193"/>
      <c r="AA210" s="193"/>
      <c r="AB210" s="193"/>
      <c r="AC210" s="193"/>
      <c r="AD210" s="193"/>
      <c r="AE210" s="193"/>
      <c r="AF210" s="193"/>
      <c r="AG210" s="193"/>
      <c r="AH210" s="193"/>
      <c r="AI210" s="193"/>
      <c r="AJ210" s="193"/>
      <c r="AK210" s="193"/>
      <c r="AL210" s="193"/>
    </row>
    <row r="211" spans="6:38">
      <c r="F211" s="204"/>
      <c r="G211" s="193"/>
      <c r="H211" s="193"/>
      <c r="I211" s="193"/>
      <c r="J211" s="193"/>
      <c r="K211" s="193"/>
      <c r="L211" s="193"/>
      <c r="M211" s="193"/>
      <c r="N211" s="193"/>
      <c r="O211" s="193"/>
      <c r="P211" s="193"/>
      <c r="Q211" s="193"/>
      <c r="R211" s="193"/>
      <c r="S211" s="193"/>
      <c r="T211" s="193"/>
      <c r="U211" s="193"/>
      <c r="V211" s="193"/>
      <c r="W211" s="193"/>
      <c r="X211" s="193"/>
      <c r="Y211" s="193"/>
      <c r="Z211" s="193"/>
      <c r="AA211" s="193"/>
      <c r="AB211" s="193"/>
      <c r="AC211" s="193"/>
      <c r="AD211" s="193"/>
      <c r="AE211" s="193"/>
      <c r="AF211" s="193"/>
      <c r="AG211" s="193"/>
      <c r="AH211" s="193"/>
      <c r="AI211" s="193"/>
      <c r="AJ211" s="193"/>
      <c r="AK211" s="193"/>
      <c r="AL211" s="193"/>
    </row>
    <row r="212" spans="6:38">
      <c r="F212" s="204"/>
      <c r="G212" s="193"/>
      <c r="H212" s="193"/>
      <c r="I212" s="193"/>
      <c r="J212" s="193"/>
      <c r="K212" s="193"/>
      <c r="L212" s="193"/>
      <c r="M212" s="193"/>
      <c r="N212" s="193"/>
      <c r="O212" s="193"/>
      <c r="P212" s="193"/>
      <c r="Q212" s="193"/>
      <c r="R212" s="193"/>
      <c r="S212" s="193"/>
      <c r="T212" s="193"/>
      <c r="U212" s="193"/>
      <c r="V212" s="193"/>
      <c r="W212" s="193"/>
      <c r="X212" s="193"/>
      <c r="Y212" s="193"/>
      <c r="Z212" s="193"/>
      <c r="AA212" s="193"/>
      <c r="AB212" s="193"/>
      <c r="AC212" s="193"/>
      <c r="AD212" s="193"/>
      <c r="AE212" s="193"/>
      <c r="AF212" s="193"/>
      <c r="AG212" s="193"/>
      <c r="AH212" s="193"/>
      <c r="AI212" s="193"/>
      <c r="AJ212" s="193"/>
      <c r="AK212" s="193"/>
      <c r="AL212" s="193"/>
    </row>
    <row r="213" spans="6:38">
      <c r="F213" s="204"/>
      <c r="G213" s="193"/>
      <c r="H213" s="193"/>
      <c r="I213" s="193"/>
      <c r="J213" s="193"/>
      <c r="K213" s="193"/>
      <c r="L213" s="193"/>
      <c r="M213" s="193"/>
      <c r="N213" s="193"/>
      <c r="O213" s="193"/>
      <c r="P213" s="193"/>
      <c r="Q213" s="193"/>
      <c r="R213" s="193"/>
      <c r="S213" s="193"/>
      <c r="T213" s="193"/>
      <c r="U213" s="193"/>
      <c r="V213" s="193"/>
      <c r="W213" s="193"/>
      <c r="X213" s="193"/>
      <c r="Y213" s="193"/>
      <c r="Z213" s="193"/>
      <c r="AA213" s="193"/>
      <c r="AB213" s="193"/>
      <c r="AC213" s="193"/>
      <c r="AD213" s="193"/>
      <c r="AE213" s="193"/>
      <c r="AF213" s="193"/>
      <c r="AG213" s="193"/>
      <c r="AH213" s="193"/>
      <c r="AI213" s="193"/>
      <c r="AJ213" s="193"/>
      <c r="AK213" s="193"/>
      <c r="AL213" s="193"/>
    </row>
    <row r="214" spans="6:38">
      <c r="F214" s="204"/>
      <c r="G214" s="193"/>
      <c r="H214" s="193"/>
      <c r="I214" s="193"/>
      <c r="J214" s="193"/>
      <c r="K214" s="193"/>
      <c r="L214" s="193"/>
      <c r="M214" s="193"/>
      <c r="N214" s="193"/>
      <c r="O214" s="193"/>
      <c r="P214" s="193"/>
      <c r="Q214" s="193"/>
      <c r="R214" s="193"/>
      <c r="S214" s="193"/>
      <c r="T214" s="193"/>
      <c r="U214" s="193"/>
      <c r="V214" s="193"/>
      <c r="W214" s="193"/>
      <c r="X214" s="193"/>
      <c r="Y214" s="193"/>
      <c r="Z214" s="193"/>
      <c r="AA214" s="193"/>
      <c r="AB214" s="193"/>
      <c r="AC214" s="193"/>
      <c r="AD214" s="193"/>
      <c r="AE214" s="193"/>
      <c r="AF214" s="193"/>
      <c r="AG214" s="193"/>
      <c r="AH214" s="193"/>
      <c r="AI214" s="193"/>
      <c r="AJ214" s="193"/>
      <c r="AK214" s="193"/>
      <c r="AL214" s="193"/>
    </row>
    <row r="215" spans="6:38">
      <c r="F215" s="204"/>
      <c r="G215" s="193"/>
      <c r="H215" s="193"/>
      <c r="I215" s="193"/>
      <c r="J215" s="193"/>
      <c r="K215" s="193"/>
      <c r="L215" s="193"/>
      <c r="M215" s="193"/>
      <c r="N215" s="193"/>
      <c r="O215" s="193"/>
      <c r="P215" s="193"/>
      <c r="Q215" s="193"/>
      <c r="R215" s="193"/>
      <c r="S215" s="193"/>
      <c r="T215" s="193"/>
      <c r="U215" s="193"/>
      <c r="V215" s="193"/>
      <c r="W215" s="193"/>
      <c r="X215" s="193"/>
      <c r="Y215" s="193"/>
      <c r="Z215" s="193"/>
      <c r="AA215" s="193"/>
      <c r="AB215" s="193"/>
      <c r="AC215" s="193"/>
      <c r="AD215" s="193"/>
      <c r="AE215" s="193"/>
      <c r="AF215" s="193"/>
      <c r="AG215" s="193"/>
      <c r="AH215" s="193"/>
      <c r="AI215" s="193"/>
      <c r="AJ215" s="193"/>
      <c r="AK215" s="193"/>
      <c r="AL215" s="193"/>
    </row>
    <row r="216" spans="6:38">
      <c r="F216" s="204"/>
      <c r="G216" s="193"/>
      <c r="H216" s="193"/>
      <c r="I216" s="193"/>
      <c r="J216" s="193"/>
      <c r="K216" s="193"/>
      <c r="L216" s="193"/>
      <c r="M216" s="193"/>
      <c r="N216" s="193"/>
      <c r="O216" s="193"/>
      <c r="P216" s="193"/>
      <c r="Q216" s="193"/>
      <c r="R216" s="193"/>
      <c r="S216" s="193"/>
      <c r="T216" s="193"/>
      <c r="U216" s="193"/>
      <c r="V216" s="193"/>
      <c r="W216" s="193"/>
      <c r="X216" s="193"/>
      <c r="Y216" s="193"/>
      <c r="Z216" s="193"/>
      <c r="AA216" s="193"/>
      <c r="AB216" s="193"/>
      <c r="AC216" s="193"/>
      <c r="AD216" s="193"/>
      <c r="AE216" s="193"/>
      <c r="AF216" s="193"/>
      <c r="AG216" s="193"/>
      <c r="AH216" s="193"/>
      <c r="AI216" s="193"/>
      <c r="AJ216" s="193"/>
      <c r="AK216" s="193"/>
      <c r="AL216" s="193"/>
    </row>
    <row r="217" spans="6:38">
      <c r="F217" s="204"/>
      <c r="G217" s="193"/>
      <c r="H217" s="193"/>
      <c r="I217" s="193"/>
      <c r="J217" s="193"/>
      <c r="K217" s="193"/>
      <c r="L217" s="193"/>
      <c r="M217" s="193"/>
      <c r="N217" s="193"/>
      <c r="O217" s="193"/>
      <c r="P217" s="193"/>
      <c r="Q217" s="193"/>
      <c r="R217" s="193"/>
      <c r="S217" s="193"/>
      <c r="T217" s="193"/>
      <c r="U217" s="193"/>
      <c r="V217" s="193"/>
      <c r="W217" s="193"/>
      <c r="X217" s="193"/>
      <c r="Y217" s="193"/>
      <c r="Z217" s="193"/>
      <c r="AA217" s="193"/>
      <c r="AB217" s="193"/>
      <c r="AC217" s="193"/>
      <c r="AD217" s="193"/>
      <c r="AE217" s="193"/>
      <c r="AF217" s="193"/>
      <c r="AG217" s="193"/>
      <c r="AH217" s="193"/>
      <c r="AI217" s="193"/>
      <c r="AJ217" s="193"/>
      <c r="AK217" s="193"/>
      <c r="AL217" s="193"/>
    </row>
    <row r="218" spans="6:38">
      <c r="F218" s="204"/>
      <c r="G218" s="193"/>
      <c r="H218" s="193"/>
      <c r="I218" s="193"/>
      <c r="J218" s="193"/>
      <c r="K218" s="193"/>
      <c r="L218" s="193"/>
      <c r="M218" s="193"/>
      <c r="N218" s="193"/>
      <c r="O218" s="193"/>
      <c r="P218" s="193"/>
      <c r="Q218" s="193"/>
      <c r="R218" s="193"/>
      <c r="S218" s="193"/>
      <c r="T218" s="193"/>
      <c r="U218" s="193"/>
      <c r="V218" s="193"/>
      <c r="W218" s="193"/>
      <c r="X218" s="193"/>
      <c r="Y218" s="193"/>
      <c r="Z218" s="193"/>
      <c r="AA218" s="193"/>
      <c r="AB218" s="193"/>
      <c r="AC218" s="193"/>
      <c r="AD218" s="193"/>
      <c r="AE218" s="193"/>
      <c r="AF218" s="193"/>
      <c r="AG218" s="193"/>
      <c r="AH218" s="193"/>
      <c r="AI218" s="193"/>
      <c r="AJ218" s="193"/>
      <c r="AK218" s="193"/>
      <c r="AL218" s="193"/>
    </row>
    <row r="219" spans="6:38">
      <c r="F219" s="204"/>
      <c r="G219" s="193"/>
      <c r="H219" s="193"/>
      <c r="I219" s="193"/>
      <c r="J219" s="193"/>
      <c r="K219" s="193"/>
      <c r="L219" s="193"/>
      <c r="M219" s="193"/>
      <c r="N219" s="193"/>
      <c r="O219" s="193"/>
      <c r="P219" s="193"/>
      <c r="Q219" s="193"/>
      <c r="R219" s="193"/>
      <c r="S219" s="193"/>
      <c r="T219" s="193"/>
      <c r="U219" s="193"/>
      <c r="V219" s="193"/>
      <c r="W219" s="193"/>
      <c r="X219" s="193"/>
      <c r="Y219" s="193"/>
      <c r="Z219" s="193"/>
      <c r="AA219" s="193"/>
      <c r="AB219" s="193"/>
      <c r="AC219" s="193"/>
      <c r="AD219" s="193"/>
      <c r="AE219" s="193"/>
      <c r="AF219" s="193"/>
      <c r="AG219" s="193"/>
      <c r="AH219" s="193"/>
      <c r="AI219" s="193"/>
      <c r="AJ219" s="193"/>
      <c r="AK219" s="193"/>
      <c r="AL219" s="193"/>
    </row>
    <row r="220" spans="6:38">
      <c r="F220" s="204"/>
      <c r="G220" s="193"/>
      <c r="H220" s="193"/>
      <c r="I220" s="193"/>
      <c r="J220" s="193"/>
      <c r="K220" s="193"/>
      <c r="L220" s="193"/>
      <c r="M220" s="193"/>
      <c r="N220" s="193"/>
      <c r="O220" s="193"/>
      <c r="P220" s="193"/>
      <c r="Q220" s="193"/>
      <c r="R220" s="193"/>
      <c r="S220" s="193"/>
      <c r="T220" s="193"/>
      <c r="U220" s="193"/>
      <c r="V220" s="193"/>
      <c r="W220" s="193"/>
      <c r="X220" s="193"/>
      <c r="Y220" s="193"/>
      <c r="Z220" s="193"/>
      <c r="AA220" s="193"/>
      <c r="AB220" s="193"/>
      <c r="AC220" s="193"/>
      <c r="AD220" s="193"/>
      <c r="AE220" s="193"/>
      <c r="AF220" s="193"/>
      <c r="AG220" s="193"/>
      <c r="AH220" s="193"/>
      <c r="AI220" s="193"/>
      <c r="AJ220" s="193"/>
      <c r="AK220" s="193"/>
      <c r="AL220" s="193"/>
    </row>
    <row r="221" spans="6:38">
      <c r="G221" s="193"/>
      <c r="H221" s="193"/>
      <c r="I221" s="193"/>
      <c r="J221" s="193"/>
      <c r="K221" s="193"/>
      <c r="L221" s="193"/>
      <c r="M221" s="193"/>
      <c r="N221" s="193"/>
      <c r="O221" s="193"/>
      <c r="P221" s="193"/>
      <c r="Q221" s="193"/>
      <c r="R221" s="193"/>
      <c r="S221" s="193"/>
      <c r="T221" s="193"/>
      <c r="U221" s="193"/>
      <c r="V221" s="193"/>
      <c r="W221" s="193"/>
      <c r="X221" s="193"/>
      <c r="Y221" s="193"/>
      <c r="Z221" s="193"/>
      <c r="AA221" s="193"/>
      <c r="AB221" s="193"/>
      <c r="AC221" s="193"/>
      <c r="AD221" s="193"/>
      <c r="AE221" s="193"/>
      <c r="AF221" s="193"/>
      <c r="AG221" s="193"/>
      <c r="AH221" s="193"/>
      <c r="AI221" s="193"/>
      <c r="AJ221" s="193"/>
      <c r="AK221" s="193"/>
      <c r="AL221" s="193"/>
    </row>
    <row r="222" spans="6:38">
      <c r="G222" s="193"/>
      <c r="H222" s="193"/>
      <c r="I222" s="193"/>
      <c r="J222" s="193"/>
      <c r="K222" s="193"/>
      <c r="L222" s="193"/>
      <c r="M222" s="193"/>
      <c r="N222" s="193"/>
      <c r="O222" s="193"/>
      <c r="P222" s="193"/>
      <c r="Q222" s="193"/>
      <c r="R222" s="193"/>
      <c r="S222" s="193"/>
      <c r="T222" s="193"/>
      <c r="U222" s="193"/>
      <c r="V222" s="193"/>
      <c r="W222" s="193"/>
      <c r="X222" s="193"/>
      <c r="Y222" s="193"/>
      <c r="Z222" s="193"/>
      <c r="AA222" s="193"/>
      <c r="AB222" s="193"/>
      <c r="AC222" s="193"/>
      <c r="AD222" s="193"/>
      <c r="AE222" s="193"/>
      <c r="AF222" s="193"/>
      <c r="AG222" s="193"/>
      <c r="AH222" s="193"/>
      <c r="AI222" s="193"/>
      <c r="AJ222" s="193"/>
      <c r="AK222" s="193"/>
      <c r="AL222" s="193"/>
    </row>
    <row r="223" spans="6:38">
      <c r="G223" s="193"/>
      <c r="H223" s="193"/>
      <c r="I223" s="193"/>
      <c r="J223" s="193"/>
      <c r="K223" s="193"/>
      <c r="L223" s="193"/>
      <c r="M223" s="193"/>
      <c r="N223" s="193"/>
      <c r="O223" s="193"/>
      <c r="P223" s="193"/>
      <c r="Q223" s="193"/>
      <c r="R223" s="193"/>
      <c r="S223" s="193"/>
      <c r="T223" s="193"/>
      <c r="U223" s="193"/>
      <c r="V223" s="193"/>
      <c r="W223" s="193"/>
      <c r="X223" s="193"/>
      <c r="Y223" s="193"/>
      <c r="Z223" s="193"/>
      <c r="AA223" s="193"/>
      <c r="AB223" s="193"/>
      <c r="AC223" s="193"/>
      <c r="AD223" s="193"/>
      <c r="AE223" s="193"/>
      <c r="AF223" s="193"/>
      <c r="AG223" s="193"/>
      <c r="AH223" s="193"/>
      <c r="AI223" s="193"/>
      <c r="AJ223" s="193"/>
      <c r="AK223" s="193"/>
      <c r="AL223" s="193"/>
    </row>
    <row r="224" spans="6:38">
      <c r="G224" s="193"/>
      <c r="H224" s="193"/>
      <c r="I224" s="193"/>
      <c r="J224" s="193"/>
      <c r="K224" s="193"/>
      <c r="L224" s="193"/>
      <c r="M224" s="193"/>
      <c r="N224" s="193"/>
      <c r="O224" s="193"/>
      <c r="P224" s="193"/>
      <c r="Q224" s="193"/>
      <c r="R224" s="193"/>
      <c r="S224" s="193"/>
      <c r="T224" s="193"/>
      <c r="U224" s="193"/>
      <c r="V224" s="193"/>
      <c r="W224" s="193"/>
      <c r="X224" s="193"/>
      <c r="Y224" s="193"/>
      <c r="Z224" s="193"/>
      <c r="AA224" s="193"/>
      <c r="AB224" s="193"/>
      <c r="AC224" s="193"/>
      <c r="AD224" s="193"/>
      <c r="AE224" s="193"/>
      <c r="AF224" s="193"/>
      <c r="AG224" s="193"/>
      <c r="AH224" s="193"/>
      <c r="AI224" s="193"/>
      <c r="AJ224" s="193"/>
      <c r="AK224" s="193"/>
      <c r="AL224" s="193"/>
    </row>
    <row r="225" spans="7:38">
      <c r="G225" s="193"/>
      <c r="H225" s="193"/>
      <c r="I225" s="193"/>
      <c r="J225" s="193"/>
      <c r="K225" s="193"/>
      <c r="L225" s="193"/>
      <c r="M225" s="193"/>
      <c r="N225" s="193"/>
      <c r="O225" s="193"/>
      <c r="P225" s="193"/>
      <c r="Q225" s="193"/>
      <c r="R225" s="193"/>
      <c r="S225" s="193"/>
      <c r="T225" s="193"/>
      <c r="U225" s="193"/>
      <c r="V225" s="193"/>
      <c r="W225" s="193"/>
      <c r="X225" s="193"/>
      <c r="Y225" s="193"/>
      <c r="Z225" s="193"/>
      <c r="AA225" s="193"/>
      <c r="AB225" s="193"/>
      <c r="AC225" s="193"/>
      <c r="AD225" s="193"/>
      <c r="AE225" s="193"/>
      <c r="AF225" s="193"/>
      <c r="AG225" s="193"/>
      <c r="AH225" s="193"/>
      <c r="AI225" s="193"/>
      <c r="AJ225" s="193"/>
      <c r="AK225" s="193"/>
      <c r="AL225" s="193"/>
    </row>
    <row r="226" spans="7:38">
      <c r="G226" s="193"/>
      <c r="H226" s="193"/>
      <c r="I226" s="193"/>
      <c r="J226" s="193"/>
      <c r="K226" s="193"/>
      <c r="L226" s="193"/>
      <c r="M226" s="193"/>
      <c r="N226" s="193"/>
      <c r="O226" s="193"/>
      <c r="P226" s="193"/>
      <c r="Q226" s="193"/>
      <c r="R226" s="193"/>
      <c r="S226" s="193"/>
      <c r="T226" s="193"/>
      <c r="U226" s="193"/>
      <c r="V226" s="193"/>
      <c r="W226" s="193"/>
      <c r="X226" s="193"/>
      <c r="Y226" s="193"/>
      <c r="Z226" s="193"/>
      <c r="AA226" s="193"/>
      <c r="AB226" s="193"/>
      <c r="AC226" s="193"/>
      <c r="AD226" s="193"/>
      <c r="AE226" s="193"/>
      <c r="AF226" s="193"/>
      <c r="AG226" s="193"/>
      <c r="AH226" s="193"/>
      <c r="AI226" s="193"/>
      <c r="AJ226" s="193"/>
      <c r="AK226" s="193"/>
      <c r="AL226" s="193"/>
    </row>
    <row r="227" spans="7:38">
      <c r="G227" s="193"/>
      <c r="H227" s="193"/>
      <c r="I227" s="193"/>
      <c r="J227" s="193"/>
      <c r="K227" s="193"/>
      <c r="L227" s="193"/>
      <c r="M227" s="193"/>
      <c r="N227" s="193"/>
      <c r="O227" s="193"/>
      <c r="P227" s="193"/>
      <c r="Q227" s="193"/>
      <c r="R227" s="193"/>
      <c r="S227" s="193"/>
      <c r="T227" s="193"/>
      <c r="U227" s="193"/>
      <c r="V227" s="193"/>
      <c r="W227" s="193"/>
      <c r="X227" s="193"/>
      <c r="Y227" s="193"/>
      <c r="Z227" s="193"/>
      <c r="AA227" s="193"/>
      <c r="AB227" s="193"/>
      <c r="AC227" s="193"/>
      <c r="AD227" s="193"/>
      <c r="AE227" s="193"/>
      <c r="AF227" s="193"/>
      <c r="AG227" s="193"/>
      <c r="AH227" s="193"/>
      <c r="AI227" s="193"/>
      <c r="AJ227" s="193"/>
      <c r="AK227" s="193"/>
      <c r="AL227" s="193"/>
    </row>
    <row r="228" spans="7:38">
      <c r="G228" s="193"/>
      <c r="H228" s="193"/>
      <c r="I228" s="193"/>
      <c r="J228" s="193"/>
      <c r="K228" s="193"/>
      <c r="L228" s="193"/>
      <c r="M228" s="193"/>
      <c r="N228" s="193"/>
      <c r="O228" s="193"/>
      <c r="P228" s="193"/>
      <c r="Q228" s="193"/>
      <c r="R228" s="193"/>
      <c r="S228" s="193"/>
      <c r="T228" s="193"/>
      <c r="U228" s="193"/>
      <c r="V228" s="193"/>
      <c r="W228" s="193"/>
      <c r="X228" s="193"/>
      <c r="Y228" s="193"/>
      <c r="Z228" s="193"/>
      <c r="AA228" s="193"/>
      <c r="AB228" s="193"/>
      <c r="AC228" s="193"/>
      <c r="AD228" s="193"/>
      <c r="AE228" s="193"/>
      <c r="AF228" s="193"/>
      <c r="AG228" s="193"/>
      <c r="AH228" s="193"/>
      <c r="AI228" s="193"/>
      <c r="AJ228" s="193"/>
      <c r="AK228" s="193"/>
      <c r="AL228" s="193"/>
    </row>
    <row r="229" spans="7:38">
      <c r="G229" s="193"/>
      <c r="H229" s="193"/>
      <c r="I229" s="193"/>
      <c r="J229" s="193"/>
      <c r="K229" s="193"/>
      <c r="L229" s="193"/>
      <c r="M229" s="193"/>
      <c r="N229" s="193"/>
      <c r="O229" s="193"/>
      <c r="P229" s="193"/>
      <c r="Q229" s="193"/>
      <c r="R229" s="193"/>
      <c r="S229" s="193"/>
      <c r="T229" s="193"/>
      <c r="U229" s="193"/>
      <c r="V229" s="193"/>
      <c r="W229" s="193"/>
      <c r="X229" s="193"/>
      <c r="Y229" s="193"/>
      <c r="Z229" s="193"/>
      <c r="AA229" s="193"/>
      <c r="AB229" s="193"/>
      <c r="AC229" s="193"/>
      <c r="AD229" s="193"/>
      <c r="AE229" s="193"/>
      <c r="AF229" s="193"/>
      <c r="AG229" s="193"/>
      <c r="AH229" s="193"/>
      <c r="AI229" s="193"/>
      <c r="AJ229" s="193"/>
      <c r="AK229" s="193"/>
      <c r="AL229" s="193"/>
    </row>
    <row r="230" spans="7:38">
      <c r="G230" s="193"/>
      <c r="H230" s="193"/>
      <c r="I230" s="193"/>
      <c r="J230" s="193"/>
      <c r="K230" s="193"/>
      <c r="L230" s="193"/>
      <c r="M230" s="193"/>
      <c r="N230" s="193"/>
      <c r="O230" s="193"/>
      <c r="P230" s="193"/>
      <c r="Q230" s="193"/>
      <c r="R230" s="193"/>
      <c r="S230" s="193"/>
      <c r="T230" s="193"/>
      <c r="U230" s="193"/>
      <c r="V230" s="193"/>
      <c r="W230" s="193"/>
      <c r="X230" s="193"/>
      <c r="Y230" s="193"/>
      <c r="Z230" s="193"/>
      <c r="AA230" s="193"/>
      <c r="AB230" s="193"/>
      <c r="AC230" s="193"/>
      <c r="AD230" s="193"/>
      <c r="AE230" s="193"/>
      <c r="AF230" s="193"/>
      <c r="AG230" s="193"/>
      <c r="AH230" s="193"/>
      <c r="AI230" s="193"/>
      <c r="AJ230" s="193"/>
      <c r="AK230" s="193"/>
      <c r="AL230" s="193"/>
    </row>
    <row r="231" spans="7:38">
      <c r="G231" s="193"/>
      <c r="H231" s="193"/>
      <c r="I231" s="193"/>
      <c r="J231" s="193"/>
      <c r="K231" s="193"/>
      <c r="L231" s="193"/>
      <c r="M231" s="193"/>
      <c r="N231" s="193"/>
      <c r="O231" s="193"/>
      <c r="P231" s="193"/>
      <c r="Q231" s="193"/>
      <c r="R231" s="193"/>
      <c r="S231" s="193"/>
      <c r="T231" s="193"/>
      <c r="U231" s="193"/>
      <c r="V231" s="193"/>
      <c r="W231" s="193"/>
      <c r="X231" s="193"/>
      <c r="Y231" s="193"/>
      <c r="Z231" s="193"/>
      <c r="AA231" s="193"/>
      <c r="AB231" s="193"/>
      <c r="AC231" s="193"/>
      <c r="AD231" s="193"/>
      <c r="AE231" s="193"/>
      <c r="AF231" s="193"/>
      <c r="AG231" s="193"/>
      <c r="AH231" s="193"/>
      <c r="AI231" s="193"/>
      <c r="AJ231" s="193"/>
      <c r="AK231" s="193"/>
      <c r="AL231" s="193"/>
    </row>
    <row r="232" spans="7:38">
      <c r="G232" s="193"/>
      <c r="H232" s="193"/>
      <c r="I232" s="193"/>
      <c r="J232" s="193"/>
      <c r="K232" s="193"/>
      <c r="L232" s="193"/>
      <c r="M232" s="193"/>
      <c r="N232" s="193"/>
      <c r="O232" s="193"/>
      <c r="P232" s="193"/>
      <c r="Q232" s="193"/>
      <c r="R232" s="193"/>
      <c r="S232" s="193"/>
      <c r="T232" s="193"/>
      <c r="U232" s="193"/>
      <c r="V232" s="193"/>
      <c r="W232" s="193"/>
      <c r="X232" s="193"/>
      <c r="Y232" s="193"/>
      <c r="Z232" s="193"/>
      <c r="AA232" s="193"/>
      <c r="AB232" s="193"/>
      <c r="AC232" s="193"/>
      <c r="AD232" s="193"/>
      <c r="AE232" s="193"/>
      <c r="AF232" s="193"/>
      <c r="AG232" s="193"/>
      <c r="AH232" s="193"/>
      <c r="AI232" s="193"/>
      <c r="AJ232" s="193"/>
      <c r="AK232" s="193"/>
      <c r="AL232" s="193"/>
    </row>
    <row r="233" spans="7:38">
      <c r="G233" s="193"/>
      <c r="H233" s="193"/>
      <c r="I233" s="193"/>
      <c r="J233" s="193"/>
      <c r="K233" s="193"/>
      <c r="L233" s="193"/>
      <c r="M233" s="193"/>
      <c r="N233" s="193"/>
      <c r="O233" s="193"/>
      <c r="P233" s="193"/>
      <c r="Q233" s="193"/>
      <c r="R233" s="193"/>
      <c r="S233" s="193"/>
      <c r="T233" s="193"/>
      <c r="U233" s="193"/>
      <c r="V233" s="193"/>
      <c r="W233" s="193"/>
      <c r="X233" s="193"/>
      <c r="Y233" s="193"/>
      <c r="Z233" s="193"/>
      <c r="AA233" s="193"/>
      <c r="AB233" s="193"/>
      <c r="AC233" s="193"/>
      <c r="AD233" s="193"/>
      <c r="AE233" s="193"/>
      <c r="AF233" s="193"/>
      <c r="AG233" s="193"/>
      <c r="AH233" s="193"/>
      <c r="AI233" s="193"/>
      <c r="AJ233" s="193"/>
      <c r="AK233" s="193"/>
      <c r="AL233" s="193"/>
    </row>
    <row r="234" spans="7:38">
      <c r="G234" s="193"/>
      <c r="H234" s="193"/>
      <c r="I234" s="193"/>
      <c r="J234" s="193"/>
      <c r="K234" s="193"/>
      <c r="L234" s="193"/>
      <c r="M234" s="193"/>
      <c r="N234" s="193"/>
      <c r="O234" s="193"/>
      <c r="P234" s="193"/>
      <c r="Q234" s="193"/>
      <c r="R234" s="193"/>
      <c r="S234" s="193"/>
      <c r="T234" s="193"/>
      <c r="U234" s="193"/>
      <c r="V234" s="193"/>
      <c r="W234" s="193"/>
      <c r="X234" s="193"/>
      <c r="Y234" s="193"/>
      <c r="Z234" s="193"/>
      <c r="AA234" s="193"/>
      <c r="AB234" s="193"/>
      <c r="AC234" s="193"/>
      <c r="AD234" s="193"/>
      <c r="AE234" s="193"/>
      <c r="AF234" s="193"/>
      <c r="AG234" s="193"/>
      <c r="AH234" s="193"/>
      <c r="AI234" s="193"/>
      <c r="AJ234" s="193"/>
      <c r="AK234" s="193"/>
      <c r="AL234" s="193"/>
    </row>
    <row r="235" spans="7:38">
      <c r="G235" s="193"/>
      <c r="H235" s="193"/>
      <c r="I235" s="193"/>
      <c r="J235" s="193"/>
      <c r="K235" s="193"/>
      <c r="L235" s="193"/>
      <c r="M235" s="193"/>
      <c r="N235" s="193"/>
      <c r="O235" s="193"/>
      <c r="P235" s="193"/>
      <c r="Q235" s="193"/>
      <c r="R235" s="193"/>
      <c r="S235" s="193"/>
      <c r="T235" s="193"/>
      <c r="U235" s="193"/>
      <c r="V235" s="193"/>
      <c r="W235" s="193"/>
      <c r="X235" s="193"/>
      <c r="Y235" s="193"/>
      <c r="Z235" s="193"/>
      <c r="AA235" s="193"/>
      <c r="AB235" s="193"/>
      <c r="AC235" s="193"/>
      <c r="AD235" s="193"/>
      <c r="AE235" s="193"/>
      <c r="AF235" s="193"/>
      <c r="AG235" s="193"/>
      <c r="AH235" s="193"/>
      <c r="AI235" s="193"/>
      <c r="AJ235" s="193"/>
      <c r="AK235" s="193"/>
      <c r="AL235" s="193"/>
    </row>
    <row r="236" spans="7:38">
      <c r="G236" s="193"/>
      <c r="H236" s="193"/>
      <c r="I236" s="193"/>
      <c r="J236" s="193"/>
      <c r="K236" s="193"/>
      <c r="L236" s="193"/>
      <c r="M236" s="193"/>
      <c r="N236" s="193"/>
      <c r="O236" s="193"/>
      <c r="P236" s="193"/>
      <c r="Q236" s="193"/>
      <c r="R236" s="193"/>
      <c r="S236" s="193"/>
      <c r="T236" s="193"/>
      <c r="U236" s="193"/>
      <c r="V236" s="193"/>
      <c r="W236" s="193"/>
      <c r="X236" s="193"/>
      <c r="Y236" s="193"/>
      <c r="Z236" s="193"/>
      <c r="AA236" s="193"/>
      <c r="AB236" s="193"/>
      <c r="AC236" s="193"/>
      <c r="AD236" s="193"/>
      <c r="AE236" s="193"/>
      <c r="AF236" s="193"/>
      <c r="AG236" s="193"/>
      <c r="AH236" s="193"/>
      <c r="AI236" s="193"/>
      <c r="AJ236" s="193"/>
      <c r="AK236" s="193"/>
      <c r="AL236" s="193"/>
    </row>
    <row r="237" spans="7:38">
      <c r="G237" s="193"/>
      <c r="H237" s="193"/>
      <c r="I237" s="193"/>
      <c r="J237" s="193"/>
      <c r="K237" s="193"/>
      <c r="L237" s="193"/>
      <c r="M237" s="193"/>
      <c r="N237" s="193"/>
      <c r="O237" s="193"/>
      <c r="P237" s="193"/>
      <c r="Q237" s="193"/>
      <c r="R237" s="193"/>
      <c r="S237" s="193"/>
      <c r="T237" s="193"/>
      <c r="U237" s="193"/>
      <c r="V237" s="193"/>
      <c r="W237" s="193"/>
      <c r="X237" s="193"/>
      <c r="Y237" s="193"/>
      <c r="Z237" s="193"/>
      <c r="AA237" s="193"/>
      <c r="AB237" s="193"/>
      <c r="AC237" s="193"/>
      <c r="AD237" s="193"/>
      <c r="AE237" s="193"/>
      <c r="AF237" s="193"/>
      <c r="AG237" s="193"/>
      <c r="AH237" s="193"/>
      <c r="AI237" s="193"/>
      <c r="AJ237" s="193"/>
      <c r="AK237" s="193"/>
      <c r="AL237" s="193"/>
    </row>
    <row r="238" spans="7:38">
      <c r="G238" s="193"/>
      <c r="H238" s="193"/>
      <c r="I238" s="193"/>
      <c r="J238" s="193"/>
      <c r="K238" s="193"/>
      <c r="L238" s="193"/>
      <c r="M238" s="193"/>
      <c r="N238" s="193"/>
      <c r="O238" s="193"/>
      <c r="P238" s="193"/>
      <c r="Q238" s="193"/>
      <c r="R238" s="193"/>
      <c r="S238" s="193"/>
      <c r="T238" s="193"/>
      <c r="U238" s="193"/>
      <c r="V238" s="193"/>
      <c r="W238" s="193"/>
      <c r="X238" s="193"/>
      <c r="Y238" s="193"/>
      <c r="Z238" s="193"/>
      <c r="AA238" s="193"/>
      <c r="AB238" s="193"/>
      <c r="AC238" s="193"/>
      <c r="AD238" s="193"/>
      <c r="AE238" s="193"/>
      <c r="AF238" s="193"/>
      <c r="AG238" s="193"/>
      <c r="AH238" s="193"/>
      <c r="AI238" s="193"/>
      <c r="AJ238" s="193"/>
      <c r="AK238" s="193"/>
      <c r="AL238" s="193"/>
    </row>
    <row r="239" spans="7:38">
      <c r="G239" s="193"/>
      <c r="H239" s="193"/>
      <c r="I239" s="193"/>
      <c r="J239" s="193"/>
      <c r="K239" s="193"/>
      <c r="L239" s="193"/>
      <c r="M239" s="193"/>
      <c r="N239" s="193"/>
      <c r="O239" s="193"/>
      <c r="P239" s="193"/>
      <c r="Q239" s="193"/>
      <c r="R239" s="193"/>
      <c r="S239" s="193"/>
      <c r="T239" s="193"/>
      <c r="U239" s="193"/>
      <c r="V239" s="193"/>
      <c r="W239" s="193"/>
      <c r="X239" s="193"/>
      <c r="Y239" s="193"/>
      <c r="Z239" s="193"/>
      <c r="AA239" s="193"/>
      <c r="AB239" s="193"/>
      <c r="AC239" s="193"/>
      <c r="AD239" s="193"/>
      <c r="AE239" s="193"/>
      <c r="AF239" s="193"/>
      <c r="AG239" s="193"/>
      <c r="AH239" s="193"/>
      <c r="AI239" s="193"/>
      <c r="AJ239" s="193"/>
      <c r="AK239" s="193"/>
      <c r="AL239" s="193"/>
    </row>
    <row r="240" spans="7:38">
      <c r="G240" s="193"/>
      <c r="H240" s="193"/>
      <c r="I240" s="193"/>
      <c r="J240" s="193"/>
      <c r="K240" s="193"/>
      <c r="L240" s="193"/>
      <c r="M240" s="193"/>
      <c r="N240" s="193"/>
      <c r="O240" s="193"/>
      <c r="P240" s="193"/>
      <c r="Q240" s="193"/>
      <c r="R240" s="193"/>
      <c r="S240" s="193"/>
      <c r="T240" s="193"/>
      <c r="U240" s="193"/>
      <c r="V240" s="193"/>
      <c r="W240" s="193"/>
      <c r="X240" s="193"/>
      <c r="Y240" s="193"/>
      <c r="Z240" s="193"/>
      <c r="AA240" s="193"/>
      <c r="AB240" s="193"/>
      <c r="AC240" s="193"/>
      <c r="AD240" s="193"/>
      <c r="AE240" s="193"/>
      <c r="AF240" s="193"/>
      <c r="AG240" s="193"/>
      <c r="AH240" s="193"/>
      <c r="AI240" s="193"/>
      <c r="AJ240" s="193"/>
      <c r="AK240" s="193"/>
      <c r="AL240" s="193"/>
    </row>
    <row r="241" spans="7:38">
      <c r="G241" s="193"/>
      <c r="H241" s="193"/>
      <c r="I241" s="193"/>
      <c r="J241" s="193"/>
      <c r="K241" s="193"/>
      <c r="L241" s="193"/>
      <c r="M241" s="193"/>
      <c r="N241" s="193"/>
      <c r="O241" s="193"/>
      <c r="P241" s="193"/>
      <c r="Q241" s="193"/>
      <c r="R241" s="193"/>
      <c r="S241" s="193"/>
      <c r="T241" s="193"/>
      <c r="U241" s="193"/>
      <c r="V241" s="193"/>
      <c r="W241" s="193"/>
      <c r="X241" s="193"/>
      <c r="Y241" s="193"/>
      <c r="Z241" s="193"/>
      <c r="AA241" s="193"/>
      <c r="AB241" s="193"/>
      <c r="AC241" s="193"/>
      <c r="AD241" s="193"/>
      <c r="AE241" s="193"/>
      <c r="AF241" s="193"/>
      <c r="AG241" s="193"/>
      <c r="AH241" s="193"/>
      <c r="AI241" s="193"/>
      <c r="AJ241" s="193"/>
      <c r="AK241" s="193"/>
      <c r="AL241" s="193"/>
    </row>
    <row r="242" spans="7:38">
      <c r="G242" s="193"/>
      <c r="H242" s="193"/>
      <c r="I242" s="193"/>
      <c r="J242" s="193"/>
      <c r="K242" s="193"/>
      <c r="L242" s="193"/>
      <c r="M242" s="193"/>
      <c r="N242" s="193"/>
      <c r="O242" s="193"/>
      <c r="P242" s="193"/>
      <c r="Q242" s="193"/>
      <c r="R242" s="193"/>
      <c r="S242" s="193"/>
      <c r="T242" s="193"/>
      <c r="U242" s="193"/>
      <c r="V242" s="193"/>
      <c r="W242" s="193"/>
      <c r="X242" s="193"/>
      <c r="Y242" s="193"/>
      <c r="Z242" s="193"/>
      <c r="AA242" s="193"/>
      <c r="AB242" s="193"/>
      <c r="AC242" s="193"/>
      <c r="AD242" s="193"/>
      <c r="AE242" s="193"/>
      <c r="AF242" s="193"/>
      <c r="AG242" s="193"/>
      <c r="AH242" s="193"/>
      <c r="AI242" s="193"/>
      <c r="AJ242" s="193"/>
      <c r="AK242" s="193"/>
      <c r="AL242" s="193"/>
    </row>
    <row r="243" spans="7:38">
      <c r="G243" s="193"/>
      <c r="H243" s="193"/>
      <c r="I243" s="193"/>
      <c r="J243" s="193"/>
      <c r="K243" s="193"/>
      <c r="L243" s="193"/>
      <c r="M243" s="193"/>
      <c r="N243" s="193"/>
      <c r="O243" s="193"/>
      <c r="P243" s="193"/>
      <c r="Q243" s="193"/>
      <c r="R243" s="193"/>
      <c r="S243" s="193"/>
      <c r="T243" s="193"/>
      <c r="U243" s="193"/>
      <c r="V243" s="193"/>
      <c r="W243" s="193"/>
      <c r="X243" s="193"/>
      <c r="Y243" s="193"/>
      <c r="Z243" s="193"/>
      <c r="AA243" s="193"/>
      <c r="AB243" s="193"/>
      <c r="AC243" s="193"/>
      <c r="AD243" s="193"/>
      <c r="AE243" s="193"/>
      <c r="AF243" s="193"/>
      <c r="AG243" s="193"/>
      <c r="AH243" s="193"/>
      <c r="AI243" s="193"/>
      <c r="AJ243" s="193"/>
      <c r="AK243" s="193"/>
      <c r="AL243" s="193"/>
    </row>
    <row r="244" spans="7:38">
      <c r="G244" s="193"/>
      <c r="H244" s="193"/>
      <c r="I244" s="193"/>
      <c r="J244" s="193"/>
      <c r="K244" s="193"/>
      <c r="L244" s="193"/>
      <c r="M244" s="193"/>
      <c r="N244" s="193"/>
      <c r="O244" s="193"/>
      <c r="P244" s="193"/>
      <c r="Q244" s="193"/>
      <c r="R244" s="193"/>
      <c r="S244" s="193"/>
      <c r="T244" s="193"/>
      <c r="U244" s="193"/>
      <c r="V244" s="193"/>
      <c r="W244" s="193"/>
      <c r="X244" s="193"/>
      <c r="Y244" s="193"/>
      <c r="Z244" s="193"/>
      <c r="AA244" s="193"/>
      <c r="AB244" s="193"/>
      <c r="AC244" s="193"/>
      <c r="AD244" s="193"/>
      <c r="AE244" s="193"/>
      <c r="AF244" s="193"/>
      <c r="AG244" s="193"/>
      <c r="AH244" s="193"/>
      <c r="AI244" s="193"/>
      <c r="AJ244" s="193"/>
      <c r="AK244" s="193"/>
      <c r="AL244" s="193"/>
    </row>
    <row r="245" spans="7:38">
      <c r="G245" s="193"/>
      <c r="H245" s="193"/>
      <c r="I245" s="193"/>
      <c r="J245" s="193"/>
      <c r="K245" s="193"/>
      <c r="L245" s="193"/>
      <c r="M245" s="193"/>
      <c r="N245" s="193"/>
      <c r="O245" s="193"/>
      <c r="P245" s="193"/>
      <c r="Q245" s="193"/>
      <c r="R245" s="193"/>
      <c r="S245" s="193"/>
      <c r="T245" s="193"/>
      <c r="U245" s="193"/>
      <c r="V245" s="193"/>
      <c r="W245" s="193"/>
      <c r="X245" s="193"/>
      <c r="Y245" s="193"/>
      <c r="Z245" s="193"/>
      <c r="AA245" s="193"/>
      <c r="AB245" s="193"/>
      <c r="AC245" s="193"/>
      <c r="AD245" s="193"/>
      <c r="AE245" s="193"/>
      <c r="AF245" s="193"/>
      <c r="AG245" s="193"/>
      <c r="AH245" s="193"/>
      <c r="AI245" s="193"/>
      <c r="AJ245" s="193"/>
      <c r="AK245" s="193"/>
      <c r="AL245" s="193"/>
    </row>
    <row r="246" spans="7:38">
      <c r="G246" s="193"/>
      <c r="H246" s="193"/>
      <c r="I246" s="193"/>
      <c r="J246" s="193"/>
      <c r="K246" s="193"/>
      <c r="L246" s="193"/>
      <c r="M246" s="193"/>
      <c r="N246" s="193"/>
      <c r="O246" s="193"/>
      <c r="P246" s="193"/>
      <c r="Q246" s="193"/>
      <c r="R246" s="193"/>
      <c r="S246" s="193"/>
      <c r="T246" s="193"/>
      <c r="U246" s="193"/>
      <c r="V246" s="193"/>
      <c r="W246" s="193"/>
      <c r="X246" s="193"/>
      <c r="Y246" s="193"/>
      <c r="Z246" s="193"/>
      <c r="AA246" s="193"/>
      <c r="AB246" s="193"/>
      <c r="AC246" s="193"/>
      <c r="AD246" s="193"/>
      <c r="AE246" s="193"/>
      <c r="AF246" s="193"/>
      <c r="AG246" s="193"/>
      <c r="AH246" s="193"/>
      <c r="AI246" s="193"/>
      <c r="AJ246" s="193"/>
      <c r="AK246" s="193"/>
      <c r="AL246" s="193"/>
    </row>
    <row r="247" spans="7:38">
      <c r="G247" s="193"/>
      <c r="H247" s="193"/>
      <c r="I247" s="193"/>
      <c r="J247" s="193"/>
      <c r="K247" s="193"/>
      <c r="L247" s="193"/>
      <c r="M247" s="193"/>
      <c r="N247" s="193"/>
      <c r="O247" s="193"/>
      <c r="P247" s="193"/>
      <c r="Q247" s="193"/>
      <c r="R247" s="193"/>
      <c r="S247" s="193"/>
      <c r="T247" s="193"/>
      <c r="U247" s="193"/>
      <c r="V247" s="193"/>
      <c r="W247" s="193"/>
      <c r="X247" s="193"/>
      <c r="Y247" s="193"/>
      <c r="Z247" s="193"/>
      <c r="AA247" s="193"/>
      <c r="AB247" s="193"/>
      <c r="AC247" s="193"/>
      <c r="AD247" s="193"/>
      <c r="AE247" s="193"/>
      <c r="AF247" s="193"/>
      <c r="AG247" s="193"/>
      <c r="AH247" s="193"/>
      <c r="AI247" s="193"/>
      <c r="AJ247" s="193"/>
      <c r="AK247" s="193"/>
      <c r="AL247" s="193"/>
    </row>
    <row r="248" spans="7:38">
      <c r="G248" s="193"/>
      <c r="H248" s="193"/>
      <c r="I248" s="193"/>
      <c r="J248" s="193"/>
      <c r="K248" s="193"/>
      <c r="L248" s="193"/>
      <c r="M248" s="193"/>
      <c r="N248" s="193"/>
      <c r="O248" s="193"/>
      <c r="P248" s="193"/>
      <c r="Q248" s="193"/>
      <c r="R248" s="193"/>
      <c r="S248" s="193"/>
      <c r="T248" s="193"/>
      <c r="U248" s="193"/>
      <c r="V248" s="193"/>
      <c r="W248" s="193"/>
      <c r="X248" s="193"/>
      <c r="Y248" s="193"/>
      <c r="Z248" s="193"/>
      <c r="AA248" s="193"/>
      <c r="AB248" s="193"/>
      <c r="AC248" s="193"/>
      <c r="AD248" s="193"/>
      <c r="AE248" s="193"/>
      <c r="AF248" s="193"/>
      <c r="AG248" s="193"/>
      <c r="AH248" s="193"/>
      <c r="AI248" s="193"/>
      <c r="AJ248" s="193"/>
      <c r="AK248" s="193"/>
      <c r="AL248" s="193"/>
    </row>
    <row r="249" spans="7:38">
      <c r="G249" s="193"/>
      <c r="H249" s="193"/>
      <c r="I249" s="193"/>
      <c r="J249" s="193"/>
      <c r="K249" s="193"/>
      <c r="L249" s="193"/>
      <c r="M249" s="193"/>
      <c r="N249" s="193"/>
      <c r="O249" s="193"/>
      <c r="P249" s="193"/>
      <c r="Q249" s="193"/>
      <c r="R249" s="193"/>
      <c r="S249" s="193"/>
      <c r="T249" s="193"/>
      <c r="U249" s="193"/>
      <c r="V249" s="193"/>
      <c r="W249" s="193"/>
      <c r="X249" s="193"/>
      <c r="Y249" s="193"/>
      <c r="Z249" s="193"/>
      <c r="AA249" s="193"/>
      <c r="AB249" s="193"/>
      <c r="AC249" s="193"/>
      <c r="AD249" s="193"/>
      <c r="AE249" s="193"/>
      <c r="AF249" s="193"/>
      <c r="AG249" s="193"/>
      <c r="AH249" s="193"/>
      <c r="AI249" s="193"/>
      <c r="AJ249" s="193"/>
      <c r="AK249" s="193"/>
      <c r="AL249" s="193"/>
    </row>
    <row r="250" spans="7:38">
      <c r="G250" s="193"/>
      <c r="H250" s="193"/>
      <c r="I250" s="193"/>
      <c r="J250" s="193"/>
      <c r="K250" s="193"/>
      <c r="L250" s="193"/>
      <c r="M250" s="193"/>
      <c r="N250" s="193"/>
      <c r="O250" s="193"/>
      <c r="P250" s="193"/>
      <c r="Q250" s="193"/>
      <c r="R250" s="193"/>
      <c r="S250" s="193"/>
      <c r="T250" s="193"/>
      <c r="U250" s="193"/>
      <c r="V250" s="193"/>
      <c r="W250" s="193"/>
      <c r="X250" s="193"/>
      <c r="Y250" s="193"/>
      <c r="Z250" s="193"/>
      <c r="AA250" s="193"/>
      <c r="AB250" s="193"/>
      <c r="AC250" s="193"/>
      <c r="AD250" s="193"/>
      <c r="AE250" s="193"/>
      <c r="AF250" s="193"/>
      <c r="AG250" s="193"/>
      <c r="AH250" s="193"/>
      <c r="AI250" s="193"/>
      <c r="AJ250" s="193"/>
      <c r="AK250" s="193"/>
      <c r="AL250" s="193"/>
    </row>
    <row r="251" spans="7:38">
      <c r="G251" s="193"/>
      <c r="H251" s="193"/>
      <c r="I251" s="193"/>
      <c r="J251" s="193"/>
      <c r="K251" s="193"/>
      <c r="L251" s="193"/>
      <c r="M251" s="193"/>
      <c r="N251" s="193"/>
      <c r="O251" s="193"/>
      <c r="P251" s="193"/>
      <c r="Q251" s="193"/>
      <c r="R251" s="193"/>
      <c r="S251" s="193"/>
      <c r="T251" s="193"/>
      <c r="U251" s="193"/>
      <c r="V251" s="193"/>
      <c r="W251" s="193"/>
      <c r="X251" s="193"/>
      <c r="Y251" s="193"/>
      <c r="Z251" s="193"/>
      <c r="AA251" s="193"/>
      <c r="AB251" s="193"/>
      <c r="AC251" s="193"/>
      <c r="AD251" s="193"/>
      <c r="AE251" s="193"/>
      <c r="AF251" s="193"/>
      <c r="AG251" s="193"/>
      <c r="AH251" s="193"/>
      <c r="AI251" s="193"/>
      <c r="AJ251" s="193"/>
      <c r="AK251" s="193"/>
      <c r="AL251" s="193"/>
    </row>
    <row r="252" spans="7:38">
      <c r="G252" s="193"/>
      <c r="H252" s="193"/>
      <c r="I252" s="193"/>
      <c r="J252" s="193"/>
      <c r="K252" s="193"/>
      <c r="L252" s="193"/>
      <c r="M252" s="193"/>
      <c r="N252" s="193"/>
      <c r="O252" s="193"/>
      <c r="P252" s="193"/>
      <c r="Q252" s="193"/>
      <c r="R252" s="193"/>
      <c r="S252" s="193"/>
      <c r="T252" s="193"/>
      <c r="U252" s="193"/>
      <c r="V252" s="193"/>
      <c r="W252" s="193"/>
      <c r="X252" s="193"/>
      <c r="Y252" s="193"/>
      <c r="Z252" s="193"/>
      <c r="AA252" s="193"/>
      <c r="AB252" s="193"/>
      <c r="AC252" s="193"/>
      <c r="AD252" s="193"/>
      <c r="AE252" s="193"/>
      <c r="AF252" s="193"/>
      <c r="AG252" s="193"/>
      <c r="AH252" s="193"/>
      <c r="AI252" s="193"/>
      <c r="AJ252" s="193"/>
      <c r="AK252" s="193"/>
      <c r="AL252" s="193"/>
    </row>
    <row r="253" spans="7:38">
      <c r="G253" s="193"/>
      <c r="H253" s="193"/>
      <c r="I253" s="193"/>
      <c r="J253" s="193"/>
      <c r="K253" s="193"/>
      <c r="L253" s="193"/>
      <c r="M253" s="193"/>
      <c r="N253" s="193"/>
      <c r="O253" s="193"/>
      <c r="P253" s="193"/>
      <c r="Q253" s="193"/>
      <c r="R253" s="193"/>
      <c r="S253" s="193"/>
      <c r="T253" s="193"/>
      <c r="U253" s="193"/>
      <c r="V253" s="193"/>
      <c r="W253" s="193"/>
      <c r="X253" s="193"/>
      <c r="Y253" s="193"/>
      <c r="Z253" s="193"/>
      <c r="AA253" s="193"/>
      <c r="AB253" s="193"/>
      <c r="AC253" s="193"/>
      <c r="AD253" s="193"/>
      <c r="AE253" s="193"/>
      <c r="AF253" s="193"/>
      <c r="AG253" s="193"/>
      <c r="AH253" s="193"/>
      <c r="AI253" s="193"/>
      <c r="AJ253" s="193"/>
      <c r="AK253" s="193"/>
      <c r="AL253" s="193"/>
    </row>
    <row r="254" spans="7:38">
      <c r="G254" s="193"/>
      <c r="H254" s="193"/>
      <c r="I254" s="193"/>
      <c r="J254" s="193"/>
      <c r="K254" s="193"/>
      <c r="L254" s="193"/>
      <c r="M254" s="193"/>
      <c r="N254" s="193"/>
      <c r="O254" s="193"/>
      <c r="P254" s="193"/>
      <c r="Q254" s="193"/>
      <c r="R254" s="193"/>
      <c r="S254" s="193"/>
      <c r="T254" s="193"/>
      <c r="U254" s="193"/>
      <c r="V254" s="193"/>
      <c r="W254" s="193"/>
      <c r="X254" s="193"/>
      <c r="Y254" s="193"/>
      <c r="Z254" s="193"/>
      <c r="AA254" s="193"/>
      <c r="AB254" s="193"/>
      <c r="AC254" s="193"/>
      <c r="AD254" s="193"/>
      <c r="AE254" s="193"/>
      <c r="AF254" s="193"/>
      <c r="AG254" s="193"/>
      <c r="AH254" s="193"/>
      <c r="AI254" s="193"/>
      <c r="AJ254" s="193"/>
      <c r="AK254" s="193"/>
      <c r="AL254" s="193"/>
    </row>
    <row r="255" spans="7:38">
      <c r="G255" s="193"/>
      <c r="H255" s="193"/>
      <c r="I255" s="193"/>
      <c r="J255" s="193"/>
      <c r="K255" s="193"/>
      <c r="L255" s="193"/>
      <c r="M255" s="193"/>
      <c r="N255" s="193"/>
      <c r="O255" s="193"/>
      <c r="P255" s="193"/>
      <c r="Q255" s="193"/>
      <c r="R255" s="193"/>
      <c r="S255" s="193"/>
      <c r="T255" s="193"/>
      <c r="U255" s="193"/>
      <c r="V255" s="193"/>
      <c r="W255" s="193"/>
      <c r="X255" s="193"/>
      <c r="Y255" s="193"/>
      <c r="Z255" s="193"/>
      <c r="AA255" s="193"/>
      <c r="AB255" s="193"/>
      <c r="AC255" s="193"/>
      <c r="AD255" s="193"/>
      <c r="AE255" s="193"/>
      <c r="AF255" s="193"/>
      <c r="AG255" s="193"/>
      <c r="AH255" s="193"/>
      <c r="AI255" s="193"/>
      <c r="AJ255" s="193"/>
      <c r="AK255" s="193"/>
      <c r="AL255" s="193"/>
    </row>
    <row r="256" spans="7:38">
      <c r="G256" s="193"/>
      <c r="H256" s="193"/>
      <c r="I256" s="193"/>
      <c r="J256" s="193"/>
      <c r="K256" s="193"/>
      <c r="L256" s="193"/>
      <c r="M256" s="193"/>
      <c r="N256" s="193"/>
      <c r="O256" s="193"/>
      <c r="P256" s="193"/>
      <c r="Q256" s="193"/>
      <c r="R256" s="193"/>
      <c r="S256" s="193"/>
      <c r="T256" s="193"/>
      <c r="U256" s="193"/>
      <c r="V256" s="193"/>
      <c r="W256" s="193"/>
      <c r="X256" s="193"/>
      <c r="Y256" s="193"/>
      <c r="Z256" s="193"/>
      <c r="AA256" s="193"/>
      <c r="AB256" s="193"/>
      <c r="AC256" s="193"/>
      <c r="AD256" s="193"/>
      <c r="AE256" s="193"/>
      <c r="AF256" s="193"/>
      <c r="AG256" s="193"/>
      <c r="AH256" s="193"/>
      <c r="AI256" s="193"/>
      <c r="AJ256" s="193"/>
      <c r="AK256" s="193"/>
      <c r="AL256" s="193"/>
    </row>
    <row r="257" spans="7:38">
      <c r="G257" s="193"/>
      <c r="H257" s="193"/>
      <c r="I257" s="193"/>
      <c r="J257" s="193"/>
      <c r="K257" s="193"/>
      <c r="L257" s="193"/>
      <c r="M257" s="193"/>
      <c r="N257" s="193"/>
      <c r="O257" s="193"/>
      <c r="P257" s="193"/>
      <c r="Q257" s="193"/>
      <c r="R257" s="193"/>
      <c r="S257" s="193"/>
      <c r="T257" s="193"/>
      <c r="U257" s="193"/>
      <c r="V257" s="193"/>
      <c r="W257" s="193"/>
      <c r="X257" s="193"/>
      <c r="Y257" s="193"/>
      <c r="Z257" s="193"/>
      <c r="AA257" s="193"/>
      <c r="AB257" s="193"/>
      <c r="AC257" s="193"/>
      <c r="AD257" s="193"/>
      <c r="AE257" s="193"/>
      <c r="AF257" s="193"/>
      <c r="AG257" s="193"/>
      <c r="AH257" s="193"/>
      <c r="AI257" s="193"/>
      <c r="AJ257" s="193"/>
      <c r="AK257" s="193"/>
      <c r="AL257" s="193"/>
    </row>
    <row r="258" spans="7:38">
      <c r="G258" s="193"/>
      <c r="H258" s="193"/>
      <c r="I258" s="193"/>
      <c r="J258" s="193"/>
      <c r="K258" s="193"/>
      <c r="L258" s="193"/>
      <c r="M258" s="193"/>
      <c r="N258" s="193"/>
      <c r="O258" s="193"/>
      <c r="P258" s="193"/>
      <c r="Q258" s="193"/>
      <c r="R258" s="193"/>
      <c r="S258" s="193"/>
      <c r="T258" s="193"/>
      <c r="U258" s="193"/>
      <c r="V258" s="193"/>
      <c r="W258" s="193"/>
      <c r="X258" s="193"/>
      <c r="Y258" s="193"/>
      <c r="Z258" s="193"/>
      <c r="AA258" s="193"/>
      <c r="AB258" s="193"/>
      <c r="AC258" s="193"/>
      <c r="AD258" s="193"/>
      <c r="AE258" s="193"/>
      <c r="AF258" s="193"/>
      <c r="AG258" s="193"/>
      <c r="AH258" s="193"/>
      <c r="AI258" s="193"/>
      <c r="AJ258" s="193"/>
      <c r="AK258" s="193"/>
      <c r="AL258" s="193"/>
    </row>
    <row r="259" spans="7:38">
      <c r="G259" s="193"/>
      <c r="H259" s="193"/>
      <c r="I259" s="193"/>
      <c r="J259" s="193"/>
      <c r="K259" s="193"/>
      <c r="L259" s="193"/>
      <c r="M259" s="193"/>
      <c r="N259" s="193"/>
      <c r="O259" s="193"/>
      <c r="P259" s="193"/>
      <c r="Q259" s="193"/>
      <c r="R259" s="193"/>
      <c r="S259" s="193"/>
      <c r="T259" s="193"/>
      <c r="U259" s="193"/>
      <c r="V259" s="193"/>
      <c r="W259" s="193"/>
      <c r="X259" s="193"/>
      <c r="Y259" s="193"/>
      <c r="Z259" s="193"/>
      <c r="AA259" s="193"/>
      <c r="AB259" s="193"/>
      <c r="AC259" s="193"/>
      <c r="AD259" s="193"/>
      <c r="AE259" s="193"/>
      <c r="AF259" s="193"/>
      <c r="AG259" s="193"/>
      <c r="AH259" s="193"/>
      <c r="AI259" s="193"/>
      <c r="AJ259" s="193"/>
      <c r="AK259" s="193"/>
      <c r="AL259" s="193"/>
    </row>
    <row r="260" spans="7:38">
      <c r="G260" s="193"/>
      <c r="H260" s="193"/>
      <c r="I260" s="193"/>
      <c r="J260" s="193"/>
      <c r="K260" s="193"/>
      <c r="L260" s="193"/>
      <c r="M260" s="193"/>
      <c r="N260" s="193"/>
      <c r="O260" s="193"/>
      <c r="P260" s="193"/>
      <c r="Q260" s="193"/>
      <c r="R260" s="193"/>
      <c r="S260" s="193"/>
      <c r="T260" s="193"/>
      <c r="U260" s="193"/>
      <c r="V260" s="193"/>
      <c r="W260" s="193"/>
      <c r="X260" s="193"/>
      <c r="Y260" s="193"/>
      <c r="Z260" s="193"/>
      <c r="AA260" s="193"/>
      <c r="AB260" s="193"/>
      <c r="AC260" s="193"/>
      <c r="AD260" s="193"/>
      <c r="AE260" s="193"/>
      <c r="AF260" s="193"/>
      <c r="AG260" s="193"/>
      <c r="AH260" s="193"/>
      <c r="AI260" s="193"/>
      <c r="AJ260" s="193"/>
      <c r="AK260" s="193"/>
      <c r="AL260" s="193"/>
    </row>
    <row r="261" spans="7:38">
      <c r="G261" s="193"/>
      <c r="H261" s="193"/>
      <c r="I261" s="193"/>
      <c r="J261" s="193"/>
      <c r="K261" s="193"/>
      <c r="L261" s="193"/>
      <c r="M261" s="193"/>
      <c r="N261" s="193"/>
      <c r="O261" s="193"/>
      <c r="P261" s="193"/>
      <c r="Q261" s="193"/>
      <c r="R261" s="193"/>
      <c r="S261" s="193"/>
      <c r="T261" s="193"/>
      <c r="U261" s="193"/>
      <c r="V261" s="193"/>
      <c r="W261" s="193"/>
      <c r="X261" s="193"/>
      <c r="Y261" s="193"/>
      <c r="Z261" s="193"/>
      <c r="AA261" s="193"/>
      <c r="AB261" s="193"/>
      <c r="AC261" s="193"/>
      <c r="AD261" s="193"/>
      <c r="AE261" s="193"/>
      <c r="AF261" s="193"/>
      <c r="AG261" s="193"/>
      <c r="AH261" s="193"/>
      <c r="AI261" s="193"/>
      <c r="AJ261" s="193"/>
      <c r="AK261" s="193"/>
      <c r="AL261" s="193"/>
    </row>
    <row r="262" spans="7:38">
      <c r="G262" s="193"/>
      <c r="H262" s="193"/>
      <c r="I262" s="193"/>
      <c r="J262" s="193"/>
      <c r="K262" s="193"/>
      <c r="L262" s="193"/>
      <c r="M262" s="193"/>
      <c r="N262" s="193"/>
      <c r="O262" s="193"/>
      <c r="P262" s="193"/>
      <c r="Q262" s="193"/>
      <c r="R262" s="193"/>
      <c r="S262" s="193"/>
      <c r="T262" s="193"/>
      <c r="U262" s="193"/>
      <c r="V262" s="193"/>
      <c r="W262" s="193"/>
      <c r="X262" s="193"/>
      <c r="Y262" s="193"/>
      <c r="Z262" s="193"/>
      <c r="AA262" s="193"/>
      <c r="AB262" s="193"/>
      <c r="AC262" s="193"/>
      <c r="AD262" s="193"/>
      <c r="AE262" s="193"/>
      <c r="AF262" s="193"/>
      <c r="AG262" s="193"/>
      <c r="AH262" s="193"/>
      <c r="AI262" s="193"/>
      <c r="AJ262" s="193"/>
      <c r="AK262" s="193"/>
      <c r="AL262" s="193"/>
    </row>
    <row r="263" spans="7:38">
      <c r="G263" s="193"/>
      <c r="H263" s="193"/>
      <c r="I263" s="193"/>
      <c r="J263" s="193"/>
      <c r="K263" s="193"/>
      <c r="L263" s="193"/>
      <c r="M263" s="193"/>
      <c r="N263" s="193"/>
      <c r="O263" s="193"/>
      <c r="P263" s="193"/>
      <c r="Q263" s="193"/>
      <c r="R263" s="193"/>
      <c r="S263" s="193"/>
      <c r="T263" s="193"/>
      <c r="U263" s="193"/>
      <c r="V263" s="193"/>
      <c r="W263" s="193"/>
      <c r="X263" s="193"/>
      <c r="Y263" s="193"/>
      <c r="Z263" s="193"/>
      <c r="AA263" s="193"/>
      <c r="AB263" s="193"/>
      <c r="AC263" s="193"/>
      <c r="AD263" s="193"/>
      <c r="AE263" s="193"/>
      <c r="AF263" s="193"/>
      <c r="AG263" s="193"/>
      <c r="AH263" s="193"/>
      <c r="AI263" s="193"/>
      <c r="AJ263" s="193"/>
      <c r="AK263" s="193"/>
      <c r="AL263" s="193"/>
    </row>
    <row r="264" spans="7:38">
      <c r="G264" s="193"/>
      <c r="H264" s="193"/>
      <c r="I264" s="193"/>
      <c r="J264" s="193"/>
      <c r="K264" s="193"/>
      <c r="L264" s="193"/>
      <c r="M264" s="193"/>
      <c r="N264" s="193"/>
      <c r="O264" s="193"/>
      <c r="P264" s="193"/>
      <c r="Q264" s="193"/>
      <c r="R264" s="193"/>
      <c r="S264" s="193"/>
      <c r="T264" s="193"/>
      <c r="U264" s="193"/>
      <c r="V264" s="193"/>
      <c r="W264" s="193"/>
      <c r="X264" s="193"/>
      <c r="Y264" s="193"/>
      <c r="Z264" s="193"/>
      <c r="AA264" s="193"/>
      <c r="AB264" s="193"/>
      <c r="AC264" s="193"/>
      <c r="AD264" s="193"/>
      <c r="AE264" s="193"/>
      <c r="AF264" s="193"/>
      <c r="AG264" s="193"/>
      <c r="AH264" s="193"/>
      <c r="AI264" s="193"/>
      <c r="AJ264" s="193"/>
      <c r="AK264" s="193"/>
      <c r="AL264" s="193"/>
    </row>
    <row r="265" spans="7:38">
      <c r="G265" s="193"/>
      <c r="H265" s="193"/>
      <c r="I265" s="193"/>
      <c r="J265" s="193"/>
      <c r="K265" s="193"/>
      <c r="L265" s="193"/>
      <c r="M265" s="193"/>
      <c r="N265" s="193"/>
      <c r="O265" s="193"/>
      <c r="P265" s="193"/>
      <c r="Q265" s="193"/>
      <c r="R265" s="193"/>
      <c r="S265" s="193"/>
      <c r="T265" s="193"/>
      <c r="U265" s="193"/>
      <c r="V265" s="193"/>
      <c r="W265" s="193"/>
      <c r="X265" s="193"/>
      <c r="Y265" s="193"/>
      <c r="Z265" s="193"/>
      <c r="AA265" s="193"/>
      <c r="AB265" s="193"/>
      <c r="AC265" s="193"/>
      <c r="AD265" s="193"/>
      <c r="AE265" s="193"/>
      <c r="AF265" s="193"/>
      <c r="AG265" s="193"/>
      <c r="AH265" s="193"/>
      <c r="AI265" s="193"/>
      <c r="AJ265" s="193"/>
      <c r="AK265" s="193"/>
      <c r="AL265" s="193"/>
    </row>
    <row r="266" spans="7:38">
      <c r="G266" s="193"/>
      <c r="H266" s="193"/>
      <c r="I266" s="193"/>
      <c r="J266" s="193"/>
      <c r="K266" s="193"/>
      <c r="L266" s="193"/>
      <c r="M266" s="193"/>
      <c r="N266" s="193"/>
      <c r="O266" s="193"/>
      <c r="P266" s="193"/>
      <c r="Q266" s="193"/>
      <c r="R266" s="193"/>
      <c r="S266" s="193"/>
      <c r="T266" s="193"/>
      <c r="U266" s="193"/>
      <c r="V266" s="193"/>
      <c r="W266" s="193"/>
      <c r="X266" s="193"/>
      <c r="Y266" s="193"/>
      <c r="Z266" s="193"/>
      <c r="AA266" s="193"/>
      <c r="AB266" s="193"/>
      <c r="AC266" s="193"/>
      <c r="AD266" s="193"/>
      <c r="AE266" s="193"/>
      <c r="AF266" s="193"/>
      <c r="AG266" s="193"/>
      <c r="AH266" s="193"/>
      <c r="AI266" s="193"/>
      <c r="AJ266" s="193"/>
      <c r="AK266" s="193"/>
      <c r="AL266" s="193"/>
    </row>
    <row r="267" spans="7:38">
      <c r="G267" s="193"/>
      <c r="H267" s="193"/>
      <c r="I267" s="193"/>
      <c r="J267" s="193"/>
      <c r="K267" s="193"/>
      <c r="L267" s="193"/>
      <c r="M267" s="193"/>
      <c r="N267" s="193"/>
      <c r="O267" s="193"/>
      <c r="P267" s="193"/>
      <c r="Q267" s="193"/>
      <c r="R267" s="193"/>
      <c r="S267" s="193"/>
      <c r="T267" s="193"/>
      <c r="U267" s="193"/>
      <c r="V267" s="193"/>
      <c r="W267" s="193"/>
      <c r="X267" s="193"/>
      <c r="Y267" s="193"/>
      <c r="Z267" s="193"/>
      <c r="AA267" s="193"/>
      <c r="AB267" s="193"/>
      <c r="AC267" s="193"/>
      <c r="AD267" s="193"/>
      <c r="AE267" s="193"/>
      <c r="AF267" s="193"/>
      <c r="AG267" s="193"/>
      <c r="AH267" s="193"/>
      <c r="AI267" s="193"/>
      <c r="AJ267" s="193"/>
      <c r="AK267" s="193"/>
      <c r="AL267" s="193"/>
    </row>
    <row r="268" spans="7:38">
      <c r="G268" s="193"/>
      <c r="H268" s="193"/>
      <c r="I268" s="193"/>
      <c r="J268" s="193"/>
      <c r="K268" s="193"/>
      <c r="L268" s="193"/>
      <c r="M268" s="193"/>
      <c r="N268" s="193"/>
      <c r="O268" s="193"/>
      <c r="P268" s="193"/>
      <c r="Q268" s="193"/>
      <c r="R268" s="193"/>
      <c r="S268" s="193"/>
      <c r="T268" s="193"/>
      <c r="U268" s="193"/>
      <c r="V268" s="193"/>
      <c r="W268" s="193"/>
      <c r="X268" s="193"/>
      <c r="Y268" s="193"/>
      <c r="Z268" s="193"/>
      <c r="AA268" s="193"/>
      <c r="AB268" s="193"/>
      <c r="AC268" s="193"/>
      <c r="AD268" s="193"/>
      <c r="AE268" s="193"/>
      <c r="AF268" s="193"/>
      <c r="AG268" s="193"/>
      <c r="AH268" s="193"/>
      <c r="AI268" s="193"/>
      <c r="AJ268" s="193"/>
      <c r="AK268" s="193"/>
      <c r="AL268" s="193"/>
    </row>
    <row r="269" spans="7:38">
      <c r="G269" s="193"/>
      <c r="H269" s="193"/>
      <c r="I269" s="193"/>
      <c r="J269" s="193"/>
      <c r="K269" s="193"/>
      <c r="L269" s="193"/>
      <c r="M269" s="193"/>
      <c r="N269" s="193"/>
      <c r="O269" s="193"/>
      <c r="P269" s="193"/>
      <c r="Q269" s="193"/>
      <c r="R269" s="193"/>
      <c r="S269" s="193"/>
      <c r="T269" s="193"/>
      <c r="U269" s="193"/>
      <c r="V269" s="193"/>
      <c r="W269" s="193"/>
      <c r="X269" s="193"/>
      <c r="Y269" s="193"/>
      <c r="Z269" s="193"/>
      <c r="AA269" s="193"/>
      <c r="AB269" s="193"/>
      <c r="AC269" s="193"/>
      <c r="AD269" s="193"/>
      <c r="AE269" s="193"/>
      <c r="AF269" s="193"/>
      <c r="AG269" s="193"/>
      <c r="AH269" s="193"/>
      <c r="AI269" s="193"/>
      <c r="AJ269" s="193"/>
      <c r="AK269" s="193"/>
      <c r="AL269" s="193"/>
    </row>
    <row r="270" spans="7:38">
      <c r="G270" s="193"/>
      <c r="H270" s="193"/>
      <c r="I270" s="193"/>
      <c r="J270" s="193"/>
      <c r="K270" s="193"/>
      <c r="L270" s="193"/>
      <c r="M270" s="193"/>
      <c r="N270" s="193"/>
      <c r="O270" s="193"/>
      <c r="P270" s="193"/>
      <c r="Q270" s="193"/>
      <c r="R270" s="193"/>
      <c r="S270" s="193"/>
      <c r="T270" s="193"/>
      <c r="U270" s="193"/>
      <c r="V270" s="193"/>
      <c r="W270" s="193"/>
      <c r="X270" s="193"/>
      <c r="Y270" s="193"/>
      <c r="Z270" s="193"/>
      <c r="AA270" s="193"/>
      <c r="AB270" s="193"/>
      <c r="AC270" s="193"/>
      <c r="AD270" s="193"/>
      <c r="AE270" s="193"/>
      <c r="AF270" s="193"/>
      <c r="AG270" s="193"/>
      <c r="AH270" s="193"/>
      <c r="AI270" s="193"/>
      <c r="AJ270" s="193"/>
      <c r="AK270" s="193"/>
      <c r="AL270" s="193"/>
    </row>
    <row r="271" spans="7:38">
      <c r="G271" s="193"/>
      <c r="H271" s="193"/>
      <c r="I271" s="193"/>
      <c r="J271" s="193"/>
      <c r="K271" s="193"/>
      <c r="L271" s="193"/>
      <c r="M271" s="193"/>
      <c r="N271" s="193"/>
      <c r="O271" s="193"/>
      <c r="P271" s="193"/>
      <c r="Q271" s="193"/>
      <c r="R271" s="193"/>
      <c r="S271" s="193"/>
      <c r="T271" s="193"/>
      <c r="U271" s="193"/>
      <c r="V271" s="193"/>
      <c r="W271" s="193"/>
      <c r="X271" s="193"/>
      <c r="Y271" s="193"/>
      <c r="Z271" s="193"/>
      <c r="AA271" s="193"/>
      <c r="AB271" s="193"/>
      <c r="AC271" s="193"/>
      <c r="AD271" s="193"/>
      <c r="AE271" s="193"/>
      <c r="AF271" s="193"/>
      <c r="AG271" s="193"/>
      <c r="AH271" s="193"/>
      <c r="AI271" s="193"/>
      <c r="AJ271" s="193"/>
      <c r="AK271" s="193"/>
      <c r="AL271" s="193"/>
    </row>
    <row r="272" spans="7:38">
      <c r="G272" s="193"/>
      <c r="H272" s="193"/>
      <c r="I272" s="193"/>
      <c r="J272" s="193"/>
      <c r="K272" s="193"/>
      <c r="L272" s="193"/>
      <c r="M272" s="193"/>
      <c r="N272" s="193"/>
      <c r="O272" s="193"/>
      <c r="P272" s="193"/>
      <c r="Q272" s="193"/>
      <c r="R272" s="193"/>
      <c r="S272" s="193"/>
      <c r="T272" s="193"/>
      <c r="U272" s="193"/>
      <c r="V272" s="193"/>
      <c r="W272" s="193"/>
      <c r="X272" s="193"/>
      <c r="Y272" s="193"/>
      <c r="Z272" s="193"/>
      <c r="AA272" s="193"/>
      <c r="AB272" s="193"/>
      <c r="AC272" s="193"/>
      <c r="AD272" s="193"/>
      <c r="AE272" s="193"/>
      <c r="AF272" s="193"/>
      <c r="AG272" s="193"/>
      <c r="AH272" s="193"/>
      <c r="AI272" s="193"/>
      <c r="AJ272" s="193"/>
      <c r="AK272" s="193"/>
      <c r="AL272" s="193"/>
    </row>
    <row r="273" spans="7:38">
      <c r="G273" s="193"/>
      <c r="H273" s="193"/>
      <c r="I273" s="193"/>
      <c r="J273" s="193"/>
      <c r="K273" s="193"/>
      <c r="L273" s="193"/>
      <c r="M273" s="193"/>
      <c r="N273" s="193"/>
      <c r="O273" s="193"/>
      <c r="P273" s="193"/>
      <c r="Q273" s="193"/>
      <c r="R273" s="193"/>
      <c r="S273" s="193"/>
      <c r="T273" s="193"/>
      <c r="U273" s="193"/>
      <c r="V273" s="193"/>
      <c r="W273" s="193"/>
      <c r="X273" s="193"/>
      <c r="Y273" s="193"/>
      <c r="Z273" s="193"/>
      <c r="AA273" s="193"/>
      <c r="AB273" s="193"/>
      <c r="AC273" s="193"/>
      <c r="AD273" s="193"/>
      <c r="AE273" s="193"/>
      <c r="AF273" s="193"/>
      <c r="AG273" s="193"/>
      <c r="AH273" s="193"/>
      <c r="AI273" s="193"/>
      <c r="AJ273" s="193"/>
      <c r="AK273" s="193"/>
      <c r="AL273" s="193"/>
    </row>
    <row r="274" spans="7:38">
      <c r="G274" s="193"/>
      <c r="H274" s="193"/>
      <c r="I274" s="193"/>
      <c r="J274" s="193"/>
      <c r="K274" s="193"/>
      <c r="L274" s="193"/>
      <c r="M274" s="193"/>
      <c r="N274" s="193"/>
      <c r="O274" s="193"/>
      <c r="P274" s="193"/>
      <c r="Q274" s="193"/>
      <c r="R274" s="193"/>
      <c r="S274" s="193"/>
      <c r="T274" s="193"/>
      <c r="U274" s="193"/>
      <c r="V274" s="193"/>
      <c r="W274" s="193"/>
      <c r="X274" s="193"/>
      <c r="Y274" s="193"/>
      <c r="Z274" s="193"/>
      <c r="AA274" s="193"/>
      <c r="AB274" s="193"/>
      <c r="AC274" s="193"/>
      <c r="AD274" s="193"/>
      <c r="AE274" s="193"/>
      <c r="AF274" s="193"/>
      <c r="AG274" s="193"/>
      <c r="AH274" s="193"/>
      <c r="AI274" s="193"/>
      <c r="AJ274" s="193"/>
      <c r="AK274" s="193"/>
      <c r="AL274" s="193"/>
    </row>
    <row r="275" spans="7:38">
      <c r="G275" s="193"/>
      <c r="H275" s="193"/>
      <c r="I275" s="193"/>
      <c r="J275" s="193"/>
      <c r="K275" s="193"/>
      <c r="L275" s="193"/>
      <c r="M275" s="193"/>
      <c r="N275" s="193"/>
      <c r="O275" s="193"/>
      <c r="P275" s="193"/>
      <c r="Q275" s="193"/>
      <c r="R275" s="193"/>
      <c r="S275" s="193"/>
      <c r="T275" s="193"/>
      <c r="U275" s="193"/>
      <c r="V275" s="193"/>
      <c r="W275" s="193"/>
      <c r="X275" s="193"/>
      <c r="Y275" s="193"/>
      <c r="Z275" s="193"/>
      <c r="AA275" s="193"/>
      <c r="AB275" s="193"/>
      <c r="AC275" s="193"/>
      <c r="AD275" s="193"/>
      <c r="AE275" s="193"/>
      <c r="AF275" s="193"/>
      <c r="AG275" s="193"/>
      <c r="AH275" s="193"/>
      <c r="AI275" s="193"/>
      <c r="AJ275" s="193"/>
      <c r="AK275" s="193"/>
      <c r="AL275" s="193"/>
    </row>
    <row r="276" spans="7:38">
      <c r="G276" s="193"/>
      <c r="H276" s="193"/>
      <c r="I276" s="193"/>
      <c r="J276" s="193"/>
      <c r="K276" s="193"/>
      <c r="L276" s="193"/>
      <c r="M276" s="193"/>
      <c r="N276" s="193"/>
      <c r="O276" s="193"/>
      <c r="P276" s="193"/>
      <c r="Q276" s="193"/>
      <c r="R276" s="193"/>
      <c r="S276" s="193"/>
      <c r="T276" s="193"/>
      <c r="U276" s="193"/>
      <c r="V276" s="193"/>
      <c r="W276" s="193"/>
      <c r="X276" s="193"/>
      <c r="Y276" s="193"/>
      <c r="Z276" s="193"/>
      <c r="AA276" s="193"/>
      <c r="AB276" s="193"/>
      <c r="AC276" s="193"/>
      <c r="AD276" s="193"/>
      <c r="AE276" s="193"/>
      <c r="AF276" s="193"/>
      <c r="AG276" s="193"/>
      <c r="AH276" s="193"/>
      <c r="AI276" s="193"/>
      <c r="AJ276" s="193"/>
      <c r="AK276" s="193"/>
      <c r="AL276" s="193"/>
    </row>
    <row r="277" spans="7:38">
      <c r="G277" s="193"/>
      <c r="H277" s="193"/>
      <c r="I277" s="193"/>
      <c r="J277" s="193"/>
      <c r="K277" s="193"/>
      <c r="L277" s="193"/>
      <c r="M277" s="193"/>
      <c r="N277" s="193"/>
      <c r="O277" s="193"/>
      <c r="P277" s="193"/>
      <c r="Q277" s="193"/>
      <c r="R277" s="193"/>
      <c r="S277" s="193"/>
      <c r="T277" s="193"/>
      <c r="U277" s="193"/>
      <c r="V277" s="193"/>
      <c r="W277" s="193"/>
      <c r="X277" s="193"/>
      <c r="Y277" s="193"/>
      <c r="Z277" s="193"/>
      <c r="AA277" s="193"/>
      <c r="AB277" s="193"/>
      <c r="AC277" s="193"/>
      <c r="AD277" s="193"/>
      <c r="AE277" s="193"/>
      <c r="AF277" s="193"/>
      <c r="AG277" s="193"/>
      <c r="AH277" s="193"/>
      <c r="AI277" s="193"/>
      <c r="AJ277" s="193"/>
      <c r="AK277" s="193"/>
      <c r="AL277" s="193"/>
    </row>
    <row r="278" spans="7:38">
      <c r="G278" s="193"/>
      <c r="H278" s="193"/>
      <c r="I278" s="193"/>
      <c r="J278" s="193"/>
      <c r="K278" s="193"/>
      <c r="L278" s="193"/>
      <c r="M278" s="193"/>
      <c r="N278" s="193"/>
      <c r="O278" s="193"/>
      <c r="P278" s="193"/>
      <c r="Q278" s="193"/>
      <c r="R278" s="193"/>
      <c r="S278" s="193"/>
      <c r="T278" s="193"/>
      <c r="U278" s="193"/>
      <c r="V278" s="193"/>
      <c r="W278" s="193"/>
      <c r="X278" s="193"/>
      <c r="Y278" s="193"/>
      <c r="Z278" s="193"/>
      <c r="AA278" s="193"/>
      <c r="AB278" s="193"/>
      <c r="AC278" s="193"/>
      <c r="AD278" s="193"/>
      <c r="AE278" s="193"/>
      <c r="AF278" s="193"/>
      <c r="AG278" s="193"/>
      <c r="AH278" s="193"/>
      <c r="AI278" s="193"/>
      <c r="AJ278" s="193"/>
      <c r="AK278" s="193"/>
      <c r="AL278" s="193"/>
    </row>
    <row r="279" spans="7:38">
      <c r="G279" s="193"/>
      <c r="H279" s="193"/>
      <c r="I279" s="193"/>
      <c r="J279" s="193"/>
      <c r="K279" s="193"/>
      <c r="L279" s="193"/>
      <c r="M279" s="193"/>
      <c r="N279" s="193"/>
      <c r="O279" s="193"/>
      <c r="P279" s="193"/>
      <c r="Q279" s="193"/>
      <c r="R279" s="193"/>
      <c r="S279" s="193"/>
      <c r="T279" s="193"/>
      <c r="U279" s="193"/>
      <c r="V279" s="193"/>
      <c r="W279" s="193"/>
      <c r="X279" s="193"/>
      <c r="Y279" s="193"/>
      <c r="Z279" s="193"/>
      <c r="AA279" s="193"/>
      <c r="AB279" s="193"/>
      <c r="AC279" s="193"/>
      <c r="AD279" s="193"/>
      <c r="AE279" s="193"/>
      <c r="AF279" s="193"/>
      <c r="AG279" s="193"/>
      <c r="AH279" s="193"/>
      <c r="AI279" s="193"/>
      <c r="AJ279" s="193"/>
      <c r="AK279" s="193"/>
      <c r="AL279" s="193"/>
    </row>
    <row r="280" spans="7:38">
      <c r="G280" s="193"/>
      <c r="H280" s="193"/>
      <c r="I280" s="193"/>
      <c r="J280" s="193"/>
      <c r="K280" s="193"/>
      <c r="L280" s="193"/>
      <c r="M280" s="193"/>
      <c r="N280" s="193"/>
      <c r="O280" s="193"/>
      <c r="P280" s="193"/>
      <c r="Q280" s="193"/>
      <c r="R280" s="193"/>
      <c r="S280" s="193"/>
      <c r="T280" s="193"/>
      <c r="U280" s="193"/>
      <c r="V280" s="193"/>
      <c r="W280" s="193"/>
      <c r="X280" s="193"/>
      <c r="Y280" s="193"/>
      <c r="Z280" s="193"/>
      <c r="AA280" s="193"/>
      <c r="AB280" s="193"/>
      <c r="AC280" s="193"/>
      <c r="AD280" s="193"/>
      <c r="AE280" s="193"/>
      <c r="AF280" s="193"/>
      <c r="AG280" s="193"/>
      <c r="AH280" s="193"/>
      <c r="AI280" s="193"/>
      <c r="AJ280" s="193"/>
      <c r="AK280" s="193"/>
      <c r="AL280" s="193"/>
    </row>
    <row r="281" spans="7:38">
      <c r="G281" s="193"/>
      <c r="H281" s="193"/>
      <c r="I281" s="193"/>
      <c r="J281" s="193"/>
      <c r="K281" s="193"/>
      <c r="L281" s="193"/>
      <c r="M281" s="193"/>
      <c r="N281" s="193"/>
      <c r="O281" s="193"/>
      <c r="P281" s="193"/>
      <c r="Q281" s="193"/>
      <c r="R281" s="193"/>
      <c r="S281" s="193"/>
      <c r="T281" s="193"/>
      <c r="U281" s="193"/>
      <c r="V281" s="193"/>
      <c r="W281" s="193"/>
      <c r="X281" s="193"/>
      <c r="Y281" s="193"/>
      <c r="Z281" s="193"/>
      <c r="AA281" s="193"/>
      <c r="AB281" s="193"/>
      <c r="AC281" s="193"/>
      <c r="AD281" s="193"/>
      <c r="AE281" s="193"/>
      <c r="AF281" s="193"/>
      <c r="AG281" s="193"/>
      <c r="AH281" s="193"/>
      <c r="AI281" s="193"/>
      <c r="AJ281" s="193"/>
      <c r="AK281" s="193"/>
      <c r="AL281" s="193"/>
    </row>
    <row r="282" spans="7:38">
      <c r="G282" s="193"/>
      <c r="H282" s="193"/>
      <c r="I282" s="193"/>
      <c r="J282" s="193"/>
      <c r="K282" s="193"/>
      <c r="L282" s="193"/>
      <c r="M282" s="193"/>
      <c r="N282" s="193"/>
      <c r="O282" s="193"/>
      <c r="P282" s="193"/>
      <c r="Q282" s="193"/>
      <c r="R282" s="193"/>
      <c r="S282" s="193"/>
      <c r="T282" s="193"/>
      <c r="U282" s="193"/>
      <c r="V282" s="193"/>
      <c r="W282" s="193"/>
      <c r="X282" s="193"/>
      <c r="Y282" s="193"/>
      <c r="Z282" s="193"/>
      <c r="AA282" s="193"/>
      <c r="AB282" s="193"/>
      <c r="AC282" s="193"/>
      <c r="AD282" s="193"/>
      <c r="AE282" s="193"/>
      <c r="AF282" s="193"/>
      <c r="AG282" s="193"/>
      <c r="AH282" s="193"/>
      <c r="AI282" s="193"/>
      <c r="AJ282" s="193"/>
      <c r="AK282" s="193"/>
      <c r="AL282" s="193"/>
    </row>
    <row r="283" spans="7:38">
      <c r="G283" s="193"/>
      <c r="H283" s="193"/>
      <c r="I283" s="193"/>
      <c r="J283" s="193"/>
      <c r="K283" s="193"/>
      <c r="L283" s="193"/>
      <c r="M283" s="193"/>
      <c r="N283" s="193"/>
      <c r="O283" s="193"/>
      <c r="P283" s="193"/>
      <c r="Q283" s="193"/>
      <c r="R283" s="193"/>
      <c r="S283" s="193"/>
      <c r="T283" s="193"/>
      <c r="U283" s="193"/>
      <c r="V283" s="193"/>
      <c r="W283" s="193"/>
      <c r="X283" s="193"/>
      <c r="Y283" s="193"/>
      <c r="Z283" s="193"/>
      <c r="AA283" s="193"/>
      <c r="AB283" s="193"/>
      <c r="AC283" s="193"/>
      <c r="AD283" s="193"/>
      <c r="AE283" s="193"/>
      <c r="AF283" s="193"/>
      <c r="AG283" s="193"/>
      <c r="AH283" s="193"/>
      <c r="AI283" s="193"/>
      <c r="AJ283" s="193"/>
      <c r="AK283" s="193"/>
      <c r="AL283" s="193"/>
    </row>
    <row r="284" spans="7:38">
      <c r="G284" s="193"/>
      <c r="H284" s="193"/>
      <c r="I284" s="193"/>
      <c r="J284" s="193"/>
      <c r="K284" s="193"/>
      <c r="L284" s="193"/>
      <c r="M284" s="193"/>
      <c r="N284" s="193"/>
      <c r="O284" s="193"/>
      <c r="P284" s="193"/>
      <c r="Q284" s="193"/>
      <c r="R284" s="193"/>
      <c r="S284" s="193"/>
      <c r="T284" s="193"/>
      <c r="U284" s="193"/>
      <c r="V284" s="193"/>
      <c r="W284" s="193"/>
      <c r="X284" s="193"/>
      <c r="Y284" s="193"/>
      <c r="Z284" s="193"/>
      <c r="AA284" s="193"/>
      <c r="AB284" s="193"/>
      <c r="AC284" s="193"/>
      <c r="AD284" s="193"/>
      <c r="AE284" s="193"/>
      <c r="AF284" s="193"/>
      <c r="AG284" s="193"/>
      <c r="AH284" s="193"/>
      <c r="AI284" s="193"/>
      <c r="AJ284" s="193"/>
      <c r="AK284" s="193"/>
      <c r="AL284" s="193"/>
    </row>
    <row r="285" spans="7:38">
      <c r="G285" s="193"/>
      <c r="H285" s="193"/>
      <c r="I285" s="193"/>
      <c r="J285" s="193"/>
      <c r="K285" s="193"/>
      <c r="L285" s="193"/>
      <c r="M285" s="193"/>
      <c r="N285" s="193"/>
      <c r="O285" s="193"/>
      <c r="P285" s="193"/>
      <c r="Q285" s="193"/>
      <c r="R285" s="193"/>
      <c r="S285" s="193"/>
      <c r="T285" s="193"/>
      <c r="U285" s="193"/>
      <c r="V285" s="193"/>
      <c r="W285" s="193"/>
      <c r="X285" s="193"/>
      <c r="Y285" s="193"/>
      <c r="Z285" s="193"/>
      <c r="AA285" s="193"/>
      <c r="AB285" s="193"/>
      <c r="AC285" s="193"/>
      <c r="AD285" s="193"/>
      <c r="AE285" s="193"/>
      <c r="AF285" s="193"/>
      <c r="AG285" s="193"/>
      <c r="AH285" s="193"/>
      <c r="AI285" s="193"/>
      <c r="AJ285" s="193"/>
      <c r="AK285" s="193"/>
      <c r="AL285" s="193"/>
    </row>
    <row r="286" spans="7:38">
      <c r="G286" s="193"/>
      <c r="H286" s="193"/>
      <c r="I286" s="193"/>
      <c r="J286" s="193"/>
      <c r="K286" s="193"/>
      <c r="L286" s="193"/>
      <c r="M286" s="193"/>
      <c r="N286" s="193"/>
      <c r="O286" s="193"/>
      <c r="P286" s="193"/>
      <c r="Q286" s="193"/>
      <c r="R286" s="193"/>
      <c r="S286" s="193"/>
      <c r="T286" s="193"/>
      <c r="U286" s="193"/>
      <c r="V286" s="193"/>
      <c r="W286" s="193"/>
      <c r="X286" s="193"/>
      <c r="Y286" s="193"/>
      <c r="Z286" s="193"/>
      <c r="AA286" s="193"/>
      <c r="AB286" s="193"/>
      <c r="AC286" s="193"/>
      <c r="AD286" s="193"/>
      <c r="AE286" s="193"/>
      <c r="AF286" s="193"/>
      <c r="AG286" s="193"/>
      <c r="AH286" s="193"/>
      <c r="AI286" s="193"/>
      <c r="AJ286" s="193"/>
      <c r="AK286" s="193"/>
      <c r="AL286" s="193"/>
    </row>
    <row r="287" spans="7:38">
      <c r="G287" s="193"/>
      <c r="H287" s="193"/>
      <c r="I287" s="193"/>
      <c r="J287" s="193"/>
      <c r="K287" s="193"/>
      <c r="L287" s="193"/>
      <c r="M287" s="193"/>
      <c r="N287" s="193"/>
      <c r="O287" s="193"/>
      <c r="P287" s="193"/>
      <c r="Q287" s="193"/>
      <c r="R287" s="193"/>
      <c r="S287" s="193"/>
      <c r="T287" s="193"/>
      <c r="U287" s="193"/>
      <c r="V287" s="193"/>
      <c r="W287" s="193"/>
      <c r="X287" s="193"/>
      <c r="Y287" s="193"/>
      <c r="Z287" s="193"/>
      <c r="AA287" s="193"/>
      <c r="AB287" s="193"/>
      <c r="AC287" s="193"/>
      <c r="AD287" s="193"/>
      <c r="AE287" s="193"/>
      <c r="AF287" s="193"/>
      <c r="AG287" s="193"/>
      <c r="AH287" s="193"/>
      <c r="AI287" s="193"/>
      <c r="AJ287" s="193"/>
      <c r="AK287" s="193"/>
      <c r="AL287" s="193"/>
    </row>
    <row r="288" spans="7:38">
      <c r="G288" s="193"/>
      <c r="H288" s="193"/>
      <c r="I288" s="193"/>
      <c r="J288" s="193"/>
      <c r="K288" s="193"/>
      <c r="L288" s="193"/>
      <c r="M288" s="193"/>
      <c r="N288" s="193"/>
      <c r="O288" s="193"/>
      <c r="P288" s="193"/>
      <c r="Q288" s="193"/>
      <c r="R288" s="193"/>
      <c r="S288" s="193"/>
      <c r="T288" s="193"/>
      <c r="U288" s="193"/>
      <c r="V288" s="193"/>
      <c r="W288" s="193"/>
      <c r="X288" s="193"/>
      <c r="Y288" s="193"/>
      <c r="Z288" s="193"/>
      <c r="AA288" s="193"/>
      <c r="AB288" s="193"/>
      <c r="AC288" s="193"/>
      <c r="AD288" s="193"/>
      <c r="AE288" s="193"/>
      <c r="AF288" s="193"/>
      <c r="AG288" s="193"/>
      <c r="AH288" s="193"/>
      <c r="AI288" s="193"/>
      <c r="AJ288" s="193"/>
      <c r="AK288" s="193"/>
      <c r="AL288" s="193"/>
    </row>
    <row r="289" spans="7:38">
      <c r="G289" s="193"/>
      <c r="H289" s="193"/>
      <c r="I289" s="193"/>
      <c r="J289" s="193"/>
      <c r="K289" s="193"/>
      <c r="L289" s="193"/>
      <c r="M289" s="193"/>
      <c r="N289" s="193"/>
      <c r="O289" s="193"/>
      <c r="P289" s="193"/>
      <c r="Q289" s="193"/>
      <c r="R289" s="193"/>
      <c r="S289" s="193"/>
      <c r="T289" s="193"/>
      <c r="U289" s="193"/>
      <c r="V289" s="193"/>
      <c r="W289" s="193"/>
      <c r="X289" s="193"/>
      <c r="Y289" s="193"/>
      <c r="Z289" s="193"/>
      <c r="AA289" s="193"/>
      <c r="AB289" s="193"/>
      <c r="AC289" s="193"/>
      <c r="AD289" s="193"/>
      <c r="AE289" s="193"/>
      <c r="AF289" s="193"/>
      <c r="AG289" s="193"/>
      <c r="AH289" s="193"/>
      <c r="AI289" s="193"/>
      <c r="AJ289" s="193"/>
      <c r="AK289" s="193"/>
      <c r="AL289" s="193"/>
    </row>
    <row r="290" spans="7:38">
      <c r="G290" s="193"/>
      <c r="H290" s="193"/>
      <c r="I290" s="193"/>
      <c r="J290" s="193"/>
      <c r="K290" s="193"/>
      <c r="L290" s="193"/>
      <c r="M290" s="193"/>
      <c r="N290" s="193"/>
      <c r="O290" s="193"/>
      <c r="P290" s="193"/>
      <c r="Q290" s="193"/>
      <c r="R290" s="193"/>
      <c r="S290" s="193"/>
      <c r="T290" s="193"/>
      <c r="U290" s="193"/>
      <c r="V290" s="193"/>
      <c r="W290" s="193"/>
      <c r="X290" s="193"/>
      <c r="Y290" s="193"/>
      <c r="Z290" s="193"/>
      <c r="AA290" s="193"/>
      <c r="AB290" s="193"/>
      <c r="AC290" s="193"/>
      <c r="AD290" s="193"/>
      <c r="AE290" s="193"/>
      <c r="AF290" s="193"/>
      <c r="AG290" s="193"/>
      <c r="AH290" s="193"/>
      <c r="AI290" s="193"/>
      <c r="AJ290" s="193"/>
      <c r="AK290" s="193"/>
      <c r="AL290" s="193"/>
    </row>
    <row r="291" spans="7:38">
      <c r="G291" s="193"/>
      <c r="H291" s="193"/>
      <c r="I291" s="193"/>
      <c r="J291" s="193"/>
      <c r="K291" s="193"/>
      <c r="L291" s="193"/>
      <c r="M291" s="193"/>
      <c r="N291" s="193"/>
      <c r="O291" s="193"/>
      <c r="P291" s="193"/>
      <c r="Q291" s="193"/>
      <c r="R291" s="193"/>
      <c r="S291" s="193"/>
      <c r="T291" s="193"/>
      <c r="U291" s="193"/>
      <c r="V291" s="193"/>
      <c r="W291" s="193"/>
      <c r="X291" s="193"/>
      <c r="Y291" s="193"/>
      <c r="Z291" s="193"/>
      <c r="AA291" s="193"/>
      <c r="AB291" s="193"/>
      <c r="AC291" s="193"/>
      <c r="AD291" s="193"/>
      <c r="AE291" s="193"/>
      <c r="AF291" s="193"/>
      <c r="AG291" s="193"/>
      <c r="AH291" s="193"/>
      <c r="AI291" s="193"/>
      <c r="AJ291" s="193"/>
      <c r="AK291" s="193"/>
      <c r="AL291" s="193"/>
    </row>
    <row r="292" spans="7:38">
      <c r="G292" s="193"/>
      <c r="H292" s="193"/>
      <c r="I292" s="193"/>
      <c r="J292" s="193"/>
      <c r="K292" s="193"/>
      <c r="L292" s="193"/>
      <c r="M292" s="193"/>
      <c r="N292" s="193"/>
      <c r="O292" s="193"/>
      <c r="P292" s="193"/>
      <c r="Q292" s="193"/>
      <c r="R292" s="193"/>
      <c r="S292" s="193"/>
      <c r="T292" s="193"/>
      <c r="U292" s="193"/>
      <c r="V292" s="193"/>
      <c r="W292" s="193"/>
      <c r="X292" s="193"/>
      <c r="Y292" s="193"/>
      <c r="Z292" s="193"/>
      <c r="AA292" s="193"/>
      <c r="AB292" s="193"/>
      <c r="AC292" s="193"/>
      <c r="AD292" s="193"/>
      <c r="AE292" s="193"/>
      <c r="AF292" s="193"/>
      <c r="AG292" s="193"/>
      <c r="AH292" s="193"/>
      <c r="AI292" s="193"/>
      <c r="AJ292" s="193"/>
      <c r="AK292" s="193"/>
      <c r="AL292" s="193"/>
    </row>
    <row r="293" spans="7:38">
      <c r="G293" s="193"/>
      <c r="H293" s="193"/>
      <c r="I293" s="193"/>
      <c r="J293" s="193"/>
      <c r="K293" s="193"/>
      <c r="L293" s="193"/>
      <c r="M293" s="193"/>
      <c r="N293" s="193"/>
      <c r="O293" s="193"/>
      <c r="P293" s="193"/>
      <c r="Q293" s="193"/>
      <c r="R293" s="193"/>
      <c r="S293" s="193"/>
      <c r="T293" s="193"/>
      <c r="U293" s="193"/>
      <c r="V293" s="193"/>
      <c r="W293" s="193"/>
      <c r="X293" s="193"/>
      <c r="Y293" s="193"/>
      <c r="Z293" s="193"/>
      <c r="AA293" s="193"/>
      <c r="AB293" s="193"/>
      <c r="AC293" s="193"/>
      <c r="AD293" s="193"/>
      <c r="AE293" s="193"/>
      <c r="AF293" s="193"/>
      <c r="AG293" s="193"/>
      <c r="AH293" s="193"/>
      <c r="AI293" s="193"/>
      <c r="AJ293" s="193"/>
      <c r="AK293" s="193"/>
      <c r="AL293" s="193"/>
    </row>
    <row r="294" spans="7:38">
      <c r="G294" s="193"/>
      <c r="H294" s="193"/>
      <c r="I294" s="193"/>
      <c r="J294" s="193"/>
      <c r="K294" s="193"/>
      <c r="L294" s="193"/>
      <c r="M294" s="193"/>
      <c r="N294" s="193"/>
      <c r="O294" s="193"/>
      <c r="P294" s="193"/>
      <c r="Q294" s="193"/>
      <c r="R294" s="193"/>
      <c r="S294" s="193"/>
      <c r="T294" s="193"/>
      <c r="U294" s="193"/>
      <c r="V294" s="193"/>
      <c r="W294" s="193"/>
      <c r="X294" s="193"/>
      <c r="Y294" s="193"/>
      <c r="Z294" s="193"/>
      <c r="AA294" s="193"/>
      <c r="AB294" s="193"/>
      <c r="AC294" s="193"/>
      <c r="AD294" s="193"/>
      <c r="AE294" s="193"/>
      <c r="AF294" s="193"/>
      <c r="AG294" s="193"/>
      <c r="AH294" s="193"/>
      <c r="AI294" s="193"/>
      <c r="AJ294" s="193"/>
      <c r="AK294" s="193"/>
      <c r="AL294" s="193"/>
    </row>
    <row r="295" spans="7:38">
      <c r="G295" s="193"/>
      <c r="H295" s="193"/>
      <c r="I295" s="193"/>
      <c r="J295" s="193"/>
      <c r="K295" s="193"/>
      <c r="L295" s="193"/>
      <c r="M295" s="193"/>
      <c r="N295" s="193"/>
      <c r="O295" s="193"/>
      <c r="P295" s="193"/>
      <c r="Q295" s="193"/>
      <c r="R295" s="193"/>
      <c r="S295" s="193"/>
      <c r="T295" s="193"/>
      <c r="U295" s="193"/>
      <c r="V295" s="193"/>
      <c r="W295" s="193"/>
      <c r="X295" s="193"/>
      <c r="Y295" s="193"/>
      <c r="Z295" s="193"/>
      <c r="AA295" s="193"/>
      <c r="AB295" s="193"/>
      <c r="AC295" s="193"/>
      <c r="AD295" s="193"/>
      <c r="AE295" s="193"/>
      <c r="AF295" s="193"/>
      <c r="AG295" s="193"/>
      <c r="AH295" s="193"/>
      <c r="AI295" s="193"/>
      <c r="AJ295" s="193"/>
      <c r="AK295" s="193"/>
      <c r="AL295" s="193"/>
    </row>
    <row r="296" spans="7:38">
      <c r="G296" s="193"/>
      <c r="H296" s="193"/>
      <c r="I296" s="193"/>
      <c r="J296" s="193"/>
      <c r="K296" s="193"/>
      <c r="L296" s="193"/>
      <c r="M296" s="193"/>
      <c r="N296" s="193"/>
      <c r="O296" s="193"/>
      <c r="P296" s="193"/>
      <c r="Q296" s="193"/>
      <c r="R296" s="193"/>
      <c r="S296" s="193"/>
      <c r="T296" s="193"/>
      <c r="U296" s="193"/>
      <c r="V296" s="193"/>
      <c r="W296" s="193"/>
      <c r="X296" s="193"/>
      <c r="Y296" s="193"/>
      <c r="Z296" s="193"/>
      <c r="AA296" s="193"/>
      <c r="AB296" s="193"/>
      <c r="AC296" s="193"/>
      <c r="AD296" s="193"/>
      <c r="AE296" s="193"/>
      <c r="AF296" s="193"/>
      <c r="AG296" s="193"/>
      <c r="AH296" s="193"/>
      <c r="AI296" s="193"/>
      <c r="AJ296" s="193"/>
      <c r="AK296" s="193"/>
      <c r="AL296" s="193"/>
    </row>
    <row r="297" spans="7:38">
      <c r="G297" s="193"/>
      <c r="H297" s="193"/>
      <c r="I297" s="193"/>
      <c r="J297" s="193"/>
      <c r="K297" s="193"/>
      <c r="L297" s="193"/>
      <c r="M297" s="193"/>
      <c r="N297" s="193"/>
      <c r="O297" s="193"/>
      <c r="P297" s="193"/>
      <c r="Q297" s="193"/>
      <c r="R297" s="193"/>
      <c r="S297" s="193"/>
      <c r="T297" s="193"/>
      <c r="U297" s="193"/>
      <c r="V297" s="193"/>
      <c r="W297" s="193"/>
      <c r="X297" s="193"/>
      <c r="Y297" s="193"/>
      <c r="Z297" s="193"/>
      <c r="AA297" s="193"/>
      <c r="AB297" s="193"/>
      <c r="AC297" s="193"/>
      <c r="AD297" s="193"/>
      <c r="AE297" s="193"/>
      <c r="AF297" s="193"/>
      <c r="AG297" s="193"/>
      <c r="AH297" s="193"/>
      <c r="AI297" s="193"/>
      <c r="AJ297" s="193"/>
      <c r="AK297" s="193"/>
      <c r="AL297" s="193"/>
    </row>
    <row r="298" spans="7:38">
      <c r="G298" s="193"/>
      <c r="H298" s="193"/>
      <c r="I298" s="193"/>
      <c r="J298" s="193"/>
      <c r="K298" s="193"/>
      <c r="L298" s="193"/>
      <c r="M298" s="193"/>
      <c r="N298" s="193"/>
      <c r="O298" s="193"/>
      <c r="P298" s="193"/>
      <c r="Q298" s="193"/>
      <c r="R298" s="193"/>
      <c r="S298" s="193"/>
      <c r="T298" s="193"/>
      <c r="U298" s="193"/>
      <c r="V298" s="193"/>
      <c r="W298" s="193"/>
      <c r="X298" s="193"/>
      <c r="Y298" s="193"/>
      <c r="Z298" s="193"/>
      <c r="AA298" s="193"/>
      <c r="AB298" s="193"/>
      <c r="AC298" s="193"/>
      <c r="AD298" s="193"/>
      <c r="AE298" s="193"/>
      <c r="AF298" s="193"/>
      <c r="AG298" s="193"/>
      <c r="AH298" s="193"/>
      <c r="AI298" s="193"/>
      <c r="AJ298" s="193"/>
      <c r="AK298" s="193"/>
      <c r="AL298" s="193"/>
    </row>
    <row r="299" spans="7:38">
      <c r="G299" s="193"/>
      <c r="H299" s="193"/>
      <c r="I299" s="193"/>
      <c r="J299" s="193"/>
      <c r="K299" s="193"/>
      <c r="L299" s="193"/>
      <c r="M299" s="193"/>
      <c r="N299" s="193"/>
      <c r="O299" s="193"/>
      <c r="P299" s="193"/>
      <c r="Q299" s="193"/>
      <c r="R299" s="193"/>
      <c r="S299" s="193"/>
      <c r="T299" s="193"/>
      <c r="U299" s="193"/>
      <c r="V299" s="193"/>
      <c r="W299" s="193"/>
      <c r="X299" s="193"/>
      <c r="Y299" s="193"/>
      <c r="Z299" s="193"/>
      <c r="AA299" s="193"/>
      <c r="AB299" s="193"/>
      <c r="AC299" s="193"/>
      <c r="AD299" s="193"/>
      <c r="AE299" s="193"/>
      <c r="AF299" s="193"/>
      <c r="AG299" s="193"/>
      <c r="AH299" s="193"/>
      <c r="AI299" s="193"/>
      <c r="AJ299" s="193"/>
      <c r="AK299" s="193"/>
      <c r="AL299" s="193"/>
    </row>
    <row r="300" spans="7:38">
      <c r="G300" s="193"/>
      <c r="H300" s="193"/>
      <c r="I300" s="193"/>
      <c r="J300" s="193"/>
      <c r="K300" s="193"/>
      <c r="L300" s="193"/>
      <c r="M300" s="193"/>
      <c r="N300" s="193"/>
      <c r="O300" s="193"/>
      <c r="P300" s="193"/>
      <c r="Q300" s="193"/>
      <c r="R300" s="193"/>
      <c r="S300" s="193"/>
      <c r="T300" s="193"/>
      <c r="U300" s="193"/>
      <c r="V300" s="193"/>
      <c r="W300" s="193"/>
      <c r="X300" s="193"/>
      <c r="Y300" s="193"/>
      <c r="Z300" s="193"/>
      <c r="AA300" s="193"/>
      <c r="AB300" s="193"/>
      <c r="AC300" s="193"/>
      <c r="AD300" s="193"/>
      <c r="AE300" s="193"/>
      <c r="AF300" s="193"/>
      <c r="AG300" s="193"/>
      <c r="AH300" s="193"/>
      <c r="AI300" s="193"/>
      <c r="AJ300" s="193"/>
      <c r="AK300" s="193"/>
      <c r="AL300" s="193"/>
    </row>
    <row r="301" spans="7:38">
      <c r="G301" s="193"/>
      <c r="H301" s="193"/>
      <c r="I301" s="193"/>
      <c r="J301" s="193"/>
      <c r="K301" s="193"/>
      <c r="L301" s="193"/>
      <c r="M301" s="193"/>
      <c r="N301" s="193"/>
      <c r="O301" s="193"/>
      <c r="P301" s="193"/>
      <c r="Q301" s="193"/>
      <c r="R301" s="193"/>
      <c r="S301" s="193"/>
      <c r="T301" s="193"/>
      <c r="U301" s="193"/>
      <c r="V301" s="193"/>
      <c r="W301" s="193"/>
      <c r="X301" s="193"/>
      <c r="Y301" s="193"/>
      <c r="Z301" s="193"/>
      <c r="AA301" s="193"/>
      <c r="AB301" s="193"/>
      <c r="AC301" s="193"/>
      <c r="AD301" s="193"/>
      <c r="AE301" s="193"/>
      <c r="AF301" s="193"/>
      <c r="AG301" s="193"/>
      <c r="AH301" s="193"/>
      <c r="AI301" s="193"/>
      <c r="AJ301" s="193"/>
      <c r="AK301" s="193"/>
      <c r="AL301" s="193"/>
    </row>
    <row r="302" spans="7:38">
      <c r="G302" s="193"/>
      <c r="H302" s="193"/>
      <c r="I302" s="193"/>
      <c r="J302" s="193"/>
      <c r="K302" s="193"/>
      <c r="L302" s="193"/>
      <c r="M302" s="193"/>
      <c r="N302" s="193"/>
      <c r="O302" s="193"/>
      <c r="P302" s="193"/>
      <c r="Q302" s="193"/>
      <c r="R302" s="193"/>
      <c r="S302" s="193"/>
      <c r="T302" s="193"/>
      <c r="U302" s="193"/>
      <c r="V302" s="193"/>
      <c r="W302" s="193"/>
      <c r="X302" s="193"/>
      <c r="Y302" s="193"/>
      <c r="Z302" s="193"/>
      <c r="AA302" s="193"/>
      <c r="AB302" s="193"/>
      <c r="AC302" s="193"/>
      <c r="AD302" s="193"/>
      <c r="AE302" s="193"/>
      <c r="AF302" s="193"/>
      <c r="AG302" s="193"/>
      <c r="AH302" s="193"/>
      <c r="AI302" s="193"/>
      <c r="AJ302" s="193"/>
      <c r="AK302" s="193"/>
      <c r="AL302" s="193"/>
    </row>
    <row r="303" spans="7:38">
      <c r="G303" s="193"/>
      <c r="H303" s="193"/>
      <c r="I303" s="193"/>
      <c r="J303" s="193"/>
      <c r="K303" s="193"/>
      <c r="L303" s="193"/>
      <c r="M303" s="193"/>
      <c r="N303" s="193"/>
      <c r="O303" s="193"/>
      <c r="P303" s="193"/>
      <c r="Q303" s="193"/>
      <c r="R303" s="193"/>
      <c r="S303" s="193"/>
      <c r="T303" s="193"/>
      <c r="U303" s="193"/>
      <c r="V303" s="193"/>
      <c r="W303" s="193"/>
      <c r="X303" s="193"/>
      <c r="Y303" s="193"/>
      <c r="Z303" s="193"/>
      <c r="AA303" s="193"/>
      <c r="AB303" s="193"/>
      <c r="AC303" s="193"/>
      <c r="AD303" s="193"/>
      <c r="AE303" s="193"/>
      <c r="AF303" s="193"/>
      <c r="AG303" s="193"/>
      <c r="AH303" s="193"/>
      <c r="AI303" s="193"/>
      <c r="AJ303" s="193"/>
      <c r="AK303" s="193"/>
      <c r="AL303" s="193"/>
    </row>
    <row r="304" spans="7:38">
      <c r="G304" s="193"/>
      <c r="H304" s="193"/>
      <c r="I304" s="193"/>
      <c r="J304" s="193"/>
      <c r="K304" s="193"/>
      <c r="L304" s="193"/>
      <c r="M304" s="193"/>
      <c r="N304" s="193"/>
      <c r="O304" s="193"/>
      <c r="P304" s="193"/>
      <c r="Q304" s="193"/>
      <c r="R304" s="193"/>
      <c r="S304" s="193"/>
      <c r="T304" s="193"/>
      <c r="U304" s="193"/>
      <c r="V304" s="193"/>
      <c r="W304" s="193"/>
      <c r="X304" s="193"/>
      <c r="Y304" s="193"/>
      <c r="Z304" s="193"/>
      <c r="AA304" s="193"/>
      <c r="AB304" s="193"/>
      <c r="AC304" s="193"/>
      <c r="AD304" s="193"/>
      <c r="AE304" s="193"/>
      <c r="AF304" s="193"/>
      <c r="AG304" s="193"/>
      <c r="AH304" s="193"/>
      <c r="AI304" s="193"/>
      <c r="AJ304" s="193"/>
      <c r="AK304" s="193"/>
      <c r="AL304" s="193"/>
    </row>
    <row r="305" spans="7:38">
      <c r="G305" s="193"/>
      <c r="H305" s="193"/>
      <c r="I305" s="193"/>
      <c r="J305" s="193"/>
      <c r="K305" s="193"/>
      <c r="L305" s="193"/>
      <c r="M305" s="193"/>
      <c r="N305" s="193"/>
      <c r="O305" s="193"/>
      <c r="P305" s="193"/>
      <c r="Q305" s="193"/>
      <c r="R305" s="193"/>
      <c r="S305" s="193"/>
      <c r="T305" s="193"/>
      <c r="U305" s="193"/>
      <c r="V305" s="193"/>
      <c r="W305" s="193"/>
      <c r="X305" s="193"/>
      <c r="Y305" s="193"/>
      <c r="Z305" s="193"/>
      <c r="AA305" s="193"/>
      <c r="AB305" s="193"/>
      <c r="AC305" s="193"/>
      <c r="AD305" s="193"/>
      <c r="AE305" s="193"/>
      <c r="AF305" s="193"/>
      <c r="AG305" s="193"/>
      <c r="AH305" s="193"/>
      <c r="AI305" s="193"/>
      <c r="AJ305" s="193"/>
      <c r="AK305" s="193"/>
      <c r="AL305" s="193"/>
    </row>
    <row r="306" spans="7:38">
      <c r="G306" s="193"/>
      <c r="H306" s="193"/>
      <c r="I306" s="193"/>
      <c r="J306" s="193"/>
      <c r="K306" s="193"/>
      <c r="L306" s="193"/>
      <c r="M306" s="193"/>
      <c r="N306" s="193"/>
      <c r="O306" s="193"/>
      <c r="P306" s="193"/>
      <c r="Q306" s="193"/>
      <c r="R306" s="193"/>
      <c r="S306" s="193"/>
      <c r="T306" s="193"/>
      <c r="U306" s="193"/>
      <c r="V306" s="193"/>
      <c r="W306" s="193"/>
      <c r="X306" s="193"/>
      <c r="Y306" s="193"/>
      <c r="Z306" s="193"/>
      <c r="AA306" s="193"/>
      <c r="AB306" s="193"/>
      <c r="AC306" s="193"/>
      <c r="AD306" s="193"/>
      <c r="AE306" s="193"/>
      <c r="AF306" s="193"/>
      <c r="AG306" s="193"/>
      <c r="AH306" s="193"/>
      <c r="AI306" s="193"/>
      <c r="AJ306" s="193"/>
      <c r="AK306" s="193"/>
      <c r="AL306" s="193"/>
    </row>
    <row r="307" spans="7:38">
      <c r="G307" s="193"/>
      <c r="H307" s="193"/>
      <c r="I307" s="193"/>
      <c r="J307" s="193"/>
      <c r="K307" s="193"/>
      <c r="L307" s="193"/>
      <c r="M307" s="193"/>
      <c r="N307" s="193"/>
      <c r="O307" s="193"/>
      <c r="P307" s="193"/>
      <c r="Q307" s="193"/>
      <c r="R307" s="193"/>
      <c r="S307" s="193"/>
      <c r="T307" s="193"/>
      <c r="U307" s="193"/>
      <c r="V307" s="193"/>
      <c r="W307" s="193"/>
      <c r="X307" s="193"/>
      <c r="Y307" s="193"/>
      <c r="Z307" s="193"/>
      <c r="AA307" s="193"/>
      <c r="AB307" s="193"/>
      <c r="AC307" s="193"/>
      <c r="AD307" s="193"/>
      <c r="AE307" s="193"/>
      <c r="AF307" s="193"/>
      <c r="AG307" s="193"/>
      <c r="AH307" s="193"/>
      <c r="AI307" s="193"/>
      <c r="AJ307" s="193"/>
      <c r="AK307" s="193"/>
      <c r="AL307" s="193"/>
    </row>
    <row r="308" spans="7:38">
      <c r="G308" s="193"/>
      <c r="H308" s="193"/>
      <c r="I308" s="193"/>
      <c r="J308" s="193"/>
      <c r="K308" s="193"/>
      <c r="L308" s="193"/>
      <c r="M308" s="193"/>
      <c r="N308" s="193"/>
      <c r="O308" s="193"/>
      <c r="P308" s="193"/>
      <c r="Q308" s="193"/>
      <c r="R308" s="193"/>
      <c r="S308" s="193"/>
      <c r="T308" s="193"/>
      <c r="U308" s="193"/>
      <c r="V308" s="193"/>
      <c r="W308" s="193"/>
      <c r="X308" s="193"/>
      <c r="Y308" s="193"/>
      <c r="Z308" s="193"/>
      <c r="AA308" s="193"/>
      <c r="AB308" s="193"/>
      <c r="AC308" s="193"/>
      <c r="AD308" s="193"/>
      <c r="AE308" s="193"/>
      <c r="AF308" s="193"/>
      <c r="AG308" s="193"/>
      <c r="AH308" s="193"/>
      <c r="AI308" s="193"/>
      <c r="AJ308" s="193"/>
      <c r="AK308" s="193"/>
      <c r="AL308" s="193"/>
    </row>
    <row r="309" spans="7:38">
      <c r="G309" s="193"/>
      <c r="H309" s="193"/>
      <c r="I309" s="193"/>
      <c r="J309" s="193"/>
      <c r="K309" s="193"/>
      <c r="L309" s="193"/>
      <c r="M309" s="193"/>
      <c r="N309" s="193"/>
      <c r="O309" s="193"/>
      <c r="P309" s="193"/>
      <c r="Q309" s="193"/>
      <c r="R309" s="193"/>
      <c r="S309" s="193"/>
      <c r="T309" s="193"/>
      <c r="U309" s="193"/>
      <c r="V309" s="193"/>
      <c r="W309" s="193"/>
      <c r="X309" s="193"/>
      <c r="Y309" s="193"/>
      <c r="Z309" s="193"/>
      <c r="AA309" s="193"/>
      <c r="AB309" s="193"/>
      <c r="AC309" s="193"/>
      <c r="AD309" s="193"/>
      <c r="AE309" s="193"/>
      <c r="AF309" s="193"/>
      <c r="AG309" s="193"/>
      <c r="AH309" s="193"/>
      <c r="AI309" s="193"/>
      <c r="AJ309" s="193"/>
      <c r="AK309" s="193"/>
      <c r="AL309" s="193"/>
    </row>
    <row r="310" spans="7:38">
      <c r="G310" s="193"/>
      <c r="H310" s="193"/>
      <c r="I310" s="193"/>
      <c r="J310" s="193"/>
      <c r="K310" s="193"/>
      <c r="L310" s="193"/>
      <c r="M310" s="193"/>
      <c r="N310" s="193"/>
      <c r="O310" s="193"/>
      <c r="P310" s="193"/>
      <c r="Q310" s="193"/>
      <c r="R310" s="193"/>
      <c r="S310" s="193"/>
      <c r="T310" s="193"/>
      <c r="U310" s="193"/>
      <c r="V310" s="193"/>
      <c r="W310" s="193"/>
      <c r="X310" s="193"/>
      <c r="Y310" s="193"/>
      <c r="Z310" s="193"/>
      <c r="AA310" s="193"/>
      <c r="AB310" s="193"/>
      <c r="AC310" s="193"/>
      <c r="AD310" s="193"/>
      <c r="AE310" s="193"/>
      <c r="AF310" s="193"/>
      <c r="AG310" s="193"/>
      <c r="AH310" s="193"/>
      <c r="AI310" s="193"/>
      <c r="AJ310" s="193"/>
      <c r="AK310" s="193"/>
      <c r="AL310" s="193"/>
    </row>
    <row r="311" spans="7:38">
      <c r="G311" s="193"/>
      <c r="H311" s="193"/>
      <c r="I311" s="193"/>
      <c r="J311" s="193"/>
      <c r="K311" s="193"/>
      <c r="L311" s="193"/>
      <c r="M311" s="193"/>
      <c r="N311" s="193"/>
      <c r="O311" s="193"/>
      <c r="P311" s="193"/>
      <c r="Q311" s="193"/>
      <c r="R311" s="193"/>
      <c r="S311" s="193"/>
      <c r="T311" s="193"/>
      <c r="U311" s="193"/>
      <c r="V311" s="193"/>
      <c r="W311" s="193"/>
      <c r="X311" s="193"/>
      <c r="Y311" s="193"/>
      <c r="Z311" s="193"/>
      <c r="AA311" s="193"/>
      <c r="AB311" s="193"/>
      <c r="AC311" s="193"/>
      <c r="AD311" s="193"/>
      <c r="AE311" s="193"/>
      <c r="AF311" s="193"/>
      <c r="AG311" s="193"/>
      <c r="AH311" s="193"/>
      <c r="AI311" s="193"/>
      <c r="AJ311" s="193"/>
      <c r="AK311" s="193"/>
      <c r="AL311" s="193"/>
    </row>
    <row r="312" spans="7:38">
      <c r="G312" s="193"/>
      <c r="H312" s="193"/>
      <c r="I312" s="193"/>
      <c r="J312" s="193"/>
      <c r="K312" s="193"/>
      <c r="L312" s="193"/>
      <c r="M312" s="193"/>
      <c r="N312" s="193"/>
      <c r="O312" s="193"/>
      <c r="P312" s="193"/>
      <c r="Q312" s="193"/>
      <c r="R312" s="193"/>
      <c r="S312" s="193"/>
      <c r="T312" s="193"/>
      <c r="U312" s="193"/>
      <c r="V312" s="193"/>
      <c r="W312" s="193"/>
      <c r="X312" s="193"/>
      <c r="Y312" s="193"/>
      <c r="Z312" s="193"/>
      <c r="AA312" s="193"/>
      <c r="AB312" s="193"/>
      <c r="AC312" s="193"/>
      <c r="AD312" s="193"/>
      <c r="AE312" s="193"/>
      <c r="AF312" s="193"/>
      <c r="AG312" s="193"/>
      <c r="AH312" s="193"/>
      <c r="AI312" s="193"/>
      <c r="AJ312" s="193"/>
      <c r="AK312" s="193"/>
      <c r="AL312" s="193"/>
    </row>
    <row r="313" spans="7:38">
      <c r="G313" s="193"/>
      <c r="H313" s="193"/>
      <c r="I313" s="193"/>
      <c r="J313" s="193"/>
      <c r="K313" s="193"/>
      <c r="L313" s="193"/>
      <c r="M313" s="193"/>
      <c r="N313" s="193"/>
      <c r="O313" s="193"/>
      <c r="P313" s="193"/>
      <c r="Q313" s="193"/>
      <c r="R313" s="193"/>
      <c r="S313" s="193"/>
      <c r="T313" s="193"/>
      <c r="U313" s="193"/>
      <c r="V313" s="193"/>
      <c r="W313" s="193"/>
      <c r="X313" s="193"/>
      <c r="Y313" s="193"/>
      <c r="Z313" s="193"/>
      <c r="AA313" s="193"/>
      <c r="AB313" s="193"/>
      <c r="AC313" s="193"/>
      <c r="AD313" s="193"/>
      <c r="AE313" s="193"/>
      <c r="AF313" s="193"/>
      <c r="AG313" s="193"/>
      <c r="AH313" s="193"/>
      <c r="AI313" s="193"/>
      <c r="AJ313" s="193"/>
      <c r="AK313" s="193"/>
      <c r="AL313" s="193"/>
    </row>
    <row r="314" spans="7:38">
      <c r="G314" s="193"/>
      <c r="H314" s="193"/>
      <c r="I314" s="193"/>
      <c r="J314" s="193"/>
      <c r="K314" s="193"/>
      <c r="L314" s="193"/>
      <c r="M314" s="193"/>
      <c r="N314" s="193"/>
      <c r="O314" s="193"/>
      <c r="P314" s="193"/>
      <c r="Q314" s="193"/>
      <c r="R314" s="193"/>
      <c r="S314" s="193"/>
      <c r="T314" s="193"/>
      <c r="U314" s="193"/>
      <c r="V314" s="193"/>
      <c r="W314" s="193"/>
      <c r="X314" s="193"/>
      <c r="Y314" s="193"/>
      <c r="Z314" s="193"/>
      <c r="AA314" s="193"/>
      <c r="AB314" s="193"/>
      <c r="AC314" s="193"/>
      <c r="AD314" s="193"/>
      <c r="AE314" s="193"/>
      <c r="AF314" s="193"/>
      <c r="AG314" s="193"/>
      <c r="AH314" s="193"/>
      <c r="AI314" s="193"/>
      <c r="AJ314" s="193"/>
      <c r="AK314" s="193"/>
      <c r="AL314" s="193"/>
    </row>
    <row r="315" spans="7:38">
      <c r="G315" s="193"/>
      <c r="H315" s="193"/>
      <c r="I315" s="193"/>
      <c r="J315" s="193"/>
      <c r="K315" s="193"/>
      <c r="L315" s="193"/>
      <c r="M315" s="193"/>
      <c r="N315" s="193"/>
      <c r="O315" s="193"/>
      <c r="P315" s="193"/>
      <c r="Q315" s="193"/>
      <c r="R315" s="193"/>
      <c r="S315" s="193"/>
      <c r="T315" s="193"/>
      <c r="U315" s="193"/>
      <c r="V315" s="193"/>
      <c r="W315" s="193"/>
      <c r="X315" s="193"/>
      <c r="Y315" s="193"/>
      <c r="Z315" s="193"/>
      <c r="AA315" s="193"/>
      <c r="AB315" s="193"/>
      <c r="AC315" s="193"/>
      <c r="AD315" s="193"/>
      <c r="AE315" s="193"/>
      <c r="AF315" s="193"/>
      <c r="AG315" s="193"/>
      <c r="AH315" s="193"/>
      <c r="AI315" s="193"/>
      <c r="AJ315" s="193"/>
      <c r="AK315" s="193"/>
      <c r="AL315" s="193"/>
    </row>
    <row r="316" spans="7:38">
      <c r="G316" s="193"/>
      <c r="H316" s="193"/>
      <c r="I316" s="193"/>
      <c r="J316" s="193"/>
      <c r="K316" s="193"/>
      <c r="L316" s="193"/>
      <c r="M316" s="193"/>
      <c r="N316" s="193"/>
      <c r="O316" s="193"/>
      <c r="P316" s="193"/>
      <c r="Q316" s="193"/>
      <c r="R316" s="193"/>
      <c r="S316" s="193"/>
      <c r="T316" s="193"/>
      <c r="U316" s="193"/>
      <c r="V316" s="193"/>
      <c r="W316" s="193"/>
      <c r="X316" s="193"/>
      <c r="Y316" s="193"/>
      <c r="Z316" s="193"/>
      <c r="AA316" s="193"/>
      <c r="AB316" s="193"/>
      <c r="AC316" s="193"/>
      <c r="AD316" s="193"/>
      <c r="AE316" s="193"/>
      <c r="AF316" s="193"/>
      <c r="AG316" s="193"/>
      <c r="AH316" s="193"/>
      <c r="AI316" s="193"/>
      <c r="AJ316" s="193"/>
      <c r="AK316" s="193"/>
      <c r="AL316" s="193"/>
    </row>
    <row r="317" spans="7:38">
      <c r="G317" s="193"/>
      <c r="H317" s="193"/>
      <c r="I317" s="193"/>
      <c r="J317" s="193"/>
      <c r="K317" s="193"/>
      <c r="L317" s="193"/>
      <c r="M317" s="193"/>
      <c r="N317" s="193"/>
      <c r="O317" s="193"/>
      <c r="P317" s="193"/>
      <c r="Q317" s="193"/>
      <c r="R317" s="193"/>
      <c r="S317" s="193"/>
      <c r="T317" s="193"/>
      <c r="U317" s="193"/>
      <c r="V317" s="193"/>
      <c r="W317" s="193"/>
      <c r="X317" s="193"/>
      <c r="Y317" s="193"/>
      <c r="Z317" s="193"/>
      <c r="AA317" s="193"/>
      <c r="AB317" s="193"/>
      <c r="AC317" s="193"/>
      <c r="AD317" s="193"/>
      <c r="AE317" s="193"/>
      <c r="AF317" s="193"/>
      <c r="AG317" s="193"/>
      <c r="AH317" s="193"/>
      <c r="AI317" s="193"/>
      <c r="AJ317" s="193"/>
      <c r="AK317" s="193"/>
      <c r="AL317" s="193"/>
    </row>
    <row r="318" spans="7:38">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row>
    <row r="319" spans="7:38">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93"/>
      <c r="AK319" s="193"/>
      <c r="AL319" s="193"/>
    </row>
    <row r="320" spans="7:38">
      <c r="G320" s="193"/>
      <c r="H320" s="193"/>
      <c r="I320" s="193"/>
      <c r="J320" s="193"/>
      <c r="K320" s="193"/>
      <c r="L320" s="193"/>
      <c r="M320" s="193"/>
      <c r="N320" s="193"/>
      <c r="O320" s="193"/>
      <c r="P320" s="193"/>
      <c r="Q320" s="193"/>
      <c r="R320" s="193"/>
      <c r="S320" s="193"/>
      <c r="T320" s="193"/>
      <c r="U320" s="193"/>
      <c r="V320" s="193"/>
      <c r="W320" s="193"/>
      <c r="X320" s="193"/>
      <c r="Y320" s="193"/>
      <c r="Z320" s="193"/>
      <c r="AA320" s="193"/>
      <c r="AB320" s="193"/>
      <c r="AC320" s="193"/>
      <c r="AD320" s="193"/>
      <c r="AE320" s="193"/>
      <c r="AF320" s="193"/>
      <c r="AG320" s="193"/>
      <c r="AH320" s="193"/>
      <c r="AI320" s="193"/>
      <c r="AJ320" s="193"/>
      <c r="AK320" s="193"/>
      <c r="AL320" s="193"/>
    </row>
    <row r="321" spans="7:38">
      <c r="G321" s="193"/>
      <c r="H321" s="193"/>
      <c r="I321" s="193"/>
      <c r="J321" s="193"/>
      <c r="K321" s="193"/>
      <c r="L321" s="193"/>
      <c r="M321" s="193"/>
      <c r="N321" s="193"/>
      <c r="O321" s="193"/>
      <c r="P321" s="193"/>
      <c r="Q321" s="193"/>
      <c r="R321" s="193"/>
      <c r="S321" s="193"/>
      <c r="T321" s="193"/>
      <c r="U321" s="193"/>
      <c r="V321" s="193"/>
      <c r="W321" s="193"/>
      <c r="X321" s="193"/>
      <c r="Y321" s="193"/>
      <c r="Z321" s="193"/>
      <c r="AA321" s="193"/>
      <c r="AB321" s="193"/>
      <c r="AC321" s="193"/>
      <c r="AD321" s="193"/>
      <c r="AE321" s="193"/>
      <c r="AF321" s="193"/>
      <c r="AG321" s="193"/>
      <c r="AH321" s="193"/>
      <c r="AI321" s="193"/>
      <c r="AJ321" s="193"/>
      <c r="AK321" s="193"/>
      <c r="AL321" s="193"/>
    </row>
    <row r="322" spans="7:38">
      <c r="G322" s="193"/>
      <c r="H322" s="193"/>
      <c r="I322" s="193"/>
      <c r="J322" s="193"/>
      <c r="K322" s="193"/>
      <c r="L322" s="193"/>
      <c r="M322" s="193"/>
      <c r="N322" s="193"/>
      <c r="O322" s="193"/>
      <c r="P322" s="193"/>
      <c r="Q322" s="193"/>
      <c r="R322" s="193"/>
      <c r="S322" s="193"/>
      <c r="T322" s="193"/>
      <c r="U322" s="193"/>
      <c r="V322" s="193"/>
      <c r="W322" s="193"/>
      <c r="X322" s="193"/>
      <c r="Y322" s="193"/>
      <c r="Z322" s="193"/>
      <c r="AA322" s="193"/>
      <c r="AB322" s="193"/>
      <c r="AC322" s="193"/>
      <c r="AD322" s="193"/>
      <c r="AE322" s="193"/>
      <c r="AF322" s="193"/>
      <c r="AG322" s="193"/>
      <c r="AH322" s="193"/>
      <c r="AI322" s="193"/>
      <c r="AJ322" s="193"/>
      <c r="AK322" s="193"/>
      <c r="AL322" s="193"/>
    </row>
    <row r="323" spans="7:38">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c r="AF323" s="193"/>
      <c r="AG323" s="193"/>
      <c r="AH323" s="193"/>
      <c r="AI323" s="193"/>
      <c r="AJ323" s="193"/>
      <c r="AK323" s="193"/>
      <c r="AL323" s="193"/>
    </row>
    <row r="324" spans="7:38">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c r="AF324" s="193"/>
      <c r="AG324" s="193"/>
      <c r="AH324" s="193"/>
      <c r="AI324" s="193"/>
      <c r="AJ324" s="193"/>
      <c r="AK324" s="193"/>
      <c r="AL324" s="193"/>
    </row>
    <row r="325" spans="7:38">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c r="AF325" s="193"/>
      <c r="AG325" s="193"/>
      <c r="AH325" s="193"/>
      <c r="AI325" s="193"/>
      <c r="AJ325" s="193"/>
      <c r="AK325" s="193"/>
      <c r="AL325" s="193"/>
    </row>
    <row r="326" spans="7:38">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c r="AF326" s="193"/>
      <c r="AG326" s="193"/>
      <c r="AH326" s="193"/>
      <c r="AI326" s="193"/>
      <c r="AJ326" s="193"/>
      <c r="AK326" s="193"/>
      <c r="AL326" s="193"/>
    </row>
    <row r="327" spans="7:38">
      <c r="G327" s="193"/>
      <c r="H327" s="193"/>
      <c r="I327" s="193"/>
      <c r="J327" s="193"/>
      <c r="K327" s="193"/>
      <c r="L327" s="193"/>
      <c r="M327" s="193"/>
      <c r="N327" s="193"/>
      <c r="O327" s="193"/>
      <c r="P327" s="193"/>
      <c r="Q327" s="193"/>
      <c r="R327" s="193"/>
      <c r="S327" s="193"/>
      <c r="T327" s="193"/>
      <c r="U327" s="193"/>
      <c r="V327" s="193"/>
      <c r="W327" s="193"/>
      <c r="X327" s="193"/>
      <c r="Y327" s="193"/>
      <c r="Z327" s="193"/>
      <c r="AA327" s="193"/>
      <c r="AB327" s="193"/>
      <c r="AC327" s="193"/>
      <c r="AD327" s="193"/>
      <c r="AE327" s="193"/>
      <c r="AF327" s="193"/>
      <c r="AG327" s="193"/>
      <c r="AH327" s="193"/>
      <c r="AI327" s="193"/>
      <c r="AJ327" s="193"/>
      <c r="AK327" s="193"/>
      <c r="AL327" s="193"/>
    </row>
    <row r="328" spans="7:38">
      <c r="G328" s="193"/>
      <c r="H328" s="193"/>
      <c r="I328" s="193"/>
      <c r="J328" s="193"/>
      <c r="K328" s="193"/>
      <c r="L328" s="193"/>
      <c r="M328" s="193"/>
      <c r="N328" s="193"/>
      <c r="O328" s="193"/>
      <c r="P328" s="193"/>
      <c r="Q328" s="193"/>
      <c r="R328" s="193"/>
      <c r="S328" s="193"/>
      <c r="T328" s="193"/>
      <c r="U328" s="193"/>
      <c r="V328" s="193"/>
      <c r="W328" s="193"/>
      <c r="X328" s="193"/>
      <c r="Y328" s="193"/>
      <c r="Z328" s="193"/>
      <c r="AA328" s="193"/>
      <c r="AB328" s="193"/>
      <c r="AC328" s="193"/>
      <c r="AD328" s="193"/>
      <c r="AE328" s="193"/>
      <c r="AF328" s="193"/>
      <c r="AG328" s="193"/>
      <c r="AH328" s="193"/>
      <c r="AI328" s="193"/>
      <c r="AJ328" s="193"/>
      <c r="AK328" s="193"/>
      <c r="AL328" s="193"/>
    </row>
    <row r="329" spans="7:38">
      <c r="G329" s="193"/>
      <c r="H329" s="193"/>
      <c r="I329" s="193"/>
      <c r="J329" s="193"/>
      <c r="K329" s="193"/>
      <c r="L329" s="193"/>
      <c r="M329" s="193"/>
      <c r="N329" s="193"/>
      <c r="O329" s="193"/>
      <c r="P329" s="193"/>
      <c r="Q329" s="193"/>
      <c r="R329" s="193"/>
      <c r="S329" s="193"/>
      <c r="T329" s="193"/>
      <c r="U329" s="193"/>
      <c r="V329" s="193"/>
      <c r="W329" s="193"/>
      <c r="X329" s="193"/>
      <c r="Y329" s="193"/>
      <c r="Z329" s="193"/>
      <c r="AA329" s="193"/>
      <c r="AB329" s="193"/>
      <c r="AC329" s="193"/>
      <c r="AD329" s="193"/>
      <c r="AE329" s="193"/>
      <c r="AF329" s="193"/>
      <c r="AG329" s="193"/>
      <c r="AH329" s="193"/>
      <c r="AI329" s="193"/>
      <c r="AJ329" s="193"/>
      <c r="AK329" s="193"/>
      <c r="AL329" s="193"/>
    </row>
    <row r="330" spans="7:38">
      <c r="G330" s="193"/>
      <c r="H330" s="193"/>
      <c r="I330" s="193"/>
      <c r="J330" s="193"/>
      <c r="K330" s="193"/>
      <c r="L330" s="193"/>
      <c r="M330" s="193"/>
      <c r="N330" s="193"/>
      <c r="O330" s="193"/>
      <c r="P330" s="193"/>
      <c r="Q330" s="193"/>
      <c r="R330" s="193"/>
      <c r="S330" s="193"/>
      <c r="T330" s="193"/>
      <c r="U330" s="193"/>
      <c r="V330" s="193"/>
      <c r="W330" s="193"/>
      <c r="X330" s="193"/>
      <c r="Y330" s="193"/>
      <c r="Z330" s="193"/>
      <c r="AA330" s="193"/>
      <c r="AB330" s="193"/>
      <c r="AC330" s="193"/>
      <c r="AD330" s="193"/>
      <c r="AE330" s="193"/>
      <c r="AF330" s="193"/>
      <c r="AG330" s="193"/>
      <c r="AH330" s="193"/>
      <c r="AI330" s="193"/>
      <c r="AJ330" s="193"/>
      <c r="AK330" s="193"/>
      <c r="AL330" s="193"/>
    </row>
    <row r="331" spans="7:38">
      <c r="G331" s="193"/>
      <c r="H331" s="193"/>
      <c r="I331" s="193"/>
      <c r="J331" s="193"/>
      <c r="K331" s="193"/>
      <c r="L331" s="193"/>
      <c r="M331" s="193"/>
      <c r="N331" s="193"/>
      <c r="O331" s="193"/>
      <c r="P331" s="193"/>
      <c r="Q331" s="193"/>
      <c r="R331" s="193"/>
      <c r="S331" s="193"/>
      <c r="T331" s="193"/>
      <c r="U331" s="193"/>
      <c r="V331" s="193"/>
      <c r="W331" s="193"/>
      <c r="X331" s="193"/>
      <c r="Y331" s="193"/>
      <c r="Z331" s="193"/>
      <c r="AA331" s="193"/>
      <c r="AB331" s="193"/>
      <c r="AC331" s="193"/>
      <c r="AD331" s="193"/>
      <c r="AE331" s="193"/>
      <c r="AF331" s="193"/>
      <c r="AG331" s="193"/>
      <c r="AH331" s="193"/>
      <c r="AI331" s="193"/>
      <c r="AJ331" s="193"/>
      <c r="AK331" s="193"/>
      <c r="AL331" s="193"/>
    </row>
    <row r="332" spans="7:38">
      <c r="G332" s="193"/>
      <c r="H332" s="193"/>
      <c r="I332" s="193"/>
      <c r="J332" s="193"/>
      <c r="K332" s="193"/>
      <c r="L332" s="193"/>
      <c r="M332" s="193"/>
      <c r="N332" s="193"/>
      <c r="O332" s="193"/>
      <c r="P332" s="193"/>
      <c r="Q332" s="193"/>
      <c r="R332" s="193"/>
      <c r="S332" s="193"/>
      <c r="T332" s="193"/>
      <c r="U332" s="193"/>
      <c r="V332" s="193"/>
      <c r="W332" s="193"/>
      <c r="X332" s="193"/>
      <c r="Y332" s="193"/>
      <c r="Z332" s="193"/>
      <c r="AA332" s="193"/>
      <c r="AB332" s="193"/>
      <c r="AC332" s="193"/>
      <c r="AD332" s="193"/>
      <c r="AE332" s="193"/>
      <c r="AF332" s="193"/>
      <c r="AG332" s="193"/>
      <c r="AH332" s="193"/>
      <c r="AI332" s="193"/>
      <c r="AJ332" s="193"/>
      <c r="AK332" s="193"/>
      <c r="AL332" s="193"/>
    </row>
    <row r="333" spans="7:38">
      <c r="G333" s="193"/>
      <c r="H333" s="193"/>
      <c r="I333" s="193"/>
      <c r="J333" s="193"/>
      <c r="K333" s="193"/>
      <c r="L333" s="193"/>
      <c r="M333" s="193"/>
      <c r="N333" s="193"/>
      <c r="O333" s="193"/>
      <c r="P333" s="193"/>
      <c r="Q333" s="193"/>
      <c r="R333" s="193"/>
      <c r="S333" s="193"/>
      <c r="T333" s="193"/>
      <c r="U333" s="193"/>
      <c r="V333" s="193"/>
      <c r="W333" s="193"/>
      <c r="X333" s="193"/>
      <c r="Y333" s="193"/>
      <c r="Z333" s="193"/>
      <c r="AA333" s="193"/>
      <c r="AB333" s="193"/>
      <c r="AC333" s="193"/>
      <c r="AD333" s="193"/>
      <c r="AE333" s="193"/>
      <c r="AF333" s="193"/>
      <c r="AG333" s="193"/>
      <c r="AH333" s="193"/>
      <c r="AI333" s="193"/>
      <c r="AJ333" s="193"/>
      <c r="AK333" s="193"/>
      <c r="AL333" s="193"/>
    </row>
    <row r="334" spans="7:38">
      <c r="G334" s="193"/>
      <c r="H334" s="193"/>
      <c r="I334" s="193"/>
      <c r="J334" s="193"/>
      <c r="K334" s="193"/>
      <c r="L334" s="193"/>
      <c r="M334" s="193"/>
      <c r="N334" s="193"/>
      <c r="O334" s="193"/>
      <c r="P334" s="193"/>
      <c r="Q334" s="193"/>
      <c r="R334" s="193"/>
      <c r="S334" s="193"/>
      <c r="T334" s="193"/>
      <c r="U334" s="193"/>
      <c r="V334" s="193"/>
      <c r="W334" s="193"/>
      <c r="X334" s="193"/>
      <c r="Y334" s="193"/>
      <c r="Z334" s="193"/>
      <c r="AA334" s="193"/>
      <c r="AB334" s="193"/>
      <c r="AC334" s="193"/>
      <c r="AD334" s="193"/>
      <c r="AE334" s="193"/>
      <c r="AF334" s="193"/>
      <c r="AG334" s="193"/>
      <c r="AH334" s="193"/>
      <c r="AI334" s="193"/>
      <c r="AJ334" s="193"/>
      <c r="AK334" s="193"/>
      <c r="AL334" s="193"/>
    </row>
    <row r="335" spans="7:38">
      <c r="G335" s="193"/>
      <c r="H335" s="193"/>
      <c r="I335" s="193"/>
      <c r="J335" s="193"/>
      <c r="K335" s="193"/>
      <c r="L335" s="193"/>
      <c r="M335" s="193"/>
      <c r="N335" s="193"/>
      <c r="O335" s="193"/>
      <c r="P335" s="193"/>
      <c r="Q335" s="193"/>
      <c r="R335" s="193"/>
      <c r="S335" s="193"/>
      <c r="T335" s="193"/>
      <c r="U335" s="193"/>
      <c r="V335" s="193"/>
      <c r="W335" s="193"/>
      <c r="X335" s="193"/>
      <c r="Y335" s="193"/>
      <c r="Z335" s="193"/>
      <c r="AA335" s="193"/>
      <c r="AB335" s="193"/>
      <c r="AC335" s="193"/>
      <c r="AD335" s="193"/>
      <c r="AE335" s="193"/>
      <c r="AF335" s="193"/>
      <c r="AG335" s="193"/>
      <c r="AH335" s="193"/>
      <c r="AI335" s="193"/>
      <c r="AJ335" s="193"/>
      <c r="AK335" s="193"/>
      <c r="AL335" s="193"/>
    </row>
    <row r="336" spans="7:38">
      <c r="G336" s="193"/>
      <c r="H336" s="193"/>
      <c r="I336" s="193"/>
      <c r="J336" s="193"/>
      <c r="K336" s="193"/>
      <c r="L336" s="193"/>
      <c r="M336" s="193"/>
      <c r="N336" s="193"/>
      <c r="O336" s="193"/>
      <c r="P336" s="193"/>
      <c r="Q336" s="193"/>
      <c r="R336" s="193"/>
      <c r="S336" s="193"/>
      <c r="T336" s="193"/>
      <c r="U336" s="193"/>
      <c r="V336" s="193"/>
      <c r="W336" s="193"/>
      <c r="X336" s="193"/>
      <c r="Y336" s="193"/>
      <c r="Z336" s="193"/>
      <c r="AA336" s="193"/>
      <c r="AB336" s="193"/>
      <c r="AC336" s="193"/>
      <c r="AD336" s="193"/>
      <c r="AE336" s="193"/>
      <c r="AF336" s="193"/>
      <c r="AG336" s="193"/>
      <c r="AH336" s="193"/>
      <c r="AI336" s="193"/>
      <c r="AJ336" s="193"/>
      <c r="AK336" s="193"/>
      <c r="AL336" s="193"/>
    </row>
    <row r="337" spans="7:38">
      <c r="G337" s="193"/>
      <c r="H337" s="193"/>
      <c r="I337" s="193"/>
      <c r="J337" s="193"/>
      <c r="K337" s="193"/>
      <c r="L337" s="193"/>
      <c r="M337" s="193"/>
      <c r="N337" s="193"/>
      <c r="O337" s="193"/>
      <c r="P337" s="193"/>
      <c r="Q337" s="193"/>
      <c r="R337" s="193"/>
      <c r="S337" s="193"/>
      <c r="T337" s="193"/>
      <c r="U337" s="193"/>
      <c r="V337" s="193"/>
      <c r="W337" s="193"/>
      <c r="X337" s="193"/>
      <c r="Y337" s="193"/>
      <c r="Z337" s="193"/>
      <c r="AA337" s="193"/>
      <c r="AB337" s="193"/>
      <c r="AC337" s="193"/>
      <c r="AD337" s="193"/>
      <c r="AE337" s="193"/>
      <c r="AF337" s="193"/>
      <c r="AG337" s="193"/>
      <c r="AH337" s="193"/>
      <c r="AI337" s="193"/>
      <c r="AJ337" s="193"/>
      <c r="AK337" s="193"/>
      <c r="AL337" s="193"/>
    </row>
    <row r="338" spans="7:38">
      <c r="G338" s="193"/>
      <c r="H338" s="193"/>
      <c r="I338" s="193"/>
      <c r="J338" s="193"/>
      <c r="K338" s="193"/>
      <c r="L338" s="193"/>
      <c r="M338" s="193"/>
      <c r="N338" s="193"/>
      <c r="O338" s="193"/>
      <c r="P338" s="193"/>
      <c r="Q338" s="193"/>
      <c r="R338" s="193"/>
      <c r="S338" s="193"/>
      <c r="T338" s="193"/>
      <c r="U338" s="193"/>
      <c r="V338" s="193"/>
      <c r="W338" s="193"/>
      <c r="X338" s="193"/>
      <c r="Y338" s="193"/>
      <c r="Z338" s="193"/>
      <c r="AA338" s="193"/>
      <c r="AB338" s="193"/>
      <c r="AC338" s="193"/>
      <c r="AD338" s="193"/>
      <c r="AE338" s="193"/>
      <c r="AF338" s="193"/>
      <c r="AG338" s="193"/>
      <c r="AH338" s="193"/>
      <c r="AI338" s="193"/>
      <c r="AJ338" s="193"/>
      <c r="AK338" s="193"/>
      <c r="AL338" s="193"/>
    </row>
    <row r="339" spans="7:38">
      <c r="G339" s="193"/>
      <c r="H339" s="193"/>
      <c r="I339" s="193"/>
      <c r="J339" s="193"/>
      <c r="K339" s="193"/>
      <c r="L339" s="193"/>
      <c r="M339" s="193"/>
      <c r="N339" s="193"/>
      <c r="O339" s="193"/>
      <c r="P339" s="193"/>
      <c r="Q339" s="193"/>
      <c r="R339" s="193"/>
      <c r="S339" s="193"/>
      <c r="T339" s="193"/>
      <c r="U339" s="193"/>
      <c r="V339" s="193"/>
      <c r="W339" s="193"/>
      <c r="X339" s="193"/>
      <c r="Y339" s="193"/>
      <c r="Z339" s="193"/>
      <c r="AA339" s="193"/>
      <c r="AB339" s="193"/>
      <c r="AC339" s="193"/>
      <c r="AD339" s="193"/>
      <c r="AE339" s="193"/>
      <c r="AF339" s="193"/>
      <c r="AG339" s="193"/>
      <c r="AH339" s="193"/>
      <c r="AI339" s="193"/>
      <c r="AJ339" s="193"/>
      <c r="AK339" s="193"/>
      <c r="AL339" s="193"/>
    </row>
    <row r="340" spans="7:38">
      <c r="G340" s="193"/>
      <c r="H340" s="193"/>
      <c r="I340" s="193"/>
      <c r="J340" s="193"/>
      <c r="K340" s="193"/>
      <c r="L340" s="193"/>
      <c r="M340" s="193"/>
      <c r="N340" s="193"/>
      <c r="O340" s="193"/>
      <c r="P340" s="193"/>
      <c r="Q340" s="193"/>
      <c r="R340" s="193"/>
      <c r="S340" s="193"/>
      <c r="T340" s="193"/>
      <c r="U340" s="193"/>
      <c r="V340" s="193"/>
      <c r="W340" s="193"/>
      <c r="X340" s="193"/>
      <c r="Y340" s="193"/>
      <c r="Z340" s="193"/>
      <c r="AA340" s="193"/>
      <c r="AB340" s="193"/>
      <c r="AC340" s="193"/>
      <c r="AD340" s="193"/>
      <c r="AE340" s="193"/>
      <c r="AF340" s="193"/>
      <c r="AG340" s="193"/>
      <c r="AH340" s="193"/>
      <c r="AI340" s="193"/>
      <c r="AJ340" s="193"/>
      <c r="AK340" s="193"/>
      <c r="AL340" s="193"/>
    </row>
    <row r="341" spans="7:38">
      <c r="G341" s="193"/>
      <c r="H341" s="193"/>
      <c r="I341" s="193"/>
      <c r="J341" s="193"/>
      <c r="K341" s="193"/>
      <c r="L341" s="193"/>
      <c r="M341" s="193"/>
      <c r="N341" s="193"/>
      <c r="O341" s="193"/>
      <c r="P341" s="193"/>
      <c r="Q341" s="193"/>
      <c r="R341" s="193"/>
      <c r="S341" s="193"/>
      <c r="T341" s="193"/>
      <c r="U341" s="193"/>
      <c r="V341" s="193"/>
      <c r="W341" s="193"/>
      <c r="X341" s="193"/>
      <c r="Y341" s="193"/>
      <c r="Z341" s="193"/>
      <c r="AA341" s="193"/>
      <c r="AB341" s="193"/>
      <c r="AC341" s="193"/>
      <c r="AD341" s="193"/>
      <c r="AE341" s="193"/>
      <c r="AF341" s="193"/>
      <c r="AG341" s="193"/>
      <c r="AH341" s="193"/>
      <c r="AI341" s="193"/>
      <c r="AJ341" s="193"/>
      <c r="AK341" s="193"/>
      <c r="AL341" s="193"/>
    </row>
    <row r="342" spans="7:38">
      <c r="G342" s="193"/>
      <c r="H342" s="193"/>
      <c r="I342" s="193"/>
      <c r="J342" s="193"/>
      <c r="K342" s="193"/>
      <c r="L342" s="193"/>
      <c r="M342" s="193"/>
      <c r="N342" s="193"/>
      <c r="O342" s="193"/>
      <c r="P342" s="193"/>
      <c r="Q342" s="193"/>
      <c r="R342" s="193"/>
      <c r="S342" s="193"/>
      <c r="T342" s="193"/>
      <c r="U342" s="193"/>
      <c r="V342" s="193"/>
      <c r="W342" s="193"/>
      <c r="X342" s="193"/>
      <c r="Y342" s="193"/>
      <c r="Z342" s="193"/>
      <c r="AA342" s="193"/>
      <c r="AB342" s="193"/>
      <c r="AC342" s="193"/>
      <c r="AD342" s="193"/>
      <c r="AE342" s="193"/>
      <c r="AF342" s="193"/>
      <c r="AG342" s="193"/>
      <c r="AH342" s="193"/>
      <c r="AI342" s="193"/>
      <c r="AJ342" s="193"/>
      <c r="AK342" s="193"/>
      <c r="AL342" s="193"/>
    </row>
    <row r="343" spans="7:38">
      <c r="G343" s="193"/>
      <c r="H343" s="193"/>
      <c r="I343" s="193"/>
      <c r="J343" s="193"/>
      <c r="K343" s="193"/>
      <c r="L343" s="193"/>
      <c r="M343" s="193"/>
      <c r="N343" s="193"/>
      <c r="O343" s="193"/>
      <c r="P343" s="193"/>
      <c r="Q343" s="193"/>
      <c r="R343" s="193"/>
      <c r="S343" s="193"/>
      <c r="T343" s="193"/>
      <c r="U343" s="193"/>
      <c r="V343" s="193"/>
      <c r="W343" s="193"/>
      <c r="X343" s="193"/>
      <c r="Y343" s="193"/>
      <c r="Z343" s="193"/>
      <c r="AA343" s="193"/>
      <c r="AB343" s="193"/>
      <c r="AC343" s="193"/>
      <c r="AD343" s="193"/>
      <c r="AE343" s="193"/>
      <c r="AF343" s="193"/>
      <c r="AG343" s="193"/>
      <c r="AH343" s="193"/>
      <c r="AI343" s="193"/>
      <c r="AJ343" s="193"/>
      <c r="AK343" s="193"/>
      <c r="AL343" s="193"/>
    </row>
    <row r="344" spans="7:38">
      <c r="G344" s="193"/>
      <c r="H344" s="193"/>
      <c r="I344" s="193"/>
      <c r="J344" s="193"/>
      <c r="K344" s="193"/>
      <c r="L344" s="193"/>
      <c r="M344" s="193"/>
      <c r="N344" s="193"/>
      <c r="O344" s="193"/>
      <c r="P344" s="193"/>
      <c r="Q344" s="193"/>
      <c r="R344" s="193"/>
      <c r="S344" s="193"/>
      <c r="T344" s="193"/>
      <c r="U344" s="193"/>
      <c r="V344" s="193"/>
      <c r="W344" s="193"/>
      <c r="X344" s="193"/>
      <c r="Y344" s="193"/>
      <c r="Z344" s="193"/>
      <c r="AA344" s="193"/>
      <c r="AB344" s="193"/>
      <c r="AC344" s="193"/>
      <c r="AD344" s="193"/>
      <c r="AE344" s="193"/>
      <c r="AF344" s="193"/>
      <c r="AG344" s="193"/>
      <c r="AH344" s="193"/>
      <c r="AI344" s="193"/>
      <c r="AJ344" s="193"/>
      <c r="AK344" s="193"/>
      <c r="AL344" s="193"/>
    </row>
    <row r="345" spans="7:38">
      <c r="G345" s="193"/>
      <c r="H345" s="193"/>
      <c r="I345" s="193"/>
      <c r="J345" s="193"/>
      <c r="K345" s="193"/>
      <c r="L345" s="193"/>
      <c r="M345" s="193"/>
      <c r="N345" s="193"/>
      <c r="O345" s="193"/>
      <c r="P345" s="193"/>
      <c r="Q345" s="193"/>
      <c r="R345" s="193"/>
      <c r="S345" s="193"/>
      <c r="T345" s="193"/>
      <c r="U345" s="193"/>
      <c r="V345" s="193"/>
      <c r="W345" s="193"/>
      <c r="X345" s="193"/>
      <c r="Y345" s="193"/>
      <c r="Z345" s="193"/>
      <c r="AA345" s="193"/>
      <c r="AB345" s="193"/>
      <c r="AC345" s="193"/>
      <c r="AD345" s="193"/>
      <c r="AE345" s="193"/>
      <c r="AF345" s="193"/>
      <c r="AG345" s="193"/>
      <c r="AH345" s="193"/>
      <c r="AI345" s="193"/>
      <c r="AJ345" s="193"/>
      <c r="AK345" s="193"/>
      <c r="AL345" s="193"/>
    </row>
    <row r="346" spans="7:38">
      <c r="G346" s="193"/>
      <c r="H346" s="193"/>
      <c r="I346" s="193"/>
      <c r="J346" s="193"/>
      <c r="K346" s="193"/>
      <c r="L346" s="193"/>
      <c r="M346" s="193"/>
      <c r="N346" s="193"/>
      <c r="O346" s="193"/>
      <c r="P346" s="193"/>
      <c r="Q346" s="193"/>
      <c r="R346" s="193"/>
      <c r="S346" s="193"/>
      <c r="T346" s="193"/>
      <c r="U346" s="193"/>
      <c r="V346" s="193"/>
      <c r="W346" s="193"/>
      <c r="X346" s="193"/>
      <c r="Y346" s="193"/>
      <c r="Z346" s="193"/>
      <c r="AA346" s="193"/>
      <c r="AB346" s="193"/>
      <c r="AC346" s="193"/>
      <c r="AD346" s="193"/>
      <c r="AE346" s="193"/>
      <c r="AF346" s="193"/>
      <c r="AG346" s="193"/>
      <c r="AH346" s="193"/>
      <c r="AI346" s="193"/>
      <c r="AJ346" s="193"/>
      <c r="AK346" s="193"/>
      <c r="AL346" s="193"/>
    </row>
    <row r="347" spans="7:38">
      <c r="G347" s="193"/>
      <c r="H347" s="193"/>
      <c r="I347" s="193"/>
      <c r="J347" s="193"/>
      <c r="K347" s="193"/>
      <c r="L347" s="193"/>
      <c r="M347" s="193"/>
      <c r="N347" s="193"/>
      <c r="O347" s="193"/>
      <c r="P347" s="193"/>
      <c r="Q347" s="193"/>
      <c r="R347" s="193"/>
      <c r="S347" s="193"/>
      <c r="T347" s="193"/>
      <c r="U347" s="193"/>
      <c r="V347" s="193"/>
      <c r="W347" s="193"/>
      <c r="X347" s="193"/>
      <c r="Y347" s="193"/>
      <c r="Z347" s="193"/>
      <c r="AA347" s="193"/>
      <c r="AB347" s="193"/>
      <c r="AC347" s="193"/>
      <c r="AD347" s="193"/>
      <c r="AE347" s="193"/>
      <c r="AF347" s="193"/>
      <c r="AG347" s="193"/>
      <c r="AH347" s="193"/>
      <c r="AI347" s="193"/>
      <c r="AJ347" s="193"/>
      <c r="AK347" s="193"/>
      <c r="AL347" s="193"/>
    </row>
    <row r="348" spans="7:38">
      <c r="G348" s="193"/>
      <c r="H348" s="193"/>
      <c r="I348" s="193"/>
      <c r="J348" s="193"/>
      <c r="K348" s="193"/>
      <c r="L348" s="193"/>
      <c r="M348" s="193"/>
      <c r="N348" s="193"/>
      <c r="O348" s="193"/>
      <c r="P348" s="193"/>
      <c r="Q348" s="193"/>
      <c r="R348" s="193"/>
      <c r="S348" s="193"/>
      <c r="T348" s="193"/>
      <c r="U348" s="193"/>
      <c r="V348" s="193"/>
      <c r="W348" s="193"/>
      <c r="X348" s="193"/>
      <c r="Y348" s="193"/>
      <c r="Z348" s="193"/>
      <c r="AA348" s="193"/>
      <c r="AB348" s="193"/>
      <c r="AC348" s="193"/>
      <c r="AD348" s="193"/>
      <c r="AE348" s="193"/>
      <c r="AF348" s="193"/>
      <c r="AG348" s="193"/>
      <c r="AH348" s="193"/>
      <c r="AI348" s="193"/>
      <c r="AJ348" s="193"/>
      <c r="AK348" s="193"/>
      <c r="AL348" s="193"/>
    </row>
    <row r="349" spans="7:38">
      <c r="G349" s="193"/>
      <c r="H349" s="193"/>
      <c r="I349" s="193"/>
      <c r="J349" s="193"/>
      <c r="K349" s="193"/>
      <c r="L349" s="193"/>
      <c r="M349" s="193"/>
      <c r="N349" s="193"/>
      <c r="O349" s="193"/>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93"/>
      <c r="AK349" s="193"/>
      <c r="AL349" s="193"/>
    </row>
    <row r="350" spans="7:38">
      <c r="G350" s="193"/>
      <c r="H350" s="193"/>
      <c r="I350" s="193"/>
      <c r="J350" s="193"/>
      <c r="K350" s="193"/>
      <c r="L350" s="193"/>
      <c r="M350" s="193"/>
      <c r="N350" s="193"/>
      <c r="O350" s="193"/>
      <c r="P350" s="193"/>
      <c r="Q350" s="193"/>
      <c r="R350" s="193"/>
      <c r="S350" s="193"/>
      <c r="T350" s="193"/>
      <c r="U350" s="193"/>
      <c r="V350" s="193"/>
      <c r="W350" s="193"/>
      <c r="X350" s="193"/>
      <c r="Y350" s="193"/>
      <c r="Z350" s="193"/>
      <c r="AA350" s="193"/>
      <c r="AB350" s="193"/>
      <c r="AC350" s="193"/>
      <c r="AD350" s="193"/>
      <c r="AE350" s="193"/>
      <c r="AF350" s="193"/>
      <c r="AG350" s="193"/>
      <c r="AH350" s="193"/>
      <c r="AI350" s="193"/>
      <c r="AJ350" s="193"/>
      <c r="AK350" s="193"/>
      <c r="AL350" s="193"/>
    </row>
    <row r="351" spans="7:38">
      <c r="G351" s="193"/>
      <c r="H351" s="193"/>
      <c r="I351" s="193"/>
      <c r="J351" s="193"/>
      <c r="K351" s="193"/>
      <c r="L351" s="193"/>
      <c r="M351" s="193"/>
      <c r="N351" s="193"/>
      <c r="O351" s="193"/>
      <c r="P351" s="193"/>
      <c r="Q351" s="193"/>
      <c r="R351" s="193"/>
      <c r="S351" s="193"/>
      <c r="T351" s="193"/>
      <c r="U351" s="193"/>
      <c r="V351" s="193"/>
      <c r="W351" s="193"/>
      <c r="X351" s="193"/>
      <c r="Y351" s="193"/>
      <c r="Z351" s="193"/>
      <c r="AA351" s="193"/>
      <c r="AB351" s="193"/>
      <c r="AC351" s="193"/>
      <c r="AD351" s="193"/>
      <c r="AE351" s="193"/>
      <c r="AF351" s="193"/>
      <c r="AG351" s="193"/>
      <c r="AH351" s="193"/>
      <c r="AI351" s="193"/>
      <c r="AJ351" s="193"/>
      <c r="AK351" s="193"/>
      <c r="AL351" s="193"/>
    </row>
    <row r="352" spans="7:38">
      <c r="G352" s="193"/>
      <c r="H352" s="193"/>
      <c r="I352" s="193"/>
      <c r="J352" s="193"/>
      <c r="K352" s="193"/>
      <c r="L352" s="193"/>
      <c r="M352" s="193"/>
      <c r="N352" s="193"/>
      <c r="O352" s="193"/>
      <c r="P352" s="193"/>
      <c r="Q352" s="193"/>
      <c r="R352" s="193"/>
      <c r="S352" s="193"/>
      <c r="T352" s="193"/>
      <c r="U352" s="193"/>
      <c r="V352" s="193"/>
      <c r="W352" s="193"/>
      <c r="X352" s="193"/>
      <c r="Y352" s="193"/>
      <c r="Z352" s="193"/>
      <c r="AA352" s="193"/>
      <c r="AB352" s="193"/>
      <c r="AC352" s="193"/>
      <c r="AD352" s="193"/>
      <c r="AE352" s="193"/>
      <c r="AF352" s="193"/>
      <c r="AG352" s="193"/>
      <c r="AH352" s="193"/>
      <c r="AI352" s="193"/>
      <c r="AJ352" s="193"/>
      <c r="AK352" s="193"/>
      <c r="AL352" s="193"/>
    </row>
    <row r="353" spans="7:38">
      <c r="G353" s="193"/>
      <c r="H353" s="193"/>
      <c r="I353" s="193"/>
      <c r="J353" s="193"/>
      <c r="K353" s="193"/>
      <c r="L353" s="193"/>
      <c r="M353" s="193"/>
      <c r="N353" s="193"/>
      <c r="O353" s="193"/>
      <c r="P353" s="193"/>
      <c r="Q353" s="193"/>
      <c r="R353" s="193"/>
      <c r="S353" s="193"/>
      <c r="T353" s="193"/>
      <c r="U353" s="193"/>
      <c r="V353" s="193"/>
      <c r="W353" s="193"/>
      <c r="X353" s="193"/>
      <c r="Y353" s="193"/>
      <c r="Z353" s="193"/>
      <c r="AA353" s="193"/>
      <c r="AB353" s="193"/>
      <c r="AC353" s="193"/>
      <c r="AD353" s="193"/>
      <c r="AE353" s="193"/>
      <c r="AF353" s="193"/>
      <c r="AG353" s="193"/>
      <c r="AH353" s="193"/>
      <c r="AI353" s="193"/>
      <c r="AJ353" s="193"/>
      <c r="AK353" s="193"/>
      <c r="AL353" s="193"/>
    </row>
    <row r="354" spans="7:38">
      <c r="G354" s="193"/>
      <c r="H354" s="193"/>
      <c r="I354" s="193"/>
      <c r="J354" s="193"/>
      <c r="K354" s="193"/>
      <c r="L354" s="193"/>
      <c r="M354" s="193"/>
      <c r="N354" s="193"/>
      <c r="O354" s="193"/>
      <c r="P354" s="193"/>
      <c r="Q354" s="193"/>
      <c r="R354" s="193"/>
      <c r="S354" s="193"/>
      <c r="T354" s="193"/>
      <c r="U354" s="193"/>
      <c r="V354" s="193"/>
      <c r="W354" s="193"/>
      <c r="X354" s="193"/>
      <c r="Y354" s="193"/>
      <c r="Z354" s="193"/>
      <c r="AA354" s="193"/>
      <c r="AB354" s="193"/>
      <c r="AC354" s="193"/>
      <c r="AD354" s="193"/>
      <c r="AE354" s="193"/>
      <c r="AF354" s="193"/>
      <c r="AG354" s="193"/>
      <c r="AH354" s="193"/>
      <c r="AI354" s="193"/>
      <c r="AJ354" s="193"/>
      <c r="AK354" s="193"/>
      <c r="AL354" s="193"/>
    </row>
    <row r="355" spans="7:38">
      <c r="G355" s="193"/>
      <c r="H355" s="193"/>
      <c r="I355" s="193"/>
      <c r="J355" s="193"/>
      <c r="K355" s="193"/>
      <c r="L355" s="193"/>
      <c r="M355" s="193"/>
      <c r="N355" s="193"/>
      <c r="O355" s="193"/>
      <c r="P355" s="193"/>
      <c r="Q355" s="193"/>
      <c r="R355" s="193"/>
      <c r="S355" s="193"/>
      <c r="T355" s="193"/>
      <c r="U355" s="193"/>
      <c r="V355" s="193"/>
      <c r="W355" s="193"/>
      <c r="X355" s="193"/>
      <c r="Y355" s="193"/>
      <c r="Z355" s="193"/>
      <c r="AA355" s="193"/>
      <c r="AB355" s="193"/>
      <c r="AC355" s="193"/>
      <c r="AD355" s="193"/>
      <c r="AE355" s="193"/>
      <c r="AF355" s="193"/>
      <c r="AG355" s="193"/>
      <c r="AH355" s="193"/>
      <c r="AI355" s="193"/>
      <c r="AJ355" s="193"/>
      <c r="AK355" s="193"/>
      <c r="AL355" s="193"/>
    </row>
    <row r="356" spans="7:38">
      <c r="G356" s="193"/>
      <c r="H356" s="193"/>
      <c r="I356" s="193"/>
      <c r="J356" s="193"/>
      <c r="K356" s="193"/>
      <c r="L356" s="193"/>
      <c r="M356" s="193"/>
      <c r="N356" s="193"/>
      <c r="O356" s="193"/>
      <c r="P356" s="193"/>
      <c r="Q356" s="193"/>
      <c r="R356" s="193"/>
      <c r="S356" s="193"/>
      <c r="T356" s="193"/>
      <c r="U356" s="193"/>
      <c r="V356" s="193"/>
      <c r="W356" s="193"/>
      <c r="X356" s="193"/>
      <c r="Y356" s="193"/>
      <c r="Z356" s="193"/>
      <c r="AA356" s="193"/>
      <c r="AB356" s="193"/>
      <c r="AC356" s="193"/>
      <c r="AD356" s="193"/>
      <c r="AE356" s="193"/>
      <c r="AF356" s="193"/>
      <c r="AG356" s="193"/>
      <c r="AH356" s="193"/>
      <c r="AI356" s="193"/>
      <c r="AJ356" s="193"/>
      <c r="AK356" s="193"/>
      <c r="AL356" s="193"/>
    </row>
    <row r="357" spans="7:38">
      <c r="G357" s="193"/>
      <c r="H357" s="193"/>
      <c r="I357" s="193"/>
      <c r="J357" s="193"/>
      <c r="K357" s="193"/>
      <c r="L357" s="193"/>
      <c r="M357" s="193"/>
      <c r="N357" s="193"/>
      <c r="O357" s="193"/>
      <c r="P357" s="193"/>
      <c r="Q357" s="193"/>
      <c r="R357" s="193"/>
      <c r="S357" s="193"/>
      <c r="T357" s="193"/>
      <c r="U357" s="193"/>
      <c r="V357" s="193"/>
      <c r="W357" s="193"/>
      <c r="X357" s="193"/>
      <c r="Y357" s="193"/>
      <c r="Z357" s="193"/>
      <c r="AA357" s="193"/>
      <c r="AB357" s="193"/>
      <c r="AC357" s="193"/>
      <c r="AD357" s="193"/>
      <c r="AE357" s="193"/>
      <c r="AF357" s="193"/>
      <c r="AG357" s="193"/>
      <c r="AH357" s="193"/>
      <c r="AI357" s="193"/>
      <c r="AJ357" s="193"/>
      <c r="AK357" s="193"/>
      <c r="AL357" s="193"/>
    </row>
    <row r="358" spans="7:38">
      <c r="G358" s="193"/>
      <c r="H358" s="193"/>
      <c r="I358" s="193"/>
      <c r="J358" s="193"/>
      <c r="K358" s="193"/>
      <c r="L358" s="193"/>
      <c r="M358" s="193"/>
      <c r="N358" s="193"/>
      <c r="O358" s="193"/>
      <c r="P358" s="193"/>
      <c r="Q358" s="193"/>
      <c r="R358" s="193"/>
      <c r="S358" s="193"/>
      <c r="T358" s="193"/>
      <c r="U358" s="193"/>
      <c r="V358" s="193"/>
      <c r="W358" s="193"/>
      <c r="X358" s="193"/>
      <c r="Y358" s="193"/>
      <c r="Z358" s="193"/>
      <c r="AA358" s="193"/>
      <c r="AB358" s="193"/>
      <c r="AC358" s="193"/>
      <c r="AD358" s="193"/>
      <c r="AE358" s="193"/>
      <c r="AF358" s="193"/>
      <c r="AG358" s="193"/>
      <c r="AH358" s="193"/>
      <c r="AI358" s="193"/>
      <c r="AJ358" s="193"/>
      <c r="AK358" s="193"/>
      <c r="AL358" s="193"/>
    </row>
    <row r="359" spans="7:38">
      <c r="G359" s="193"/>
      <c r="H359" s="193"/>
      <c r="I359" s="193"/>
      <c r="J359" s="193"/>
      <c r="K359" s="193"/>
      <c r="L359" s="193"/>
      <c r="M359" s="193"/>
      <c r="N359" s="193"/>
      <c r="O359" s="193"/>
      <c r="P359" s="193"/>
      <c r="Q359" s="193"/>
      <c r="R359" s="193"/>
      <c r="S359" s="193"/>
      <c r="T359" s="193"/>
      <c r="U359" s="193"/>
      <c r="V359" s="193"/>
      <c r="W359" s="193"/>
      <c r="X359" s="193"/>
      <c r="Y359" s="193"/>
      <c r="Z359" s="193"/>
      <c r="AA359" s="193"/>
      <c r="AB359" s="193"/>
      <c r="AC359" s="193"/>
      <c r="AD359" s="193"/>
      <c r="AE359" s="193"/>
      <c r="AF359" s="193"/>
      <c r="AG359" s="193"/>
      <c r="AH359" s="193"/>
      <c r="AI359" s="193"/>
      <c r="AJ359" s="193"/>
      <c r="AK359" s="193"/>
      <c r="AL359" s="193"/>
    </row>
    <row r="360" spans="7:38">
      <c r="G360" s="193"/>
      <c r="H360" s="193"/>
      <c r="I360" s="193"/>
      <c r="J360" s="193"/>
      <c r="K360" s="193"/>
      <c r="L360" s="193"/>
      <c r="M360" s="193"/>
      <c r="N360" s="193"/>
      <c r="O360" s="193"/>
      <c r="P360" s="193"/>
      <c r="Q360" s="193"/>
      <c r="R360" s="193"/>
      <c r="S360" s="193"/>
      <c r="T360" s="193"/>
      <c r="U360" s="193"/>
      <c r="V360" s="193"/>
      <c r="W360" s="193"/>
      <c r="X360" s="193"/>
      <c r="Y360" s="193"/>
      <c r="Z360" s="193"/>
      <c r="AA360" s="193"/>
      <c r="AB360" s="193"/>
      <c r="AC360" s="193"/>
      <c r="AD360" s="193"/>
      <c r="AE360" s="193"/>
      <c r="AF360" s="193"/>
      <c r="AG360" s="193"/>
      <c r="AH360" s="193"/>
      <c r="AI360" s="193"/>
      <c r="AJ360" s="193"/>
      <c r="AK360" s="193"/>
      <c r="AL360" s="193"/>
    </row>
    <row r="361" spans="7:38">
      <c r="G361" s="193"/>
      <c r="H361" s="193"/>
      <c r="I361" s="193"/>
      <c r="J361" s="193"/>
      <c r="K361" s="193"/>
      <c r="L361" s="193"/>
      <c r="M361" s="193"/>
      <c r="N361" s="193"/>
      <c r="O361" s="193"/>
      <c r="P361" s="193"/>
      <c r="Q361" s="193"/>
      <c r="R361" s="193"/>
      <c r="S361" s="193"/>
      <c r="T361" s="193"/>
      <c r="U361" s="193"/>
      <c r="V361" s="193"/>
      <c r="W361" s="193"/>
      <c r="X361" s="193"/>
      <c r="Y361" s="193"/>
      <c r="Z361" s="193"/>
      <c r="AA361" s="193"/>
      <c r="AB361" s="193"/>
      <c r="AC361" s="193"/>
      <c r="AD361" s="193"/>
      <c r="AE361" s="193"/>
      <c r="AF361" s="193"/>
      <c r="AG361" s="193"/>
      <c r="AH361" s="193"/>
      <c r="AI361" s="193"/>
      <c r="AJ361" s="193"/>
      <c r="AK361" s="193"/>
      <c r="AL361" s="193"/>
    </row>
    <row r="362" spans="7:38">
      <c r="G362" s="193"/>
      <c r="H362" s="193"/>
      <c r="I362" s="193"/>
      <c r="J362" s="193"/>
      <c r="K362" s="193"/>
      <c r="L362" s="193"/>
      <c r="M362" s="193"/>
      <c r="N362" s="193"/>
      <c r="O362" s="193"/>
      <c r="P362" s="193"/>
      <c r="Q362" s="193"/>
      <c r="R362" s="193"/>
      <c r="S362" s="193"/>
      <c r="T362" s="193"/>
      <c r="U362" s="193"/>
      <c r="V362" s="193"/>
      <c r="W362" s="193"/>
      <c r="X362" s="193"/>
      <c r="Y362" s="193"/>
      <c r="Z362" s="193"/>
      <c r="AA362" s="193"/>
      <c r="AB362" s="193"/>
      <c r="AC362" s="193"/>
      <c r="AD362" s="193"/>
      <c r="AE362" s="193"/>
      <c r="AF362" s="193"/>
      <c r="AG362" s="193"/>
      <c r="AH362" s="193"/>
      <c r="AI362" s="193"/>
      <c r="AJ362" s="193"/>
      <c r="AK362" s="193"/>
      <c r="AL362" s="193"/>
    </row>
    <row r="363" spans="7:38">
      <c r="G363" s="193"/>
      <c r="H363" s="193"/>
      <c r="I363" s="193"/>
      <c r="J363" s="193"/>
      <c r="K363" s="193"/>
      <c r="L363" s="193"/>
      <c r="M363" s="193"/>
      <c r="N363" s="193"/>
      <c r="O363" s="193"/>
      <c r="P363" s="193"/>
      <c r="Q363" s="193"/>
      <c r="R363" s="193"/>
      <c r="S363" s="193"/>
      <c r="T363" s="193"/>
      <c r="U363" s="193"/>
      <c r="V363" s="193"/>
      <c r="W363" s="193"/>
      <c r="X363" s="193"/>
      <c r="Y363" s="193"/>
      <c r="Z363" s="193"/>
      <c r="AA363" s="193"/>
      <c r="AB363" s="193"/>
      <c r="AC363" s="193"/>
      <c r="AD363" s="193"/>
      <c r="AE363" s="193"/>
      <c r="AF363" s="193"/>
      <c r="AG363" s="193"/>
      <c r="AH363" s="193"/>
      <c r="AI363" s="193"/>
      <c r="AJ363" s="193"/>
      <c r="AK363" s="193"/>
      <c r="AL363" s="193"/>
    </row>
    <row r="364" spans="7:38">
      <c r="G364" s="193"/>
      <c r="H364" s="193"/>
      <c r="I364" s="193"/>
      <c r="J364" s="193"/>
      <c r="K364" s="193"/>
      <c r="L364" s="193"/>
      <c r="M364" s="193"/>
      <c r="N364" s="193"/>
      <c r="O364" s="193"/>
      <c r="P364" s="193"/>
      <c r="Q364" s="193"/>
      <c r="R364" s="193"/>
      <c r="S364" s="193"/>
      <c r="T364" s="193"/>
      <c r="U364" s="193"/>
      <c r="V364" s="193"/>
      <c r="W364" s="193"/>
      <c r="X364" s="193"/>
      <c r="Y364" s="193"/>
      <c r="Z364" s="193"/>
      <c r="AA364" s="193"/>
      <c r="AB364" s="193"/>
      <c r="AC364" s="193"/>
      <c r="AD364" s="193"/>
      <c r="AE364" s="193"/>
      <c r="AF364" s="193"/>
      <c r="AG364" s="193"/>
      <c r="AH364" s="193"/>
      <c r="AI364" s="193"/>
      <c r="AJ364" s="193"/>
      <c r="AK364" s="193"/>
      <c r="AL364" s="193"/>
    </row>
    <row r="365" spans="7:38">
      <c r="G365" s="193"/>
      <c r="H365" s="193"/>
      <c r="I365" s="193"/>
      <c r="J365" s="193"/>
      <c r="K365" s="193"/>
      <c r="L365" s="193"/>
      <c r="M365" s="193"/>
      <c r="N365" s="193"/>
      <c r="O365" s="193"/>
      <c r="P365" s="193"/>
      <c r="Q365" s="193"/>
      <c r="R365" s="193"/>
      <c r="S365" s="193"/>
      <c r="T365" s="193"/>
      <c r="U365" s="193"/>
      <c r="V365" s="193"/>
      <c r="W365" s="193"/>
      <c r="X365" s="193"/>
      <c r="Y365" s="193"/>
      <c r="Z365" s="193"/>
      <c r="AA365" s="193"/>
      <c r="AB365" s="193"/>
      <c r="AC365" s="193"/>
      <c r="AD365" s="193"/>
      <c r="AE365" s="193"/>
      <c r="AF365" s="193"/>
      <c r="AG365" s="193"/>
      <c r="AH365" s="193"/>
      <c r="AI365" s="193"/>
      <c r="AJ365" s="193"/>
      <c r="AK365" s="193"/>
      <c r="AL365" s="193"/>
    </row>
    <row r="366" spans="7:38">
      <c r="G366" s="193"/>
      <c r="H366" s="193"/>
      <c r="I366" s="193"/>
      <c r="J366" s="193"/>
      <c r="K366" s="193"/>
      <c r="L366" s="193"/>
      <c r="M366" s="193"/>
      <c r="N366" s="193"/>
      <c r="O366" s="193"/>
      <c r="P366" s="193"/>
      <c r="Q366" s="193"/>
      <c r="R366" s="193"/>
      <c r="S366" s="193"/>
      <c r="T366" s="193"/>
      <c r="U366" s="193"/>
      <c r="V366" s="193"/>
      <c r="W366" s="193"/>
      <c r="X366" s="193"/>
      <c r="Y366" s="193"/>
      <c r="Z366" s="193"/>
      <c r="AA366" s="193"/>
      <c r="AB366" s="193"/>
      <c r="AC366" s="193"/>
      <c r="AD366" s="193"/>
      <c r="AE366" s="193"/>
      <c r="AF366" s="193"/>
      <c r="AG366" s="193"/>
      <c r="AH366" s="193"/>
      <c r="AI366" s="193"/>
      <c r="AJ366" s="193"/>
      <c r="AK366" s="193"/>
      <c r="AL366" s="193"/>
    </row>
    <row r="367" spans="7:38">
      <c r="G367" s="193"/>
      <c r="H367" s="193"/>
      <c r="I367" s="193"/>
      <c r="J367" s="193"/>
      <c r="K367" s="193"/>
      <c r="L367" s="193"/>
      <c r="M367" s="193"/>
      <c r="N367" s="193"/>
      <c r="O367" s="193"/>
      <c r="P367" s="193"/>
      <c r="Q367" s="193"/>
      <c r="R367" s="193"/>
      <c r="S367" s="193"/>
      <c r="T367" s="193"/>
      <c r="U367" s="193"/>
      <c r="V367" s="193"/>
      <c r="W367" s="193"/>
      <c r="X367" s="193"/>
      <c r="Y367" s="193"/>
      <c r="Z367" s="193"/>
      <c r="AA367" s="193"/>
      <c r="AB367" s="193"/>
      <c r="AC367" s="193"/>
      <c r="AD367" s="193"/>
      <c r="AE367" s="193"/>
      <c r="AF367" s="193"/>
      <c r="AG367" s="193"/>
      <c r="AH367" s="193"/>
      <c r="AI367" s="193"/>
      <c r="AJ367" s="193"/>
      <c r="AK367" s="193"/>
      <c r="AL367" s="193"/>
    </row>
    <row r="368" spans="7:38">
      <c r="G368" s="193"/>
      <c r="H368" s="193"/>
      <c r="I368" s="193"/>
      <c r="J368" s="193"/>
      <c r="K368" s="193"/>
      <c r="L368" s="193"/>
      <c r="M368" s="193"/>
      <c r="N368" s="193"/>
      <c r="O368" s="193"/>
      <c r="P368" s="193"/>
      <c r="Q368" s="193"/>
      <c r="R368" s="193"/>
      <c r="S368" s="193"/>
      <c r="T368" s="193"/>
      <c r="U368" s="193"/>
      <c r="V368" s="193"/>
      <c r="W368" s="193"/>
      <c r="X368" s="193"/>
      <c r="Y368" s="193"/>
      <c r="Z368" s="193"/>
      <c r="AA368" s="193"/>
      <c r="AB368" s="193"/>
      <c r="AC368" s="193"/>
      <c r="AD368" s="193"/>
      <c r="AE368" s="193"/>
      <c r="AF368" s="193"/>
      <c r="AG368" s="193"/>
      <c r="AH368" s="193"/>
      <c r="AI368" s="193"/>
      <c r="AJ368" s="193"/>
      <c r="AK368" s="193"/>
      <c r="AL368" s="193"/>
    </row>
    <row r="369" spans="7:38">
      <c r="G369" s="193"/>
      <c r="H369" s="193"/>
      <c r="I369" s="193"/>
      <c r="J369" s="193"/>
      <c r="K369" s="193"/>
      <c r="L369" s="193"/>
      <c r="M369" s="193"/>
      <c r="N369" s="193"/>
      <c r="O369" s="193"/>
      <c r="P369" s="193"/>
      <c r="Q369" s="193"/>
      <c r="R369" s="193"/>
      <c r="S369" s="193"/>
      <c r="T369" s="193"/>
      <c r="U369" s="193"/>
      <c r="V369" s="193"/>
      <c r="W369" s="193"/>
      <c r="X369" s="193"/>
      <c r="Y369" s="193"/>
      <c r="Z369" s="193"/>
      <c r="AA369" s="193"/>
      <c r="AB369" s="193"/>
      <c r="AC369" s="193"/>
      <c r="AD369" s="193"/>
      <c r="AE369" s="193"/>
      <c r="AF369" s="193"/>
      <c r="AG369" s="193"/>
      <c r="AH369" s="193"/>
      <c r="AI369" s="193"/>
      <c r="AJ369" s="193"/>
      <c r="AK369" s="193"/>
      <c r="AL369" s="193"/>
    </row>
    <row r="370" spans="7:38">
      <c r="G370" s="193"/>
      <c r="H370" s="193"/>
      <c r="I370" s="193"/>
      <c r="J370" s="193"/>
      <c r="K370" s="193"/>
      <c r="L370" s="193"/>
      <c r="M370" s="193"/>
      <c r="N370" s="193"/>
      <c r="O370" s="193"/>
      <c r="P370" s="193"/>
      <c r="Q370" s="193"/>
      <c r="R370" s="193"/>
      <c r="S370" s="193"/>
      <c r="T370" s="193"/>
      <c r="U370" s="193"/>
      <c r="V370" s="193"/>
      <c r="W370" s="193"/>
      <c r="X370" s="193"/>
      <c r="Y370" s="193"/>
      <c r="Z370" s="193"/>
      <c r="AA370" s="193"/>
      <c r="AB370" s="193"/>
      <c r="AC370" s="193"/>
      <c r="AD370" s="193"/>
      <c r="AE370" s="193"/>
      <c r="AF370" s="193"/>
      <c r="AG370" s="193"/>
      <c r="AH370" s="193"/>
      <c r="AI370" s="193"/>
      <c r="AJ370" s="193"/>
      <c r="AK370" s="193"/>
      <c r="AL370" s="193"/>
    </row>
    <row r="371" spans="7:38">
      <c r="G371" s="193"/>
      <c r="H371" s="193"/>
      <c r="I371" s="193"/>
      <c r="J371" s="193"/>
      <c r="K371" s="193"/>
      <c r="L371" s="193"/>
      <c r="M371" s="193"/>
      <c r="N371" s="193"/>
      <c r="O371" s="193"/>
      <c r="P371" s="193"/>
      <c r="Q371" s="193"/>
      <c r="R371" s="193"/>
      <c r="S371" s="193"/>
      <c r="T371" s="193"/>
      <c r="U371" s="193"/>
      <c r="V371" s="193"/>
      <c r="W371" s="193"/>
      <c r="X371" s="193"/>
      <c r="Y371" s="193"/>
      <c r="Z371" s="193"/>
      <c r="AA371" s="193"/>
      <c r="AB371" s="193"/>
      <c r="AC371" s="193"/>
      <c r="AD371" s="193"/>
      <c r="AE371" s="193"/>
      <c r="AF371" s="193"/>
      <c r="AG371" s="193"/>
      <c r="AH371" s="193"/>
      <c r="AI371" s="193"/>
      <c r="AJ371" s="193"/>
      <c r="AK371" s="193"/>
      <c r="AL371" s="193"/>
    </row>
    <row r="372" spans="7:38">
      <c r="G372" s="193"/>
      <c r="H372" s="193"/>
      <c r="I372" s="193"/>
      <c r="J372" s="193"/>
      <c r="K372" s="193"/>
      <c r="L372" s="193"/>
      <c r="M372" s="193"/>
      <c r="N372" s="193"/>
      <c r="O372" s="193"/>
      <c r="P372" s="193"/>
      <c r="Q372" s="193"/>
      <c r="R372" s="193"/>
      <c r="S372" s="193"/>
      <c r="T372" s="193"/>
      <c r="U372" s="193"/>
      <c r="V372" s="193"/>
      <c r="W372" s="193"/>
      <c r="X372" s="193"/>
      <c r="Y372" s="193"/>
      <c r="Z372" s="193"/>
      <c r="AA372" s="193"/>
      <c r="AB372" s="193"/>
      <c r="AC372" s="193"/>
      <c r="AD372" s="193"/>
      <c r="AE372" s="193"/>
      <c r="AF372" s="193"/>
      <c r="AG372" s="193"/>
      <c r="AH372" s="193"/>
      <c r="AI372" s="193"/>
      <c r="AJ372" s="193"/>
      <c r="AK372" s="193"/>
      <c r="AL372" s="193"/>
    </row>
    <row r="373" spans="7:38">
      <c r="G373" s="193"/>
      <c r="H373" s="193"/>
      <c r="I373" s="193"/>
      <c r="J373" s="193"/>
      <c r="K373" s="193"/>
      <c r="L373" s="193"/>
      <c r="M373" s="193"/>
      <c r="N373" s="193"/>
      <c r="O373" s="193"/>
      <c r="P373" s="193"/>
      <c r="Q373" s="193"/>
      <c r="R373" s="193"/>
      <c r="S373" s="193"/>
      <c r="T373" s="193"/>
      <c r="U373" s="193"/>
      <c r="V373" s="193"/>
      <c r="W373" s="193"/>
      <c r="X373" s="193"/>
      <c r="Y373" s="193"/>
      <c r="Z373" s="193"/>
      <c r="AA373" s="193"/>
      <c r="AB373" s="193"/>
      <c r="AC373" s="193"/>
      <c r="AD373" s="193"/>
      <c r="AE373" s="193"/>
      <c r="AF373" s="193"/>
      <c r="AG373" s="193"/>
      <c r="AH373" s="193"/>
      <c r="AI373" s="193"/>
      <c r="AJ373" s="193"/>
      <c r="AK373" s="193"/>
      <c r="AL373" s="193"/>
    </row>
    <row r="374" spans="7:38">
      <c r="G374" s="193"/>
      <c r="H374" s="193"/>
      <c r="I374" s="193"/>
      <c r="J374" s="193"/>
      <c r="K374" s="193"/>
      <c r="L374" s="193"/>
      <c r="M374" s="193"/>
      <c r="N374" s="193"/>
      <c r="O374" s="193"/>
      <c r="P374" s="193"/>
      <c r="Q374" s="193"/>
      <c r="R374" s="193"/>
      <c r="S374" s="193"/>
      <c r="T374" s="193"/>
      <c r="U374" s="193"/>
      <c r="V374" s="193"/>
      <c r="W374" s="193"/>
      <c r="X374" s="193"/>
      <c r="Y374" s="193"/>
      <c r="Z374" s="193"/>
      <c r="AA374" s="193"/>
      <c r="AB374" s="193"/>
      <c r="AC374" s="193"/>
      <c r="AD374" s="193"/>
      <c r="AE374" s="193"/>
      <c r="AF374" s="193"/>
      <c r="AG374" s="193"/>
      <c r="AH374" s="193"/>
      <c r="AI374" s="193"/>
      <c r="AJ374" s="193"/>
      <c r="AK374" s="193"/>
      <c r="AL374" s="193"/>
    </row>
    <row r="375" spans="7:38">
      <c r="G375" s="193"/>
      <c r="H375" s="193"/>
      <c r="I375" s="193"/>
      <c r="J375" s="193"/>
      <c r="K375" s="193"/>
      <c r="L375" s="193"/>
      <c r="M375" s="193"/>
      <c r="N375" s="193"/>
      <c r="O375" s="193"/>
      <c r="P375" s="193"/>
      <c r="Q375" s="193"/>
      <c r="R375" s="193"/>
      <c r="S375" s="193"/>
      <c r="T375" s="193"/>
      <c r="U375" s="193"/>
      <c r="V375" s="193"/>
      <c r="W375" s="193"/>
      <c r="X375" s="193"/>
      <c r="Y375" s="193"/>
      <c r="Z375" s="193"/>
      <c r="AA375" s="193"/>
      <c r="AB375" s="193"/>
      <c r="AC375" s="193"/>
      <c r="AD375" s="193"/>
      <c r="AE375" s="193"/>
      <c r="AF375" s="193"/>
      <c r="AG375" s="193"/>
      <c r="AH375" s="193"/>
      <c r="AI375" s="193"/>
      <c r="AJ375" s="193"/>
      <c r="AK375" s="193"/>
      <c r="AL375" s="193"/>
    </row>
    <row r="376" spans="7:38">
      <c r="G376" s="193"/>
      <c r="H376" s="193"/>
      <c r="I376" s="193"/>
      <c r="J376" s="193"/>
      <c r="K376" s="193"/>
      <c r="L376" s="193"/>
      <c r="M376" s="193"/>
      <c r="N376" s="193"/>
      <c r="O376" s="193"/>
      <c r="P376" s="193"/>
      <c r="Q376" s="193"/>
      <c r="R376" s="193"/>
      <c r="S376" s="193"/>
      <c r="T376" s="193"/>
      <c r="U376" s="193"/>
      <c r="V376" s="193"/>
      <c r="W376" s="193"/>
      <c r="X376" s="193"/>
      <c r="Y376" s="193"/>
      <c r="Z376" s="193"/>
      <c r="AA376" s="193"/>
      <c r="AB376" s="193"/>
      <c r="AC376" s="193"/>
      <c r="AD376" s="193"/>
      <c r="AE376" s="193"/>
      <c r="AF376" s="193"/>
      <c r="AG376" s="193"/>
      <c r="AH376" s="193"/>
      <c r="AI376" s="193"/>
      <c r="AJ376" s="193"/>
      <c r="AK376" s="193"/>
      <c r="AL376" s="193"/>
    </row>
    <row r="377" spans="7:38">
      <c r="G377" s="193"/>
      <c r="H377" s="193"/>
      <c r="I377" s="193"/>
      <c r="J377" s="193"/>
      <c r="K377" s="193"/>
      <c r="L377" s="193"/>
      <c r="M377" s="193"/>
      <c r="N377" s="193"/>
      <c r="O377" s="193"/>
      <c r="P377" s="193"/>
      <c r="Q377" s="193"/>
      <c r="R377" s="193"/>
      <c r="S377" s="193"/>
      <c r="T377" s="193"/>
      <c r="U377" s="193"/>
      <c r="V377" s="193"/>
      <c r="W377" s="193"/>
      <c r="X377" s="193"/>
      <c r="Y377" s="193"/>
      <c r="Z377" s="193"/>
      <c r="AA377" s="193"/>
      <c r="AB377" s="193"/>
      <c r="AC377" s="193"/>
      <c r="AD377" s="193"/>
      <c r="AE377" s="193"/>
      <c r="AF377" s="193"/>
      <c r="AG377" s="193"/>
      <c r="AH377" s="193"/>
      <c r="AI377" s="193"/>
      <c r="AJ377" s="193"/>
      <c r="AK377" s="193"/>
      <c r="AL377" s="193"/>
    </row>
    <row r="378" spans="7:38">
      <c r="G378" s="193"/>
      <c r="H378" s="193"/>
      <c r="I378" s="193"/>
      <c r="J378" s="193"/>
      <c r="K378" s="193"/>
      <c r="L378" s="193"/>
      <c r="M378" s="193"/>
      <c r="N378" s="193"/>
      <c r="O378" s="193"/>
      <c r="P378" s="193"/>
      <c r="Q378" s="193"/>
      <c r="R378" s="193"/>
      <c r="S378" s="193"/>
      <c r="T378" s="193"/>
      <c r="U378" s="193"/>
      <c r="V378" s="193"/>
      <c r="W378" s="193"/>
      <c r="X378" s="193"/>
      <c r="Y378" s="193"/>
      <c r="Z378" s="193"/>
      <c r="AA378" s="193"/>
      <c r="AB378" s="193"/>
      <c r="AC378" s="193"/>
      <c r="AD378" s="193"/>
      <c r="AE378" s="193"/>
      <c r="AF378" s="193"/>
      <c r="AG378" s="193"/>
      <c r="AH378" s="193"/>
      <c r="AI378" s="193"/>
      <c r="AJ378" s="193"/>
      <c r="AK378" s="193"/>
      <c r="AL378" s="193"/>
    </row>
    <row r="379" spans="7:38">
      <c r="G379" s="193"/>
      <c r="H379" s="193"/>
      <c r="I379" s="193"/>
      <c r="J379" s="193"/>
      <c r="K379" s="193"/>
      <c r="L379" s="193"/>
      <c r="M379" s="193"/>
      <c r="N379" s="193"/>
      <c r="O379" s="193"/>
      <c r="P379" s="193"/>
      <c r="Q379" s="193"/>
      <c r="R379" s="193"/>
      <c r="S379" s="193"/>
      <c r="T379" s="193"/>
      <c r="U379" s="193"/>
      <c r="V379" s="193"/>
      <c r="W379" s="193"/>
      <c r="X379" s="193"/>
      <c r="Y379" s="193"/>
      <c r="Z379" s="193"/>
      <c r="AA379" s="193"/>
      <c r="AB379" s="193"/>
      <c r="AC379" s="193"/>
      <c r="AD379" s="193"/>
      <c r="AE379" s="193"/>
      <c r="AF379" s="193"/>
      <c r="AG379" s="193"/>
      <c r="AH379" s="193"/>
      <c r="AI379" s="193"/>
      <c r="AJ379" s="193"/>
      <c r="AK379" s="193"/>
      <c r="AL379" s="193"/>
    </row>
    <row r="380" spans="7:38">
      <c r="G380" s="193"/>
      <c r="H380" s="193"/>
      <c r="I380" s="193"/>
      <c r="J380" s="193"/>
      <c r="K380" s="193"/>
      <c r="L380" s="193"/>
      <c r="M380" s="193"/>
      <c r="N380" s="193"/>
      <c r="O380" s="193"/>
      <c r="P380" s="193"/>
      <c r="Q380" s="193"/>
      <c r="R380" s="193"/>
      <c r="S380" s="193"/>
      <c r="T380" s="193"/>
      <c r="U380" s="193"/>
      <c r="V380" s="193"/>
      <c r="W380" s="193"/>
      <c r="X380" s="193"/>
      <c r="Y380" s="193"/>
      <c r="Z380" s="193"/>
      <c r="AA380" s="193"/>
      <c r="AB380" s="193"/>
      <c r="AC380" s="193"/>
      <c r="AD380" s="193"/>
      <c r="AE380" s="193"/>
      <c r="AF380" s="193"/>
      <c r="AG380" s="193"/>
      <c r="AH380" s="193"/>
      <c r="AI380" s="193"/>
      <c r="AJ380" s="193"/>
      <c r="AK380" s="193"/>
      <c r="AL380" s="193"/>
    </row>
    <row r="381" spans="7:38">
      <c r="G381" s="193"/>
      <c r="H381" s="193"/>
      <c r="I381" s="193"/>
      <c r="J381" s="193"/>
      <c r="K381" s="193"/>
      <c r="L381" s="193"/>
      <c r="M381" s="193"/>
      <c r="N381" s="193"/>
      <c r="O381" s="193"/>
      <c r="P381" s="193"/>
      <c r="Q381" s="193"/>
      <c r="R381" s="193"/>
      <c r="S381" s="193"/>
      <c r="T381" s="193"/>
      <c r="U381" s="193"/>
      <c r="V381" s="193"/>
      <c r="W381" s="193"/>
      <c r="X381" s="193"/>
      <c r="Y381" s="193"/>
      <c r="Z381" s="193"/>
      <c r="AA381" s="193"/>
      <c r="AB381" s="193"/>
      <c r="AC381" s="193"/>
      <c r="AD381" s="193"/>
      <c r="AE381" s="193"/>
      <c r="AF381" s="193"/>
      <c r="AG381" s="193"/>
      <c r="AH381" s="193"/>
      <c r="AI381" s="193"/>
      <c r="AJ381" s="193"/>
      <c r="AK381" s="193"/>
      <c r="AL381" s="193"/>
    </row>
    <row r="382" spans="7:38">
      <c r="G382" s="193"/>
      <c r="H382" s="193"/>
      <c r="I382" s="193"/>
      <c r="J382" s="193"/>
      <c r="K382" s="193"/>
      <c r="L382" s="193"/>
      <c r="M382" s="193"/>
      <c r="N382" s="193"/>
      <c r="O382" s="193"/>
      <c r="P382" s="193"/>
      <c r="Q382" s="193"/>
      <c r="R382" s="193"/>
      <c r="S382" s="193"/>
      <c r="T382" s="193"/>
      <c r="U382" s="193"/>
      <c r="V382" s="193"/>
      <c r="W382" s="193"/>
      <c r="X382" s="193"/>
      <c r="Y382" s="193"/>
      <c r="Z382" s="193"/>
      <c r="AA382" s="193"/>
      <c r="AB382" s="193"/>
      <c r="AC382" s="193"/>
      <c r="AD382" s="193"/>
      <c r="AE382" s="193"/>
      <c r="AF382" s="193"/>
      <c r="AG382" s="193"/>
      <c r="AH382" s="193"/>
      <c r="AI382" s="193"/>
      <c r="AJ382" s="193"/>
      <c r="AK382" s="193"/>
      <c r="AL382" s="193"/>
    </row>
    <row r="383" spans="7:38">
      <c r="G383" s="193"/>
      <c r="H383" s="193"/>
      <c r="I383" s="193"/>
      <c r="J383" s="193"/>
      <c r="K383" s="193"/>
      <c r="L383" s="193"/>
      <c r="M383" s="193"/>
      <c r="N383" s="193"/>
      <c r="O383" s="193"/>
      <c r="P383" s="193"/>
      <c r="Q383" s="193"/>
      <c r="R383" s="193"/>
      <c r="S383" s="193"/>
      <c r="T383" s="193"/>
      <c r="U383" s="193"/>
      <c r="V383" s="193"/>
      <c r="W383" s="193"/>
      <c r="X383" s="193"/>
      <c r="Y383" s="193"/>
      <c r="Z383" s="193"/>
      <c r="AA383" s="193"/>
      <c r="AB383" s="193"/>
      <c r="AC383" s="193"/>
      <c r="AD383" s="193"/>
      <c r="AE383" s="193"/>
      <c r="AF383" s="193"/>
      <c r="AG383" s="193"/>
      <c r="AH383" s="193"/>
      <c r="AI383" s="193"/>
      <c r="AJ383" s="193"/>
      <c r="AK383" s="193"/>
      <c r="AL383" s="193"/>
    </row>
    <row r="384" spans="7:38">
      <c r="G384" s="193"/>
      <c r="H384" s="193"/>
      <c r="I384" s="193"/>
      <c r="J384" s="193"/>
      <c r="K384" s="193"/>
      <c r="L384" s="193"/>
      <c r="M384" s="193"/>
      <c r="N384" s="193"/>
      <c r="O384" s="193"/>
      <c r="P384" s="193"/>
      <c r="Q384" s="193"/>
      <c r="R384" s="193"/>
      <c r="S384" s="193"/>
      <c r="T384" s="193"/>
      <c r="U384" s="193"/>
      <c r="V384" s="193"/>
      <c r="W384" s="193"/>
      <c r="X384" s="193"/>
      <c r="Y384" s="193"/>
      <c r="Z384" s="193"/>
      <c r="AA384" s="193"/>
      <c r="AB384" s="193"/>
      <c r="AC384" s="193"/>
      <c r="AD384" s="193"/>
      <c r="AE384" s="193"/>
      <c r="AF384" s="193"/>
      <c r="AG384" s="193"/>
      <c r="AH384" s="193"/>
      <c r="AI384" s="193"/>
      <c r="AJ384" s="193"/>
      <c r="AK384" s="193"/>
      <c r="AL384" s="193"/>
    </row>
    <row r="385" spans="7:38">
      <c r="G385" s="193"/>
      <c r="H385" s="193"/>
      <c r="I385" s="193"/>
      <c r="J385" s="193"/>
      <c r="K385" s="193"/>
      <c r="L385" s="193"/>
      <c r="M385" s="193"/>
      <c r="N385" s="193"/>
      <c r="O385" s="193"/>
      <c r="P385" s="193"/>
      <c r="Q385" s="193"/>
      <c r="R385" s="193"/>
      <c r="S385" s="193"/>
      <c r="T385" s="193"/>
      <c r="U385" s="193"/>
      <c r="V385" s="193"/>
      <c r="W385" s="193"/>
      <c r="X385" s="193"/>
      <c r="Y385" s="193"/>
      <c r="Z385" s="193"/>
      <c r="AA385" s="193"/>
      <c r="AB385" s="193"/>
      <c r="AC385" s="193"/>
      <c r="AD385" s="193"/>
      <c r="AE385" s="193"/>
      <c r="AF385" s="193"/>
      <c r="AG385" s="193"/>
      <c r="AH385" s="193"/>
      <c r="AI385" s="193"/>
      <c r="AJ385" s="193"/>
      <c r="AK385" s="193"/>
      <c r="AL385" s="193"/>
    </row>
    <row r="386" spans="7:38">
      <c r="G386" s="193"/>
      <c r="H386" s="193"/>
      <c r="I386" s="193"/>
      <c r="J386" s="193"/>
      <c r="K386" s="193"/>
      <c r="L386" s="193"/>
      <c r="M386" s="193"/>
      <c r="N386" s="193"/>
      <c r="O386" s="193"/>
      <c r="P386" s="193"/>
      <c r="Q386" s="193"/>
      <c r="R386" s="193"/>
      <c r="S386" s="193"/>
      <c r="T386" s="193"/>
      <c r="U386" s="193"/>
      <c r="V386" s="193"/>
      <c r="W386" s="193"/>
      <c r="X386" s="193"/>
      <c r="Y386" s="193"/>
      <c r="Z386" s="193"/>
      <c r="AA386" s="193"/>
      <c r="AB386" s="193"/>
      <c r="AC386" s="193"/>
      <c r="AD386" s="193"/>
      <c r="AE386" s="193"/>
      <c r="AF386" s="193"/>
      <c r="AG386" s="193"/>
      <c r="AH386" s="193"/>
      <c r="AI386" s="193"/>
      <c r="AJ386" s="193"/>
      <c r="AK386" s="193"/>
      <c r="AL386" s="193"/>
    </row>
    <row r="387" spans="7:38">
      <c r="G387" s="193"/>
      <c r="H387" s="193"/>
      <c r="I387" s="193"/>
      <c r="J387" s="193"/>
      <c r="K387" s="193"/>
      <c r="L387" s="193"/>
      <c r="M387" s="193"/>
      <c r="N387" s="193"/>
      <c r="O387" s="193"/>
      <c r="P387" s="193"/>
      <c r="Q387" s="193"/>
      <c r="R387" s="193"/>
      <c r="S387" s="193"/>
      <c r="T387" s="193"/>
      <c r="U387" s="193"/>
      <c r="V387" s="193"/>
      <c r="W387" s="193"/>
      <c r="X387" s="193"/>
      <c r="Y387" s="193"/>
      <c r="Z387" s="193"/>
      <c r="AA387" s="193"/>
      <c r="AB387" s="193"/>
      <c r="AC387" s="193"/>
      <c r="AD387" s="193"/>
      <c r="AE387" s="193"/>
      <c r="AF387" s="193"/>
      <c r="AG387" s="193"/>
      <c r="AH387" s="193"/>
      <c r="AI387" s="193"/>
      <c r="AJ387" s="193"/>
      <c r="AK387" s="193"/>
      <c r="AL387" s="193"/>
    </row>
    <row r="388" spans="7:38">
      <c r="G388" s="193"/>
      <c r="H388" s="193"/>
      <c r="I388" s="193"/>
      <c r="J388" s="193"/>
      <c r="K388" s="193"/>
      <c r="L388" s="193"/>
      <c r="M388" s="193"/>
      <c r="N388" s="193"/>
      <c r="O388" s="193"/>
      <c r="P388" s="193"/>
      <c r="Q388" s="193"/>
      <c r="R388" s="193"/>
      <c r="S388" s="193"/>
      <c r="T388" s="193"/>
      <c r="U388" s="193"/>
      <c r="V388" s="193"/>
      <c r="W388" s="193"/>
      <c r="X388" s="193"/>
      <c r="Y388" s="193"/>
      <c r="Z388" s="193"/>
      <c r="AA388" s="193"/>
      <c r="AB388" s="193"/>
      <c r="AC388" s="193"/>
      <c r="AD388" s="193"/>
      <c r="AE388" s="193"/>
      <c r="AF388" s="193"/>
      <c r="AG388" s="193"/>
      <c r="AH388" s="193"/>
      <c r="AI388" s="193"/>
      <c r="AJ388" s="193"/>
      <c r="AK388" s="193"/>
      <c r="AL388" s="193"/>
    </row>
    <row r="389" spans="7:38">
      <c r="G389" s="193"/>
      <c r="H389" s="193"/>
      <c r="I389" s="193"/>
      <c r="J389" s="193"/>
      <c r="K389" s="193"/>
      <c r="L389" s="193"/>
      <c r="M389" s="193"/>
      <c r="N389" s="193"/>
      <c r="O389" s="193"/>
      <c r="P389" s="193"/>
      <c r="Q389" s="193"/>
      <c r="R389" s="193"/>
      <c r="S389" s="193"/>
      <c r="T389" s="193"/>
      <c r="U389" s="193"/>
      <c r="V389" s="193"/>
      <c r="W389" s="193"/>
      <c r="X389" s="193"/>
      <c r="Y389" s="193"/>
      <c r="Z389" s="193"/>
      <c r="AA389" s="193"/>
      <c r="AB389" s="193"/>
      <c r="AC389" s="193"/>
      <c r="AD389" s="193"/>
      <c r="AE389" s="193"/>
      <c r="AF389" s="193"/>
      <c r="AG389" s="193"/>
      <c r="AH389" s="193"/>
      <c r="AI389" s="193"/>
      <c r="AJ389" s="193"/>
      <c r="AK389" s="193"/>
      <c r="AL389" s="193"/>
    </row>
    <row r="390" spans="7:38">
      <c r="G390" s="193"/>
      <c r="H390" s="193"/>
      <c r="I390" s="193"/>
      <c r="J390" s="193"/>
      <c r="K390" s="193"/>
      <c r="L390" s="193"/>
      <c r="M390" s="193"/>
      <c r="N390" s="193"/>
      <c r="O390" s="193"/>
      <c r="P390" s="193"/>
      <c r="Q390" s="193"/>
      <c r="R390" s="193"/>
      <c r="S390" s="193"/>
      <c r="T390" s="193"/>
      <c r="U390" s="193"/>
      <c r="V390" s="193"/>
      <c r="W390" s="193"/>
      <c r="X390" s="193"/>
      <c r="Y390" s="193"/>
      <c r="Z390" s="193"/>
      <c r="AA390" s="193"/>
      <c r="AB390" s="193"/>
      <c r="AC390" s="193"/>
      <c r="AD390" s="193"/>
      <c r="AE390" s="193"/>
      <c r="AF390" s="193"/>
      <c r="AG390" s="193"/>
      <c r="AH390" s="193"/>
      <c r="AI390" s="193"/>
      <c r="AJ390" s="193"/>
      <c r="AK390" s="193"/>
      <c r="AL390" s="193"/>
    </row>
    <row r="391" spans="7:38">
      <c r="G391" s="193"/>
      <c r="H391" s="193"/>
      <c r="I391" s="193"/>
      <c r="J391" s="193"/>
      <c r="K391" s="193"/>
      <c r="L391" s="193"/>
      <c r="M391" s="193"/>
      <c r="N391" s="193"/>
      <c r="O391" s="193"/>
      <c r="P391" s="193"/>
      <c r="Q391" s="193"/>
      <c r="R391" s="193"/>
      <c r="S391" s="193"/>
      <c r="T391" s="193"/>
      <c r="U391" s="193"/>
      <c r="V391" s="193"/>
      <c r="W391" s="193"/>
      <c r="X391" s="193"/>
      <c r="Y391" s="193"/>
      <c r="Z391" s="193"/>
      <c r="AA391" s="193"/>
      <c r="AB391" s="193"/>
      <c r="AC391" s="193"/>
      <c r="AD391" s="193"/>
      <c r="AE391" s="193"/>
      <c r="AF391" s="193"/>
      <c r="AG391" s="193"/>
      <c r="AH391" s="193"/>
      <c r="AI391" s="193"/>
      <c r="AJ391" s="193"/>
      <c r="AK391" s="193"/>
      <c r="AL391" s="193"/>
    </row>
    <row r="392" spans="7:38">
      <c r="G392" s="193"/>
      <c r="H392" s="193"/>
      <c r="I392" s="193"/>
      <c r="J392" s="193"/>
      <c r="K392" s="193"/>
      <c r="L392" s="193"/>
      <c r="M392" s="193"/>
      <c r="N392" s="193"/>
      <c r="O392" s="193"/>
      <c r="P392" s="193"/>
      <c r="Q392" s="193"/>
      <c r="R392" s="193"/>
      <c r="S392" s="193"/>
      <c r="T392" s="193"/>
      <c r="U392" s="193"/>
      <c r="V392" s="193"/>
      <c r="W392" s="193"/>
      <c r="X392" s="193"/>
      <c r="Y392" s="193"/>
      <c r="Z392" s="193"/>
      <c r="AA392" s="193"/>
      <c r="AB392" s="193"/>
      <c r="AC392" s="193"/>
      <c r="AD392" s="193"/>
      <c r="AE392" s="193"/>
      <c r="AF392" s="193"/>
      <c r="AG392" s="193"/>
      <c r="AH392" s="193"/>
      <c r="AI392" s="193"/>
      <c r="AJ392" s="193"/>
      <c r="AK392" s="193"/>
      <c r="AL392" s="193"/>
    </row>
    <row r="393" spans="7:38">
      <c r="G393" s="193"/>
      <c r="H393" s="193"/>
      <c r="I393" s="193"/>
      <c r="J393" s="193"/>
      <c r="K393" s="193"/>
      <c r="L393" s="193"/>
      <c r="M393" s="193"/>
      <c r="N393" s="193"/>
      <c r="O393" s="193"/>
      <c r="P393" s="193"/>
      <c r="Q393" s="193"/>
      <c r="R393" s="193"/>
      <c r="S393" s="193"/>
      <c r="T393" s="193"/>
      <c r="U393" s="193"/>
      <c r="V393" s="193"/>
      <c r="W393" s="193"/>
      <c r="X393" s="193"/>
      <c r="Y393" s="193"/>
      <c r="Z393" s="193"/>
      <c r="AA393" s="193"/>
      <c r="AB393" s="193"/>
      <c r="AC393" s="193"/>
      <c r="AD393" s="193"/>
      <c r="AE393" s="193"/>
      <c r="AF393" s="193"/>
      <c r="AG393" s="193"/>
      <c r="AH393" s="193"/>
      <c r="AI393" s="193"/>
      <c r="AJ393" s="193"/>
      <c r="AK393" s="193"/>
      <c r="AL393" s="193"/>
    </row>
    <row r="394" spans="7:38">
      <c r="G394" s="193"/>
      <c r="H394" s="193"/>
      <c r="I394" s="193"/>
      <c r="J394" s="193"/>
      <c r="K394" s="193"/>
      <c r="L394" s="193"/>
      <c r="M394" s="193"/>
      <c r="N394" s="193"/>
      <c r="O394" s="193"/>
      <c r="P394" s="193"/>
      <c r="Q394" s="193"/>
      <c r="R394" s="193"/>
      <c r="S394" s="193"/>
      <c r="T394" s="193"/>
      <c r="U394" s="193"/>
      <c r="V394" s="193"/>
      <c r="W394" s="193"/>
      <c r="X394" s="193"/>
      <c r="Y394" s="193"/>
      <c r="Z394" s="193"/>
      <c r="AA394" s="193"/>
      <c r="AB394" s="193"/>
      <c r="AC394" s="193"/>
      <c r="AD394" s="193"/>
      <c r="AE394" s="193"/>
      <c r="AF394" s="193"/>
      <c r="AG394" s="193"/>
      <c r="AH394" s="193"/>
      <c r="AI394" s="193"/>
      <c r="AJ394" s="193"/>
      <c r="AK394" s="193"/>
      <c r="AL394" s="193"/>
    </row>
    <row r="395" spans="7:38">
      <c r="G395" s="193"/>
      <c r="H395" s="193"/>
      <c r="I395" s="193"/>
      <c r="J395" s="193"/>
      <c r="K395" s="193"/>
      <c r="L395" s="193"/>
      <c r="M395" s="193"/>
      <c r="N395" s="193"/>
      <c r="O395" s="193"/>
      <c r="P395" s="193"/>
      <c r="Q395" s="193"/>
      <c r="R395" s="193"/>
      <c r="S395" s="193"/>
      <c r="T395" s="193"/>
      <c r="U395" s="193"/>
      <c r="V395" s="193"/>
      <c r="W395" s="193"/>
      <c r="X395" s="193"/>
      <c r="Y395" s="193"/>
      <c r="Z395" s="193"/>
      <c r="AA395" s="193"/>
      <c r="AB395" s="193"/>
      <c r="AC395" s="193"/>
      <c r="AD395" s="193"/>
      <c r="AE395" s="193"/>
      <c r="AF395" s="193"/>
      <c r="AG395" s="193"/>
      <c r="AH395" s="193"/>
      <c r="AI395" s="193"/>
      <c r="AJ395" s="193"/>
      <c r="AK395" s="193"/>
      <c r="AL395" s="193"/>
    </row>
    <row r="396" spans="7:38">
      <c r="G396" s="193"/>
      <c r="H396" s="193"/>
      <c r="I396" s="193"/>
      <c r="J396" s="193"/>
      <c r="K396" s="193"/>
      <c r="L396" s="193"/>
      <c r="M396" s="193"/>
      <c r="N396" s="193"/>
      <c r="O396" s="193"/>
      <c r="P396" s="193"/>
      <c r="Q396" s="193"/>
      <c r="R396" s="193"/>
      <c r="S396" s="193"/>
      <c r="T396" s="193"/>
      <c r="U396" s="193"/>
      <c r="V396" s="193"/>
      <c r="W396" s="193"/>
      <c r="X396" s="193"/>
      <c r="Y396" s="193"/>
      <c r="Z396" s="193"/>
      <c r="AA396" s="193"/>
      <c r="AB396" s="193"/>
      <c r="AC396" s="193"/>
      <c r="AD396" s="193"/>
      <c r="AE396" s="193"/>
      <c r="AF396" s="193"/>
      <c r="AG396" s="193"/>
      <c r="AH396" s="193"/>
      <c r="AI396" s="193"/>
      <c r="AJ396" s="193"/>
      <c r="AK396" s="193"/>
      <c r="AL396" s="193"/>
    </row>
    <row r="397" spans="7:38">
      <c r="G397" s="193"/>
      <c r="H397" s="193"/>
      <c r="I397" s="193"/>
      <c r="J397" s="193"/>
      <c r="K397" s="193"/>
      <c r="L397" s="193"/>
      <c r="M397" s="193"/>
      <c r="N397" s="193"/>
      <c r="O397" s="193"/>
      <c r="P397" s="193"/>
      <c r="Q397" s="193"/>
      <c r="R397" s="193"/>
      <c r="S397" s="193"/>
      <c r="T397" s="193"/>
      <c r="U397" s="193"/>
      <c r="V397" s="193"/>
      <c r="W397" s="193"/>
      <c r="X397" s="193"/>
      <c r="Y397" s="193"/>
      <c r="Z397" s="193"/>
      <c r="AA397" s="193"/>
      <c r="AB397" s="193"/>
      <c r="AC397" s="193"/>
      <c r="AD397" s="193"/>
      <c r="AE397" s="193"/>
      <c r="AF397" s="193"/>
      <c r="AG397" s="193"/>
      <c r="AH397" s="193"/>
      <c r="AI397" s="193"/>
      <c r="AJ397" s="193"/>
      <c r="AK397" s="193"/>
      <c r="AL397" s="193"/>
    </row>
    <row r="398" spans="7:38">
      <c r="G398" s="193"/>
      <c r="H398" s="193"/>
      <c r="I398" s="193"/>
      <c r="J398" s="193"/>
      <c r="K398" s="193"/>
      <c r="L398" s="193"/>
      <c r="M398" s="193"/>
      <c r="N398" s="193"/>
      <c r="O398" s="193"/>
      <c r="P398" s="193"/>
      <c r="Q398" s="193"/>
      <c r="R398" s="193"/>
      <c r="S398" s="193"/>
      <c r="T398" s="193"/>
      <c r="U398" s="193"/>
      <c r="V398" s="193"/>
      <c r="W398" s="193"/>
      <c r="X398" s="193"/>
      <c r="Y398" s="193"/>
      <c r="Z398" s="193"/>
      <c r="AA398" s="193"/>
      <c r="AB398" s="193"/>
      <c r="AC398" s="193"/>
      <c r="AD398" s="193"/>
      <c r="AE398" s="193"/>
      <c r="AF398" s="193"/>
      <c r="AG398" s="193"/>
      <c r="AH398" s="193"/>
      <c r="AI398" s="193"/>
      <c r="AJ398" s="193"/>
      <c r="AK398" s="193"/>
      <c r="AL398" s="193"/>
    </row>
    <row r="399" spans="7:38">
      <c r="G399" s="193"/>
      <c r="H399" s="193"/>
      <c r="I399" s="193"/>
      <c r="J399" s="193"/>
      <c r="K399" s="193"/>
      <c r="L399" s="193"/>
      <c r="M399" s="193"/>
      <c r="N399" s="193"/>
      <c r="O399" s="193"/>
      <c r="P399" s="193"/>
      <c r="Q399" s="193"/>
      <c r="R399" s="193"/>
      <c r="S399" s="193"/>
      <c r="T399" s="193"/>
      <c r="U399" s="193"/>
      <c r="V399" s="193"/>
      <c r="W399" s="193"/>
      <c r="X399" s="193"/>
      <c r="Y399" s="193"/>
      <c r="Z399" s="193"/>
      <c r="AA399" s="193"/>
      <c r="AB399" s="193"/>
      <c r="AC399" s="193"/>
      <c r="AD399" s="193"/>
      <c r="AE399" s="193"/>
      <c r="AF399" s="193"/>
      <c r="AG399" s="193"/>
      <c r="AH399" s="193"/>
      <c r="AI399" s="193"/>
      <c r="AJ399" s="193"/>
      <c r="AK399" s="193"/>
      <c r="AL399" s="193"/>
    </row>
    <row r="400" spans="7:38">
      <c r="G400" s="193"/>
      <c r="H400" s="193"/>
      <c r="I400" s="193"/>
      <c r="J400" s="193"/>
      <c r="K400" s="193"/>
      <c r="L400" s="193"/>
      <c r="M400" s="193"/>
      <c r="N400" s="193"/>
      <c r="O400" s="193"/>
      <c r="P400" s="193"/>
      <c r="Q400" s="193"/>
      <c r="R400" s="193"/>
      <c r="S400" s="193"/>
      <c r="T400" s="193"/>
      <c r="U400" s="193"/>
      <c r="V400" s="193"/>
      <c r="W400" s="193"/>
      <c r="X400" s="193"/>
      <c r="Y400" s="193"/>
      <c r="Z400" s="193"/>
      <c r="AA400" s="193"/>
      <c r="AB400" s="193"/>
      <c r="AC400" s="193"/>
      <c r="AD400" s="193"/>
      <c r="AE400" s="193"/>
      <c r="AF400" s="193"/>
      <c r="AG400" s="193"/>
      <c r="AH400" s="193"/>
      <c r="AI400" s="193"/>
      <c r="AJ400" s="193"/>
      <c r="AK400" s="193"/>
      <c r="AL400" s="193"/>
    </row>
    <row r="401" spans="7:38">
      <c r="G401" s="193"/>
      <c r="H401" s="193"/>
      <c r="I401" s="193"/>
      <c r="J401" s="193"/>
      <c r="K401" s="193"/>
      <c r="L401" s="193"/>
      <c r="M401" s="193"/>
      <c r="N401" s="193"/>
      <c r="O401" s="193"/>
      <c r="P401" s="193"/>
      <c r="Q401" s="193"/>
      <c r="R401" s="193"/>
      <c r="S401" s="193"/>
      <c r="T401" s="193"/>
      <c r="U401" s="193"/>
      <c r="V401" s="193"/>
      <c r="W401" s="193"/>
      <c r="X401" s="193"/>
      <c r="Y401" s="193"/>
      <c r="Z401" s="193"/>
      <c r="AA401" s="193"/>
      <c r="AB401" s="193"/>
      <c r="AC401" s="193"/>
      <c r="AD401" s="193"/>
      <c r="AE401" s="193"/>
      <c r="AF401" s="193"/>
      <c r="AG401" s="193"/>
      <c r="AH401" s="193"/>
      <c r="AI401" s="193"/>
      <c r="AJ401" s="193"/>
      <c r="AK401" s="193"/>
      <c r="AL401" s="193"/>
    </row>
    <row r="402" spans="7:38">
      <c r="G402" s="193"/>
      <c r="H402" s="193"/>
      <c r="I402" s="193"/>
      <c r="J402" s="193"/>
      <c r="K402" s="193"/>
      <c r="L402" s="193"/>
      <c r="M402" s="193"/>
      <c r="N402" s="193"/>
      <c r="O402" s="193"/>
      <c r="P402" s="193"/>
      <c r="Q402" s="193"/>
      <c r="R402" s="193"/>
      <c r="S402" s="193"/>
      <c r="T402" s="193"/>
      <c r="U402" s="193"/>
      <c r="V402" s="193"/>
      <c r="W402" s="193"/>
      <c r="X402" s="193"/>
      <c r="Y402" s="193"/>
      <c r="Z402" s="193"/>
      <c r="AA402" s="193"/>
      <c r="AB402" s="193"/>
      <c r="AC402" s="193"/>
      <c r="AD402" s="193"/>
      <c r="AE402" s="193"/>
      <c r="AF402" s="193"/>
      <c r="AG402" s="193"/>
      <c r="AH402" s="193"/>
      <c r="AI402" s="193"/>
      <c r="AJ402" s="193"/>
      <c r="AK402" s="193"/>
      <c r="AL402" s="193"/>
    </row>
    <row r="403" spans="7:38">
      <c r="G403" s="193"/>
      <c r="H403" s="193"/>
      <c r="I403" s="193"/>
      <c r="J403" s="193"/>
      <c r="K403" s="193"/>
      <c r="L403" s="193"/>
      <c r="M403" s="193"/>
      <c r="N403" s="193"/>
      <c r="O403" s="193"/>
      <c r="P403" s="193"/>
      <c r="Q403" s="193"/>
      <c r="R403" s="193"/>
      <c r="S403" s="193"/>
      <c r="T403" s="193"/>
      <c r="U403" s="193"/>
      <c r="V403" s="193"/>
      <c r="W403" s="193"/>
      <c r="X403" s="193"/>
      <c r="Y403" s="193"/>
      <c r="Z403" s="193"/>
      <c r="AA403" s="193"/>
      <c r="AB403" s="193"/>
      <c r="AC403" s="193"/>
      <c r="AD403" s="193"/>
      <c r="AE403" s="193"/>
      <c r="AF403" s="193"/>
      <c r="AG403" s="193"/>
      <c r="AH403" s="193"/>
      <c r="AI403" s="193"/>
      <c r="AJ403" s="193"/>
      <c r="AK403" s="193"/>
      <c r="AL403" s="193"/>
    </row>
    <row r="404" spans="7:38">
      <c r="G404" s="193"/>
      <c r="H404" s="193"/>
      <c r="I404" s="193"/>
      <c r="J404" s="193"/>
      <c r="K404" s="193"/>
      <c r="L404" s="193"/>
      <c r="M404" s="193"/>
      <c r="N404" s="193"/>
      <c r="O404" s="193"/>
      <c r="P404" s="193"/>
      <c r="Q404" s="193"/>
      <c r="R404" s="193"/>
      <c r="S404" s="193"/>
      <c r="T404" s="193"/>
      <c r="U404" s="193"/>
      <c r="V404" s="193"/>
      <c r="W404" s="193"/>
      <c r="X404" s="193"/>
      <c r="Y404" s="193"/>
      <c r="Z404" s="193"/>
      <c r="AA404" s="193"/>
      <c r="AB404" s="193"/>
      <c r="AC404" s="193"/>
      <c r="AD404" s="193"/>
      <c r="AE404" s="193"/>
      <c r="AF404" s="193"/>
      <c r="AG404" s="193"/>
      <c r="AH404" s="193"/>
      <c r="AI404" s="193"/>
      <c r="AJ404" s="193"/>
      <c r="AK404" s="193"/>
      <c r="AL404" s="193"/>
    </row>
    <row r="405" spans="7:38">
      <c r="G405" s="193"/>
      <c r="H405" s="193"/>
      <c r="I405" s="193"/>
      <c r="J405" s="193"/>
      <c r="K405" s="193"/>
      <c r="L405" s="193"/>
      <c r="M405" s="193"/>
      <c r="N405" s="193"/>
      <c r="O405" s="193"/>
      <c r="P405" s="193"/>
      <c r="Q405" s="193"/>
      <c r="R405" s="193"/>
      <c r="S405" s="193"/>
      <c r="T405" s="193"/>
      <c r="U405" s="193"/>
      <c r="V405" s="193"/>
      <c r="W405" s="193"/>
      <c r="X405" s="193"/>
      <c r="Y405" s="193"/>
      <c r="Z405" s="193"/>
      <c r="AA405" s="193"/>
      <c r="AB405" s="193"/>
      <c r="AC405" s="193"/>
      <c r="AD405" s="193"/>
      <c r="AE405" s="193"/>
      <c r="AF405" s="193"/>
      <c r="AG405" s="193"/>
      <c r="AH405" s="193"/>
      <c r="AI405" s="193"/>
      <c r="AJ405" s="193"/>
      <c r="AK405" s="193"/>
      <c r="AL405" s="193"/>
    </row>
    <row r="406" spans="7:38">
      <c r="G406" s="193"/>
      <c r="H406" s="193"/>
      <c r="I406" s="193"/>
      <c r="J406" s="193"/>
      <c r="K406" s="193"/>
      <c r="L406" s="193"/>
      <c r="M406" s="193"/>
      <c r="N406" s="193"/>
      <c r="O406" s="193"/>
      <c r="P406" s="193"/>
      <c r="Q406" s="193"/>
      <c r="R406" s="193"/>
      <c r="S406" s="193"/>
      <c r="T406" s="193"/>
      <c r="U406" s="193"/>
      <c r="V406" s="193"/>
      <c r="W406" s="193"/>
      <c r="X406" s="193"/>
      <c r="Y406" s="193"/>
      <c r="Z406" s="193"/>
      <c r="AA406" s="193"/>
      <c r="AB406" s="193"/>
      <c r="AC406" s="193"/>
      <c r="AD406" s="193"/>
      <c r="AE406" s="193"/>
      <c r="AF406" s="193"/>
      <c r="AG406" s="193"/>
      <c r="AH406" s="193"/>
      <c r="AI406" s="193"/>
      <c r="AJ406" s="193"/>
      <c r="AK406" s="193"/>
      <c r="AL406" s="193"/>
    </row>
    <row r="407" spans="7:38">
      <c r="G407" s="193"/>
      <c r="H407" s="193"/>
      <c r="I407" s="193"/>
      <c r="J407" s="193"/>
      <c r="K407" s="193"/>
      <c r="L407" s="193"/>
      <c r="M407" s="193"/>
      <c r="N407" s="193"/>
      <c r="O407" s="193"/>
      <c r="P407" s="193"/>
      <c r="Q407" s="193"/>
      <c r="R407" s="193"/>
      <c r="S407" s="193"/>
      <c r="T407" s="193"/>
      <c r="U407" s="193"/>
      <c r="V407" s="193"/>
      <c r="W407" s="193"/>
      <c r="X407" s="193"/>
      <c r="Y407" s="193"/>
      <c r="Z407" s="193"/>
      <c r="AA407" s="193"/>
      <c r="AB407" s="193"/>
      <c r="AC407" s="193"/>
      <c r="AD407" s="193"/>
      <c r="AE407" s="193"/>
      <c r="AF407" s="193"/>
      <c r="AG407" s="193"/>
      <c r="AH407" s="193"/>
      <c r="AI407" s="193"/>
      <c r="AJ407" s="193"/>
      <c r="AK407" s="193"/>
      <c r="AL407" s="193"/>
    </row>
    <row r="408" spans="7:38">
      <c r="G408" s="193"/>
      <c r="H408" s="193"/>
      <c r="I408" s="193"/>
      <c r="J408" s="193"/>
      <c r="K408" s="193"/>
      <c r="L408" s="193"/>
      <c r="M408" s="193"/>
      <c r="N408" s="193"/>
      <c r="O408" s="193"/>
      <c r="P408" s="193"/>
      <c r="Q408" s="193"/>
      <c r="R408" s="193"/>
      <c r="S408" s="193"/>
      <c r="T408" s="193"/>
      <c r="U408" s="193"/>
      <c r="V408" s="193"/>
      <c r="W408" s="193"/>
      <c r="X408" s="193"/>
      <c r="Y408" s="193"/>
      <c r="Z408" s="193"/>
      <c r="AA408" s="193"/>
      <c r="AB408" s="193"/>
      <c r="AC408" s="193"/>
      <c r="AD408" s="193"/>
      <c r="AE408" s="193"/>
      <c r="AF408" s="193"/>
      <c r="AG408" s="193"/>
      <c r="AH408" s="193"/>
      <c r="AI408" s="193"/>
      <c r="AJ408" s="193"/>
      <c r="AK408" s="193"/>
      <c r="AL408" s="193"/>
    </row>
    <row r="409" spans="7:38">
      <c r="G409" s="193"/>
      <c r="H409" s="193"/>
      <c r="I409" s="193"/>
      <c r="J409" s="193"/>
      <c r="K409" s="193"/>
      <c r="L409" s="193"/>
      <c r="M409" s="193"/>
      <c r="N409" s="193"/>
      <c r="O409" s="193"/>
      <c r="P409" s="193"/>
      <c r="Q409" s="193"/>
      <c r="R409" s="193"/>
      <c r="S409" s="193"/>
      <c r="T409" s="193"/>
      <c r="U409" s="193"/>
      <c r="V409" s="193"/>
      <c r="W409" s="193"/>
      <c r="X409" s="193"/>
      <c r="Y409" s="193"/>
      <c r="Z409" s="193"/>
      <c r="AA409" s="193"/>
      <c r="AB409" s="193"/>
      <c r="AC409" s="193"/>
      <c r="AD409" s="193"/>
      <c r="AE409" s="193"/>
      <c r="AF409" s="193"/>
      <c r="AG409" s="193"/>
      <c r="AH409" s="193"/>
      <c r="AI409" s="193"/>
      <c r="AJ409" s="193"/>
      <c r="AK409" s="193"/>
      <c r="AL409" s="193"/>
    </row>
    <row r="410" spans="7:38">
      <c r="G410" s="193"/>
      <c r="H410" s="193"/>
      <c r="I410" s="193"/>
      <c r="J410" s="193"/>
      <c r="K410" s="193"/>
      <c r="L410" s="193"/>
      <c r="M410" s="193"/>
      <c r="N410" s="193"/>
      <c r="O410" s="193"/>
      <c r="P410" s="193"/>
      <c r="Q410" s="193"/>
      <c r="R410" s="193"/>
      <c r="S410" s="193"/>
      <c r="T410" s="193"/>
      <c r="U410" s="193"/>
      <c r="V410" s="193"/>
      <c r="W410" s="193"/>
      <c r="X410" s="193"/>
      <c r="Y410" s="193"/>
      <c r="Z410" s="193"/>
      <c r="AA410" s="193"/>
      <c r="AB410" s="193"/>
      <c r="AC410" s="193"/>
      <c r="AD410" s="193"/>
      <c r="AE410" s="193"/>
      <c r="AF410" s="193"/>
      <c r="AG410" s="193"/>
      <c r="AH410" s="193"/>
      <c r="AI410" s="193"/>
      <c r="AJ410" s="193"/>
      <c r="AK410" s="193"/>
      <c r="AL410" s="193"/>
    </row>
    <row r="411" spans="7:38">
      <c r="G411" s="193"/>
      <c r="H411" s="193"/>
      <c r="I411" s="193"/>
      <c r="J411" s="193"/>
      <c r="K411" s="193"/>
      <c r="L411" s="193"/>
      <c r="M411" s="193"/>
      <c r="N411" s="193"/>
      <c r="O411" s="193"/>
      <c r="P411" s="193"/>
      <c r="Q411" s="193"/>
      <c r="R411" s="193"/>
      <c r="S411" s="193"/>
      <c r="T411" s="193"/>
      <c r="U411" s="193"/>
      <c r="V411" s="193"/>
      <c r="W411" s="193"/>
      <c r="X411" s="193"/>
      <c r="Y411" s="193"/>
      <c r="Z411" s="193"/>
      <c r="AA411" s="193"/>
      <c r="AB411" s="193"/>
      <c r="AC411" s="193"/>
      <c r="AD411" s="193"/>
      <c r="AE411" s="193"/>
      <c r="AF411" s="193"/>
      <c r="AG411" s="193"/>
      <c r="AH411" s="193"/>
      <c r="AI411" s="193"/>
      <c r="AJ411" s="193"/>
      <c r="AK411" s="193"/>
      <c r="AL411" s="193"/>
    </row>
    <row r="412" spans="7:38">
      <c r="G412" s="193"/>
      <c r="H412" s="193"/>
      <c r="I412" s="193"/>
      <c r="J412" s="193"/>
      <c r="K412" s="193"/>
      <c r="L412" s="193"/>
      <c r="M412" s="193"/>
      <c r="N412" s="193"/>
      <c r="O412" s="193"/>
      <c r="P412" s="193"/>
      <c r="Q412" s="193"/>
      <c r="R412" s="193"/>
      <c r="S412" s="193"/>
      <c r="T412" s="193"/>
      <c r="U412" s="193"/>
      <c r="V412" s="193"/>
      <c r="W412" s="193"/>
      <c r="X412" s="193"/>
      <c r="Y412" s="193"/>
      <c r="Z412" s="193"/>
      <c r="AA412" s="193"/>
      <c r="AB412" s="193"/>
      <c r="AC412" s="193"/>
      <c r="AD412" s="193"/>
      <c r="AE412" s="193"/>
      <c r="AF412" s="193"/>
      <c r="AG412" s="193"/>
      <c r="AH412" s="193"/>
      <c r="AI412" s="193"/>
      <c r="AJ412" s="193"/>
      <c r="AK412" s="193"/>
      <c r="AL412" s="193"/>
    </row>
    <row r="413" spans="7:38">
      <c r="G413" s="193"/>
      <c r="H413" s="193"/>
      <c r="I413" s="193"/>
      <c r="J413" s="193"/>
      <c r="K413" s="193"/>
      <c r="L413" s="193"/>
      <c r="M413" s="193"/>
      <c r="N413" s="193"/>
      <c r="O413" s="193"/>
      <c r="P413" s="193"/>
      <c r="Q413" s="193"/>
      <c r="R413" s="193"/>
      <c r="S413" s="193"/>
      <c r="T413" s="193"/>
      <c r="U413" s="193"/>
      <c r="V413" s="193"/>
      <c r="W413" s="193"/>
      <c r="X413" s="193"/>
      <c r="Y413" s="193"/>
      <c r="Z413" s="193"/>
      <c r="AA413" s="193"/>
      <c r="AB413" s="193"/>
      <c r="AC413" s="193"/>
      <c r="AD413" s="193"/>
      <c r="AE413" s="193"/>
      <c r="AF413" s="193"/>
      <c r="AG413" s="193"/>
      <c r="AH413" s="193"/>
      <c r="AI413" s="193"/>
      <c r="AJ413" s="193"/>
      <c r="AK413" s="193"/>
      <c r="AL413" s="193"/>
    </row>
    <row r="414" spans="7:38">
      <c r="G414" s="193"/>
      <c r="H414" s="193"/>
      <c r="I414" s="193"/>
      <c r="J414" s="193"/>
      <c r="K414" s="193"/>
      <c r="L414" s="193"/>
      <c r="M414" s="193"/>
      <c r="N414" s="193"/>
      <c r="O414" s="193"/>
      <c r="P414" s="193"/>
      <c r="Q414" s="193"/>
      <c r="R414" s="193"/>
      <c r="S414" s="193"/>
      <c r="T414" s="193"/>
      <c r="U414" s="193"/>
      <c r="V414" s="193"/>
      <c r="W414" s="193"/>
      <c r="X414" s="193"/>
      <c r="Y414" s="193"/>
      <c r="Z414" s="193"/>
      <c r="AA414" s="193"/>
      <c r="AB414" s="193"/>
      <c r="AC414" s="193"/>
      <c r="AD414" s="193"/>
      <c r="AE414" s="193"/>
      <c r="AF414" s="193"/>
      <c r="AG414" s="193"/>
      <c r="AH414" s="193"/>
      <c r="AI414" s="193"/>
      <c r="AJ414" s="193"/>
      <c r="AK414" s="193"/>
      <c r="AL414" s="193"/>
    </row>
    <row r="415" spans="7:38">
      <c r="G415" s="193"/>
      <c r="H415" s="193"/>
      <c r="I415" s="193"/>
      <c r="J415" s="193"/>
      <c r="K415" s="193"/>
      <c r="L415" s="193"/>
      <c r="M415" s="193"/>
      <c r="N415" s="193"/>
      <c r="O415" s="193"/>
      <c r="P415" s="193"/>
      <c r="Q415" s="193"/>
      <c r="R415" s="193"/>
      <c r="S415" s="193"/>
      <c r="T415" s="193"/>
      <c r="U415" s="193"/>
      <c r="V415" s="193"/>
      <c r="W415" s="193"/>
      <c r="X415" s="193"/>
      <c r="Y415" s="193"/>
      <c r="Z415" s="193"/>
      <c r="AA415" s="193"/>
      <c r="AB415" s="193"/>
      <c r="AC415" s="193"/>
      <c r="AD415" s="193"/>
      <c r="AE415" s="193"/>
      <c r="AF415" s="193"/>
      <c r="AG415" s="193"/>
      <c r="AH415" s="193"/>
      <c r="AI415" s="193"/>
      <c r="AJ415" s="193"/>
      <c r="AK415" s="193"/>
      <c r="AL415" s="193"/>
    </row>
    <row r="416" spans="7:38">
      <c r="G416" s="193"/>
      <c r="H416" s="193"/>
      <c r="I416" s="193"/>
      <c r="J416" s="193"/>
      <c r="K416" s="193"/>
      <c r="L416" s="193"/>
      <c r="M416" s="193"/>
      <c r="N416" s="193"/>
      <c r="O416" s="193"/>
      <c r="P416" s="193"/>
      <c r="Q416" s="193"/>
      <c r="R416" s="193"/>
      <c r="S416" s="193"/>
      <c r="T416" s="193"/>
      <c r="U416" s="193"/>
      <c r="V416" s="193"/>
      <c r="W416" s="193"/>
      <c r="X416" s="193"/>
      <c r="Y416" s="193"/>
      <c r="Z416" s="193"/>
      <c r="AA416" s="193"/>
      <c r="AB416" s="193"/>
      <c r="AC416" s="193"/>
      <c r="AD416" s="193"/>
      <c r="AE416" s="193"/>
      <c r="AF416" s="193"/>
      <c r="AG416" s="193"/>
      <c r="AH416" s="193"/>
      <c r="AI416" s="193"/>
      <c r="AJ416" s="193"/>
      <c r="AK416" s="193"/>
      <c r="AL416" s="193"/>
    </row>
    <row r="417" spans="7:38">
      <c r="G417" s="193"/>
      <c r="H417" s="193"/>
      <c r="I417" s="193"/>
      <c r="J417" s="193"/>
      <c r="K417" s="193"/>
      <c r="L417" s="193"/>
      <c r="M417" s="193"/>
      <c r="N417" s="193"/>
      <c r="O417" s="193"/>
      <c r="P417" s="193"/>
      <c r="Q417" s="193"/>
      <c r="R417" s="193"/>
      <c r="S417" s="193"/>
      <c r="T417" s="193"/>
      <c r="U417" s="193"/>
      <c r="V417" s="193"/>
      <c r="W417" s="193"/>
      <c r="X417" s="193"/>
      <c r="Y417" s="193"/>
      <c r="Z417" s="193"/>
      <c r="AA417" s="193"/>
      <c r="AB417" s="193"/>
      <c r="AC417" s="193"/>
      <c r="AD417" s="193"/>
      <c r="AE417" s="193"/>
      <c r="AF417" s="193"/>
      <c r="AG417" s="193"/>
      <c r="AH417" s="193"/>
      <c r="AI417" s="193"/>
      <c r="AJ417" s="193"/>
      <c r="AK417" s="193"/>
      <c r="AL417" s="193"/>
    </row>
    <row r="418" spans="7:38">
      <c r="G418" s="193"/>
      <c r="H418" s="193"/>
      <c r="I418" s="193"/>
      <c r="J418" s="193"/>
      <c r="K418" s="193"/>
      <c r="L418" s="193"/>
      <c r="M418" s="193"/>
      <c r="N418" s="193"/>
      <c r="O418" s="193"/>
      <c r="P418" s="193"/>
      <c r="Q418" s="193"/>
      <c r="R418" s="193"/>
      <c r="S418" s="193"/>
      <c r="T418" s="193"/>
      <c r="U418" s="193"/>
      <c r="V418" s="193"/>
      <c r="W418" s="193"/>
      <c r="X418" s="193"/>
      <c r="Y418" s="193"/>
      <c r="Z418" s="193"/>
      <c r="AA418" s="193"/>
      <c r="AB418" s="193"/>
      <c r="AC418" s="193"/>
      <c r="AD418" s="193"/>
      <c r="AE418" s="193"/>
      <c r="AF418" s="193"/>
      <c r="AG418" s="193"/>
      <c r="AH418" s="193"/>
      <c r="AI418" s="193"/>
      <c r="AJ418" s="193"/>
      <c r="AK418" s="193"/>
      <c r="AL418" s="193"/>
    </row>
    <row r="419" spans="7:38">
      <c r="G419" s="193"/>
      <c r="H419" s="193"/>
      <c r="I419" s="193"/>
      <c r="J419" s="193"/>
      <c r="K419" s="193"/>
      <c r="L419" s="193"/>
      <c r="M419" s="193"/>
      <c r="N419" s="193"/>
      <c r="O419" s="193"/>
      <c r="P419" s="193"/>
      <c r="Q419" s="193"/>
      <c r="R419" s="193"/>
      <c r="S419" s="193"/>
      <c r="T419" s="193"/>
      <c r="U419" s="193"/>
      <c r="V419" s="193"/>
      <c r="W419" s="193"/>
      <c r="X419" s="193"/>
      <c r="Y419" s="193"/>
      <c r="Z419" s="193"/>
      <c r="AA419" s="193"/>
      <c r="AB419" s="193"/>
      <c r="AC419" s="193"/>
      <c r="AD419" s="193"/>
      <c r="AE419" s="193"/>
      <c r="AF419" s="193"/>
      <c r="AG419" s="193"/>
      <c r="AH419" s="193"/>
      <c r="AI419" s="193"/>
      <c r="AJ419" s="193"/>
      <c r="AK419" s="193"/>
      <c r="AL419" s="193"/>
    </row>
    <row r="420" spans="7:38">
      <c r="G420" s="193"/>
      <c r="H420" s="193"/>
      <c r="I420" s="193"/>
      <c r="J420" s="193"/>
      <c r="K420" s="193"/>
      <c r="L420" s="193"/>
      <c r="M420" s="193"/>
      <c r="N420" s="193"/>
      <c r="O420" s="193"/>
      <c r="P420" s="193"/>
      <c r="Q420" s="193"/>
      <c r="R420" s="193"/>
      <c r="S420" s="193"/>
      <c r="T420" s="193"/>
      <c r="U420" s="193"/>
      <c r="V420" s="193"/>
      <c r="W420" s="193"/>
      <c r="X420" s="193"/>
      <c r="Y420" s="193"/>
      <c r="Z420" s="193"/>
      <c r="AA420" s="193"/>
      <c r="AB420" s="193"/>
      <c r="AC420" s="193"/>
      <c r="AD420" s="193"/>
      <c r="AE420" s="193"/>
      <c r="AF420" s="193"/>
      <c r="AG420" s="193"/>
      <c r="AH420" s="193"/>
      <c r="AI420" s="193"/>
      <c r="AJ420" s="193"/>
      <c r="AK420" s="193"/>
      <c r="AL420" s="193"/>
    </row>
    <row r="421" spans="7:38">
      <c r="G421" s="193"/>
      <c r="H421" s="193"/>
      <c r="I421" s="193"/>
      <c r="J421" s="193"/>
      <c r="K421" s="193"/>
      <c r="L421" s="193"/>
      <c r="M421" s="193"/>
      <c r="N421" s="193"/>
      <c r="O421" s="193"/>
      <c r="P421" s="193"/>
      <c r="Q421" s="193"/>
      <c r="R421" s="193"/>
      <c r="S421" s="193"/>
      <c r="T421" s="193"/>
      <c r="U421" s="193"/>
      <c r="V421" s="193"/>
      <c r="W421" s="193"/>
      <c r="X421" s="193"/>
      <c r="Y421" s="193"/>
      <c r="Z421" s="193"/>
      <c r="AA421" s="193"/>
      <c r="AB421" s="193"/>
      <c r="AC421" s="193"/>
      <c r="AD421" s="193"/>
      <c r="AE421" s="193"/>
      <c r="AF421" s="193"/>
      <c r="AG421" s="193"/>
      <c r="AH421" s="193"/>
      <c r="AI421" s="193"/>
      <c r="AJ421" s="193"/>
      <c r="AK421" s="193"/>
      <c r="AL421" s="193"/>
    </row>
    <row r="422" spans="7:38">
      <c r="G422" s="193"/>
      <c r="H422" s="193"/>
      <c r="I422" s="193"/>
      <c r="J422" s="193"/>
      <c r="K422" s="193"/>
      <c r="L422" s="193"/>
      <c r="M422" s="193"/>
      <c r="N422" s="193"/>
      <c r="O422" s="193"/>
      <c r="P422" s="193"/>
      <c r="Q422" s="193"/>
      <c r="R422" s="193"/>
      <c r="S422" s="193"/>
      <c r="T422" s="193"/>
      <c r="U422" s="193"/>
      <c r="V422" s="193"/>
      <c r="W422" s="193"/>
      <c r="X422" s="193"/>
      <c r="Y422" s="193"/>
      <c r="Z422" s="193"/>
      <c r="AA422" s="193"/>
      <c r="AB422" s="193"/>
      <c r="AC422" s="193"/>
      <c r="AD422" s="193"/>
      <c r="AE422" s="193"/>
      <c r="AF422" s="193"/>
      <c r="AG422" s="193"/>
      <c r="AH422" s="193"/>
      <c r="AI422" s="193"/>
      <c r="AJ422" s="193"/>
      <c r="AK422" s="193"/>
      <c r="AL422" s="193"/>
    </row>
    <row r="423" spans="7:38">
      <c r="G423" s="193"/>
      <c r="H423" s="193"/>
      <c r="I423" s="193"/>
      <c r="J423" s="193"/>
      <c r="K423" s="193"/>
      <c r="L423" s="193"/>
      <c r="M423" s="193"/>
      <c r="N423" s="193"/>
      <c r="O423" s="193"/>
      <c r="P423" s="193"/>
      <c r="Q423" s="193"/>
      <c r="R423" s="193"/>
      <c r="S423" s="193"/>
      <c r="T423" s="193"/>
      <c r="U423" s="193"/>
      <c r="V423" s="193"/>
      <c r="W423" s="193"/>
      <c r="X423" s="193"/>
      <c r="Y423" s="193"/>
      <c r="Z423" s="193"/>
      <c r="AA423" s="193"/>
      <c r="AB423" s="193"/>
      <c r="AC423" s="193"/>
      <c r="AD423" s="193"/>
      <c r="AE423" s="193"/>
      <c r="AF423" s="193"/>
      <c r="AG423" s="193"/>
      <c r="AH423" s="193"/>
      <c r="AI423" s="193"/>
      <c r="AJ423" s="193"/>
      <c r="AK423" s="193"/>
      <c r="AL423" s="193"/>
    </row>
    <row r="424" spans="7:38">
      <c r="G424" s="193"/>
      <c r="H424" s="193"/>
      <c r="I424" s="193"/>
      <c r="J424" s="193"/>
      <c r="K424" s="193"/>
      <c r="L424" s="193"/>
      <c r="M424" s="193"/>
      <c r="N424" s="193"/>
      <c r="O424" s="193"/>
      <c r="P424" s="193"/>
      <c r="Q424" s="193"/>
      <c r="R424" s="193"/>
      <c r="S424" s="193"/>
      <c r="T424" s="193"/>
      <c r="U424" s="193"/>
      <c r="V424" s="193"/>
      <c r="W424" s="193"/>
      <c r="X424" s="193"/>
      <c r="Y424" s="193"/>
      <c r="Z424" s="193"/>
      <c r="AA424" s="193"/>
      <c r="AB424" s="193"/>
      <c r="AC424" s="193"/>
      <c r="AD424" s="193"/>
      <c r="AE424" s="193"/>
      <c r="AF424" s="193"/>
      <c r="AG424" s="193"/>
      <c r="AH424" s="193"/>
      <c r="AI424" s="193"/>
      <c r="AJ424" s="193"/>
      <c r="AK424" s="193"/>
      <c r="AL424" s="193"/>
    </row>
    <row r="425" spans="7:38">
      <c r="G425" s="193"/>
      <c r="H425" s="193"/>
      <c r="I425" s="193"/>
      <c r="J425" s="193"/>
      <c r="K425" s="193"/>
      <c r="L425" s="193"/>
      <c r="M425" s="193"/>
      <c r="N425" s="193"/>
      <c r="O425" s="193"/>
      <c r="P425" s="193"/>
      <c r="Q425" s="193"/>
      <c r="R425" s="193"/>
      <c r="S425" s="193"/>
      <c r="T425" s="193"/>
      <c r="U425" s="193"/>
      <c r="V425" s="193"/>
      <c r="W425" s="193"/>
      <c r="X425" s="193"/>
      <c r="Y425" s="193"/>
      <c r="Z425" s="193"/>
      <c r="AA425" s="193"/>
      <c r="AB425" s="193"/>
      <c r="AC425" s="193"/>
      <c r="AD425" s="193"/>
      <c r="AE425" s="193"/>
      <c r="AF425" s="193"/>
      <c r="AG425" s="193"/>
      <c r="AH425" s="193"/>
      <c r="AI425" s="193"/>
      <c r="AJ425" s="193"/>
      <c r="AK425" s="193"/>
      <c r="AL425" s="193"/>
    </row>
    <row r="426" spans="7:38">
      <c r="G426" s="193"/>
      <c r="H426" s="193"/>
      <c r="I426" s="193"/>
      <c r="J426" s="193"/>
      <c r="K426" s="193"/>
      <c r="L426" s="193"/>
      <c r="M426" s="193"/>
      <c r="N426" s="193"/>
      <c r="O426" s="193"/>
      <c r="P426" s="193"/>
      <c r="Q426" s="193"/>
      <c r="R426" s="193"/>
      <c r="S426" s="193"/>
      <c r="T426" s="193"/>
      <c r="U426" s="193"/>
      <c r="V426" s="193"/>
      <c r="W426" s="193"/>
      <c r="X426" s="193"/>
      <c r="Y426" s="193"/>
      <c r="Z426" s="193"/>
      <c r="AA426" s="193"/>
      <c r="AB426" s="193"/>
      <c r="AC426" s="193"/>
      <c r="AD426" s="193"/>
      <c r="AE426" s="193"/>
      <c r="AF426" s="193"/>
      <c r="AG426" s="193"/>
      <c r="AH426" s="193"/>
      <c r="AI426" s="193"/>
      <c r="AJ426" s="193"/>
      <c r="AK426" s="193"/>
      <c r="AL426" s="193"/>
    </row>
    <row r="427" spans="7:38">
      <c r="G427" s="193"/>
      <c r="H427" s="193"/>
      <c r="I427" s="193"/>
      <c r="J427" s="193"/>
      <c r="K427" s="193"/>
      <c r="L427" s="193"/>
      <c r="M427" s="193"/>
      <c r="N427" s="193"/>
      <c r="O427" s="193"/>
      <c r="P427" s="193"/>
      <c r="Q427" s="193"/>
      <c r="R427" s="193"/>
      <c r="S427" s="193"/>
      <c r="T427" s="193"/>
      <c r="U427" s="193"/>
      <c r="V427" s="193"/>
      <c r="W427" s="193"/>
      <c r="X427" s="193"/>
      <c r="Y427" s="193"/>
      <c r="Z427" s="193"/>
      <c r="AA427" s="193"/>
      <c r="AB427" s="193"/>
      <c r="AC427" s="193"/>
      <c r="AD427" s="193"/>
      <c r="AE427" s="193"/>
      <c r="AF427" s="193"/>
      <c r="AG427" s="193"/>
      <c r="AH427" s="193"/>
      <c r="AI427" s="193"/>
      <c r="AJ427" s="193"/>
      <c r="AK427" s="193"/>
      <c r="AL427" s="193"/>
    </row>
    <row r="428" spans="7:38">
      <c r="G428" s="193"/>
      <c r="H428" s="193"/>
      <c r="I428" s="193"/>
      <c r="J428" s="193"/>
      <c r="K428" s="193"/>
      <c r="L428" s="193"/>
      <c r="M428" s="193"/>
      <c r="N428" s="193"/>
      <c r="O428" s="193"/>
      <c r="P428" s="193"/>
      <c r="Q428" s="193"/>
      <c r="R428" s="193"/>
      <c r="S428" s="193"/>
      <c r="T428" s="193"/>
      <c r="U428" s="193"/>
      <c r="V428" s="193"/>
      <c r="W428" s="193"/>
      <c r="X428" s="193"/>
      <c r="Y428" s="193"/>
      <c r="Z428" s="193"/>
      <c r="AA428" s="193"/>
      <c r="AB428" s="193"/>
      <c r="AC428" s="193"/>
      <c r="AD428" s="193"/>
      <c r="AE428" s="193"/>
      <c r="AF428" s="193"/>
      <c r="AG428" s="193"/>
      <c r="AH428" s="193"/>
      <c r="AI428" s="193"/>
      <c r="AJ428" s="193"/>
      <c r="AK428" s="193"/>
      <c r="AL428" s="193"/>
    </row>
    <row r="429" spans="7:38">
      <c r="G429" s="193"/>
      <c r="H429" s="193"/>
      <c r="I429" s="193"/>
      <c r="J429" s="193"/>
      <c r="K429" s="193"/>
      <c r="L429" s="193"/>
      <c r="M429" s="193"/>
      <c r="N429" s="193"/>
      <c r="O429" s="193"/>
      <c r="P429" s="193"/>
      <c r="Q429" s="193"/>
      <c r="R429" s="193"/>
      <c r="S429" s="193"/>
      <c r="T429" s="193"/>
      <c r="U429" s="193"/>
      <c r="V429" s="193"/>
      <c r="W429" s="193"/>
      <c r="X429" s="193"/>
      <c r="Y429" s="193"/>
      <c r="Z429" s="193"/>
      <c r="AA429" s="193"/>
      <c r="AB429" s="193"/>
      <c r="AC429" s="193"/>
      <c r="AD429" s="193"/>
      <c r="AE429" s="193"/>
      <c r="AF429" s="193"/>
      <c r="AG429" s="193"/>
      <c r="AH429" s="193"/>
      <c r="AI429" s="193"/>
      <c r="AJ429" s="193"/>
      <c r="AK429" s="193"/>
      <c r="AL429" s="193"/>
    </row>
    <row r="430" spans="7:38">
      <c r="G430" s="193"/>
      <c r="H430" s="193"/>
      <c r="I430" s="193"/>
      <c r="J430" s="193"/>
      <c r="K430" s="193"/>
      <c r="L430" s="193"/>
      <c r="M430" s="193"/>
      <c r="N430" s="193"/>
      <c r="O430" s="193"/>
      <c r="P430" s="193"/>
      <c r="Q430" s="193"/>
      <c r="R430" s="193"/>
      <c r="S430" s="193"/>
      <c r="T430" s="193"/>
      <c r="U430" s="193"/>
      <c r="V430" s="193"/>
      <c r="W430" s="193"/>
      <c r="X430" s="193"/>
      <c r="Y430" s="193"/>
      <c r="Z430" s="193"/>
      <c r="AA430" s="193"/>
      <c r="AB430" s="193"/>
      <c r="AC430" s="193"/>
      <c r="AD430" s="193"/>
      <c r="AE430" s="193"/>
      <c r="AF430" s="193"/>
      <c r="AG430" s="193"/>
      <c r="AH430" s="193"/>
      <c r="AI430" s="193"/>
      <c r="AJ430" s="193"/>
      <c r="AK430" s="193"/>
      <c r="AL430" s="193"/>
    </row>
    <row r="431" spans="7:38">
      <c r="G431" s="193"/>
      <c r="H431" s="193"/>
      <c r="I431" s="193"/>
      <c r="J431" s="193"/>
      <c r="K431" s="193"/>
      <c r="L431" s="193"/>
      <c r="M431" s="193"/>
      <c r="N431" s="193"/>
      <c r="O431" s="193"/>
      <c r="P431" s="193"/>
      <c r="Q431" s="193"/>
      <c r="R431" s="193"/>
      <c r="S431" s="193"/>
      <c r="T431" s="193"/>
      <c r="U431" s="193"/>
      <c r="V431" s="193"/>
      <c r="W431" s="193"/>
      <c r="X431" s="193"/>
      <c r="Y431" s="193"/>
      <c r="Z431" s="193"/>
      <c r="AA431" s="193"/>
      <c r="AB431" s="193"/>
      <c r="AC431" s="193"/>
      <c r="AD431" s="193"/>
      <c r="AE431" s="193"/>
      <c r="AF431" s="193"/>
      <c r="AG431" s="193"/>
      <c r="AH431" s="193"/>
      <c r="AI431" s="193"/>
      <c r="AJ431" s="193"/>
      <c r="AK431" s="193"/>
      <c r="AL431" s="193"/>
    </row>
    <row r="432" spans="7:38">
      <c r="G432" s="193"/>
      <c r="H432" s="193"/>
      <c r="I432" s="193"/>
      <c r="J432" s="193"/>
      <c r="K432" s="193"/>
      <c r="L432" s="193"/>
      <c r="M432" s="193"/>
      <c r="N432" s="193"/>
      <c r="O432" s="193"/>
      <c r="P432" s="193"/>
      <c r="Q432" s="193"/>
      <c r="R432" s="193"/>
      <c r="S432" s="193"/>
      <c r="T432" s="193"/>
      <c r="U432" s="193"/>
      <c r="V432" s="193"/>
      <c r="W432" s="193"/>
      <c r="X432" s="193"/>
      <c r="Y432" s="193"/>
      <c r="Z432" s="193"/>
      <c r="AA432" s="193"/>
      <c r="AB432" s="193"/>
      <c r="AC432" s="193"/>
      <c r="AD432" s="193"/>
      <c r="AE432" s="193"/>
      <c r="AF432" s="193"/>
      <c r="AG432" s="193"/>
      <c r="AH432" s="193"/>
      <c r="AI432" s="193"/>
      <c r="AJ432" s="193"/>
      <c r="AK432" s="193"/>
      <c r="AL432" s="193"/>
    </row>
    <row r="433" spans="7:38">
      <c r="G433" s="193"/>
      <c r="H433" s="193"/>
      <c r="I433" s="193"/>
      <c r="J433" s="193"/>
      <c r="K433" s="193"/>
      <c r="L433" s="193"/>
      <c r="M433" s="193"/>
      <c r="N433" s="193"/>
      <c r="O433" s="193"/>
      <c r="P433" s="193"/>
      <c r="Q433" s="193"/>
      <c r="R433" s="193"/>
      <c r="S433" s="193"/>
      <c r="T433" s="193"/>
      <c r="U433" s="193"/>
      <c r="V433" s="193"/>
      <c r="W433" s="193"/>
      <c r="X433" s="193"/>
      <c r="Y433" s="193"/>
      <c r="Z433" s="193"/>
      <c r="AA433" s="193"/>
      <c r="AB433" s="193"/>
      <c r="AC433" s="193"/>
      <c r="AD433" s="193"/>
      <c r="AE433" s="193"/>
      <c r="AF433" s="193"/>
      <c r="AG433" s="193"/>
      <c r="AH433" s="193"/>
      <c r="AI433" s="193"/>
      <c r="AJ433" s="193"/>
      <c r="AK433" s="193"/>
      <c r="AL433" s="193"/>
    </row>
    <row r="434" spans="7:38">
      <c r="G434" s="193"/>
      <c r="H434" s="193"/>
      <c r="I434" s="193"/>
      <c r="J434" s="193"/>
      <c r="K434" s="193"/>
      <c r="L434" s="193"/>
      <c r="M434" s="193"/>
      <c r="N434" s="193"/>
      <c r="O434" s="193"/>
      <c r="P434" s="193"/>
      <c r="Q434" s="193"/>
      <c r="R434" s="193"/>
      <c r="S434" s="193"/>
      <c r="T434" s="193"/>
      <c r="U434" s="193"/>
      <c r="V434" s="193"/>
      <c r="W434" s="193"/>
      <c r="X434" s="193"/>
      <c r="Y434" s="193"/>
      <c r="Z434" s="193"/>
      <c r="AA434" s="193"/>
      <c r="AB434" s="193"/>
      <c r="AC434" s="193"/>
      <c r="AD434" s="193"/>
      <c r="AE434" s="193"/>
      <c r="AF434" s="193"/>
      <c r="AG434" s="193"/>
      <c r="AH434" s="193"/>
      <c r="AI434" s="193"/>
      <c r="AJ434" s="193"/>
      <c r="AK434" s="193"/>
      <c r="AL434" s="193"/>
    </row>
    <row r="435" spans="7:38">
      <c r="G435" s="193"/>
      <c r="H435" s="193"/>
      <c r="I435" s="193"/>
      <c r="J435" s="193"/>
      <c r="K435" s="193"/>
      <c r="L435" s="193"/>
      <c r="M435" s="193"/>
      <c r="N435" s="193"/>
      <c r="O435" s="193"/>
      <c r="P435" s="193"/>
      <c r="Q435" s="193"/>
      <c r="R435" s="193"/>
      <c r="S435" s="193"/>
      <c r="T435" s="193"/>
      <c r="U435" s="193"/>
      <c r="V435" s="193"/>
      <c r="W435" s="193"/>
      <c r="X435" s="193"/>
      <c r="Y435" s="193"/>
      <c r="Z435" s="193"/>
      <c r="AA435" s="193"/>
      <c r="AB435" s="193"/>
      <c r="AC435" s="193"/>
      <c r="AD435" s="193"/>
      <c r="AE435" s="193"/>
      <c r="AF435" s="193"/>
      <c r="AG435" s="193"/>
      <c r="AH435" s="193"/>
      <c r="AI435" s="193"/>
      <c r="AJ435" s="193"/>
      <c r="AK435" s="193"/>
      <c r="AL435" s="193"/>
    </row>
    <row r="436" spans="7:38">
      <c r="G436" s="193"/>
      <c r="H436" s="193"/>
      <c r="I436" s="193"/>
      <c r="J436" s="193"/>
      <c r="K436" s="193"/>
      <c r="L436" s="193"/>
      <c r="M436" s="193"/>
      <c r="N436" s="193"/>
      <c r="O436" s="193"/>
      <c r="P436" s="193"/>
      <c r="Q436" s="193"/>
      <c r="R436" s="193"/>
      <c r="S436" s="193"/>
      <c r="T436" s="193"/>
      <c r="U436" s="193"/>
      <c r="V436" s="193"/>
      <c r="W436" s="193"/>
      <c r="X436" s="193"/>
      <c r="Y436" s="193"/>
      <c r="Z436" s="193"/>
      <c r="AA436" s="193"/>
      <c r="AB436" s="193"/>
      <c r="AC436" s="193"/>
      <c r="AD436" s="193"/>
      <c r="AE436" s="193"/>
      <c r="AF436" s="193"/>
      <c r="AG436" s="193"/>
      <c r="AH436" s="193"/>
      <c r="AI436" s="193"/>
      <c r="AJ436" s="193"/>
      <c r="AK436" s="193"/>
      <c r="AL436" s="193"/>
    </row>
    <row r="437" spans="7:38">
      <c r="G437" s="193"/>
      <c r="H437" s="193"/>
      <c r="I437" s="193"/>
      <c r="J437" s="193"/>
      <c r="K437" s="193"/>
      <c r="L437" s="193"/>
      <c r="M437" s="193"/>
      <c r="N437" s="193"/>
      <c r="O437" s="193"/>
      <c r="P437" s="193"/>
      <c r="Q437" s="193"/>
      <c r="R437" s="193"/>
      <c r="S437" s="193"/>
      <c r="T437" s="193"/>
      <c r="U437" s="193"/>
      <c r="V437" s="193"/>
      <c r="W437" s="193"/>
      <c r="X437" s="193"/>
      <c r="Y437" s="193"/>
      <c r="Z437" s="193"/>
      <c r="AA437" s="193"/>
      <c r="AB437" s="193"/>
      <c r="AC437" s="193"/>
      <c r="AD437" s="193"/>
      <c r="AE437" s="193"/>
      <c r="AF437" s="193"/>
      <c r="AG437" s="193"/>
      <c r="AH437" s="193"/>
      <c r="AI437" s="193"/>
      <c r="AJ437" s="193"/>
      <c r="AK437" s="193"/>
      <c r="AL437" s="193"/>
    </row>
    <row r="438" spans="7:38">
      <c r="G438" s="193"/>
      <c r="H438" s="193"/>
      <c r="I438" s="193"/>
      <c r="J438" s="193"/>
      <c r="K438" s="193"/>
      <c r="L438" s="193"/>
      <c r="M438" s="193"/>
      <c r="N438" s="193"/>
      <c r="O438" s="193"/>
      <c r="P438" s="193"/>
      <c r="Q438" s="193"/>
      <c r="R438" s="193"/>
      <c r="S438" s="193"/>
      <c r="T438" s="193"/>
      <c r="U438" s="193"/>
      <c r="V438" s="193"/>
      <c r="W438" s="193"/>
      <c r="X438" s="193"/>
      <c r="Y438" s="193"/>
      <c r="Z438" s="193"/>
      <c r="AA438" s="193"/>
      <c r="AB438" s="193"/>
      <c r="AC438" s="193"/>
      <c r="AD438" s="193"/>
      <c r="AE438" s="193"/>
      <c r="AF438" s="193"/>
      <c r="AG438" s="193"/>
      <c r="AH438" s="193"/>
      <c r="AI438" s="193"/>
      <c r="AJ438" s="193"/>
      <c r="AK438" s="193"/>
      <c r="AL438" s="193"/>
    </row>
    <row r="439" spans="7:38">
      <c r="G439" s="193"/>
      <c r="H439" s="193"/>
      <c r="I439" s="193"/>
      <c r="J439" s="193"/>
      <c r="K439" s="193"/>
      <c r="L439" s="193"/>
      <c r="M439" s="193"/>
      <c r="N439" s="193"/>
      <c r="O439" s="193"/>
      <c r="P439" s="193"/>
      <c r="Q439" s="193"/>
      <c r="R439" s="193"/>
      <c r="S439" s="193"/>
      <c r="T439" s="193"/>
      <c r="U439" s="193"/>
      <c r="V439" s="193"/>
      <c r="W439" s="193"/>
      <c r="X439" s="193"/>
      <c r="Y439" s="193"/>
      <c r="Z439" s="193"/>
      <c r="AA439" s="193"/>
      <c r="AB439" s="193"/>
      <c r="AC439" s="193"/>
      <c r="AD439" s="193"/>
      <c r="AE439" s="193"/>
      <c r="AF439" s="193"/>
      <c r="AG439" s="193"/>
      <c r="AH439" s="193"/>
      <c r="AI439" s="193"/>
      <c r="AJ439" s="193"/>
      <c r="AK439" s="193"/>
      <c r="AL439" s="193"/>
    </row>
    <row r="440" spans="7:38">
      <c r="G440" s="193"/>
      <c r="H440" s="193"/>
      <c r="I440" s="193"/>
      <c r="J440" s="193"/>
      <c r="K440" s="193"/>
      <c r="L440" s="193"/>
      <c r="M440" s="193"/>
      <c r="N440" s="193"/>
      <c r="O440" s="193"/>
      <c r="P440" s="193"/>
      <c r="Q440" s="193"/>
      <c r="R440" s="193"/>
      <c r="S440" s="193"/>
      <c r="T440" s="193"/>
      <c r="U440" s="193"/>
      <c r="V440" s="193"/>
      <c r="W440" s="193"/>
      <c r="X440" s="193"/>
      <c r="Y440" s="193"/>
      <c r="Z440" s="193"/>
      <c r="AA440" s="193"/>
      <c r="AB440" s="193"/>
      <c r="AC440" s="193"/>
      <c r="AD440" s="193"/>
      <c r="AE440" s="193"/>
      <c r="AF440" s="193"/>
      <c r="AG440" s="193"/>
      <c r="AH440" s="193"/>
      <c r="AI440" s="193"/>
      <c r="AJ440" s="193"/>
      <c r="AK440" s="193"/>
      <c r="AL440" s="193"/>
    </row>
    <row r="441" spans="7:38">
      <c r="G441" s="193"/>
      <c r="H441" s="193"/>
      <c r="I441" s="193"/>
      <c r="J441" s="193"/>
      <c r="K441" s="193"/>
      <c r="L441" s="193"/>
      <c r="M441" s="193"/>
      <c r="N441" s="193"/>
      <c r="O441" s="193"/>
      <c r="P441" s="193"/>
      <c r="Q441" s="193"/>
      <c r="R441" s="193"/>
      <c r="S441" s="193"/>
      <c r="T441" s="193"/>
      <c r="U441" s="193"/>
      <c r="V441" s="193"/>
      <c r="W441" s="193"/>
      <c r="X441" s="193"/>
      <c r="Y441" s="193"/>
      <c r="Z441" s="193"/>
      <c r="AA441" s="193"/>
      <c r="AB441" s="193"/>
      <c r="AC441" s="193"/>
      <c r="AD441" s="193"/>
      <c r="AE441" s="193"/>
      <c r="AF441" s="193"/>
      <c r="AG441" s="193"/>
      <c r="AH441" s="193"/>
      <c r="AI441" s="193"/>
      <c r="AJ441" s="193"/>
      <c r="AK441" s="193"/>
      <c r="AL441" s="193"/>
    </row>
    <row r="442" spans="7:38">
      <c r="G442" s="193"/>
      <c r="H442" s="193"/>
      <c r="I442" s="193"/>
      <c r="J442" s="193"/>
      <c r="K442" s="193"/>
      <c r="L442" s="193"/>
      <c r="M442" s="193"/>
      <c r="N442" s="193"/>
      <c r="O442" s="193"/>
      <c r="P442" s="193"/>
      <c r="Q442" s="193"/>
      <c r="R442" s="193"/>
      <c r="S442" s="193"/>
      <c r="T442" s="193"/>
      <c r="U442" s="193"/>
      <c r="V442" s="193"/>
      <c r="W442" s="193"/>
      <c r="X442" s="193"/>
      <c r="Y442" s="193"/>
      <c r="Z442" s="193"/>
      <c r="AA442" s="193"/>
      <c r="AB442" s="193"/>
      <c r="AC442" s="193"/>
      <c r="AD442" s="193"/>
      <c r="AE442" s="193"/>
      <c r="AF442" s="193"/>
      <c r="AG442" s="193"/>
      <c r="AH442" s="193"/>
      <c r="AI442" s="193"/>
      <c r="AJ442" s="193"/>
      <c r="AK442" s="193"/>
      <c r="AL442" s="193"/>
    </row>
    <row r="443" spans="7:38">
      <c r="G443" s="193"/>
      <c r="H443" s="193"/>
      <c r="I443" s="193"/>
      <c r="J443" s="193"/>
      <c r="K443" s="193"/>
      <c r="L443" s="193"/>
      <c r="M443" s="193"/>
      <c r="N443" s="193"/>
      <c r="O443" s="193"/>
      <c r="P443" s="193"/>
      <c r="Q443" s="193"/>
      <c r="R443" s="193"/>
      <c r="S443" s="193"/>
      <c r="T443" s="193"/>
      <c r="U443" s="193"/>
      <c r="V443" s="193"/>
      <c r="W443" s="193"/>
      <c r="X443" s="193"/>
      <c r="Y443" s="193"/>
      <c r="Z443" s="193"/>
      <c r="AA443" s="193"/>
      <c r="AB443" s="193"/>
      <c r="AC443" s="193"/>
      <c r="AD443" s="193"/>
      <c r="AE443" s="193"/>
      <c r="AF443" s="193"/>
      <c r="AG443" s="193"/>
      <c r="AH443" s="193"/>
      <c r="AI443" s="193"/>
      <c r="AJ443" s="193"/>
      <c r="AK443" s="193"/>
      <c r="AL443" s="193"/>
    </row>
    <row r="444" spans="7:38">
      <c r="G444" s="193"/>
      <c r="H444" s="193"/>
      <c r="I444" s="193"/>
      <c r="J444" s="193"/>
      <c r="K444" s="193"/>
      <c r="L444" s="193"/>
      <c r="M444" s="193"/>
      <c r="N444" s="193"/>
      <c r="O444" s="193"/>
      <c r="P444" s="193"/>
      <c r="Q444" s="193"/>
      <c r="R444" s="193"/>
      <c r="S444" s="193"/>
      <c r="T444" s="193"/>
      <c r="U444" s="193"/>
      <c r="V444" s="193"/>
      <c r="W444" s="193"/>
      <c r="X444" s="193"/>
      <c r="Y444" s="193"/>
      <c r="Z444" s="193"/>
      <c r="AA444" s="193"/>
      <c r="AB444" s="193"/>
      <c r="AC444" s="193"/>
      <c r="AD444" s="193"/>
      <c r="AE444" s="193"/>
      <c r="AF444" s="193"/>
      <c r="AG444" s="193"/>
      <c r="AH444" s="193"/>
      <c r="AI444" s="193"/>
      <c r="AJ444" s="193"/>
      <c r="AK444" s="193"/>
      <c r="AL444" s="193"/>
    </row>
    <row r="445" spans="7:38">
      <c r="G445" s="193"/>
      <c r="H445" s="193"/>
      <c r="I445" s="193"/>
      <c r="J445" s="193"/>
      <c r="K445" s="193"/>
      <c r="L445" s="193"/>
      <c r="M445" s="193"/>
      <c r="N445" s="193"/>
      <c r="O445" s="193"/>
      <c r="P445" s="193"/>
      <c r="Q445" s="193"/>
      <c r="R445" s="193"/>
      <c r="S445" s="193"/>
      <c r="T445" s="193"/>
      <c r="U445" s="193"/>
      <c r="V445" s="193"/>
      <c r="W445" s="193"/>
      <c r="X445" s="193"/>
      <c r="Y445" s="193"/>
      <c r="Z445" s="193"/>
      <c r="AA445" s="193"/>
      <c r="AB445" s="193"/>
      <c r="AC445" s="193"/>
      <c r="AD445" s="193"/>
      <c r="AE445" s="193"/>
      <c r="AF445" s="193"/>
      <c r="AG445" s="193"/>
      <c r="AH445" s="193"/>
      <c r="AI445" s="193"/>
      <c r="AJ445" s="193"/>
      <c r="AK445" s="193"/>
      <c r="AL445" s="193"/>
    </row>
    <row r="446" spans="7:38">
      <c r="G446" s="193"/>
      <c r="H446" s="193"/>
      <c r="I446" s="193"/>
      <c r="J446" s="193"/>
      <c r="K446" s="193"/>
      <c r="L446" s="193"/>
      <c r="M446" s="193"/>
      <c r="N446" s="193"/>
      <c r="O446" s="193"/>
      <c r="P446" s="193"/>
      <c r="Q446" s="193"/>
      <c r="R446" s="193"/>
      <c r="S446" s="193"/>
      <c r="T446" s="193"/>
      <c r="U446" s="193"/>
      <c r="V446" s="193"/>
      <c r="W446" s="193"/>
      <c r="X446" s="193"/>
      <c r="Y446" s="193"/>
      <c r="Z446" s="193"/>
      <c r="AA446" s="193"/>
      <c r="AB446" s="193"/>
      <c r="AC446" s="193"/>
      <c r="AD446" s="193"/>
      <c r="AE446" s="193"/>
      <c r="AF446" s="193"/>
      <c r="AG446" s="193"/>
      <c r="AH446" s="193"/>
      <c r="AI446" s="193"/>
      <c r="AJ446" s="193"/>
      <c r="AK446" s="193"/>
      <c r="AL446" s="193"/>
    </row>
    <row r="447" spans="7:38">
      <c r="G447" s="193"/>
      <c r="H447" s="193"/>
      <c r="I447" s="193"/>
      <c r="J447" s="193"/>
      <c r="K447" s="193"/>
      <c r="L447" s="193"/>
      <c r="M447" s="193"/>
      <c r="N447" s="193"/>
      <c r="O447" s="193"/>
      <c r="P447" s="193"/>
      <c r="Q447" s="193"/>
      <c r="R447" s="193"/>
      <c r="S447" s="193"/>
      <c r="T447" s="193"/>
      <c r="U447" s="193"/>
      <c r="V447" s="193"/>
      <c r="W447" s="193"/>
      <c r="X447" s="193"/>
      <c r="Y447" s="193"/>
      <c r="Z447" s="193"/>
      <c r="AA447" s="193"/>
      <c r="AB447" s="193"/>
      <c r="AC447" s="193"/>
      <c r="AD447" s="193"/>
      <c r="AE447" s="193"/>
      <c r="AF447" s="193"/>
      <c r="AG447" s="193"/>
      <c r="AH447" s="193"/>
      <c r="AI447" s="193"/>
      <c r="AJ447" s="193"/>
      <c r="AK447" s="193"/>
      <c r="AL447" s="193"/>
    </row>
    <row r="448" spans="7:38">
      <c r="G448" s="193"/>
      <c r="H448" s="193"/>
      <c r="I448" s="193"/>
      <c r="J448" s="193"/>
      <c r="K448" s="193"/>
      <c r="L448" s="193"/>
      <c r="M448" s="193"/>
      <c r="N448" s="193"/>
      <c r="O448" s="193"/>
      <c r="P448" s="193"/>
      <c r="Q448" s="193"/>
      <c r="R448" s="193"/>
      <c r="S448" s="193"/>
      <c r="T448" s="193"/>
      <c r="U448" s="193"/>
      <c r="V448" s="193"/>
      <c r="W448" s="193"/>
      <c r="X448" s="193"/>
      <c r="Y448" s="193"/>
      <c r="Z448" s="193"/>
      <c r="AA448" s="193"/>
      <c r="AB448" s="193"/>
      <c r="AC448" s="193"/>
      <c r="AD448" s="193"/>
      <c r="AE448" s="193"/>
      <c r="AF448" s="193"/>
      <c r="AG448" s="193"/>
      <c r="AH448" s="193"/>
      <c r="AI448" s="193"/>
      <c r="AJ448" s="193"/>
      <c r="AK448" s="193"/>
      <c r="AL448" s="193"/>
    </row>
    <row r="449" spans="7:38">
      <c r="G449" s="193"/>
      <c r="H449" s="193"/>
      <c r="I449" s="193"/>
      <c r="J449" s="193"/>
      <c r="K449" s="193"/>
      <c r="L449" s="193"/>
      <c r="M449" s="193"/>
      <c r="N449" s="193"/>
      <c r="O449" s="193"/>
      <c r="P449" s="193"/>
      <c r="Q449" s="193"/>
      <c r="R449" s="193"/>
      <c r="S449" s="193"/>
      <c r="T449" s="193"/>
      <c r="U449" s="193"/>
      <c r="V449" s="193"/>
      <c r="W449" s="193"/>
      <c r="X449" s="193"/>
      <c r="Y449" s="193"/>
      <c r="Z449" s="193"/>
      <c r="AA449" s="193"/>
      <c r="AB449" s="193"/>
      <c r="AC449" s="193"/>
      <c r="AD449" s="193"/>
      <c r="AE449" s="193"/>
      <c r="AF449" s="193"/>
      <c r="AG449" s="193"/>
      <c r="AH449" s="193"/>
      <c r="AI449" s="193"/>
      <c r="AJ449" s="193"/>
      <c r="AK449" s="193"/>
      <c r="AL449" s="193"/>
    </row>
    <row r="450" spans="7:38">
      <c r="G450" s="193"/>
      <c r="H450" s="193"/>
      <c r="I450" s="193"/>
      <c r="J450" s="193"/>
      <c r="K450" s="193"/>
      <c r="L450" s="193"/>
      <c r="M450" s="193"/>
      <c r="N450" s="193"/>
      <c r="O450" s="193"/>
      <c r="P450" s="193"/>
      <c r="Q450" s="193"/>
      <c r="R450" s="193"/>
      <c r="S450" s="193"/>
      <c r="T450" s="193"/>
      <c r="U450" s="193"/>
      <c r="V450" s="193"/>
      <c r="W450" s="193"/>
      <c r="X450" s="193"/>
      <c r="Y450" s="193"/>
      <c r="Z450" s="193"/>
      <c r="AA450" s="193"/>
      <c r="AB450" s="193"/>
      <c r="AC450" s="193"/>
      <c r="AD450" s="193"/>
      <c r="AE450" s="193"/>
      <c r="AF450" s="193"/>
      <c r="AG450" s="193"/>
      <c r="AH450" s="193"/>
      <c r="AI450" s="193"/>
      <c r="AJ450" s="193"/>
      <c r="AK450" s="193"/>
      <c r="AL450" s="193"/>
    </row>
    <row r="451" spans="7:38">
      <c r="G451" s="193"/>
      <c r="H451" s="193"/>
      <c r="I451" s="193"/>
      <c r="J451" s="193"/>
      <c r="K451" s="193"/>
      <c r="L451" s="193"/>
      <c r="M451" s="193"/>
      <c r="N451" s="193"/>
      <c r="O451" s="193"/>
      <c r="P451" s="193"/>
      <c r="Q451" s="193"/>
      <c r="R451" s="193"/>
      <c r="S451" s="193"/>
      <c r="T451" s="193"/>
      <c r="U451" s="193"/>
      <c r="V451" s="193"/>
      <c r="W451" s="193"/>
      <c r="X451" s="193"/>
      <c r="Y451" s="193"/>
      <c r="Z451" s="193"/>
      <c r="AA451" s="193"/>
      <c r="AB451" s="193"/>
      <c r="AC451" s="193"/>
      <c r="AD451" s="193"/>
      <c r="AE451" s="193"/>
      <c r="AF451" s="193"/>
      <c r="AG451" s="193"/>
      <c r="AH451" s="193"/>
      <c r="AI451" s="193"/>
      <c r="AJ451" s="193"/>
      <c r="AK451" s="193"/>
      <c r="AL451" s="193"/>
    </row>
    <row r="452" spans="7:38">
      <c r="G452" s="193"/>
      <c r="H452" s="193"/>
      <c r="I452" s="193"/>
      <c r="J452" s="193"/>
      <c r="K452" s="193"/>
      <c r="L452" s="193"/>
      <c r="M452" s="193"/>
      <c r="N452" s="193"/>
      <c r="O452" s="193"/>
      <c r="P452" s="193"/>
      <c r="Q452" s="193"/>
      <c r="R452" s="193"/>
      <c r="S452" s="193"/>
      <c r="T452" s="193"/>
      <c r="U452" s="193"/>
      <c r="V452" s="193"/>
      <c r="W452" s="193"/>
      <c r="X452" s="193"/>
      <c r="Y452" s="193"/>
      <c r="Z452" s="193"/>
      <c r="AA452" s="193"/>
      <c r="AB452" s="193"/>
      <c r="AC452" s="193"/>
      <c r="AD452" s="193"/>
      <c r="AE452" s="193"/>
      <c r="AF452" s="193"/>
      <c r="AG452" s="193"/>
      <c r="AH452" s="193"/>
      <c r="AI452" s="193"/>
      <c r="AJ452" s="193"/>
      <c r="AK452" s="193"/>
      <c r="AL452" s="193"/>
    </row>
    <row r="453" spans="7:38">
      <c r="G453" s="193"/>
      <c r="H453" s="193"/>
      <c r="I453" s="193"/>
      <c r="J453" s="193"/>
      <c r="K453" s="193"/>
      <c r="L453" s="193"/>
      <c r="M453" s="193"/>
      <c r="N453" s="193"/>
      <c r="O453" s="193"/>
      <c r="P453" s="193"/>
      <c r="Q453" s="193"/>
      <c r="R453" s="193"/>
      <c r="S453" s="193"/>
      <c r="T453" s="193"/>
      <c r="U453" s="193"/>
      <c r="V453" s="193"/>
      <c r="W453" s="193"/>
      <c r="X453" s="193"/>
      <c r="Y453" s="193"/>
      <c r="Z453" s="193"/>
      <c r="AA453" s="193"/>
      <c r="AB453" s="193"/>
      <c r="AC453" s="193"/>
      <c r="AD453" s="193"/>
      <c r="AE453" s="193"/>
      <c r="AF453" s="193"/>
      <c r="AG453" s="193"/>
      <c r="AH453" s="193"/>
      <c r="AI453" s="193"/>
      <c r="AJ453" s="193"/>
      <c r="AK453" s="193"/>
      <c r="AL453" s="193"/>
    </row>
    <row r="454" spans="7:38">
      <c r="G454" s="193"/>
      <c r="H454" s="193"/>
      <c r="I454" s="193"/>
      <c r="J454" s="193"/>
      <c r="K454" s="193"/>
      <c r="L454" s="193"/>
      <c r="M454" s="193"/>
      <c r="N454" s="193"/>
      <c r="O454" s="193"/>
      <c r="P454" s="193"/>
      <c r="Q454" s="193"/>
      <c r="R454" s="193"/>
      <c r="S454" s="193"/>
      <c r="T454" s="193"/>
      <c r="U454" s="193"/>
      <c r="V454" s="193"/>
      <c r="W454" s="193"/>
      <c r="X454" s="193"/>
      <c r="Y454" s="193"/>
      <c r="Z454" s="193"/>
      <c r="AA454" s="193"/>
      <c r="AB454" s="193"/>
      <c r="AC454" s="193"/>
      <c r="AD454" s="193"/>
      <c r="AE454" s="193"/>
      <c r="AF454" s="193"/>
      <c r="AG454" s="193"/>
      <c r="AH454" s="193"/>
      <c r="AI454" s="193"/>
      <c r="AJ454" s="193"/>
      <c r="AK454" s="193"/>
      <c r="AL454" s="193"/>
    </row>
    <row r="455" spans="7:38">
      <c r="G455" s="193"/>
      <c r="H455" s="193"/>
      <c r="I455" s="193"/>
      <c r="J455" s="193"/>
      <c r="K455" s="193"/>
      <c r="L455" s="193"/>
      <c r="M455" s="193"/>
      <c r="N455" s="193"/>
      <c r="O455" s="193"/>
      <c r="P455" s="193"/>
      <c r="Q455" s="193"/>
      <c r="R455" s="193"/>
      <c r="S455" s="193"/>
      <c r="T455" s="193"/>
      <c r="U455" s="193"/>
      <c r="V455" s="193"/>
      <c r="W455" s="193"/>
      <c r="X455" s="193"/>
      <c r="Y455" s="193"/>
      <c r="Z455" s="193"/>
      <c r="AA455" s="193"/>
      <c r="AB455" s="193"/>
      <c r="AC455" s="193"/>
      <c r="AD455" s="193"/>
      <c r="AE455" s="193"/>
      <c r="AF455" s="193"/>
      <c r="AG455" s="193"/>
      <c r="AH455" s="193"/>
      <c r="AI455" s="193"/>
      <c r="AJ455" s="193"/>
      <c r="AK455" s="193"/>
      <c r="AL455" s="193"/>
    </row>
    <row r="456" spans="7:38">
      <c r="G456" s="193"/>
      <c r="H456" s="193"/>
      <c r="I456" s="193"/>
      <c r="J456" s="193"/>
      <c r="K456" s="193"/>
      <c r="L456" s="193"/>
      <c r="M456" s="193"/>
      <c r="N456" s="193"/>
      <c r="O456" s="193"/>
      <c r="P456" s="193"/>
      <c r="Q456" s="193"/>
      <c r="R456" s="193"/>
      <c r="S456" s="193"/>
      <c r="T456" s="193"/>
      <c r="U456" s="193"/>
      <c r="V456" s="193"/>
      <c r="W456" s="193"/>
      <c r="X456" s="193"/>
      <c r="Y456" s="193"/>
      <c r="Z456" s="193"/>
      <c r="AA456" s="193"/>
      <c r="AB456" s="193"/>
      <c r="AC456" s="193"/>
      <c r="AD456" s="193"/>
      <c r="AE456" s="193"/>
      <c r="AF456" s="193"/>
      <c r="AG456" s="193"/>
      <c r="AH456" s="193"/>
      <c r="AI456" s="193"/>
      <c r="AJ456" s="193"/>
      <c r="AK456" s="193"/>
      <c r="AL456" s="193"/>
    </row>
    <row r="457" spans="7:38">
      <c r="G457" s="193"/>
      <c r="H457" s="193"/>
      <c r="I457" s="193"/>
      <c r="J457" s="193"/>
      <c r="K457" s="193"/>
      <c r="L457" s="193"/>
      <c r="M457" s="193"/>
      <c r="N457" s="193"/>
      <c r="O457" s="193"/>
      <c r="P457" s="193"/>
      <c r="Q457" s="193"/>
      <c r="R457" s="193"/>
      <c r="S457" s="193"/>
      <c r="T457" s="193"/>
      <c r="U457" s="193"/>
      <c r="V457" s="193"/>
      <c r="W457" s="193"/>
      <c r="X457" s="193"/>
      <c r="Y457" s="193"/>
      <c r="Z457" s="193"/>
      <c r="AA457" s="193"/>
      <c r="AB457" s="193"/>
      <c r="AC457" s="193"/>
      <c r="AD457" s="193"/>
      <c r="AE457" s="193"/>
      <c r="AF457" s="193"/>
      <c r="AG457" s="193"/>
      <c r="AH457" s="193"/>
      <c r="AI457" s="193"/>
      <c r="AJ457" s="193"/>
      <c r="AK457" s="193"/>
      <c r="AL457" s="193"/>
    </row>
    <row r="458" spans="7:38">
      <c r="G458" s="193"/>
      <c r="H458" s="193"/>
      <c r="I458" s="193"/>
      <c r="J458" s="193"/>
      <c r="K458" s="193"/>
      <c r="L458" s="193"/>
      <c r="M458" s="193"/>
      <c r="N458" s="193"/>
      <c r="O458" s="193"/>
      <c r="P458" s="193"/>
      <c r="Q458" s="193"/>
      <c r="R458" s="193"/>
      <c r="S458" s="193"/>
      <c r="T458" s="193"/>
      <c r="U458" s="193"/>
      <c r="V458" s="193"/>
      <c r="W458" s="193"/>
      <c r="X458" s="193"/>
      <c r="Y458" s="193"/>
      <c r="Z458" s="193"/>
      <c r="AA458" s="193"/>
      <c r="AB458" s="193"/>
      <c r="AC458" s="193"/>
      <c r="AD458" s="193"/>
      <c r="AE458" s="193"/>
      <c r="AF458" s="193"/>
      <c r="AG458" s="193"/>
      <c r="AH458" s="193"/>
      <c r="AI458" s="193"/>
      <c r="AJ458" s="193"/>
      <c r="AK458" s="193"/>
      <c r="AL458" s="193"/>
    </row>
    <row r="459" spans="7:38">
      <c r="G459" s="193"/>
      <c r="H459" s="193"/>
      <c r="I459" s="193"/>
      <c r="J459" s="193"/>
      <c r="K459" s="193"/>
      <c r="L459" s="193"/>
      <c r="M459" s="193"/>
      <c r="N459" s="193"/>
      <c r="O459" s="193"/>
      <c r="P459" s="193"/>
      <c r="Q459" s="193"/>
      <c r="R459" s="193"/>
      <c r="S459" s="193"/>
      <c r="T459" s="193"/>
      <c r="U459" s="193"/>
      <c r="V459" s="193"/>
      <c r="W459" s="193"/>
      <c r="X459" s="193"/>
      <c r="Y459" s="193"/>
      <c r="Z459" s="193"/>
      <c r="AA459" s="193"/>
      <c r="AB459" s="193"/>
      <c r="AC459" s="193"/>
      <c r="AD459" s="193"/>
      <c r="AE459" s="193"/>
      <c r="AF459" s="193"/>
      <c r="AG459" s="193"/>
      <c r="AH459" s="193"/>
      <c r="AI459" s="193"/>
      <c r="AJ459" s="193"/>
      <c r="AK459" s="193"/>
      <c r="AL459" s="193"/>
    </row>
    <row r="460" spans="7:38">
      <c r="G460" s="193"/>
      <c r="H460" s="193"/>
      <c r="I460" s="193"/>
      <c r="J460" s="193"/>
      <c r="K460" s="193"/>
      <c r="L460" s="193"/>
      <c r="M460" s="193"/>
      <c r="N460" s="193"/>
      <c r="O460" s="193"/>
      <c r="P460" s="193"/>
      <c r="Q460" s="193"/>
      <c r="R460" s="193"/>
      <c r="S460" s="193"/>
      <c r="T460" s="193"/>
      <c r="U460" s="193"/>
      <c r="V460" s="193"/>
      <c r="W460" s="193"/>
      <c r="X460" s="193"/>
      <c r="Y460" s="193"/>
      <c r="Z460" s="193"/>
      <c r="AA460" s="193"/>
      <c r="AB460" s="193"/>
      <c r="AC460" s="193"/>
      <c r="AD460" s="193"/>
      <c r="AE460" s="193"/>
      <c r="AF460" s="193"/>
      <c r="AG460" s="193"/>
      <c r="AH460" s="193"/>
      <c r="AI460" s="193"/>
      <c r="AJ460" s="193"/>
      <c r="AK460" s="193"/>
      <c r="AL460" s="193"/>
    </row>
    <row r="461" spans="7:38">
      <c r="G461" s="193"/>
      <c r="H461" s="193"/>
      <c r="I461" s="193"/>
      <c r="J461" s="193"/>
      <c r="K461" s="193"/>
      <c r="L461" s="193"/>
      <c r="M461" s="193"/>
      <c r="N461" s="193"/>
      <c r="O461" s="193"/>
      <c r="P461" s="193"/>
      <c r="Q461" s="193"/>
      <c r="R461" s="193"/>
      <c r="S461" s="193"/>
      <c r="T461" s="193"/>
      <c r="U461" s="193"/>
      <c r="V461" s="193"/>
      <c r="W461" s="193"/>
      <c r="X461" s="193"/>
      <c r="Y461" s="193"/>
      <c r="Z461" s="193"/>
      <c r="AA461" s="193"/>
      <c r="AB461" s="193"/>
      <c r="AC461" s="193"/>
      <c r="AD461" s="193"/>
      <c r="AE461" s="193"/>
      <c r="AF461" s="193"/>
      <c r="AG461" s="193"/>
      <c r="AH461" s="193"/>
      <c r="AI461" s="193"/>
      <c r="AJ461" s="193"/>
      <c r="AK461" s="193"/>
      <c r="AL461" s="193"/>
    </row>
    <row r="462" spans="7:38">
      <c r="G462" s="193"/>
      <c r="H462" s="193"/>
      <c r="I462" s="193"/>
      <c r="J462" s="193"/>
      <c r="K462" s="193"/>
      <c r="L462" s="193"/>
      <c r="M462" s="193"/>
      <c r="N462" s="193"/>
      <c r="O462" s="193"/>
      <c r="P462" s="193"/>
      <c r="Q462" s="193"/>
      <c r="R462" s="193"/>
      <c r="S462" s="193"/>
      <c r="T462" s="193"/>
      <c r="U462" s="193"/>
      <c r="V462" s="193"/>
      <c r="W462" s="193"/>
      <c r="X462" s="193"/>
      <c r="Y462" s="193"/>
      <c r="Z462" s="193"/>
      <c r="AA462" s="193"/>
      <c r="AB462" s="193"/>
      <c r="AC462" s="193"/>
      <c r="AD462" s="193"/>
      <c r="AE462" s="193"/>
      <c r="AF462" s="193"/>
      <c r="AG462" s="193"/>
      <c r="AH462" s="193"/>
      <c r="AI462" s="193"/>
      <c r="AJ462" s="193"/>
      <c r="AK462" s="193"/>
      <c r="AL462" s="193"/>
    </row>
    <row r="463" spans="7:38">
      <c r="G463" s="193"/>
      <c r="H463" s="193"/>
      <c r="I463" s="193"/>
      <c r="J463" s="193"/>
      <c r="K463" s="193"/>
      <c r="L463" s="193"/>
      <c r="M463" s="193"/>
      <c r="N463" s="193"/>
      <c r="O463" s="193"/>
      <c r="P463" s="193"/>
      <c r="Q463" s="193"/>
      <c r="R463" s="193"/>
      <c r="S463" s="193"/>
      <c r="T463" s="193"/>
      <c r="U463" s="193"/>
      <c r="V463" s="193"/>
      <c r="W463" s="193"/>
      <c r="X463" s="193"/>
      <c r="Y463" s="193"/>
      <c r="Z463" s="193"/>
      <c r="AA463" s="193"/>
      <c r="AB463" s="193"/>
      <c r="AC463" s="193"/>
      <c r="AD463" s="193"/>
      <c r="AE463" s="193"/>
      <c r="AF463" s="193"/>
      <c r="AG463" s="193"/>
      <c r="AH463" s="193"/>
      <c r="AI463" s="193"/>
      <c r="AJ463" s="193"/>
      <c r="AK463" s="193"/>
      <c r="AL463" s="193"/>
    </row>
    <row r="464" spans="7:38">
      <c r="G464" s="193"/>
      <c r="H464" s="193"/>
      <c r="I464" s="193"/>
      <c r="J464" s="193"/>
      <c r="K464" s="193"/>
      <c r="L464" s="193"/>
      <c r="M464" s="193"/>
      <c r="N464" s="193"/>
      <c r="O464" s="193"/>
      <c r="P464" s="193"/>
      <c r="Q464" s="193"/>
      <c r="R464" s="193"/>
      <c r="S464" s="193"/>
      <c r="T464" s="193"/>
      <c r="U464" s="193"/>
      <c r="V464" s="193"/>
      <c r="W464" s="193"/>
      <c r="X464" s="193"/>
      <c r="Y464" s="193"/>
      <c r="Z464" s="193"/>
      <c r="AA464" s="193"/>
      <c r="AB464" s="193"/>
      <c r="AC464" s="193"/>
      <c r="AD464" s="193"/>
      <c r="AE464" s="193"/>
      <c r="AF464" s="193"/>
      <c r="AG464" s="193"/>
      <c r="AH464" s="193"/>
      <c r="AI464" s="193"/>
      <c r="AJ464" s="193"/>
      <c r="AK464" s="193"/>
      <c r="AL464" s="193"/>
    </row>
    <row r="465" spans="7:38">
      <c r="G465" s="193"/>
      <c r="H465" s="193"/>
      <c r="I465" s="193"/>
      <c r="J465" s="193"/>
      <c r="K465" s="193"/>
      <c r="L465" s="193"/>
      <c r="M465" s="193"/>
      <c r="N465" s="193"/>
      <c r="O465" s="193"/>
      <c r="P465" s="193"/>
      <c r="Q465" s="193"/>
      <c r="R465" s="193"/>
      <c r="S465" s="193"/>
      <c r="T465" s="193"/>
      <c r="U465" s="193"/>
      <c r="V465" s="193"/>
      <c r="W465" s="193"/>
      <c r="X465" s="193"/>
      <c r="Y465" s="193"/>
      <c r="Z465" s="193"/>
      <c r="AA465" s="193"/>
      <c r="AB465" s="193"/>
      <c r="AC465" s="193"/>
      <c r="AD465" s="193"/>
      <c r="AE465" s="193"/>
      <c r="AF465" s="193"/>
      <c r="AG465" s="193"/>
      <c r="AH465" s="193"/>
      <c r="AI465" s="193"/>
      <c r="AJ465" s="193"/>
      <c r="AK465" s="193"/>
      <c r="AL465" s="193"/>
    </row>
    <row r="466" spans="7:38">
      <c r="G466" s="193"/>
      <c r="H466" s="193"/>
      <c r="I466" s="193"/>
      <c r="J466" s="193"/>
      <c r="K466" s="193"/>
      <c r="L466" s="193"/>
      <c r="M466" s="193"/>
      <c r="N466" s="193"/>
      <c r="O466" s="193"/>
      <c r="P466" s="193"/>
      <c r="Q466" s="193"/>
      <c r="R466" s="193"/>
      <c r="S466" s="193"/>
      <c r="T466" s="193"/>
      <c r="U466" s="193"/>
      <c r="V466" s="193"/>
      <c r="W466" s="193"/>
      <c r="X466" s="193"/>
      <c r="Y466" s="193"/>
      <c r="Z466" s="193"/>
      <c r="AA466" s="193"/>
      <c r="AB466" s="193"/>
      <c r="AC466" s="193"/>
      <c r="AD466" s="193"/>
      <c r="AE466" s="193"/>
      <c r="AF466" s="193"/>
      <c r="AG466" s="193"/>
      <c r="AH466" s="193"/>
      <c r="AI466" s="193"/>
      <c r="AJ466" s="193"/>
      <c r="AK466" s="193"/>
      <c r="AL466" s="193"/>
    </row>
    <row r="467" spans="7:38">
      <c r="G467" s="193"/>
      <c r="H467" s="193"/>
      <c r="I467" s="193"/>
      <c r="J467" s="193"/>
      <c r="K467" s="193"/>
      <c r="L467" s="193"/>
      <c r="M467" s="193"/>
      <c r="N467" s="193"/>
      <c r="O467" s="193"/>
      <c r="P467" s="193"/>
      <c r="Q467" s="193"/>
      <c r="R467" s="193"/>
      <c r="S467" s="193"/>
      <c r="T467" s="193"/>
      <c r="U467" s="193"/>
      <c r="V467" s="193"/>
      <c r="W467" s="193"/>
      <c r="X467" s="193"/>
      <c r="Y467" s="193"/>
      <c r="Z467" s="193"/>
      <c r="AA467" s="193"/>
      <c r="AB467" s="193"/>
      <c r="AC467" s="193"/>
      <c r="AD467" s="193"/>
      <c r="AE467" s="193"/>
      <c r="AF467" s="193"/>
      <c r="AG467" s="193"/>
      <c r="AH467" s="193"/>
      <c r="AI467" s="193"/>
      <c r="AJ467" s="193"/>
      <c r="AK467" s="193"/>
      <c r="AL467" s="193"/>
    </row>
    <row r="468" spans="7:38">
      <c r="G468" s="193"/>
      <c r="H468" s="193"/>
      <c r="I468" s="193"/>
      <c r="J468" s="193"/>
      <c r="K468" s="193"/>
      <c r="L468" s="193"/>
      <c r="M468" s="193"/>
      <c r="N468" s="193"/>
      <c r="O468" s="193"/>
      <c r="P468" s="193"/>
      <c r="Q468" s="193"/>
      <c r="R468" s="193"/>
      <c r="S468" s="193"/>
      <c r="T468" s="193"/>
      <c r="U468" s="193"/>
      <c r="V468" s="193"/>
      <c r="W468" s="193"/>
      <c r="X468" s="193"/>
      <c r="Y468" s="193"/>
      <c r="Z468" s="193"/>
      <c r="AA468" s="193"/>
      <c r="AB468" s="193"/>
      <c r="AC468" s="193"/>
      <c r="AD468" s="193"/>
      <c r="AE468" s="193"/>
      <c r="AF468" s="193"/>
      <c r="AG468" s="193"/>
      <c r="AH468" s="193"/>
      <c r="AI468" s="193"/>
      <c r="AJ468" s="193"/>
      <c r="AK468" s="193"/>
      <c r="AL468" s="193"/>
    </row>
    <row r="469" spans="7:38">
      <c r="G469" s="193"/>
      <c r="H469" s="193"/>
      <c r="I469" s="193"/>
      <c r="J469" s="193"/>
      <c r="K469" s="193"/>
      <c r="L469" s="193"/>
      <c r="M469" s="193"/>
      <c r="N469" s="193"/>
      <c r="O469" s="193"/>
      <c r="P469" s="193"/>
      <c r="Q469" s="193"/>
      <c r="R469" s="193"/>
      <c r="S469" s="193"/>
      <c r="T469" s="193"/>
      <c r="U469" s="193"/>
      <c r="V469" s="193"/>
      <c r="W469" s="193"/>
      <c r="X469" s="193"/>
      <c r="Y469" s="193"/>
      <c r="Z469" s="193"/>
      <c r="AA469" s="193"/>
      <c r="AB469" s="193"/>
      <c r="AC469" s="193"/>
      <c r="AD469" s="193"/>
      <c r="AE469" s="193"/>
      <c r="AF469" s="193"/>
      <c r="AG469" s="193"/>
      <c r="AH469" s="193"/>
      <c r="AI469" s="193"/>
      <c r="AJ469" s="193"/>
      <c r="AK469" s="193"/>
      <c r="AL469" s="193"/>
    </row>
    <row r="470" spans="7:38">
      <c r="G470" s="193"/>
      <c r="H470" s="193"/>
      <c r="I470" s="193"/>
      <c r="J470" s="193"/>
      <c r="K470" s="193"/>
      <c r="L470" s="193"/>
      <c r="M470" s="193"/>
      <c r="N470" s="193"/>
      <c r="O470" s="193"/>
      <c r="P470" s="193"/>
      <c r="Q470" s="193"/>
      <c r="R470" s="193"/>
      <c r="S470" s="193"/>
      <c r="T470" s="193"/>
      <c r="U470" s="193"/>
      <c r="V470" s="193"/>
      <c r="W470" s="193"/>
      <c r="X470" s="193"/>
      <c r="Y470" s="193"/>
      <c r="Z470" s="193"/>
      <c r="AA470" s="193"/>
      <c r="AB470" s="193"/>
      <c r="AC470" s="193"/>
      <c r="AD470" s="193"/>
      <c r="AE470" s="193"/>
      <c r="AF470" s="193"/>
      <c r="AG470" s="193"/>
      <c r="AH470" s="193"/>
      <c r="AI470" s="193"/>
      <c r="AJ470" s="193"/>
      <c r="AK470" s="193"/>
      <c r="AL470" s="193"/>
    </row>
    <row r="471" spans="7:38">
      <c r="G471" s="193"/>
      <c r="H471" s="193"/>
      <c r="I471" s="193"/>
      <c r="J471" s="193"/>
      <c r="K471" s="193"/>
      <c r="L471" s="193"/>
      <c r="M471" s="193"/>
      <c r="N471" s="193"/>
      <c r="O471" s="193"/>
      <c r="P471" s="193"/>
      <c r="Q471" s="193"/>
      <c r="R471" s="193"/>
      <c r="S471" s="193"/>
      <c r="T471" s="193"/>
      <c r="U471" s="193"/>
      <c r="V471" s="193"/>
      <c r="W471" s="193"/>
      <c r="X471" s="193"/>
      <c r="Y471" s="193"/>
      <c r="Z471" s="193"/>
      <c r="AA471" s="193"/>
      <c r="AB471" s="193"/>
      <c r="AC471" s="193"/>
      <c r="AD471" s="193"/>
      <c r="AE471" s="193"/>
      <c r="AF471" s="193"/>
      <c r="AG471" s="193"/>
      <c r="AH471" s="193"/>
      <c r="AI471" s="193"/>
      <c r="AJ471" s="193"/>
      <c r="AK471" s="193"/>
      <c r="AL471" s="193"/>
    </row>
    <row r="472" spans="7:38">
      <c r="G472" s="193"/>
      <c r="H472" s="193"/>
      <c r="I472" s="193"/>
      <c r="J472" s="193"/>
      <c r="K472" s="193"/>
      <c r="L472" s="193"/>
      <c r="M472" s="193"/>
      <c r="N472" s="193"/>
      <c r="O472" s="193"/>
      <c r="P472" s="193"/>
      <c r="Q472" s="193"/>
      <c r="R472" s="193"/>
      <c r="S472" s="193"/>
      <c r="T472" s="193"/>
      <c r="U472" s="193"/>
      <c r="V472" s="193"/>
      <c r="W472" s="193"/>
      <c r="X472" s="193"/>
      <c r="Y472" s="193"/>
      <c r="Z472" s="193"/>
      <c r="AA472" s="193"/>
      <c r="AB472" s="193"/>
      <c r="AC472" s="193"/>
      <c r="AD472" s="193"/>
      <c r="AE472" s="193"/>
      <c r="AF472" s="193"/>
      <c r="AG472" s="193"/>
      <c r="AH472" s="193"/>
      <c r="AI472" s="193"/>
      <c r="AJ472" s="193"/>
      <c r="AK472" s="193"/>
      <c r="AL472" s="193"/>
    </row>
    <row r="473" spans="7:38">
      <c r="G473" s="193"/>
      <c r="H473" s="193"/>
      <c r="I473" s="193"/>
      <c r="J473" s="193"/>
      <c r="K473" s="193"/>
      <c r="L473" s="193"/>
      <c r="M473" s="193"/>
      <c r="N473" s="193"/>
      <c r="O473" s="193"/>
      <c r="P473" s="193"/>
      <c r="Q473" s="193"/>
      <c r="R473" s="193"/>
      <c r="S473" s="193"/>
      <c r="T473" s="193"/>
      <c r="U473" s="193"/>
      <c r="V473" s="193"/>
      <c r="W473" s="193"/>
      <c r="X473" s="193"/>
      <c r="Y473" s="193"/>
      <c r="Z473" s="193"/>
      <c r="AA473" s="193"/>
      <c r="AB473" s="193"/>
      <c r="AC473" s="193"/>
      <c r="AD473" s="193"/>
      <c r="AE473" s="193"/>
      <c r="AF473" s="193"/>
      <c r="AG473" s="193"/>
      <c r="AH473" s="193"/>
      <c r="AI473" s="193"/>
      <c r="AJ473" s="193"/>
      <c r="AK473" s="193"/>
      <c r="AL473" s="193"/>
    </row>
    <row r="474" spans="7:38">
      <c r="G474" s="193"/>
      <c r="H474" s="193"/>
      <c r="I474" s="193"/>
      <c r="J474" s="193"/>
      <c r="K474" s="193"/>
      <c r="L474" s="193"/>
      <c r="M474" s="193"/>
      <c r="N474" s="193"/>
      <c r="O474" s="193"/>
      <c r="P474" s="193"/>
      <c r="Q474" s="193"/>
      <c r="R474" s="193"/>
      <c r="S474" s="193"/>
      <c r="T474" s="193"/>
      <c r="U474" s="193"/>
      <c r="V474" s="193"/>
      <c r="W474" s="193"/>
      <c r="X474" s="193"/>
      <c r="Y474" s="193"/>
      <c r="Z474" s="193"/>
      <c r="AA474" s="193"/>
      <c r="AB474" s="193"/>
      <c r="AC474" s="193"/>
      <c r="AD474" s="193"/>
      <c r="AE474" s="193"/>
      <c r="AF474" s="193"/>
      <c r="AG474" s="193"/>
      <c r="AH474" s="193"/>
      <c r="AI474" s="193"/>
      <c r="AJ474" s="193"/>
      <c r="AK474" s="193"/>
      <c r="AL474" s="193"/>
    </row>
    <row r="475" spans="7:38">
      <c r="G475" s="193"/>
      <c r="H475" s="193"/>
      <c r="I475" s="193"/>
      <c r="J475" s="193"/>
      <c r="K475" s="193"/>
      <c r="L475" s="193"/>
      <c r="M475" s="193"/>
      <c r="N475" s="193"/>
      <c r="O475" s="193"/>
      <c r="P475" s="193"/>
      <c r="Q475" s="193"/>
      <c r="R475" s="193"/>
      <c r="S475" s="193"/>
      <c r="T475" s="193"/>
      <c r="U475" s="193"/>
      <c r="V475" s="193"/>
      <c r="W475" s="193"/>
      <c r="X475" s="193"/>
      <c r="Y475" s="193"/>
      <c r="Z475" s="193"/>
      <c r="AA475" s="193"/>
      <c r="AB475" s="193"/>
      <c r="AC475" s="193"/>
      <c r="AD475" s="193"/>
      <c r="AE475" s="193"/>
      <c r="AF475" s="193"/>
      <c r="AG475" s="193"/>
      <c r="AH475" s="193"/>
      <c r="AI475" s="193"/>
      <c r="AJ475" s="193"/>
      <c r="AK475" s="193"/>
      <c r="AL475" s="193"/>
    </row>
    <row r="476" spans="7:38">
      <c r="G476" s="193"/>
      <c r="H476" s="193"/>
      <c r="I476" s="193"/>
      <c r="J476" s="193"/>
      <c r="K476" s="193"/>
      <c r="L476" s="193"/>
      <c r="M476" s="193"/>
      <c r="N476" s="193"/>
      <c r="O476" s="193"/>
      <c r="P476" s="193"/>
      <c r="Q476" s="193"/>
      <c r="R476" s="193"/>
      <c r="S476" s="193"/>
      <c r="T476" s="193"/>
      <c r="U476" s="193"/>
      <c r="V476" s="193"/>
      <c r="W476" s="193"/>
      <c r="X476" s="193"/>
      <c r="Y476" s="193"/>
      <c r="Z476" s="193"/>
      <c r="AA476" s="193"/>
      <c r="AB476" s="193"/>
      <c r="AC476" s="193"/>
      <c r="AD476" s="193"/>
      <c r="AE476" s="193"/>
      <c r="AF476" s="193"/>
      <c r="AG476" s="193"/>
      <c r="AH476" s="193"/>
      <c r="AI476" s="193"/>
      <c r="AJ476" s="193"/>
      <c r="AK476" s="193"/>
      <c r="AL476" s="193"/>
    </row>
    <row r="477" spans="7:38">
      <c r="G477" s="193"/>
      <c r="H477" s="193"/>
      <c r="I477" s="193"/>
      <c r="J477" s="193"/>
      <c r="K477" s="193"/>
      <c r="L477" s="193"/>
      <c r="M477" s="193"/>
      <c r="N477" s="193"/>
      <c r="O477" s="193"/>
      <c r="P477" s="193"/>
      <c r="Q477" s="193"/>
      <c r="R477" s="193"/>
      <c r="S477" s="193"/>
      <c r="T477" s="193"/>
      <c r="U477" s="193"/>
      <c r="V477" s="193"/>
      <c r="W477" s="193"/>
      <c r="X477" s="193"/>
      <c r="Y477" s="193"/>
      <c r="Z477" s="193"/>
      <c r="AA477" s="193"/>
      <c r="AB477" s="193"/>
      <c r="AC477" s="193"/>
      <c r="AD477" s="193"/>
      <c r="AE477" s="193"/>
      <c r="AF477" s="193"/>
      <c r="AG477" s="193"/>
      <c r="AH477" s="193"/>
      <c r="AI477" s="193"/>
      <c r="AJ477" s="193"/>
      <c r="AK477" s="193"/>
      <c r="AL477" s="193"/>
    </row>
    <row r="478" spans="7:38">
      <c r="G478" s="193"/>
      <c r="H478" s="193"/>
      <c r="I478" s="193"/>
      <c r="J478" s="193"/>
      <c r="K478" s="193"/>
      <c r="L478" s="193"/>
      <c r="M478" s="193"/>
      <c r="N478" s="193"/>
      <c r="O478" s="193"/>
      <c r="P478" s="193"/>
      <c r="Q478" s="193"/>
      <c r="R478" s="193"/>
      <c r="S478" s="193"/>
      <c r="T478" s="193"/>
      <c r="U478" s="193"/>
      <c r="V478" s="193"/>
      <c r="W478" s="193"/>
      <c r="X478" s="193"/>
      <c r="Y478" s="193"/>
      <c r="Z478" s="193"/>
      <c r="AA478" s="193"/>
      <c r="AB478" s="193"/>
      <c r="AC478" s="193"/>
      <c r="AD478" s="193"/>
      <c r="AE478" s="193"/>
      <c r="AF478" s="193"/>
      <c r="AG478" s="193"/>
      <c r="AH478" s="193"/>
      <c r="AI478" s="193"/>
      <c r="AJ478" s="193"/>
      <c r="AK478" s="193"/>
      <c r="AL478" s="193"/>
    </row>
    <row r="479" spans="7:38">
      <c r="G479" s="193"/>
      <c r="H479" s="193"/>
      <c r="I479" s="193"/>
      <c r="J479" s="193"/>
      <c r="K479" s="193"/>
      <c r="L479" s="193"/>
      <c r="M479" s="193"/>
      <c r="N479" s="193"/>
      <c r="O479" s="193"/>
      <c r="P479" s="193"/>
      <c r="Q479" s="193"/>
      <c r="R479" s="193"/>
      <c r="S479" s="193"/>
      <c r="T479" s="193"/>
      <c r="U479" s="193"/>
      <c r="V479" s="193"/>
      <c r="W479" s="193"/>
      <c r="X479" s="193"/>
      <c r="Y479" s="193"/>
      <c r="Z479" s="193"/>
      <c r="AA479" s="193"/>
      <c r="AB479" s="193"/>
      <c r="AC479" s="193"/>
      <c r="AD479" s="193"/>
      <c r="AE479" s="193"/>
      <c r="AF479" s="193"/>
      <c r="AG479" s="193"/>
      <c r="AH479" s="193"/>
      <c r="AI479" s="193"/>
      <c r="AJ479" s="193"/>
      <c r="AK479" s="193"/>
      <c r="AL479" s="193"/>
    </row>
    <row r="480" spans="7:38">
      <c r="G480" s="193"/>
      <c r="H480" s="193"/>
      <c r="I480" s="193"/>
      <c r="J480" s="193"/>
      <c r="K480" s="193"/>
      <c r="L480" s="193"/>
      <c r="M480" s="193"/>
      <c r="N480" s="193"/>
      <c r="O480" s="193"/>
      <c r="P480" s="193"/>
      <c r="Q480" s="193"/>
      <c r="R480" s="193"/>
      <c r="S480" s="193"/>
      <c r="T480" s="193"/>
      <c r="U480" s="193"/>
      <c r="V480" s="193"/>
      <c r="W480" s="193"/>
      <c r="X480" s="193"/>
      <c r="Y480" s="193"/>
      <c r="Z480" s="193"/>
      <c r="AA480" s="193"/>
      <c r="AB480" s="193"/>
      <c r="AC480" s="193"/>
      <c r="AD480" s="193"/>
      <c r="AE480" s="193"/>
      <c r="AF480" s="193"/>
      <c r="AG480" s="193"/>
      <c r="AH480" s="193"/>
      <c r="AI480" s="193"/>
      <c r="AJ480" s="193"/>
      <c r="AK480" s="193"/>
      <c r="AL480" s="193"/>
    </row>
    <row r="481" spans="7:38">
      <c r="G481" s="193"/>
      <c r="H481" s="193"/>
      <c r="I481" s="193"/>
      <c r="J481" s="193"/>
      <c r="K481" s="193"/>
      <c r="L481" s="193"/>
      <c r="M481" s="193"/>
      <c r="N481" s="193"/>
      <c r="O481" s="193"/>
      <c r="P481" s="193"/>
      <c r="Q481" s="193"/>
      <c r="R481" s="193"/>
      <c r="S481" s="193"/>
      <c r="T481" s="193"/>
      <c r="U481" s="193"/>
      <c r="V481" s="193"/>
      <c r="W481" s="193"/>
      <c r="X481" s="193"/>
      <c r="Y481" s="193"/>
      <c r="Z481" s="193"/>
      <c r="AA481" s="193"/>
      <c r="AB481" s="193"/>
      <c r="AC481" s="193"/>
      <c r="AD481" s="193"/>
      <c r="AE481" s="193"/>
      <c r="AF481" s="193"/>
      <c r="AG481" s="193"/>
      <c r="AH481" s="193"/>
      <c r="AI481" s="193"/>
      <c r="AJ481" s="193"/>
      <c r="AK481" s="193"/>
      <c r="AL481" s="193"/>
    </row>
    <row r="482" spans="7:38">
      <c r="G482" s="193"/>
      <c r="H482" s="193"/>
      <c r="I482" s="193"/>
      <c r="J482" s="193"/>
      <c r="K482" s="193"/>
      <c r="L482" s="193"/>
      <c r="M482" s="193"/>
      <c r="N482" s="193"/>
      <c r="O482" s="193"/>
      <c r="P482" s="193"/>
      <c r="Q482" s="193"/>
      <c r="R482" s="193"/>
      <c r="S482" s="193"/>
      <c r="T482" s="193"/>
      <c r="U482" s="193"/>
      <c r="V482" s="193"/>
      <c r="W482" s="193"/>
      <c r="X482" s="193"/>
      <c r="Y482" s="193"/>
      <c r="Z482" s="193"/>
      <c r="AA482" s="193"/>
      <c r="AB482" s="193"/>
      <c r="AC482" s="193"/>
      <c r="AD482" s="193"/>
      <c r="AE482" s="193"/>
      <c r="AF482" s="193"/>
      <c r="AG482" s="193"/>
      <c r="AH482" s="193"/>
      <c r="AI482" s="193"/>
      <c r="AJ482" s="193"/>
      <c r="AK482" s="193"/>
      <c r="AL482" s="193"/>
    </row>
    <row r="483" spans="7:38">
      <c r="G483" s="193"/>
      <c r="H483" s="193"/>
      <c r="I483" s="193"/>
      <c r="J483" s="193"/>
      <c r="K483" s="193"/>
      <c r="L483" s="193"/>
      <c r="M483" s="193"/>
      <c r="N483" s="193"/>
      <c r="O483" s="193"/>
      <c r="P483" s="193"/>
      <c r="Q483" s="193"/>
      <c r="R483" s="193"/>
      <c r="S483" s="193"/>
      <c r="T483" s="193"/>
      <c r="U483" s="193"/>
      <c r="V483" s="193"/>
      <c r="W483" s="193"/>
      <c r="X483" s="193"/>
      <c r="Y483" s="193"/>
      <c r="Z483" s="193"/>
      <c r="AA483" s="193"/>
      <c r="AB483" s="193"/>
      <c r="AC483" s="193"/>
      <c r="AD483" s="193"/>
      <c r="AE483" s="193"/>
      <c r="AF483" s="193"/>
      <c r="AG483" s="193"/>
      <c r="AH483" s="193"/>
      <c r="AI483" s="193"/>
      <c r="AJ483" s="193"/>
      <c r="AK483" s="193"/>
      <c r="AL483" s="193"/>
    </row>
    <row r="484" spans="7:38">
      <c r="G484" s="193"/>
      <c r="H484" s="193"/>
      <c r="I484" s="193"/>
      <c r="J484" s="193"/>
      <c r="K484" s="193"/>
      <c r="L484" s="193"/>
      <c r="M484" s="193"/>
      <c r="N484" s="193"/>
      <c r="O484" s="193"/>
      <c r="P484" s="193"/>
      <c r="Q484" s="193"/>
      <c r="R484" s="193"/>
      <c r="S484" s="193"/>
      <c r="T484" s="193"/>
      <c r="U484" s="193"/>
      <c r="V484" s="193"/>
      <c r="W484" s="193"/>
      <c r="X484" s="193"/>
      <c r="Y484" s="193"/>
      <c r="Z484" s="193"/>
      <c r="AA484" s="193"/>
      <c r="AB484" s="193"/>
      <c r="AC484" s="193"/>
      <c r="AD484" s="193"/>
      <c r="AE484" s="193"/>
      <c r="AF484" s="193"/>
      <c r="AG484" s="193"/>
      <c r="AH484" s="193"/>
      <c r="AI484" s="193"/>
      <c r="AJ484" s="193"/>
      <c r="AK484" s="193"/>
      <c r="AL484" s="193"/>
    </row>
    <row r="485" spans="7:38">
      <c r="G485" s="193"/>
      <c r="H485" s="193"/>
      <c r="I485" s="193"/>
      <c r="J485" s="193"/>
      <c r="K485" s="193"/>
      <c r="L485" s="193"/>
      <c r="M485" s="193"/>
      <c r="N485" s="193"/>
      <c r="O485" s="193"/>
      <c r="P485" s="193"/>
      <c r="Q485" s="193"/>
      <c r="R485" s="193"/>
      <c r="S485" s="193"/>
      <c r="T485" s="193"/>
      <c r="U485" s="193"/>
      <c r="V485" s="193"/>
      <c r="W485" s="193"/>
      <c r="X485" s="193"/>
      <c r="Y485" s="193"/>
      <c r="Z485" s="193"/>
      <c r="AA485" s="193"/>
      <c r="AB485" s="193"/>
      <c r="AC485" s="193"/>
      <c r="AD485" s="193"/>
      <c r="AE485" s="193"/>
      <c r="AF485" s="193"/>
      <c r="AG485" s="193"/>
      <c r="AH485" s="193"/>
      <c r="AI485" s="193"/>
      <c r="AJ485" s="193"/>
      <c r="AK485" s="193"/>
      <c r="AL485" s="193"/>
    </row>
    <row r="486" spans="7:38">
      <c r="G486" s="193"/>
      <c r="H486" s="193"/>
      <c r="I486" s="193"/>
      <c r="J486" s="193"/>
      <c r="K486" s="193"/>
      <c r="L486" s="193"/>
      <c r="M486" s="193"/>
      <c r="N486" s="193"/>
      <c r="O486" s="193"/>
      <c r="P486" s="193"/>
      <c r="Q486" s="193"/>
      <c r="R486" s="193"/>
      <c r="S486" s="193"/>
      <c r="T486" s="193"/>
      <c r="U486" s="193"/>
      <c r="V486" s="193"/>
      <c r="W486" s="193"/>
      <c r="X486" s="193"/>
      <c r="Y486" s="193"/>
      <c r="Z486" s="193"/>
      <c r="AA486" s="193"/>
      <c r="AB486" s="193"/>
      <c r="AC486" s="193"/>
      <c r="AD486" s="193"/>
      <c r="AE486" s="193"/>
      <c r="AF486" s="193"/>
      <c r="AG486" s="193"/>
      <c r="AH486" s="193"/>
      <c r="AI486" s="193"/>
      <c r="AJ486" s="193"/>
      <c r="AK486" s="193"/>
      <c r="AL486" s="193"/>
    </row>
    <row r="487" spans="7:38">
      <c r="G487" s="193"/>
      <c r="H487" s="193"/>
      <c r="I487" s="193"/>
      <c r="J487" s="193"/>
      <c r="K487" s="193"/>
      <c r="L487" s="193"/>
      <c r="M487" s="193"/>
      <c r="N487" s="193"/>
      <c r="O487" s="193"/>
      <c r="P487" s="193"/>
      <c r="Q487" s="193"/>
      <c r="R487" s="193"/>
      <c r="S487" s="193"/>
      <c r="T487" s="193"/>
      <c r="U487" s="193"/>
      <c r="V487" s="193"/>
      <c r="W487" s="193"/>
      <c r="X487" s="193"/>
      <c r="Y487" s="193"/>
      <c r="Z487" s="193"/>
      <c r="AA487" s="193"/>
      <c r="AB487" s="193"/>
      <c r="AC487" s="193"/>
      <c r="AD487" s="193"/>
      <c r="AE487" s="193"/>
      <c r="AF487" s="193"/>
      <c r="AG487" s="193"/>
      <c r="AH487" s="193"/>
      <c r="AI487" s="193"/>
      <c r="AJ487" s="193"/>
      <c r="AK487" s="193"/>
      <c r="AL487" s="193"/>
    </row>
    <row r="488" spans="7:38">
      <c r="G488" s="193"/>
      <c r="H488" s="193"/>
      <c r="I488" s="193"/>
      <c r="J488" s="193"/>
      <c r="K488" s="193"/>
      <c r="L488" s="193"/>
      <c r="M488" s="193"/>
      <c r="N488" s="193"/>
      <c r="O488" s="193"/>
      <c r="P488" s="193"/>
      <c r="Q488" s="193"/>
      <c r="R488" s="193"/>
      <c r="S488" s="193"/>
      <c r="T488" s="193"/>
      <c r="U488" s="193"/>
      <c r="V488" s="193"/>
      <c r="W488" s="193"/>
      <c r="X488" s="193"/>
      <c r="Y488" s="193"/>
      <c r="Z488" s="193"/>
      <c r="AA488" s="193"/>
      <c r="AB488" s="193"/>
      <c r="AC488" s="193"/>
      <c r="AD488" s="193"/>
      <c r="AE488" s="193"/>
      <c r="AF488" s="193"/>
      <c r="AG488" s="193"/>
      <c r="AH488" s="193"/>
      <c r="AI488" s="193"/>
      <c r="AJ488" s="193"/>
      <c r="AK488" s="193"/>
      <c r="AL488" s="193"/>
    </row>
    <row r="489" spans="7:38">
      <c r="G489" s="193"/>
      <c r="H489" s="193"/>
      <c r="I489" s="193"/>
      <c r="J489" s="193"/>
      <c r="K489" s="193"/>
      <c r="L489" s="193"/>
      <c r="M489" s="193"/>
      <c r="N489" s="193"/>
      <c r="O489" s="193"/>
      <c r="P489" s="193"/>
      <c r="Q489" s="193"/>
      <c r="R489" s="193"/>
      <c r="S489" s="193"/>
      <c r="T489" s="193"/>
      <c r="U489" s="193"/>
      <c r="V489" s="193"/>
      <c r="W489" s="193"/>
      <c r="X489" s="193"/>
      <c r="Y489" s="193"/>
      <c r="Z489" s="193"/>
      <c r="AA489" s="193"/>
      <c r="AB489" s="193"/>
      <c r="AC489" s="193"/>
      <c r="AD489" s="193"/>
      <c r="AE489" s="193"/>
      <c r="AF489" s="193"/>
      <c r="AG489" s="193"/>
      <c r="AH489" s="193"/>
      <c r="AI489" s="193"/>
      <c r="AJ489" s="193"/>
      <c r="AK489" s="193"/>
      <c r="AL489" s="193"/>
    </row>
    <row r="490" spans="7:38">
      <c r="G490" s="193"/>
      <c r="H490" s="193"/>
      <c r="I490" s="193"/>
      <c r="J490" s="193"/>
      <c r="K490" s="193"/>
      <c r="L490" s="193"/>
      <c r="M490" s="193"/>
      <c r="N490" s="193"/>
      <c r="O490" s="193"/>
      <c r="P490" s="193"/>
      <c r="Q490" s="193"/>
      <c r="R490" s="193"/>
      <c r="S490" s="193"/>
      <c r="T490" s="193"/>
      <c r="U490" s="193"/>
      <c r="V490" s="193"/>
      <c r="W490" s="193"/>
      <c r="X490" s="193"/>
      <c r="Y490" s="193"/>
      <c r="Z490" s="193"/>
      <c r="AA490" s="193"/>
      <c r="AB490" s="193"/>
      <c r="AC490" s="193"/>
      <c r="AD490" s="193"/>
      <c r="AE490" s="193"/>
      <c r="AF490" s="193"/>
      <c r="AG490" s="193"/>
      <c r="AH490" s="193"/>
      <c r="AI490" s="193"/>
      <c r="AJ490" s="193"/>
      <c r="AK490" s="193"/>
      <c r="AL490" s="193"/>
    </row>
    <row r="491" spans="7:38">
      <c r="G491" s="193"/>
      <c r="H491" s="193"/>
      <c r="I491" s="193"/>
      <c r="J491" s="193"/>
      <c r="K491" s="193"/>
      <c r="L491" s="193"/>
      <c r="M491" s="193"/>
      <c r="N491" s="193"/>
      <c r="O491" s="193"/>
      <c r="P491" s="193"/>
      <c r="Q491" s="193"/>
      <c r="R491" s="193"/>
      <c r="S491" s="193"/>
      <c r="T491" s="193"/>
      <c r="U491" s="193"/>
      <c r="V491" s="193"/>
      <c r="W491" s="193"/>
      <c r="X491" s="193"/>
      <c r="Y491" s="193"/>
      <c r="Z491" s="193"/>
      <c r="AA491" s="193"/>
      <c r="AB491" s="193"/>
      <c r="AC491" s="193"/>
      <c r="AD491" s="193"/>
      <c r="AE491" s="193"/>
      <c r="AF491" s="193"/>
      <c r="AG491" s="193"/>
      <c r="AH491" s="193"/>
      <c r="AI491" s="193"/>
      <c r="AJ491" s="193"/>
      <c r="AK491" s="193"/>
      <c r="AL491" s="193"/>
    </row>
    <row r="492" spans="7:38">
      <c r="G492" s="193"/>
      <c r="H492" s="193"/>
      <c r="I492" s="193"/>
      <c r="J492" s="193"/>
      <c r="K492" s="193"/>
      <c r="L492" s="193"/>
      <c r="M492" s="193"/>
      <c r="N492" s="193"/>
      <c r="O492" s="193"/>
      <c r="P492" s="193"/>
      <c r="Q492" s="193"/>
      <c r="R492" s="193"/>
      <c r="S492" s="193"/>
      <c r="T492" s="193"/>
      <c r="U492" s="193"/>
      <c r="V492" s="193"/>
      <c r="W492" s="193"/>
      <c r="X492" s="193"/>
      <c r="Y492" s="193"/>
      <c r="Z492" s="193"/>
      <c r="AA492" s="193"/>
      <c r="AB492" s="193"/>
      <c r="AC492" s="193"/>
      <c r="AD492" s="193"/>
      <c r="AE492" s="193"/>
      <c r="AF492" s="193"/>
      <c r="AG492" s="193"/>
      <c r="AH492" s="193"/>
      <c r="AI492" s="193"/>
      <c r="AJ492" s="193"/>
      <c r="AK492" s="193"/>
      <c r="AL492" s="193"/>
    </row>
    <row r="493" spans="7:38">
      <c r="G493" s="193"/>
      <c r="H493" s="193"/>
      <c r="I493" s="193"/>
      <c r="J493" s="193"/>
      <c r="K493" s="193"/>
      <c r="L493" s="193"/>
      <c r="M493" s="193"/>
      <c r="N493" s="193"/>
      <c r="O493" s="193"/>
      <c r="P493" s="193"/>
      <c r="Q493" s="193"/>
      <c r="R493" s="193"/>
      <c r="S493" s="193"/>
      <c r="T493" s="193"/>
      <c r="U493" s="193"/>
      <c r="V493" s="193"/>
      <c r="W493" s="193"/>
      <c r="X493" s="193"/>
      <c r="Y493" s="193"/>
      <c r="Z493" s="193"/>
      <c r="AA493" s="193"/>
      <c r="AB493" s="193"/>
      <c r="AC493" s="193"/>
      <c r="AD493" s="193"/>
      <c r="AE493" s="193"/>
      <c r="AF493" s="193"/>
      <c r="AG493" s="193"/>
      <c r="AH493" s="193"/>
      <c r="AI493" s="193"/>
      <c r="AJ493" s="193"/>
      <c r="AK493" s="193"/>
      <c r="AL493" s="193"/>
    </row>
    <row r="494" spans="7:38">
      <c r="G494" s="193"/>
      <c r="H494" s="193"/>
      <c r="I494" s="193"/>
      <c r="J494" s="193"/>
      <c r="K494" s="193"/>
      <c r="L494" s="193"/>
      <c r="M494" s="193"/>
      <c r="N494" s="193"/>
      <c r="O494" s="193"/>
      <c r="P494" s="193"/>
      <c r="Q494" s="193"/>
      <c r="R494" s="193"/>
      <c r="S494" s="193"/>
      <c r="T494" s="193"/>
      <c r="U494" s="193"/>
      <c r="V494" s="193"/>
      <c r="W494" s="193"/>
      <c r="X494" s="193"/>
      <c r="Y494" s="193"/>
      <c r="Z494" s="193"/>
      <c r="AA494" s="193"/>
      <c r="AB494" s="193"/>
      <c r="AC494" s="193"/>
      <c r="AD494" s="193"/>
      <c r="AE494" s="193"/>
      <c r="AF494" s="193"/>
      <c r="AG494" s="193"/>
      <c r="AH494" s="193"/>
      <c r="AI494" s="193"/>
      <c r="AJ494" s="193"/>
      <c r="AK494" s="193"/>
      <c r="AL494" s="193"/>
    </row>
    <row r="495" spans="7:38">
      <c r="G495" s="193"/>
      <c r="H495" s="193"/>
      <c r="I495" s="193"/>
      <c r="J495" s="193"/>
      <c r="K495" s="193"/>
      <c r="L495" s="193"/>
      <c r="M495" s="193"/>
      <c r="N495" s="193"/>
      <c r="O495" s="193"/>
      <c r="P495" s="193"/>
      <c r="Q495" s="193"/>
      <c r="R495" s="193"/>
      <c r="S495" s="193"/>
      <c r="T495" s="193"/>
      <c r="U495" s="193"/>
      <c r="V495" s="193"/>
      <c r="W495" s="193"/>
      <c r="X495" s="193"/>
      <c r="Y495" s="193"/>
      <c r="Z495" s="193"/>
      <c r="AA495" s="193"/>
      <c r="AB495" s="193"/>
      <c r="AC495" s="193"/>
      <c r="AD495" s="193"/>
      <c r="AE495" s="193"/>
      <c r="AF495" s="193"/>
      <c r="AG495" s="193"/>
      <c r="AH495" s="193"/>
      <c r="AI495" s="193"/>
      <c r="AJ495" s="193"/>
      <c r="AK495" s="193"/>
      <c r="AL495" s="193"/>
    </row>
    <row r="496" spans="7:38">
      <c r="G496" s="193"/>
      <c r="H496" s="193"/>
      <c r="I496" s="193"/>
      <c r="J496" s="193"/>
      <c r="K496" s="193"/>
      <c r="L496" s="193"/>
      <c r="M496" s="193"/>
      <c r="N496" s="193"/>
      <c r="O496" s="193"/>
      <c r="P496" s="193"/>
      <c r="Q496" s="193"/>
      <c r="R496" s="193"/>
      <c r="S496" s="193"/>
      <c r="T496" s="193"/>
      <c r="U496" s="193"/>
      <c r="V496" s="193"/>
      <c r="W496" s="193"/>
      <c r="X496" s="193"/>
      <c r="Y496" s="193"/>
      <c r="Z496" s="193"/>
      <c r="AA496" s="193"/>
      <c r="AB496" s="193"/>
      <c r="AC496" s="193"/>
      <c r="AD496" s="193"/>
      <c r="AE496" s="193"/>
      <c r="AF496" s="193"/>
      <c r="AG496" s="193"/>
      <c r="AH496" s="193"/>
      <c r="AI496" s="193"/>
      <c r="AJ496" s="193"/>
      <c r="AK496" s="193"/>
      <c r="AL496" s="193"/>
    </row>
    <row r="497" spans="7:38">
      <c r="G497" s="193"/>
      <c r="H497" s="193"/>
      <c r="I497" s="193"/>
      <c r="J497" s="193"/>
      <c r="K497" s="193"/>
      <c r="L497" s="193"/>
      <c r="M497" s="193"/>
      <c r="N497" s="193"/>
      <c r="O497" s="193"/>
      <c r="P497" s="193"/>
      <c r="Q497" s="193"/>
      <c r="R497" s="193"/>
      <c r="S497" s="193"/>
      <c r="T497" s="193"/>
      <c r="U497" s="193"/>
      <c r="V497" s="193"/>
      <c r="W497" s="193"/>
      <c r="X497" s="193"/>
      <c r="Y497" s="193"/>
      <c r="Z497" s="193"/>
      <c r="AA497" s="193"/>
      <c r="AB497" s="193"/>
      <c r="AC497" s="193"/>
      <c r="AD497" s="193"/>
      <c r="AE497" s="193"/>
      <c r="AF497" s="193"/>
      <c r="AG497" s="193"/>
      <c r="AH497" s="193"/>
      <c r="AI497" s="193"/>
      <c r="AJ497" s="193"/>
      <c r="AK497" s="193"/>
      <c r="AL497" s="193"/>
    </row>
    <row r="498" spans="7:38">
      <c r="G498" s="193"/>
      <c r="H498" s="193"/>
      <c r="I498" s="193"/>
      <c r="J498" s="193"/>
      <c r="K498" s="193"/>
      <c r="L498" s="193"/>
      <c r="M498" s="193"/>
      <c r="N498" s="193"/>
      <c r="O498" s="193"/>
      <c r="P498" s="193"/>
      <c r="Q498" s="193"/>
      <c r="R498" s="193"/>
      <c r="S498" s="193"/>
      <c r="T498" s="193"/>
      <c r="U498" s="193"/>
      <c r="V498" s="193"/>
      <c r="W498" s="193"/>
      <c r="X498" s="193"/>
      <c r="Y498" s="193"/>
      <c r="Z498" s="193"/>
      <c r="AA498" s="193"/>
      <c r="AB498" s="193"/>
      <c r="AC498" s="193"/>
      <c r="AD498" s="193"/>
      <c r="AE498" s="193"/>
      <c r="AF498" s="193"/>
      <c r="AG498" s="193"/>
      <c r="AH498" s="193"/>
      <c r="AI498" s="193"/>
      <c r="AJ498" s="193"/>
      <c r="AK498" s="193"/>
      <c r="AL498" s="193"/>
    </row>
    <row r="499" spans="7:38">
      <c r="G499" s="193"/>
      <c r="H499" s="193"/>
      <c r="I499" s="193"/>
      <c r="J499" s="193"/>
      <c r="K499" s="193"/>
      <c r="L499" s="193"/>
      <c r="M499" s="193"/>
      <c r="N499" s="193"/>
      <c r="O499" s="193"/>
      <c r="P499" s="193"/>
      <c r="Q499" s="193"/>
      <c r="R499" s="193"/>
      <c r="S499" s="193"/>
      <c r="T499" s="193"/>
      <c r="U499" s="193"/>
      <c r="V499" s="193"/>
      <c r="W499" s="193"/>
      <c r="X499" s="193"/>
      <c r="Y499" s="193"/>
      <c r="Z499" s="193"/>
      <c r="AA499" s="193"/>
      <c r="AB499" s="193"/>
      <c r="AC499" s="193"/>
      <c r="AD499" s="193"/>
      <c r="AE499" s="193"/>
      <c r="AF499" s="193"/>
      <c r="AG499" s="193"/>
      <c r="AH499" s="193"/>
      <c r="AI499" s="193"/>
      <c r="AJ499" s="193"/>
      <c r="AK499" s="193"/>
      <c r="AL499" s="193"/>
    </row>
    <row r="500" spans="7:38">
      <c r="G500" s="193"/>
      <c r="H500" s="193"/>
      <c r="I500" s="193"/>
      <c r="J500" s="193"/>
      <c r="K500" s="193"/>
      <c r="L500" s="193"/>
      <c r="M500" s="193"/>
      <c r="N500" s="193"/>
      <c r="O500" s="193"/>
      <c r="P500" s="193"/>
      <c r="Q500" s="193"/>
      <c r="R500" s="193"/>
      <c r="S500" s="193"/>
      <c r="T500" s="193"/>
      <c r="U500" s="193"/>
      <c r="V500" s="193"/>
      <c r="W500" s="193"/>
      <c r="X500" s="193"/>
      <c r="Y500" s="193"/>
      <c r="Z500" s="193"/>
      <c r="AA500" s="193"/>
      <c r="AB500" s="193"/>
      <c r="AC500" s="193"/>
      <c r="AD500" s="193"/>
      <c r="AE500" s="193"/>
      <c r="AF500" s="193"/>
      <c r="AG500" s="193"/>
      <c r="AH500" s="193"/>
      <c r="AI500" s="193"/>
      <c r="AJ500" s="193"/>
      <c r="AK500" s="193"/>
      <c r="AL500" s="193"/>
    </row>
    <row r="501" spans="7:38">
      <c r="G501" s="193"/>
      <c r="H501" s="193"/>
      <c r="I501" s="193"/>
      <c r="J501" s="193"/>
      <c r="K501" s="193"/>
      <c r="L501" s="193"/>
      <c r="M501" s="193"/>
      <c r="N501" s="193"/>
      <c r="O501" s="193"/>
      <c r="P501" s="193"/>
      <c r="Q501" s="193"/>
      <c r="R501" s="193"/>
      <c r="S501" s="193"/>
      <c r="T501" s="193"/>
      <c r="U501" s="193"/>
      <c r="V501" s="193"/>
      <c r="W501" s="193"/>
      <c r="X501" s="193"/>
      <c r="Y501" s="193"/>
      <c r="Z501" s="193"/>
      <c r="AA501" s="193"/>
      <c r="AB501" s="193"/>
      <c r="AC501" s="193"/>
      <c r="AD501" s="193"/>
      <c r="AE501" s="193"/>
      <c r="AF501" s="193"/>
      <c r="AG501" s="193"/>
      <c r="AH501" s="193"/>
      <c r="AI501" s="193"/>
      <c r="AJ501" s="193"/>
      <c r="AK501" s="193"/>
      <c r="AL501" s="193"/>
    </row>
    <row r="502" spans="7:38">
      <c r="G502" s="193"/>
      <c r="H502" s="193"/>
      <c r="I502" s="193"/>
      <c r="J502" s="193"/>
      <c r="K502" s="193"/>
      <c r="L502" s="193"/>
      <c r="M502" s="193"/>
      <c r="N502" s="193"/>
      <c r="O502" s="193"/>
      <c r="P502" s="193"/>
      <c r="Q502" s="193"/>
      <c r="R502" s="193"/>
      <c r="S502" s="193"/>
      <c r="T502" s="193"/>
      <c r="U502" s="193"/>
      <c r="V502" s="193"/>
      <c r="W502" s="193"/>
      <c r="X502" s="193"/>
      <c r="Y502" s="193"/>
      <c r="Z502" s="193"/>
      <c r="AA502" s="193"/>
      <c r="AB502" s="193"/>
      <c r="AC502" s="193"/>
      <c r="AD502" s="193"/>
      <c r="AE502" s="193"/>
      <c r="AF502" s="193"/>
      <c r="AG502" s="193"/>
      <c r="AH502" s="193"/>
      <c r="AI502" s="193"/>
      <c r="AJ502" s="193"/>
      <c r="AK502" s="193"/>
      <c r="AL502" s="193"/>
    </row>
    <row r="503" spans="7:38">
      <c r="G503" s="193"/>
      <c r="H503" s="193"/>
      <c r="I503" s="193"/>
      <c r="J503" s="193"/>
      <c r="K503" s="193"/>
      <c r="L503" s="193"/>
      <c r="M503" s="193"/>
      <c r="N503" s="193"/>
      <c r="O503" s="193"/>
      <c r="P503" s="193"/>
      <c r="Q503" s="193"/>
      <c r="R503" s="193"/>
      <c r="S503" s="193"/>
      <c r="T503" s="193"/>
      <c r="U503" s="193"/>
      <c r="V503" s="193"/>
      <c r="W503" s="193"/>
      <c r="X503" s="193"/>
      <c r="Y503" s="193"/>
      <c r="Z503" s="193"/>
      <c r="AA503" s="193"/>
      <c r="AB503" s="193"/>
      <c r="AC503" s="193"/>
      <c r="AD503" s="193"/>
      <c r="AE503" s="193"/>
      <c r="AF503" s="193"/>
      <c r="AG503" s="193"/>
      <c r="AH503" s="193"/>
      <c r="AI503" s="193"/>
      <c r="AJ503" s="193"/>
      <c r="AK503" s="193"/>
      <c r="AL503" s="193"/>
    </row>
    <row r="504" spans="7:38">
      <c r="G504" s="193"/>
      <c r="H504" s="193"/>
      <c r="I504" s="193"/>
      <c r="J504" s="193"/>
      <c r="K504" s="193"/>
      <c r="L504" s="193"/>
      <c r="M504" s="193"/>
      <c r="N504" s="193"/>
      <c r="O504" s="193"/>
      <c r="P504" s="193"/>
      <c r="Q504" s="193"/>
      <c r="R504" s="193"/>
      <c r="S504" s="193"/>
      <c r="T504" s="193"/>
      <c r="U504" s="193"/>
      <c r="V504" s="193"/>
      <c r="W504" s="193"/>
      <c r="X504" s="193"/>
      <c r="Y504" s="193"/>
      <c r="Z504" s="193"/>
      <c r="AA504" s="193"/>
      <c r="AB504" s="193"/>
      <c r="AC504" s="193"/>
      <c r="AD504" s="193"/>
      <c r="AE504" s="193"/>
      <c r="AF504" s="193"/>
      <c r="AG504" s="193"/>
      <c r="AH504" s="193"/>
      <c r="AI504" s="193"/>
      <c r="AJ504" s="193"/>
      <c r="AK504" s="193"/>
      <c r="AL504" s="193"/>
    </row>
    <row r="505" spans="7:38">
      <c r="G505" s="193"/>
      <c r="H505" s="193"/>
      <c r="I505" s="193"/>
      <c r="J505" s="193"/>
      <c r="K505" s="193"/>
      <c r="L505" s="193"/>
      <c r="M505" s="193"/>
      <c r="N505" s="193"/>
      <c r="O505" s="193"/>
      <c r="P505" s="193"/>
      <c r="Q505" s="193"/>
      <c r="R505" s="193"/>
      <c r="S505" s="193"/>
      <c r="T505" s="193"/>
      <c r="U505" s="193"/>
      <c r="V505" s="193"/>
      <c r="W505" s="193"/>
      <c r="X505" s="193"/>
      <c r="Y505" s="193"/>
      <c r="Z505" s="193"/>
      <c r="AA505" s="193"/>
      <c r="AB505" s="193"/>
      <c r="AC505" s="193"/>
      <c r="AD505" s="193"/>
      <c r="AE505" s="193"/>
      <c r="AF505" s="193"/>
      <c r="AG505" s="193"/>
      <c r="AH505" s="193"/>
      <c r="AI505" s="193"/>
      <c r="AJ505" s="193"/>
      <c r="AK505" s="193"/>
      <c r="AL505" s="193"/>
    </row>
    <row r="506" spans="7:38">
      <c r="G506" s="193"/>
      <c r="H506" s="193"/>
      <c r="I506" s="193"/>
      <c r="J506" s="193"/>
      <c r="K506" s="193"/>
      <c r="L506" s="193"/>
      <c r="M506" s="193"/>
      <c r="N506" s="193"/>
      <c r="O506" s="193"/>
      <c r="P506" s="193"/>
      <c r="Q506" s="193"/>
      <c r="R506" s="193"/>
      <c r="S506" s="193"/>
      <c r="T506" s="193"/>
      <c r="U506" s="193"/>
      <c r="V506" s="193"/>
      <c r="W506" s="193"/>
      <c r="X506" s="193"/>
      <c r="Y506" s="193"/>
      <c r="Z506" s="193"/>
      <c r="AA506" s="193"/>
      <c r="AB506" s="193"/>
      <c r="AC506" s="193"/>
      <c r="AD506" s="193"/>
      <c r="AE506" s="193"/>
      <c r="AF506" s="193"/>
      <c r="AG506" s="193"/>
      <c r="AH506" s="193"/>
      <c r="AI506" s="193"/>
      <c r="AJ506" s="193"/>
      <c r="AK506" s="193"/>
      <c r="AL506" s="193"/>
    </row>
    <row r="507" spans="7:38">
      <c r="G507" s="193"/>
      <c r="H507" s="193"/>
      <c r="I507" s="193"/>
      <c r="J507" s="193"/>
      <c r="K507" s="193"/>
      <c r="L507" s="193"/>
      <c r="M507" s="193"/>
      <c r="N507" s="193"/>
      <c r="O507" s="193"/>
      <c r="P507" s="193"/>
      <c r="Q507" s="193"/>
      <c r="R507" s="193"/>
      <c r="S507" s="193"/>
      <c r="T507" s="193"/>
      <c r="U507" s="193"/>
      <c r="V507" s="193"/>
      <c r="W507" s="193"/>
      <c r="X507" s="193"/>
      <c r="Y507" s="193"/>
      <c r="Z507" s="193"/>
      <c r="AA507" s="193"/>
      <c r="AB507" s="193"/>
      <c r="AC507" s="193"/>
      <c r="AD507" s="193"/>
      <c r="AE507" s="193"/>
      <c r="AF507" s="193"/>
      <c r="AG507" s="193"/>
      <c r="AH507" s="193"/>
      <c r="AI507" s="193"/>
      <c r="AJ507" s="193"/>
      <c r="AK507" s="193"/>
      <c r="AL507" s="193"/>
    </row>
    <row r="508" spans="7:38">
      <c r="G508" s="193"/>
      <c r="H508" s="193"/>
      <c r="I508" s="193"/>
      <c r="J508" s="193"/>
      <c r="K508" s="193"/>
      <c r="L508" s="193"/>
      <c r="M508" s="193"/>
      <c r="N508" s="193"/>
      <c r="O508" s="193"/>
      <c r="P508" s="193"/>
      <c r="Q508" s="193"/>
      <c r="R508" s="193"/>
      <c r="S508" s="193"/>
      <c r="T508" s="193"/>
      <c r="U508" s="193"/>
      <c r="V508" s="193"/>
      <c r="W508" s="193"/>
      <c r="X508" s="193"/>
      <c r="Y508" s="193"/>
      <c r="Z508" s="193"/>
      <c r="AA508" s="193"/>
      <c r="AB508" s="193"/>
      <c r="AC508" s="193"/>
      <c r="AD508" s="193"/>
      <c r="AE508" s="193"/>
      <c r="AF508" s="193"/>
      <c r="AG508" s="193"/>
      <c r="AH508" s="193"/>
      <c r="AI508" s="193"/>
      <c r="AJ508" s="193"/>
      <c r="AK508" s="193"/>
      <c r="AL508" s="193"/>
    </row>
    <row r="509" spans="7:38">
      <c r="G509" s="193"/>
      <c r="H509" s="193"/>
      <c r="I509" s="193"/>
      <c r="J509" s="193"/>
      <c r="K509" s="193"/>
      <c r="L509" s="193"/>
      <c r="M509" s="193"/>
      <c r="N509" s="193"/>
      <c r="O509" s="193"/>
      <c r="P509" s="193"/>
      <c r="Q509" s="193"/>
      <c r="R509" s="193"/>
      <c r="S509" s="193"/>
      <c r="T509" s="193"/>
      <c r="U509" s="193"/>
      <c r="V509" s="193"/>
      <c r="W509" s="193"/>
      <c r="X509" s="193"/>
      <c r="Y509" s="193"/>
      <c r="Z509" s="193"/>
      <c r="AA509" s="193"/>
      <c r="AB509" s="193"/>
      <c r="AC509" s="193"/>
      <c r="AD509" s="193"/>
      <c r="AE509" s="193"/>
      <c r="AF509" s="193"/>
      <c r="AG509" s="193"/>
      <c r="AH509" s="193"/>
      <c r="AI509" s="193"/>
      <c r="AJ509" s="193"/>
      <c r="AK509" s="193"/>
      <c r="AL509" s="193"/>
    </row>
    <row r="510" spans="7:38">
      <c r="G510" s="193"/>
      <c r="H510" s="193"/>
      <c r="I510" s="193"/>
      <c r="J510" s="193"/>
      <c r="K510" s="193"/>
      <c r="L510" s="193"/>
      <c r="M510" s="193"/>
      <c r="N510" s="193"/>
      <c r="O510" s="193"/>
      <c r="P510" s="193"/>
      <c r="Q510" s="193"/>
      <c r="R510" s="193"/>
      <c r="S510" s="193"/>
      <c r="T510" s="193"/>
      <c r="U510" s="193"/>
      <c r="V510" s="193"/>
      <c r="W510" s="193"/>
      <c r="X510" s="193"/>
      <c r="Y510" s="193"/>
      <c r="Z510" s="193"/>
      <c r="AA510" s="193"/>
      <c r="AB510" s="193"/>
      <c r="AC510" s="193"/>
      <c r="AD510" s="193"/>
      <c r="AE510" s="193"/>
      <c r="AF510" s="193"/>
      <c r="AG510" s="193"/>
      <c r="AH510" s="193"/>
      <c r="AI510" s="193"/>
      <c r="AJ510" s="193"/>
      <c r="AK510" s="193"/>
      <c r="AL510" s="193"/>
    </row>
    <row r="511" spans="7:38">
      <c r="G511" s="193"/>
      <c r="H511" s="193"/>
      <c r="I511" s="193"/>
      <c r="J511" s="193"/>
      <c r="K511" s="193"/>
      <c r="L511" s="193"/>
      <c r="M511" s="193"/>
      <c r="N511" s="193"/>
      <c r="O511" s="193"/>
      <c r="P511" s="193"/>
      <c r="Q511" s="193"/>
      <c r="R511" s="193"/>
      <c r="S511" s="193"/>
      <c r="T511" s="193"/>
      <c r="U511" s="193"/>
      <c r="V511" s="193"/>
      <c r="W511" s="193"/>
      <c r="X511" s="193"/>
      <c r="Y511" s="193"/>
      <c r="Z511" s="193"/>
      <c r="AA511" s="193"/>
      <c r="AB511" s="193"/>
      <c r="AC511" s="193"/>
      <c r="AD511" s="193"/>
      <c r="AE511" s="193"/>
      <c r="AF511" s="193"/>
      <c r="AG511" s="193"/>
      <c r="AH511" s="193"/>
      <c r="AI511" s="193"/>
      <c r="AJ511" s="193"/>
      <c r="AK511" s="193"/>
      <c r="AL511" s="193"/>
    </row>
    <row r="512" spans="7:38">
      <c r="G512" s="193"/>
      <c r="H512" s="193"/>
      <c r="I512" s="193"/>
      <c r="J512" s="193"/>
      <c r="K512" s="193"/>
      <c r="L512" s="193"/>
      <c r="M512" s="193"/>
      <c r="N512" s="193"/>
      <c r="O512" s="193"/>
      <c r="P512" s="193"/>
      <c r="Q512" s="193"/>
      <c r="R512" s="193"/>
      <c r="S512" s="193"/>
      <c r="T512" s="193"/>
      <c r="U512" s="193"/>
      <c r="V512" s="193"/>
      <c r="W512" s="193"/>
      <c r="X512" s="193"/>
      <c r="Y512" s="193"/>
      <c r="Z512" s="193"/>
      <c r="AA512" s="193"/>
      <c r="AB512" s="193"/>
      <c r="AC512" s="193"/>
      <c r="AD512" s="193"/>
      <c r="AE512" s="193"/>
      <c r="AF512" s="193"/>
      <c r="AG512" s="193"/>
      <c r="AH512" s="193"/>
      <c r="AI512" s="193"/>
      <c r="AJ512" s="193"/>
      <c r="AK512" s="193"/>
      <c r="AL512" s="193"/>
    </row>
    <row r="513" spans="7:38">
      <c r="G513" s="193"/>
      <c r="H513" s="193"/>
      <c r="I513" s="193"/>
      <c r="J513" s="193"/>
      <c r="K513" s="193"/>
      <c r="L513" s="193"/>
      <c r="M513" s="193"/>
      <c r="N513" s="193"/>
      <c r="O513" s="193"/>
      <c r="P513" s="193"/>
      <c r="Q513" s="193"/>
      <c r="R513" s="193"/>
      <c r="S513" s="193"/>
      <c r="T513" s="193"/>
      <c r="U513" s="193"/>
      <c r="V513" s="193"/>
      <c r="W513" s="193"/>
      <c r="X513" s="193"/>
      <c r="Y513" s="193"/>
      <c r="Z513" s="193"/>
      <c r="AA513" s="193"/>
      <c r="AB513" s="193"/>
      <c r="AC513" s="193"/>
      <c r="AD513" s="193"/>
      <c r="AE513" s="193"/>
      <c r="AF513" s="193"/>
      <c r="AG513" s="193"/>
      <c r="AH513" s="193"/>
      <c r="AI513" s="193"/>
      <c r="AJ513" s="193"/>
      <c r="AK513" s="193"/>
      <c r="AL513" s="193"/>
    </row>
    <row r="514" spans="7:38">
      <c r="G514" s="193"/>
      <c r="H514" s="193"/>
      <c r="I514" s="193"/>
      <c r="J514" s="193"/>
      <c r="K514" s="193"/>
      <c r="L514" s="193"/>
      <c r="M514" s="193"/>
      <c r="N514" s="193"/>
      <c r="O514" s="193"/>
      <c r="P514" s="193"/>
      <c r="Q514" s="193"/>
      <c r="R514" s="193"/>
      <c r="S514" s="193"/>
      <c r="T514" s="193"/>
      <c r="U514" s="193"/>
      <c r="V514" s="193"/>
      <c r="W514" s="193"/>
      <c r="X514" s="193"/>
      <c r="Y514" s="193"/>
      <c r="Z514" s="193"/>
      <c r="AA514" s="193"/>
      <c r="AB514" s="193"/>
      <c r="AC514" s="193"/>
      <c r="AD514" s="193"/>
      <c r="AE514" s="193"/>
      <c r="AF514" s="193"/>
      <c r="AG514" s="193"/>
      <c r="AH514" s="193"/>
      <c r="AI514" s="193"/>
      <c r="AJ514" s="193"/>
      <c r="AK514" s="193"/>
      <c r="AL514" s="193"/>
    </row>
    <row r="515" spans="7:38">
      <c r="G515" s="193"/>
      <c r="H515" s="193"/>
      <c r="I515" s="193"/>
      <c r="J515" s="193"/>
      <c r="K515" s="193"/>
      <c r="L515" s="193"/>
      <c r="M515" s="193"/>
      <c r="N515" s="193"/>
      <c r="O515" s="193"/>
      <c r="P515" s="193"/>
      <c r="Q515" s="193"/>
      <c r="R515" s="193"/>
      <c r="S515" s="193"/>
      <c r="T515" s="193"/>
      <c r="U515" s="193"/>
      <c r="V515" s="193"/>
      <c r="W515" s="193"/>
      <c r="X515" s="193"/>
      <c r="Y515" s="193"/>
      <c r="Z515" s="193"/>
      <c r="AA515" s="193"/>
      <c r="AB515" s="193"/>
      <c r="AC515" s="193"/>
      <c r="AD515" s="193"/>
      <c r="AE515" s="193"/>
      <c r="AF515" s="193"/>
      <c r="AG515" s="193"/>
      <c r="AH515" s="193"/>
      <c r="AI515" s="193"/>
      <c r="AJ515" s="193"/>
      <c r="AK515" s="193"/>
      <c r="AL515" s="193"/>
    </row>
    <row r="516" spans="7:38">
      <c r="G516" s="193"/>
      <c r="H516" s="193"/>
      <c r="I516" s="193"/>
      <c r="J516" s="193"/>
      <c r="K516" s="193"/>
      <c r="L516" s="193"/>
      <c r="M516" s="193"/>
      <c r="N516" s="193"/>
      <c r="O516" s="193"/>
      <c r="P516" s="193"/>
      <c r="Q516" s="193"/>
      <c r="R516" s="193"/>
      <c r="S516" s="193"/>
      <c r="T516" s="193"/>
      <c r="U516" s="193"/>
      <c r="V516" s="193"/>
      <c r="W516" s="193"/>
      <c r="X516" s="193"/>
      <c r="Y516" s="193"/>
      <c r="Z516" s="193"/>
      <c r="AA516" s="193"/>
      <c r="AB516" s="193"/>
      <c r="AC516" s="193"/>
      <c r="AD516" s="193"/>
      <c r="AE516" s="193"/>
      <c r="AF516" s="193"/>
      <c r="AG516" s="193"/>
      <c r="AH516" s="193"/>
      <c r="AI516" s="193"/>
      <c r="AJ516" s="193"/>
      <c r="AK516" s="193"/>
      <c r="AL516" s="193"/>
    </row>
    <row r="517" spans="7:38">
      <c r="G517" s="193"/>
      <c r="H517" s="193"/>
      <c r="I517" s="193"/>
      <c r="J517" s="193"/>
      <c r="K517" s="193"/>
      <c r="L517" s="193"/>
      <c r="M517" s="193"/>
      <c r="N517" s="193"/>
      <c r="O517" s="193"/>
      <c r="P517" s="193"/>
      <c r="Q517" s="193"/>
      <c r="R517" s="193"/>
      <c r="S517" s="193"/>
      <c r="T517" s="193"/>
      <c r="U517" s="193"/>
      <c r="V517" s="193"/>
      <c r="W517" s="193"/>
      <c r="X517" s="193"/>
      <c r="Y517" s="193"/>
      <c r="Z517" s="193"/>
      <c r="AA517" s="193"/>
      <c r="AB517" s="193"/>
      <c r="AC517" s="193"/>
      <c r="AD517" s="193"/>
      <c r="AE517" s="193"/>
      <c r="AF517" s="193"/>
      <c r="AG517" s="193"/>
      <c r="AH517" s="193"/>
      <c r="AI517" s="193"/>
      <c r="AJ517" s="193"/>
      <c r="AK517" s="193"/>
      <c r="AL517" s="193"/>
    </row>
    <row r="518" spans="7:38">
      <c r="G518" s="193"/>
      <c r="H518" s="193"/>
      <c r="I518" s="193"/>
      <c r="J518" s="193"/>
      <c r="K518" s="193"/>
      <c r="L518" s="193"/>
      <c r="M518" s="193"/>
      <c r="N518" s="193"/>
      <c r="O518" s="193"/>
      <c r="P518" s="193"/>
      <c r="Q518" s="193"/>
      <c r="R518" s="193"/>
      <c r="S518" s="193"/>
      <c r="T518" s="193"/>
      <c r="U518" s="193"/>
      <c r="V518" s="193"/>
      <c r="W518" s="193"/>
      <c r="X518" s="193"/>
      <c r="Y518" s="193"/>
      <c r="Z518" s="193"/>
      <c r="AA518" s="193"/>
      <c r="AB518" s="193"/>
      <c r="AC518" s="193"/>
      <c r="AD518" s="193"/>
      <c r="AE518" s="193"/>
      <c r="AF518" s="193"/>
      <c r="AG518" s="193"/>
      <c r="AH518" s="193"/>
      <c r="AI518" s="193"/>
      <c r="AJ518" s="193"/>
      <c r="AK518" s="193"/>
      <c r="AL518" s="193"/>
    </row>
    <row r="519" spans="7:38">
      <c r="G519" s="193"/>
      <c r="H519" s="193"/>
      <c r="I519" s="193"/>
      <c r="J519" s="193"/>
      <c r="K519" s="193"/>
      <c r="L519" s="193"/>
      <c r="M519" s="193"/>
      <c r="N519" s="193"/>
      <c r="O519" s="193"/>
      <c r="P519" s="193"/>
      <c r="Q519" s="193"/>
      <c r="R519" s="193"/>
      <c r="S519" s="193"/>
      <c r="T519" s="193"/>
      <c r="U519" s="193"/>
      <c r="V519" s="193"/>
      <c r="W519" s="193"/>
      <c r="X519" s="193"/>
      <c r="Y519" s="193"/>
      <c r="Z519" s="193"/>
      <c r="AA519" s="193"/>
      <c r="AB519" s="193"/>
      <c r="AC519" s="193"/>
      <c r="AD519" s="193"/>
      <c r="AE519" s="193"/>
      <c r="AF519" s="193"/>
      <c r="AG519" s="193"/>
      <c r="AH519" s="193"/>
      <c r="AI519" s="193"/>
      <c r="AJ519" s="193"/>
      <c r="AK519" s="193"/>
      <c r="AL519" s="193"/>
    </row>
    <row r="520" spans="7:38">
      <c r="G520" s="193"/>
      <c r="H520" s="193"/>
      <c r="I520" s="193"/>
      <c r="J520" s="193"/>
      <c r="K520" s="193"/>
      <c r="L520" s="193"/>
      <c r="M520" s="193"/>
      <c r="N520" s="193"/>
      <c r="O520" s="193"/>
      <c r="P520" s="193"/>
      <c r="Q520" s="193"/>
      <c r="R520" s="193"/>
      <c r="S520" s="193"/>
      <c r="T520" s="193"/>
      <c r="U520" s="193"/>
      <c r="V520" s="193"/>
      <c r="W520" s="193"/>
      <c r="X520" s="193"/>
      <c r="Y520" s="193"/>
      <c r="Z520" s="193"/>
      <c r="AA520" s="193"/>
      <c r="AB520" s="193"/>
      <c r="AC520" s="193"/>
      <c r="AD520" s="193"/>
      <c r="AE520" s="193"/>
      <c r="AF520" s="193"/>
      <c r="AG520" s="193"/>
      <c r="AH520" s="193"/>
      <c r="AI520" s="193"/>
      <c r="AJ520" s="193"/>
      <c r="AK520" s="193"/>
      <c r="AL520" s="193"/>
    </row>
    <row r="521" spans="7:38">
      <c r="G521" s="193"/>
      <c r="H521" s="193"/>
      <c r="I521" s="193"/>
      <c r="J521" s="193"/>
      <c r="K521" s="193"/>
      <c r="L521" s="193"/>
      <c r="M521" s="193"/>
      <c r="N521" s="193"/>
      <c r="O521" s="193"/>
      <c r="P521" s="193"/>
      <c r="Q521" s="193"/>
      <c r="R521" s="193"/>
      <c r="S521" s="193"/>
      <c r="T521" s="193"/>
      <c r="U521" s="193"/>
      <c r="V521" s="193"/>
      <c r="W521" s="193"/>
      <c r="X521" s="193"/>
      <c r="Y521" s="193"/>
      <c r="Z521" s="193"/>
      <c r="AA521" s="193"/>
      <c r="AB521" s="193"/>
      <c r="AC521" s="193"/>
      <c r="AD521" s="193"/>
      <c r="AE521" s="193"/>
      <c r="AF521" s="193"/>
      <c r="AG521" s="193"/>
      <c r="AH521" s="193"/>
      <c r="AI521" s="193"/>
      <c r="AJ521" s="193"/>
      <c r="AK521" s="193"/>
      <c r="AL521" s="193"/>
    </row>
    <row r="522" spans="7:38">
      <c r="G522" s="193"/>
      <c r="H522" s="193"/>
      <c r="I522" s="193"/>
      <c r="J522" s="193"/>
      <c r="K522" s="193"/>
      <c r="L522" s="193"/>
      <c r="M522" s="193"/>
      <c r="N522" s="193"/>
      <c r="O522" s="193"/>
      <c r="P522" s="193"/>
      <c r="Q522" s="193"/>
      <c r="R522" s="193"/>
      <c r="S522" s="193"/>
      <c r="T522" s="193"/>
      <c r="U522" s="193"/>
      <c r="V522" s="193"/>
      <c r="W522" s="193"/>
      <c r="X522" s="193"/>
      <c r="Y522" s="193"/>
      <c r="Z522" s="193"/>
      <c r="AA522" s="193"/>
      <c r="AB522" s="193"/>
      <c r="AC522" s="193"/>
      <c r="AD522" s="193"/>
      <c r="AE522" s="193"/>
      <c r="AF522" s="193"/>
      <c r="AG522" s="193"/>
      <c r="AH522" s="193"/>
      <c r="AI522" s="193"/>
      <c r="AJ522" s="193"/>
      <c r="AK522" s="193"/>
      <c r="AL522" s="193"/>
    </row>
    <row r="523" spans="7:38">
      <c r="G523" s="193"/>
      <c r="H523" s="193"/>
      <c r="I523" s="193"/>
      <c r="J523" s="193"/>
      <c r="K523" s="193"/>
      <c r="L523" s="193"/>
      <c r="M523" s="193"/>
      <c r="N523" s="193"/>
      <c r="O523" s="193"/>
      <c r="P523" s="193"/>
      <c r="Q523" s="193"/>
      <c r="R523" s="193"/>
      <c r="S523" s="193"/>
      <c r="T523" s="193"/>
      <c r="U523" s="193"/>
      <c r="V523" s="193"/>
      <c r="W523" s="193"/>
      <c r="X523" s="193"/>
      <c r="Y523" s="193"/>
      <c r="Z523" s="193"/>
      <c r="AA523" s="193"/>
      <c r="AB523" s="193"/>
      <c r="AC523" s="193"/>
      <c r="AD523" s="193"/>
      <c r="AE523" s="193"/>
      <c r="AF523" s="193"/>
      <c r="AG523" s="193"/>
      <c r="AH523" s="193"/>
      <c r="AI523" s="193"/>
      <c r="AJ523" s="193"/>
      <c r="AK523" s="193"/>
      <c r="AL523" s="193"/>
    </row>
    <row r="524" spans="7:38">
      <c r="G524" s="193"/>
      <c r="H524" s="193"/>
      <c r="I524" s="193"/>
      <c r="J524" s="193"/>
      <c r="K524" s="193"/>
      <c r="L524" s="193"/>
      <c r="M524" s="193"/>
      <c r="N524" s="193"/>
      <c r="O524" s="193"/>
      <c r="P524" s="193"/>
      <c r="Q524" s="193"/>
      <c r="R524" s="193"/>
      <c r="S524" s="193"/>
      <c r="T524" s="193"/>
      <c r="U524" s="193"/>
      <c r="V524" s="193"/>
      <c r="W524" s="193"/>
      <c r="X524" s="193"/>
      <c r="Y524" s="193"/>
      <c r="Z524" s="193"/>
      <c r="AA524" s="193"/>
      <c r="AB524" s="193"/>
      <c r="AC524" s="193"/>
      <c r="AD524" s="193"/>
      <c r="AE524" s="193"/>
      <c r="AF524" s="193"/>
      <c r="AG524" s="193"/>
      <c r="AH524" s="193"/>
      <c r="AI524" s="193"/>
      <c r="AJ524" s="193"/>
      <c r="AK524" s="193"/>
      <c r="AL524" s="193"/>
    </row>
    <row r="525" spans="7:38">
      <c r="G525" s="193"/>
      <c r="H525" s="193"/>
      <c r="I525" s="193"/>
      <c r="J525" s="193"/>
      <c r="K525" s="193"/>
      <c r="L525" s="193"/>
      <c r="M525" s="193"/>
      <c r="N525" s="193"/>
      <c r="O525" s="193"/>
      <c r="P525" s="193"/>
      <c r="Q525" s="193"/>
      <c r="R525" s="193"/>
      <c r="S525" s="193"/>
      <c r="T525" s="193"/>
      <c r="U525" s="193"/>
      <c r="V525" s="193"/>
      <c r="W525" s="193"/>
      <c r="X525" s="193"/>
      <c r="Y525" s="193"/>
      <c r="Z525" s="193"/>
      <c r="AA525" s="193"/>
      <c r="AB525" s="193"/>
      <c r="AC525" s="193"/>
      <c r="AD525" s="193"/>
      <c r="AE525" s="193"/>
      <c r="AF525" s="193"/>
      <c r="AG525" s="193"/>
      <c r="AH525" s="193"/>
      <c r="AI525" s="193"/>
      <c r="AJ525" s="193"/>
      <c r="AK525" s="193"/>
      <c r="AL525" s="193"/>
    </row>
    <row r="526" spans="7:38">
      <c r="G526" s="193"/>
      <c r="H526" s="193"/>
      <c r="I526" s="193"/>
      <c r="J526" s="193"/>
      <c r="K526" s="193"/>
      <c r="L526" s="193"/>
      <c r="M526" s="193"/>
      <c r="N526" s="193"/>
      <c r="O526" s="193"/>
      <c r="P526" s="193"/>
      <c r="Q526" s="193"/>
      <c r="R526" s="193"/>
      <c r="S526" s="193"/>
      <c r="T526" s="193"/>
      <c r="U526" s="193"/>
      <c r="V526" s="193"/>
      <c r="W526" s="193"/>
      <c r="X526" s="193"/>
      <c r="Y526" s="193"/>
      <c r="Z526" s="193"/>
      <c r="AA526" s="193"/>
      <c r="AB526" s="193"/>
      <c r="AC526" s="193"/>
      <c r="AD526" s="193"/>
      <c r="AE526" s="193"/>
      <c r="AF526" s="193"/>
      <c r="AG526" s="193"/>
      <c r="AH526" s="193"/>
      <c r="AI526" s="193"/>
      <c r="AJ526" s="193"/>
      <c r="AK526" s="193"/>
      <c r="AL526" s="193"/>
    </row>
    <row r="527" spans="7:38">
      <c r="G527" s="193"/>
      <c r="H527" s="193"/>
      <c r="I527" s="193"/>
      <c r="J527" s="193"/>
      <c r="K527" s="193"/>
      <c r="L527" s="193"/>
      <c r="M527" s="193"/>
      <c r="N527" s="193"/>
      <c r="O527" s="193"/>
      <c r="P527" s="193"/>
      <c r="Q527" s="193"/>
      <c r="R527" s="193"/>
      <c r="S527" s="193"/>
      <c r="T527" s="193"/>
      <c r="U527" s="193"/>
      <c r="V527" s="193"/>
      <c r="W527" s="193"/>
      <c r="X527" s="193"/>
      <c r="Y527" s="193"/>
      <c r="Z527" s="193"/>
      <c r="AA527" s="193"/>
      <c r="AB527" s="193"/>
      <c r="AC527" s="193"/>
      <c r="AD527" s="193"/>
      <c r="AE527" s="193"/>
      <c r="AF527" s="193"/>
      <c r="AG527" s="193"/>
      <c r="AH527" s="193"/>
      <c r="AI527" s="193"/>
      <c r="AJ527" s="193"/>
      <c r="AK527" s="193"/>
      <c r="AL527" s="193"/>
    </row>
    <row r="528" spans="7:38">
      <c r="G528" s="193"/>
      <c r="H528" s="193"/>
      <c r="I528" s="193"/>
      <c r="J528" s="193"/>
      <c r="K528" s="193"/>
      <c r="L528" s="193"/>
      <c r="M528" s="193"/>
      <c r="N528" s="193"/>
      <c r="O528" s="193"/>
      <c r="P528" s="193"/>
      <c r="Q528" s="193"/>
      <c r="R528" s="193"/>
      <c r="S528" s="193"/>
      <c r="T528" s="193"/>
      <c r="U528" s="193"/>
      <c r="V528" s="193"/>
      <c r="W528" s="193"/>
      <c r="X528" s="193"/>
      <c r="Y528" s="193"/>
      <c r="Z528" s="193"/>
      <c r="AA528" s="193"/>
      <c r="AB528" s="193"/>
      <c r="AC528" s="193"/>
      <c r="AD528" s="193"/>
      <c r="AE528" s="193"/>
      <c r="AF528" s="193"/>
      <c r="AG528" s="193"/>
      <c r="AH528" s="193"/>
      <c r="AI528" s="193"/>
      <c r="AJ528" s="193"/>
      <c r="AK528" s="193"/>
      <c r="AL528" s="193"/>
    </row>
    <row r="529" spans="7:38">
      <c r="G529" s="193"/>
      <c r="H529" s="193"/>
      <c r="I529" s="193"/>
      <c r="J529" s="193"/>
      <c r="K529" s="193"/>
      <c r="L529" s="193"/>
      <c r="M529" s="193"/>
      <c r="N529" s="193"/>
      <c r="O529" s="193"/>
      <c r="P529" s="193"/>
      <c r="Q529" s="193"/>
      <c r="R529" s="193"/>
      <c r="S529" s="193"/>
      <c r="T529" s="193"/>
      <c r="U529" s="193"/>
      <c r="V529" s="193"/>
      <c r="W529" s="193"/>
      <c r="X529" s="193"/>
      <c r="Y529" s="193"/>
      <c r="Z529" s="193"/>
      <c r="AA529" s="193"/>
      <c r="AB529" s="193"/>
      <c r="AC529" s="193"/>
      <c r="AD529" s="193"/>
      <c r="AE529" s="193"/>
      <c r="AF529" s="193"/>
      <c r="AG529" s="193"/>
      <c r="AH529" s="193"/>
      <c r="AI529" s="193"/>
      <c r="AJ529" s="193"/>
      <c r="AK529" s="193"/>
      <c r="AL529" s="193"/>
    </row>
    <row r="530" spans="7:38">
      <c r="G530" s="193"/>
      <c r="H530" s="193"/>
      <c r="I530" s="193"/>
      <c r="J530" s="193"/>
      <c r="K530" s="193"/>
      <c r="L530" s="193"/>
      <c r="M530" s="193"/>
      <c r="N530" s="193"/>
      <c r="O530" s="193"/>
      <c r="P530" s="193"/>
      <c r="Q530" s="193"/>
      <c r="R530" s="193"/>
      <c r="S530" s="193"/>
      <c r="T530" s="193"/>
      <c r="U530" s="193"/>
      <c r="V530" s="193"/>
      <c r="W530" s="193"/>
      <c r="X530" s="193"/>
      <c r="Y530" s="193"/>
      <c r="Z530" s="193"/>
      <c r="AA530" s="193"/>
      <c r="AB530" s="193"/>
      <c r="AC530" s="193"/>
      <c r="AD530" s="193"/>
      <c r="AE530" s="193"/>
      <c r="AF530" s="193"/>
      <c r="AG530" s="193"/>
      <c r="AH530" s="193"/>
      <c r="AI530" s="193"/>
      <c r="AJ530" s="193"/>
      <c r="AK530" s="193"/>
      <c r="AL530" s="193"/>
    </row>
    <row r="531" spans="7:38">
      <c r="G531" s="193"/>
      <c r="H531" s="193"/>
      <c r="I531" s="193"/>
      <c r="J531" s="193"/>
      <c r="K531" s="193"/>
      <c r="L531" s="193"/>
      <c r="M531" s="193"/>
      <c r="N531" s="193"/>
      <c r="O531" s="193"/>
      <c r="P531" s="193"/>
      <c r="Q531" s="193"/>
      <c r="R531" s="193"/>
      <c r="S531" s="193"/>
      <c r="T531" s="193"/>
      <c r="U531" s="193"/>
      <c r="V531" s="193"/>
      <c r="W531" s="193"/>
      <c r="X531" s="193"/>
      <c r="Y531" s="193"/>
      <c r="Z531" s="193"/>
      <c r="AA531" s="193"/>
      <c r="AB531" s="193"/>
      <c r="AC531" s="193"/>
      <c r="AD531" s="193"/>
      <c r="AE531" s="193"/>
      <c r="AF531" s="193"/>
      <c r="AG531" s="193"/>
      <c r="AH531" s="193"/>
      <c r="AI531" s="193"/>
      <c r="AJ531" s="193"/>
      <c r="AK531" s="193"/>
      <c r="AL531" s="193"/>
    </row>
    <row r="532" spans="7:38">
      <c r="G532" s="193"/>
      <c r="H532" s="193"/>
      <c r="I532" s="193"/>
      <c r="J532" s="193"/>
      <c r="K532" s="193"/>
      <c r="L532" s="193"/>
      <c r="M532" s="193"/>
      <c r="N532" s="193"/>
      <c r="O532" s="193"/>
      <c r="P532" s="193"/>
      <c r="Q532" s="193"/>
      <c r="R532" s="193"/>
      <c r="S532" s="193"/>
      <c r="T532" s="193"/>
      <c r="U532" s="193"/>
      <c r="V532" s="193"/>
      <c r="W532" s="193"/>
      <c r="X532" s="193"/>
      <c r="Y532" s="193"/>
      <c r="Z532" s="193"/>
      <c r="AA532" s="193"/>
      <c r="AB532" s="193"/>
      <c r="AC532" s="193"/>
      <c r="AD532" s="193"/>
      <c r="AE532" s="193"/>
      <c r="AF532" s="193"/>
      <c r="AG532" s="193"/>
      <c r="AH532" s="193"/>
      <c r="AI532" s="193"/>
      <c r="AJ532" s="193"/>
      <c r="AK532" s="193"/>
      <c r="AL532" s="193"/>
    </row>
    <row r="533" spans="7:38">
      <c r="G533" s="193"/>
      <c r="H533" s="193"/>
      <c r="I533" s="193"/>
      <c r="J533" s="193"/>
      <c r="K533" s="193"/>
      <c r="L533" s="193"/>
      <c r="M533" s="193"/>
      <c r="N533" s="193"/>
      <c r="O533" s="193"/>
      <c r="P533" s="193"/>
      <c r="Q533" s="193"/>
      <c r="R533" s="193"/>
      <c r="S533" s="193"/>
      <c r="T533" s="193"/>
      <c r="U533" s="193"/>
      <c r="V533" s="193"/>
      <c r="W533" s="193"/>
      <c r="X533" s="193"/>
      <c r="Y533" s="193"/>
      <c r="Z533" s="193"/>
      <c r="AA533" s="193"/>
      <c r="AB533" s="193"/>
      <c r="AC533" s="193"/>
      <c r="AD533" s="193"/>
      <c r="AE533" s="193"/>
      <c r="AF533" s="193"/>
      <c r="AG533" s="193"/>
      <c r="AH533" s="193"/>
      <c r="AI533" s="193"/>
      <c r="AJ533" s="193"/>
      <c r="AK533" s="193"/>
      <c r="AL533" s="193"/>
    </row>
    <row r="534" spans="7:38">
      <c r="G534" s="193"/>
      <c r="H534" s="193"/>
      <c r="I534" s="193"/>
      <c r="J534" s="193"/>
      <c r="K534" s="193"/>
      <c r="L534" s="193"/>
      <c r="M534" s="193"/>
      <c r="N534" s="193"/>
      <c r="O534" s="193"/>
      <c r="P534" s="193"/>
      <c r="Q534" s="193"/>
      <c r="R534" s="193"/>
      <c r="S534" s="193"/>
      <c r="T534" s="193"/>
      <c r="U534" s="193"/>
      <c r="V534" s="193"/>
      <c r="W534" s="193"/>
      <c r="X534" s="193"/>
      <c r="Y534" s="193"/>
      <c r="Z534" s="193"/>
      <c r="AA534" s="193"/>
      <c r="AB534" s="193"/>
      <c r="AC534" s="193"/>
      <c r="AD534" s="193"/>
      <c r="AE534" s="193"/>
      <c r="AF534" s="193"/>
      <c r="AG534" s="193"/>
      <c r="AH534" s="193"/>
      <c r="AI534" s="193"/>
      <c r="AJ534" s="193"/>
      <c r="AK534" s="193"/>
      <c r="AL534" s="193"/>
    </row>
    <row r="535" spans="7:38">
      <c r="G535" s="193"/>
      <c r="H535" s="193"/>
      <c r="I535" s="193"/>
      <c r="J535" s="193"/>
      <c r="K535" s="193"/>
      <c r="L535" s="193"/>
      <c r="M535" s="193"/>
      <c r="N535" s="193"/>
      <c r="O535" s="193"/>
      <c r="P535" s="193"/>
      <c r="Q535" s="193"/>
      <c r="R535" s="193"/>
      <c r="S535" s="193"/>
      <c r="T535" s="193"/>
      <c r="U535" s="193"/>
      <c r="V535" s="193"/>
      <c r="W535" s="193"/>
      <c r="X535" s="193"/>
      <c r="Y535" s="193"/>
      <c r="Z535" s="193"/>
      <c r="AA535" s="193"/>
      <c r="AB535" s="193"/>
      <c r="AC535" s="193"/>
      <c r="AD535" s="193"/>
      <c r="AE535" s="193"/>
      <c r="AF535" s="193"/>
      <c r="AG535" s="193"/>
      <c r="AH535" s="193"/>
      <c r="AI535" s="193"/>
      <c r="AJ535" s="193"/>
      <c r="AK535" s="193"/>
      <c r="AL535" s="193"/>
    </row>
    <row r="536" spans="7:38">
      <c r="G536" s="193"/>
      <c r="H536" s="193"/>
      <c r="I536" s="193"/>
      <c r="J536" s="193"/>
      <c r="K536" s="193"/>
      <c r="L536" s="193"/>
      <c r="M536" s="193"/>
      <c r="N536" s="193"/>
      <c r="O536" s="193"/>
      <c r="P536" s="193"/>
      <c r="Q536" s="193"/>
      <c r="R536" s="193"/>
      <c r="S536" s="193"/>
      <c r="T536" s="193"/>
      <c r="U536" s="193"/>
      <c r="V536" s="193"/>
      <c r="W536" s="193"/>
      <c r="X536" s="193"/>
      <c r="Y536" s="193"/>
      <c r="Z536" s="193"/>
      <c r="AA536" s="193"/>
      <c r="AB536" s="193"/>
      <c r="AC536" s="193"/>
      <c r="AD536" s="193"/>
      <c r="AE536" s="193"/>
      <c r="AF536" s="193"/>
      <c r="AG536" s="193"/>
      <c r="AH536" s="193"/>
      <c r="AI536" s="193"/>
      <c r="AJ536" s="193"/>
      <c r="AK536" s="193"/>
      <c r="AL536" s="193"/>
    </row>
    <row r="537" spans="7:38">
      <c r="G537" s="193"/>
      <c r="H537" s="193"/>
      <c r="I537" s="193"/>
      <c r="J537" s="193"/>
      <c r="K537" s="193"/>
      <c r="L537" s="193"/>
      <c r="M537" s="193"/>
      <c r="N537" s="193"/>
      <c r="O537" s="193"/>
      <c r="P537" s="193"/>
      <c r="Q537" s="193"/>
      <c r="R537" s="193"/>
      <c r="S537" s="193"/>
      <c r="T537" s="193"/>
      <c r="U537" s="193"/>
      <c r="V537" s="193"/>
      <c r="W537" s="193"/>
      <c r="X537" s="193"/>
      <c r="Y537" s="193"/>
      <c r="Z537" s="193"/>
      <c r="AA537" s="193"/>
      <c r="AB537" s="193"/>
      <c r="AC537" s="193"/>
      <c r="AD537" s="193"/>
      <c r="AE537" s="193"/>
      <c r="AF537" s="193"/>
      <c r="AG537" s="193"/>
      <c r="AH537" s="193"/>
      <c r="AI537" s="193"/>
      <c r="AJ537" s="193"/>
      <c r="AK537" s="193"/>
      <c r="AL537" s="193"/>
    </row>
    <row r="538" spans="7:38">
      <c r="G538" s="193"/>
      <c r="H538" s="193"/>
      <c r="I538" s="193"/>
      <c r="J538" s="193"/>
      <c r="K538" s="193"/>
      <c r="L538" s="193"/>
      <c r="M538" s="193"/>
      <c r="N538" s="193"/>
      <c r="O538" s="193"/>
      <c r="P538" s="193"/>
      <c r="Q538" s="193"/>
      <c r="R538" s="193"/>
      <c r="S538" s="193"/>
      <c r="T538" s="193"/>
      <c r="U538" s="193"/>
      <c r="V538" s="193"/>
      <c r="W538" s="193"/>
      <c r="X538" s="193"/>
      <c r="Y538" s="193"/>
      <c r="Z538" s="193"/>
      <c r="AA538" s="193"/>
      <c r="AB538" s="193"/>
      <c r="AC538" s="193"/>
      <c r="AD538" s="193"/>
      <c r="AE538" s="193"/>
      <c r="AF538" s="193"/>
      <c r="AG538" s="193"/>
      <c r="AH538" s="193"/>
      <c r="AI538" s="193"/>
      <c r="AJ538" s="193"/>
      <c r="AK538" s="193"/>
      <c r="AL538" s="193"/>
    </row>
    <row r="539" spans="7:38">
      <c r="G539" s="193"/>
      <c r="H539" s="193"/>
      <c r="I539" s="193"/>
      <c r="J539" s="193"/>
      <c r="K539" s="193"/>
      <c r="L539" s="193"/>
      <c r="M539" s="193"/>
      <c r="N539" s="193"/>
      <c r="O539" s="193"/>
      <c r="P539" s="193"/>
      <c r="Q539" s="193"/>
      <c r="R539" s="193"/>
      <c r="S539" s="193"/>
      <c r="T539" s="193"/>
      <c r="U539" s="193"/>
      <c r="V539" s="193"/>
      <c r="W539" s="193"/>
      <c r="X539" s="193"/>
      <c r="Y539" s="193"/>
      <c r="Z539" s="193"/>
      <c r="AA539" s="193"/>
      <c r="AB539" s="193"/>
      <c r="AC539" s="193"/>
      <c r="AD539" s="193"/>
      <c r="AE539" s="193"/>
      <c r="AF539" s="193"/>
      <c r="AG539" s="193"/>
      <c r="AH539" s="193"/>
      <c r="AI539" s="193"/>
      <c r="AJ539" s="193"/>
      <c r="AK539" s="193"/>
      <c r="AL539" s="193"/>
    </row>
    <row r="540" spans="7:38">
      <c r="G540" s="193"/>
      <c r="H540" s="193"/>
      <c r="I540" s="193"/>
      <c r="J540" s="193"/>
      <c r="K540" s="193"/>
      <c r="L540" s="193"/>
      <c r="M540" s="193"/>
      <c r="N540" s="193"/>
      <c r="O540" s="193"/>
      <c r="P540" s="193"/>
      <c r="Q540" s="193"/>
      <c r="R540" s="193"/>
      <c r="S540" s="193"/>
      <c r="T540" s="193"/>
      <c r="U540" s="193"/>
      <c r="V540" s="193"/>
      <c r="W540" s="193"/>
      <c r="X540" s="193"/>
      <c r="Y540" s="193"/>
      <c r="Z540" s="193"/>
      <c r="AA540" s="193"/>
      <c r="AB540" s="193"/>
      <c r="AC540" s="193"/>
      <c r="AD540" s="193"/>
      <c r="AE540" s="193"/>
      <c r="AF540" s="193"/>
      <c r="AG540" s="193"/>
      <c r="AH540" s="193"/>
      <c r="AI540" s="193"/>
      <c r="AJ540" s="193"/>
      <c r="AK540" s="193"/>
      <c r="AL540" s="193"/>
    </row>
    <row r="541" spans="7:38">
      <c r="G541" s="193"/>
      <c r="H541" s="193"/>
      <c r="I541" s="193"/>
      <c r="J541" s="193"/>
      <c r="K541" s="193"/>
      <c r="L541" s="193"/>
      <c r="M541" s="193"/>
      <c r="N541" s="193"/>
      <c r="O541" s="193"/>
      <c r="P541" s="193"/>
      <c r="Q541" s="193"/>
      <c r="R541" s="193"/>
      <c r="S541" s="193"/>
      <c r="T541" s="193"/>
      <c r="U541" s="193"/>
      <c r="V541" s="193"/>
      <c r="W541" s="193"/>
      <c r="X541" s="193"/>
      <c r="Y541" s="193"/>
      <c r="Z541" s="193"/>
      <c r="AA541" s="193"/>
      <c r="AB541" s="193"/>
      <c r="AC541" s="193"/>
      <c r="AD541" s="193"/>
      <c r="AE541" s="193"/>
      <c r="AF541" s="193"/>
      <c r="AG541" s="193"/>
      <c r="AH541" s="193"/>
      <c r="AI541" s="193"/>
      <c r="AJ541" s="193"/>
      <c r="AK541" s="193"/>
      <c r="AL541" s="193"/>
    </row>
    <row r="542" spans="7:38">
      <c r="G542" s="193" t="s">
        <v>1962</v>
      </c>
      <c r="H542" s="193" t="s">
        <v>1963</v>
      </c>
      <c r="I542" s="193" t="s">
        <v>1964</v>
      </c>
      <c r="J542" s="193" t="s">
        <v>1964</v>
      </c>
      <c r="K542" s="193" t="s">
        <v>1965</v>
      </c>
      <c r="L542" s="193"/>
      <c r="M542" s="193"/>
      <c r="N542" s="193">
        <v>9.9986310746064344</v>
      </c>
      <c r="O542" s="193"/>
      <c r="P542" s="193">
        <v>175</v>
      </c>
      <c r="Q542" s="193">
        <v>140</v>
      </c>
      <c r="R542" s="193">
        <v>-35</v>
      </c>
      <c r="S542" s="193">
        <v>-2</v>
      </c>
      <c r="T542" s="193">
        <v>5200</v>
      </c>
      <c r="U542" s="193">
        <v>5200000000</v>
      </c>
      <c r="V542" s="193">
        <v>5400</v>
      </c>
      <c r="W542" s="193"/>
      <c r="X542" s="193">
        <v>0</v>
      </c>
      <c r="Y542" s="193">
        <v>-3.7</v>
      </c>
      <c r="Z542" s="193">
        <v>103.71290000000002</v>
      </c>
      <c r="AA542" s="193">
        <v>140</v>
      </c>
      <c r="AB542" s="193" t="s">
        <v>1281</v>
      </c>
      <c r="AC542" s="193" t="s">
        <v>1488</v>
      </c>
      <c r="AD542" s="193" t="s">
        <v>1909</v>
      </c>
      <c r="AE542" s="193" t="s">
        <v>1966</v>
      </c>
      <c r="AF542" s="193" t="s">
        <v>938</v>
      </c>
      <c r="AG542" s="193" t="s">
        <v>933</v>
      </c>
      <c r="AH542" s="193" t="s">
        <v>938</v>
      </c>
      <c r="AI542" s="193" t="s">
        <v>950</v>
      </c>
      <c r="AJ542" s="193" t="s">
        <v>1431</v>
      </c>
      <c r="AK542" s="193" t="s">
        <v>1431</v>
      </c>
      <c r="AL542" s="193" t="s">
        <v>1431</v>
      </c>
    </row>
    <row r="543" spans="7:38">
      <c r="G543" s="193" t="s">
        <v>1967</v>
      </c>
      <c r="H543" s="193" t="s">
        <v>1968</v>
      </c>
      <c r="I543" s="193" t="s">
        <v>1969</v>
      </c>
      <c r="J543" s="193" t="s">
        <v>1969</v>
      </c>
      <c r="K543" s="193" t="s">
        <v>1601</v>
      </c>
      <c r="L543" s="193"/>
      <c r="M543" s="193"/>
      <c r="N543" s="193">
        <v>10.086242299794661</v>
      </c>
      <c r="O543" s="193"/>
      <c r="P543" s="193">
        <v>135</v>
      </c>
      <c r="Q543" s="193">
        <v>100</v>
      </c>
      <c r="R543" s="193">
        <v>-35</v>
      </c>
      <c r="S543" s="193">
        <v>-3</v>
      </c>
      <c r="T543" s="193">
        <v>5100</v>
      </c>
      <c r="U543" s="193">
        <v>5100000000</v>
      </c>
      <c r="V543" s="193">
        <v>5700</v>
      </c>
      <c r="W543" s="193"/>
      <c r="X543" s="193">
        <v>0</v>
      </c>
      <c r="Y543" s="193">
        <v>-10.53</v>
      </c>
      <c r="Z543" s="193">
        <v>78.424800000000076</v>
      </c>
      <c r="AA543" s="193">
        <v>100</v>
      </c>
      <c r="AB543" s="193" t="s">
        <v>1281</v>
      </c>
      <c r="AC543" s="193" t="s">
        <v>1441</v>
      </c>
      <c r="AD543" s="193" t="s">
        <v>1442</v>
      </c>
      <c r="AE543" s="193" t="s">
        <v>1970</v>
      </c>
      <c r="AF543" s="193" t="s">
        <v>950</v>
      </c>
      <c r="AG543" s="193" t="s">
        <v>874</v>
      </c>
      <c r="AH543" s="193" t="s">
        <v>876</v>
      </c>
      <c r="AI543" s="193" t="s">
        <v>938</v>
      </c>
      <c r="AJ543" s="193" t="s">
        <v>1431</v>
      </c>
      <c r="AK543" s="193" t="s">
        <v>1431</v>
      </c>
      <c r="AL543" s="193" t="s">
        <v>1431</v>
      </c>
    </row>
    <row r="544" spans="7:38">
      <c r="G544" s="193" t="s">
        <v>1971</v>
      </c>
      <c r="H544" s="193" t="s">
        <v>1972</v>
      </c>
      <c r="I544" s="193" t="s">
        <v>1973</v>
      </c>
      <c r="J544" s="193" t="s">
        <v>1973</v>
      </c>
      <c r="K544" s="193" t="s">
        <v>1974</v>
      </c>
      <c r="L544" s="193"/>
      <c r="M544" s="193"/>
      <c r="N544" s="193">
        <v>5.6728268309377139</v>
      </c>
      <c r="O544" s="193"/>
      <c r="P544" s="193">
        <v>155</v>
      </c>
      <c r="Q544" s="193">
        <v>130</v>
      </c>
      <c r="R544" s="193">
        <v>-25</v>
      </c>
      <c r="S544" s="193"/>
      <c r="T544" s="193">
        <v>1700</v>
      </c>
      <c r="U544" s="193">
        <v>1700000000</v>
      </c>
      <c r="V544" s="193">
        <v>2000</v>
      </c>
      <c r="W544" s="193"/>
      <c r="X544" s="193">
        <v>0</v>
      </c>
      <c r="Y544" s="193">
        <v>-15</v>
      </c>
      <c r="Z544" s="193">
        <v>109.37719999999996</v>
      </c>
      <c r="AA544" s="193">
        <v>130</v>
      </c>
      <c r="AB544" s="193" t="s">
        <v>1281</v>
      </c>
      <c r="AC544" s="193" t="s">
        <v>1428</v>
      </c>
      <c r="AD544" s="193" t="s">
        <v>1436</v>
      </c>
      <c r="AE544" s="193" t="s">
        <v>1933</v>
      </c>
      <c r="AF544" s="193" t="s">
        <v>932</v>
      </c>
      <c r="AG544" s="193" t="s">
        <v>875</v>
      </c>
      <c r="AH544" s="193" t="s">
        <v>950</v>
      </c>
      <c r="AI544" s="193" t="s">
        <v>932</v>
      </c>
      <c r="AJ544" s="193" t="s">
        <v>1431</v>
      </c>
      <c r="AK544" s="193" t="s">
        <v>1431</v>
      </c>
      <c r="AL544" s="193" t="s">
        <v>1431</v>
      </c>
    </row>
    <row r="545" spans="7:38">
      <c r="G545" s="193" t="s">
        <v>1975</v>
      </c>
      <c r="H545" s="193" t="s">
        <v>1976</v>
      </c>
      <c r="I545" s="193" t="s">
        <v>1977</v>
      </c>
      <c r="J545" s="193" t="s">
        <v>1977</v>
      </c>
      <c r="K545" s="193" t="s">
        <v>1620</v>
      </c>
      <c r="L545" s="193"/>
      <c r="M545" s="193"/>
      <c r="N545" s="193">
        <v>7.0034223134839149</v>
      </c>
      <c r="O545" s="193"/>
      <c r="P545" s="193">
        <v>120</v>
      </c>
      <c r="Q545" s="193">
        <v>92</v>
      </c>
      <c r="R545" s="193">
        <v>-28</v>
      </c>
      <c r="S545" s="193">
        <v>2</v>
      </c>
      <c r="T545" s="193">
        <v>2400</v>
      </c>
      <c r="U545" s="193">
        <v>2400000000</v>
      </c>
      <c r="V545" s="193">
        <v>2700</v>
      </c>
      <c r="W545" s="193"/>
      <c r="X545" s="193">
        <v>0</v>
      </c>
      <c r="Y545" s="193">
        <v>-11.11</v>
      </c>
      <c r="Z545" s="193">
        <v>67.062799999999982</v>
      </c>
      <c r="AA545" s="193">
        <v>92</v>
      </c>
      <c r="AB545" s="193" t="s">
        <v>1281</v>
      </c>
      <c r="AC545" s="193" t="s">
        <v>1872</v>
      </c>
      <c r="AD545" s="193" t="s">
        <v>1873</v>
      </c>
      <c r="AE545" s="193" t="s">
        <v>1978</v>
      </c>
      <c r="AF545" s="193" t="s">
        <v>938</v>
      </c>
      <c r="AG545" s="193" t="s">
        <v>942</v>
      </c>
      <c r="AH545" s="193" t="s">
        <v>876</v>
      </c>
      <c r="AI545" s="193" t="s">
        <v>938</v>
      </c>
      <c r="AJ545" s="193" t="s">
        <v>1431</v>
      </c>
      <c r="AK545" s="193" t="s">
        <v>1431</v>
      </c>
      <c r="AL545" s="193" t="s">
        <v>1431</v>
      </c>
    </row>
    <row r="546" spans="7:38">
      <c r="G546" s="193" t="s">
        <v>1979</v>
      </c>
      <c r="H546" s="193" t="s">
        <v>1980</v>
      </c>
      <c r="I546" s="193" t="s">
        <v>1981</v>
      </c>
      <c r="J546" s="193" t="s">
        <v>1981</v>
      </c>
      <c r="K546" s="193" t="s">
        <v>1582</v>
      </c>
      <c r="L546" s="193"/>
      <c r="M546" s="193"/>
      <c r="N546" s="193">
        <v>29.998631074606433</v>
      </c>
      <c r="O546" s="193"/>
      <c r="P546" s="193">
        <v>130</v>
      </c>
      <c r="Q546" s="193">
        <v>103</v>
      </c>
      <c r="R546" s="193">
        <v>-27</v>
      </c>
      <c r="S546" s="193">
        <v>-2</v>
      </c>
      <c r="T546" s="193">
        <v>2150</v>
      </c>
      <c r="U546" s="193">
        <v>2150000000</v>
      </c>
      <c r="V546" s="193">
        <v>3250</v>
      </c>
      <c r="W546" s="193"/>
      <c r="X546" s="193">
        <v>0</v>
      </c>
      <c r="Y546" s="193">
        <v>-33.85</v>
      </c>
      <c r="Z546" s="193">
        <v>81.089199999999991</v>
      </c>
      <c r="AA546" s="193">
        <v>103</v>
      </c>
      <c r="AB546" s="193" t="s">
        <v>1281</v>
      </c>
      <c r="AC546" s="193" t="s">
        <v>1441</v>
      </c>
      <c r="AD546" s="193" t="s">
        <v>1442</v>
      </c>
      <c r="AE546" s="193" t="s">
        <v>1443</v>
      </c>
      <c r="AF546" s="193" t="s">
        <v>876</v>
      </c>
      <c r="AG546" s="193" t="s">
        <v>998</v>
      </c>
      <c r="AH546" s="193" t="s">
        <v>1432</v>
      </c>
      <c r="AI546" s="193" t="s">
        <v>953</v>
      </c>
      <c r="AJ546" s="193" t="s">
        <v>1431</v>
      </c>
      <c r="AK546" s="193" t="s">
        <v>1431</v>
      </c>
      <c r="AL546" s="193" t="s">
        <v>1431</v>
      </c>
    </row>
    <row r="547" spans="7:38">
      <c r="G547" s="193" t="s">
        <v>1982</v>
      </c>
      <c r="H547" s="193" t="s">
        <v>1983</v>
      </c>
      <c r="I547" s="193" t="s">
        <v>1984</v>
      </c>
      <c r="J547" s="193" t="s">
        <v>1984</v>
      </c>
      <c r="K547" s="193" t="s">
        <v>1985</v>
      </c>
      <c r="L547" s="193"/>
      <c r="M547" s="193"/>
      <c r="N547" s="193">
        <v>5.1964407939767279</v>
      </c>
      <c r="O547" s="193"/>
      <c r="P547" s="193">
        <v>140</v>
      </c>
      <c r="Q547" s="193">
        <v>110</v>
      </c>
      <c r="R547" s="193">
        <v>-30</v>
      </c>
      <c r="S547" s="193"/>
      <c r="T547" s="193">
        <v>2000</v>
      </c>
      <c r="U547" s="193">
        <v>2000000000</v>
      </c>
      <c r="V547" s="193">
        <v>2850</v>
      </c>
      <c r="W547" s="193"/>
      <c r="X547" s="193">
        <v>0</v>
      </c>
      <c r="Y547" s="193">
        <v>-29.82</v>
      </c>
      <c r="Z547" s="193">
        <v>72.186600000000027</v>
      </c>
      <c r="AA547" s="193">
        <v>110</v>
      </c>
      <c r="AB547" s="193" t="s">
        <v>1281</v>
      </c>
      <c r="AC547" s="193" t="s">
        <v>1433</v>
      </c>
      <c r="AD547" s="193" t="s">
        <v>1940</v>
      </c>
      <c r="AE547" s="193" t="s">
        <v>1941</v>
      </c>
      <c r="AF547" s="193" t="s">
        <v>932</v>
      </c>
      <c r="AG547" s="193" t="s">
        <v>875</v>
      </c>
      <c r="AH547" s="193" t="s">
        <v>950</v>
      </c>
      <c r="AI547" s="193" t="s">
        <v>932</v>
      </c>
      <c r="AJ547" s="193" t="s">
        <v>1431</v>
      </c>
      <c r="AK547" s="193" t="s">
        <v>1431</v>
      </c>
      <c r="AL547" s="193" t="s">
        <v>1431</v>
      </c>
    </row>
    <row r="548" spans="7:38">
      <c r="G548" s="193" t="s">
        <v>1986</v>
      </c>
      <c r="H548" s="193" t="s">
        <v>1987</v>
      </c>
      <c r="I548" s="193" t="s">
        <v>1988</v>
      </c>
      <c r="J548" s="193" t="s">
        <v>1988</v>
      </c>
      <c r="K548" s="193" t="s">
        <v>1989</v>
      </c>
      <c r="L548" s="193"/>
      <c r="M548" s="193"/>
      <c r="N548" s="193">
        <v>10.080766598220396</v>
      </c>
      <c r="O548" s="193"/>
      <c r="P548" s="193">
        <v>262.5</v>
      </c>
      <c r="Q548" s="193">
        <v>237.5</v>
      </c>
      <c r="R548" s="193">
        <v>-25</v>
      </c>
      <c r="S548" s="193"/>
      <c r="T548" s="193">
        <v>950</v>
      </c>
      <c r="U548" s="193">
        <v>950000000</v>
      </c>
      <c r="V548" s="193">
        <v>1050</v>
      </c>
      <c r="W548" s="193"/>
      <c r="X548" s="193">
        <v>0</v>
      </c>
      <c r="Y548" s="193">
        <v>-9.52</v>
      </c>
      <c r="Z548" s="193">
        <v>174.40109999999996</v>
      </c>
      <c r="AA548" s="193">
        <v>237.5</v>
      </c>
      <c r="AB548" s="193" t="s">
        <v>1281</v>
      </c>
      <c r="AC548" s="193" t="s">
        <v>1428</v>
      </c>
      <c r="AD548" s="193" t="s">
        <v>1437</v>
      </c>
      <c r="AE548" s="193" t="s">
        <v>1457</v>
      </c>
      <c r="AF548" s="193" t="s">
        <v>932</v>
      </c>
      <c r="AG548" s="193" t="s">
        <v>1432</v>
      </c>
      <c r="AH548" s="193" t="s">
        <v>950</v>
      </c>
      <c r="AI548" s="193" t="s">
        <v>932</v>
      </c>
      <c r="AJ548" s="193" t="s">
        <v>1431</v>
      </c>
      <c r="AK548" s="193" t="s">
        <v>1431</v>
      </c>
      <c r="AL548" s="193" t="s">
        <v>1431</v>
      </c>
    </row>
    <row r="549" spans="7:38">
      <c r="G549" s="193" t="s">
        <v>1990</v>
      </c>
      <c r="H549" s="193" t="s">
        <v>1950</v>
      </c>
      <c r="I549" s="193" t="s">
        <v>1991</v>
      </c>
      <c r="J549" s="193" t="s">
        <v>1991</v>
      </c>
      <c r="K549" s="193" t="s">
        <v>1559</v>
      </c>
      <c r="L549" s="193"/>
      <c r="M549" s="193"/>
      <c r="N549" s="193">
        <v>5.9986310746064335</v>
      </c>
      <c r="O549" s="193"/>
      <c r="P549" s="193">
        <v>155</v>
      </c>
      <c r="Q549" s="193">
        <v>125</v>
      </c>
      <c r="R549" s="193">
        <v>-30</v>
      </c>
      <c r="S549" s="193">
        <v>5</v>
      </c>
      <c r="T549" s="193">
        <v>6950</v>
      </c>
      <c r="U549" s="193">
        <v>6950000000</v>
      </c>
      <c r="V549" s="193">
        <v>8000</v>
      </c>
      <c r="W549" s="193"/>
      <c r="X549" s="193">
        <v>0</v>
      </c>
      <c r="Y549" s="193">
        <v>-13.12</v>
      </c>
      <c r="Z549" s="193">
        <v>84.90809999999999</v>
      </c>
      <c r="AA549" s="193">
        <v>125</v>
      </c>
      <c r="AB549" s="193" t="s">
        <v>1281</v>
      </c>
      <c r="AC549" s="193" t="s">
        <v>1428</v>
      </c>
      <c r="AD549" s="193" t="s">
        <v>1429</v>
      </c>
      <c r="AE549" s="193" t="s">
        <v>1460</v>
      </c>
      <c r="AF549" s="193" t="s">
        <v>938</v>
      </c>
      <c r="AG549" s="193" t="s">
        <v>942</v>
      </c>
      <c r="AH549" s="193" t="s">
        <v>953</v>
      </c>
      <c r="AI549" s="193" t="s">
        <v>938</v>
      </c>
      <c r="AJ549" s="193" t="s">
        <v>1431</v>
      </c>
      <c r="AK549" s="193" t="s">
        <v>1431</v>
      </c>
      <c r="AL549" s="193" t="s">
        <v>1431</v>
      </c>
    </row>
    <row r="550" spans="7:38">
      <c r="G550" s="193" t="s">
        <v>1992</v>
      </c>
      <c r="H550" s="193" t="s">
        <v>1950</v>
      </c>
      <c r="I550" s="193" t="s">
        <v>1993</v>
      </c>
      <c r="J550" s="193" t="s">
        <v>1993</v>
      </c>
      <c r="K550" s="193" t="s">
        <v>1559</v>
      </c>
      <c r="L550" s="193"/>
      <c r="M550" s="193"/>
      <c r="N550" s="193">
        <v>5.9986310746064335</v>
      </c>
      <c r="O550" s="193"/>
      <c r="P550" s="193"/>
      <c r="Q550" s="193">
        <v>157</v>
      </c>
      <c r="R550" s="193"/>
      <c r="S550" s="193"/>
      <c r="T550" s="193">
        <v>5750</v>
      </c>
      <c r="U550" s="193">
        <v>5750000000</v>
      </c>
      <c r="V550" s="193">
        <v>5800</v>
      </c>
      <c r="W550" s="193"/>
      <c r="X550" s="193">
        <v>0</v>
      </c>
      <c r="Y550" s="193">
        <v>-0.86</v>
      </c>
      <c r="Z550" s="193" t="s">
        <v>1432</v>
      </c>
      <c r="AA550" s="193" t="s">
        <v>1432</v>
      </c>
      <c r="AB550" s="193" t="s">
        <v>1281</v>
      </c>
      <c r="AC550" s="193" t="s">
        <v>1428</v>
      </c>
      <c r="AD550" s="193" t="s">
        <v>1429</v>
      </c>
      <c r="AE550" s="193" t="s">
        <v>1460</v>
      </c>
      <c r="AF550" s="193" t="s">
        <v>938</v>
      </c>
      <c r="AG550" s="193" t="s">
        <v>942</v>
      </c>
      <c r="AH550" s="193" t="s">
        <v>953</v>
      </c>
      <c r="AI550" s="193" t="s">
        <v>938</v>
      </c>
      <c r="AJ550" s="193" t="s">
        <v>1431</v>
      </c>
      <c r="AK550" s="193" t="s">
        <v>1431</v>
      </c>
      <c r="AL550" s="193" t="s">
        <v>1431</v>
      </c>
    </row>
    <row r="551" spans="7:38">
      <c r="G551" s="193" t="s">
        <v>1994</v>
      </c>
      <c r="H551" s="193" t="s">
        <v>1950</v>
      </c>
      <c r="I551" s="193" t="s">
        <v>1995</v>
      </c>
      <c r="J551" s="193" t="s">
        <v>1995</v>
      </c>
      <c r="K551" s="193" t="s">
        <v>1559</v>
      </c>
      <c r="L551" s="193"/>
      <c r="M551" s="193"/>
      <c r="N551" s="193">
        <v>11.000684462696784</v>
      </c>
      <c r="O551" s="193"/>
      <c r="P551" s="193">
        <v>170</v>
      </c>
      <c r="Q551" s="193">
        <v>140</v>
      </c>
      <c r="R551" s="193">
        <v>-30</v>
      </c>
      <c r="S551" s="193">
        <v>5</v>
      </c>
      <c r="T551" s="193">
        <v>7800</v>
      </c>
      <c r="U551" s="193">
        <v>7800000000</v>
      </c>
      <c r="V551" s="193">
        <v>8650</v>
      </c>
      <c r="W551" s="193"/>
      <c r="X551" s="193">
        <v>0</v>
      </c>
      <c r="Y551" s="193">
        <v>-9.83</v>
      </c>
      <c r="Z551" s="193">
        <v>98.355200000000039</v>
      </c>
      <c r="AA551" s="193">
        <v>140</v>
      </c>
      <c r="AB551" s="193" t="s">
        <v>1281</v>
      </c>
      <c r="AC551" s="193" t="s">
        <v>1428</v>
      </c>
      <c r="AD551" s="193" t="s">
        <v>1429</v>
      </c>
      <c r="AE551" s="193" t="s">
        <v>1460</v>
      </c>
      <c r="AF551" s="193" t="s">
        <v>938</v>
      </c>
      <c r="AG551" s="193" t="s">
        <v>942</v>
      </c>
      <c r="AH551" s="193" t="s">
        <v>953</v>
      </c>
      <c r="AI551" s="193" t="s">
        <v>938</v>
      </c>
      <c r="AJ551" s="193" t="s">
        <v>1431</v>
      </c>
      <c r="AK551" s="193" t="s">
        <v>1431</v>
      </c>
      <c r="AL551" s="193" t="s">
        <v>1431</v>
      </c>
    </row>
    <row r="552" spans="7:38">
      <c r="G552" s="193" t="s">
        <v>1996</v>
      </c>
      <c r="H552" s="193" t="s">
        <v>1997</v>
      </c>
      <c r="I552" s="193" t="s">
        <v>1998</v>
      </c>
      <c r="J552" s="193" t="s">
        <v>1998</v>
      </c>
      <c r="K552" s="193" t="s">
        <v>1999</v>
      </c>
      <c r="L552" s="193"/>
      <c r="M552" s="193"/>
      <c r="N552" s="193">
        <v>5.9986310746064335</v>
      </c>
      <c r="O552" s="193"/>
      <c r="P552" s="193">
        <v>165</v>
      </c>
      <c r="Q552" s="193">
        <v>133</v>
      </c>
      <c r="R552" s="193">
        <v>-32</v>
      </c>
      <c r="S552" s="193">
        <v>6</v>
      </c>
      <c r="T552" s="193">
        <v>6200</v>
      </c>
      <c r="U552" s="193">
        <v>6200000000</v>
      </c>
      <c r="V552" s="193">
        <v>6500</v>
      </c>
      <c r="W552" s="193"/>
      <c r="X552" s="193">
        <v>0</v>
      </c>
      <c r="Y552" s="193">
        <v>-4.62</v>
      </c>
      <c r="Z552" s="193">
        <v>97.11660000000002</v>
      </c>
      <c r="AA552" s="193">
        <v>133</v>
      </c>
      <c r="AB552" s="193" t="s">
        <v>1281</v>
      </c>
      <c r="AC552" s="193" t="s">
        <v>1428</v>
      </c>
      <c r="AD552" s="193" t="s">
        <v>1429</v>
      </c>
      <c r="AE552" s="193" t="s">
        <v>1430</v>
      </c>
      <c r="AF552" s="193" t="s">
        <v>932</v>
      </c>
      <c r="AG552" s="193" t="s">
        <v>942</v>
      </c>
      <c r="AH552" s="193" t="s">
        <v>1432</v>
      </c>
      <c r="AI552" s="193" t="s">
        <v>950</v>
      </c>
      <c r="AJ552" s="193" t="s">
        <v>1431</v>
      </c>
      <c r="AK552" s="193" t="s">
        <v>1431</v>
      </c>
      <c r="AL552" s="193" t="s">
        <v>1431</v>
      </c>
    </row>
    <row r="553" spans="7:38">
      <c r="G553" s="193" t="s">
        <v>2000</v>
      </c>
      <c r="H553" s="193" t="s">
        <v>2001</v>
      </c>
      <c r="I553" s="193" t="s">
        <v>2002</v>
      </c>
      <c r="J553" s="193" t="s">
        <v>2002</v>
      </c>
      <c r="K553" s="193" t="s">
        <v>1621</v>
      </c>
      <c r="L553" s="193"/>
      <c r="M553" s="193"/>
      <c r="N553" s="193">
        <v>7.1731690622861057</v>
      </c>
      <c r="O553" s="193"/>
      <c r="P553" s="193">
        <v>130</v>
      </c>
      <c r="Q553" s="193">
        <v>95</v>
      </c>
      <c r="R553" s="193">
        <v>-35</v>
      </c>
      <c r="S553" s="193">
        <v>-5</v>
      </c>
      <c r="T553" s="193">
        <v>1900</v>
      </c>
      <c r="U553" s="193">
        <v>1900000000</v>
      </c>
      <c r="V553" s="193">
        <v>2800</v>
      </c>
      <c r="W553" s="193"/>
      <c r="X553" s="193">
        <v>0</v>
      </c>
      <c r="Y553" s="193">
        <v>-32.14</v>
      </c>
      <c r="Z553" s="193">
        <v>67.817099999999982</v>
      </c>
      <c r="AA553" s="193">
        <v>95</v>
      </c>
      <c r="AB553" s="193" t="s">
        <v>1281</v>
      </c>
      <c r="AC553" s="193" t="s">
        <v>1428</v>
      </c>
      <c r="AD553" s="193" t="s">
        <v>1436</v>
      </c>
      <c r="AE553" s="193" t="s">
        <v>1931</v>
      </c>
      <c r="AF553" s="193" t="s">
        <v>938</v>
      </c>
      <c r="AG553" s="193" t="s">
        <v>942</v>
      </c>
      <c r="AH553" s="193" t="s">
        <v>1432</v>
      </c>
      <c r="AI553" s="193" t="s">
        <v>938</v>
      </c>
      <c r="AJ553" s="193" t="s">
        <v>1431</v>
      </c>
      <c r="AK553" s="193" t="s">
        <v>1431</v>
      </c>
      <c r="AL553" s="193" t="s">
        <v>1431</v>
      </c>
    </row>
    <row r="554" spans="7:38">
      <c r="G554" s="193" t="s">
        <v>2003</v>
      </c>
      <c r="H554" s="193" t="s">
        <v>1900</v>
      </c>
      <c r="I554" s="193" t="s">
        <v>2004</v>
      </c>
      <c r="J554" s="193" t="s">
        <v>2004</v>
      </c>
      <c r="K554" s="193" t="s">
        <v>1596</v>
      </c>
      <c r="L554" s="193"/>
      <c r="M554" s="193"/>
      <c r="N554" s="193">
        <v>3.0006844626967832</v>
      </c>
      <c r="O554" s="193"/>
      <c r="P554" s="193">
        <v>125</v>
      </c>
      <c r="Q554" s="193">
        <v>105</v>
      </c>
      <c r="R554" s="193">
        <v>-20</v>
      </c>
      <c r="S554" s="193">
        <v>3</v>
      </c>
      <c r="T554" s="193">
        <v>1000</v>
      </c>
      <c r="U554" s="193">
        <v>1000000000</v>
      </c>
      <c r="V554" s="193">
        <v>1300</v>
      </c>
      <c r="W554" s="193"/>
      <c r="X554" s="193">
        <v>0</v>
      </c>
      <c r="Y554" s="193">
        <v>-23.08</v>
      </c>
      <c r="Z554" s="193">
        <v>72.256300000000053</v>
      </c>
      <c r="AA554" s="193">
        <v>105</v>
      </c>
      <c r="AB554" s="193" t="s">
        <v>1281</v>
      </c>
      <c r="AC554" s="193" t="s">
        <v>1428</v>
      </c>
      <c r="AD554" s="193" t="s">
        <v>1437</v>
      </c>
      <c r="AE554" s="193" t="s">
        <v>1896</v>
      </c>
      <c r="AF554" s="193" t="s">
        <v>953</v>
      </c>
      <c r="AG554" s="193" t="s">
        <v>939</v>
      </c>
      <c r="AH554" s="193" t="s">
        <v>953</v>
      </c>
      <c r="AI554" s="193" t="s">
        <v>953</v>
      </c>
      <c r="AJ554" s="193" t="s">
        <v>1431</v>
      </c>
      <c r="AK554" s="193" t="s">
        <v>1431</v>
      </c>
      <c r="AL554" s="193" t="s">
        <v>1431</v>
      </c>
    </row>
    <row r="555" spans="7:38">
      <c r="G555" s="193" t="s">
        <v>2005</v>
      </c>
      <c r="H555" s="193" t="s">
        <v>1426</v>
      </c>
      <c r="I555" s="193" t="s">
        <v>2006</v>
      </c>
      <c r="J555" s="193" t="s">
        <v>2006</v>
      </c>
      <c r="K555" s="193" t="s">
        <v>1427</v>
      </c>
      <c r="L555" s="193"/>
      <c r="M555" s="193"/>
      <c r="N555" s="193">
        <v>5.9986310746064335</v>
      </c>
      <c r="O555" s="193"/>
      <c r="P555" s="193">
        <v>165</v>
      </c>
      <c r="Q555" s="193">
        <v>135</v>
      </c>
      <c r="R555" s="193">
        <v>-30</v>
      </c>
      <c r="S555" s="193">
        <v>10</v>
      </c>
      <c r="T555" s="193">
        <v>4200</v>
      </c>
      <c r="U555" s="193">
        <v>4200000000</v>
      </c>
      <c r="V555" s="193">
        <v>5000</v>
      </c>
      <c r="W555" s="193"/>
      <c r="X555" s="193">
        <v>0</v>
      </c>
      <c r="Y555" s="193">
        <v>-16</v>
      </c>
      <c r="Z555" s="193">
        <v>92.285199999999975</v>
      </c>
      <c r="AA555" s="193">
        <v>135</v>
      </c>
      <c r="AB555" s="193" t="s">
        <v>1281</v>
      </c>
      <c r="AC555" s="193" t="s">
        <v>1428</v>
      </c>
      <c r="AD555" s="193" t="s">
        <v>1429</v>
      </c>
      <c r="AE555" s="193" t="s">
        <v>1430</v>
      </c>
      <c r="AF555" s="193" t="s">
        <v>950</v>
      </c>
      <c r="AG555" s="193" t="s">
        <v>942</v>
      </c>
      <c r="AH555" s="193" t="s">
        <v>876</v>
      </c>
      <c r="AI555" s="193" t="s">
        <v>938</v>
      </c>
      <c r="AJ555" s="193" t="s">
        <v>1431</v>
      </c>
      <c r="AK555" s="193" t="s">
        <v>1431</v>
      </c>
      <c r="AL555" s="193" t="s">
        <v>1431</v>
      </c>
    </row>
    <row r="556" spans="7:38">
      <c r="G556" s="193" t="s">
        <v>2007</v>
      </c>
      <c r="H556" s="193" t="s">
        <v>1426</v>
      </c>
      <c r="I556" s="193" t="s">
        <v>2008</v>
      </c>
      <c r="J556" s="193" t="s">
        <v>2008</v>
      </c>
      <c r="K556" s="193" t="s">
        <v>1427</v>
      </c>
      <c r="L556" s="193"/>
      <c r="M556" s="193"/>
      <c r="N556" s="193">
        <v>5.9986310746064335</v>
      </c>
      <c r="O556" s="193"/>
      <c r="P556" s="193"/>
      <c r="Q556" s="193">
        <v>168</v>
      </c>
      <c r="R556" s="193"/>
      <c r="S556" s="193"/>
      <c r="T556" s="193">
        <v>3000</v>
      </c>
      <c r="U556" s="193">
        <v>3000000000</v>
      </c>
      <c r="V556" s="193">
        <v>3750</v>
      </c>
      <c r="W556" s="193"/>
      <c r="X556" s="193">
        <v>0</v>
      </c>
      <c r="Y556" s="193">
        <v>-20</v>
      </c>
      <c r="Z556" s="193" t="s">
        <v>1432</v>
      </c>
      <c r="AA556" s="193" t="s">
        <v>1432</v>
      </c>
      <c r="AB556" s="193" t="s">
        <v>1281</v>
      </c>
      <c r="AC556" s="193" t="s">
        <v>1428</v>
      </c>
      <c r="AD556" s="193" t="s">
        <v>1429</v>
      </c>
      <c r="AE556" s="193" t="s">
        <v>1430</v>
      </c>
      <c r="AF556" s="193" t="s">
        <v>950</v>
      </c>
      <c r="AG556" s="193" t="s">
        <v>942</v>
      </c>
      <c r="AH556" s="193" t="s">
        <v>876</v>
      </c>
      <c r="AI556" s="193" t="s">
        <v>938</v>
      </c>
      <c r="AJ556" s="193" t="s">
        <v>1431</v>
      </c>
      <c r="AK556" s="193" t="s">
        <v>1431</v>
      </c>
      <c r="AL556" s="193" t="s">
        <v>1431</v>
      </c>
    </row>
    <row r="557" spans="7:38">
      <c r="G557" s="193" t="s">
        <v>2009</v>
      </c>
      <c r="H557" s="193" t="s">
        <v>2010</v>
      </c>
      <c r="I557" s="193" t="s">
        <v>2011</v>
      </c>
      <c r="J557" s="193" t="s">
        <v>2011</v>
      </c>
      <c r="K557" s="193" t="s">
        <v>2012</v>
      </c>
      <c r="L557" s="193"/>
      <c r="M557" s="193"/>
      <c r="N557" s="193">
        <v>7.0006844626967828</v>
      </c>
      <c r="O557" s="193"/>
      <c r="P557" s="193">
        <v>210</v>
      </c>
      <c r="Q557" s="193">
        <v>175</v>
      </c>
      <c r="R557" s="193">
        <v>-35</v>
      </c>
      <c r="S557" s="193"/>
      <c r="T557" s="193">
        <v>2450</v>
      </c>
      <c r="U557" s="193">
        <v>2450000000</v>
      </c>
      <c r="V557" s="193">
        <v>2900</v>
      </c>
      <c r="W557" s="193"/>
      <c r="X557" s="193">
        <v>0</v>
      </c>
      <c r="Y557" s="193">
        <v>-15.52</v>
      </c>
      <c r="Z557" s="193">
        <v>134.32729999999998</v>
      </c>
      <c r="AA557" s="193">
        <v>175</v>
      </c>
      <c r="AB557" s="193" t="s">
        <v>1281</v>
      </c>
      <c r="AC557" s="193" t="s">
        <v>1872</v>
      </c>
      <c r="AD557" s="193" t="s">
        <v>2013</v>
      </c>
      <c r="AE557" s="193" t="s">
        <v>2014</v>
      </c>
      <c r="AF557" s="193" t="s">
        <v>877</v>
      </c>
      <c r="AG557" s="193" t="s">
        <v>969</v>
      </c>
      <c r="AH557" s="193" t="s">
        <v>1432</v>
      </c>
      <c r="AI557" s="193" t="s">
        <v>877</v>
      </c>
      <c r="AJ557" s="193" t="s">
        <v>1431</v>
      </c>
      <c r="AK557" s="193" t="s">
        <v>1431</v>
      </c>
      <c r="AL557" s="193" t="s">
        <v>1431</v>
      </c>
    </row>
    <row r="558" spans="7:38">
      <c r="G558" s="193" t="s">
        <v>2015</v>
      </c>
      <c r="H558" s="193" t="s">
        <v>2016</v>
      </c>
      <c r="I558" s="193" t="s">
        <v>2017</v>
      </c>
      <c r="J558" s="193" t="s">
        <v>2017</v>
      </c>
      <c r="K558" s="193" t="s">
        <v>2018</v>
      </c>
      <c r="L558" s="193"/>
      <c r="M558" s="193"/>
      <c r="N558" s="193">
        <v>4.9993155373032172</v>
      </c>
      <c r="O558" s="193"/>
      <c r="P558" s="193">
        <v>110</v>
      </c>
      <c r="Q558" s="193">
        <v>72</v>
      </c>
      <c r="R558" s="193">
        <v>-38</v>
      </c>
      <c r="S558" s="193"/>
      <c r="T558" s="193">
        <v>2300</v>
      </c>
      <c r="U558" s="193">
        <v>2300000000</v>
      </c>
      <c r="V558" s="193"/>
      <c r="W558" s="193"/>
      <c r="X558" s="193"/>
      <c r="Y558" s="193"/>
      <c r="Z558" s="193">
        <v>39.813800000000029</v>
      </c>
      <c r="AA558" s="193">
        <v>72</v>
      </c>
      <c r="AB558" s="193" t="s">
        <v>1281</v>
      </c>
      <c r="AC558" s="193" t="s">
        <v>1428</v>
      </c>
      <c r="AD558" s="193" t="s">
        <v>1429</v>
      </c>
      <c r="AE558" s="193" t="s">
        <v>1430</v>
      </c>
      <c r="AF558" s="193" t="s">
        <v>953</v>
      </c>
      <c r="AG558" s="193" t="s">
        <v>998</v>
      </c>
      <c r="AH558" s="193" t="s">
        <v>876</v>
      </c>
      <c r="AI558" s="193" t="s">
        <v>953</v>
      </c>
      <c r="AJ558" s="193" t="s">
        <v>1431</v>
      </c>
      <c r="AK558" s="193" t="s">
        <v>1450</v>
      </c>
      <c r="AL558" s="193" t="s">
        <v>1431</v>
      </c>
    </row>
    <row r="559" spans="7:38">
      <c r="G559" s="193" t="s">
        <v>2019</v>
      </c>
      <c r="H559" s="193" t="s">
        <v>2020</v>
      </c>
      <c r="I559" s="193" t="s">
        <v>2021</v>
      </c>
      <c r="J559" s="193" t="s">
        <v>2021</v>
      </c>
      <c r="K559" s="193" t="s">
        <v>1649</v>
      </c>
      <c r="L559" s="193"/>
      <c r="M559" s="193"/>
      <c r="N559" s="193">
        <v>4.9993155373032172</v>
      </c>
      <c r="O559" s="193"/>
      <c r="P559" s="193">
        <v>90</v>
      </c>
      <c r="Q559" s="193">
        <v>65</v>
      </c>
      <c r="R559" s="193">
        <v>-25</v>
      </c>
      <c r="S559" s="193">
        <v>5</v>
      </c>
      <c r="T559" s="193">
        <v>2000</v>
      </c>
      <c r="U559" s="193">
        <v>2000000000</v>
      </c>
      <c r="V559" s="193">
        <v>2500</v>
      </c>
      <c r="W559" s="193"/>
      <c r="X559" s="193">
        <v>0</v>
      </c>
      <c r="Y559" s="193">
        <v>-20</v>
      </c>
      <c r="Z559" s="193">
        <v>49.489200000000011</v>
      </c>
      <c r="AA559" s="193">
        <v>65</v>
      </c>
      <c r="AB559" s="193" t="s">
        <v>1281</v>
      </c>
      <c r="AC559" s="193" t="s">
        <v>1879</v>
      </c>
      <c r="AD559" s="193" t="s">
        <v>1960</v>
      </c>
      <c r="AE559" s="193" t="s">
        <v>2022</v>
      </c>
      <c r="AF559" s="193" t="s">
        <v>938</v>
      </c>
      <c r="AG559" s="193" t="s">
        <v>942</v>
      </c>
      <c r="AH559" s="193" t="s">
        <v>1432</v>
      </c>
      <c r="AI559" s="193" t="s">
        <v>938</v>
      </c>
      <c r="AJ559" s="193" t="s">
        <v>1431</v>
      </c>
      <c r="AK559" s="193" t="s">
        <v>1431</v>
      </c>
      <c r="AL559" s="193" t="s">
        <v>1431</v>
      </c>
    </row>
    <row r="560" spans="7:38">
      <c r="G560" s="193" t="s">
        <v>2023</v>
      </c>
      <c r="H560" s="193" t="s">
        <v>1894</v>
      </c>
      <c r="I560" s="193" t="s">
        <v>2024</v>
      </c>
      <c r="J560" s="193" t="s">
        <v>2024</v>
      </c>
      <c r="K560" s="193" t="s">
        <v>1547</v>
      </c>
      <c r="L560" s="193"/>
      <c r="M560" s="193"/>
      <c r="N560" s="193">
        <v>1.998631074606434</v>
      </c>
      <c r="O560" s="193"/>
      <c r="P560" s="193">
        <v>100</v>
      </c>
      <c r="Q560" s="193">
        <v>75</v>
      </c>
      <c r="R560" s="193">
        <v>-25</v>
      </c>
      <c r="S560" s="193"/>
      <c r="T560" s="193">
        <v>2500</v>
      </c>
      <c r="U560" s="193">
        <v>2500000000</v>
      </c>
      <c r="V560" s="193">
        <v>2500</v>
      </c>
      <c r="W560" s="193"/>
      <c r="X560" s="193">
        <v>0</v>
      </c>
      <c r="Y560" s="193">
        <v>0</v>
      </c>
      <c r="Z560" s="193">
        <v>63.511499999999984</v>
      </c>
      <c r="AA560" s="193">
        <v>75</v>
      </c>
      <c r="AB560" s="193" t="s">
        <v>1281</v>
      </c>
      <c r="AC560" s="193" t="s">
        <v>1428</v>
      </c>
      <c r="AD560" s="193" t="s">
        <v>1429</v>
      </c>
      <c r="AE560" s="193" t="s">
        <v>1876</v>
      </c>
      <c r="AF560" s="193" t="s">
        <v>876</v>
      </c>
      <c r="AG560" s="193" t="s">
        <v>874</v>
      </c>
      <c r="AH560" s="193" t="s">
        <v>953</v>
      </c>
      <c r="AI560" s="193" t="s">
        <v>876</v>
      </c>
      <c r="AJ560" s="193" t="s">
        <v>1431</v>
      </c>
      <c r="AK560" s="193" t="s">
        <v>1431</v>
      </c>
      <c r="AL560" s="193" t="s">
        <v>1431</v>
      </c>
    </row>
    <row r="561" spans="7:38">
      <c r="G561" s="193" t="s">
        <v>2025</v>
      </c>
      <c r="H561" s="193" t="s">
        <v>1895</v>
      </c>
      <c r="I561" s="193" t="s">
        <v>2026</v>
      </c>
      <c r="J561" s="193" t="s">
        <v>2026</v>
      </c>
      <c r="K561" s="193" t="s">
        <v>1547</v>
      </c>
      <c r="L561" s="193"/>
      <c r="M561" s="193"/>
      <c r="N561" s="193">
        <v>5.9986310746064335</v>
      </c>
      <c r="O561" s="193"/>
      <c r="P561" s="193">
        <v>122.5</v>
      </c>
      <c r="Q561" s="193">
        <v>100</v>
      </c>
      <c r="R561" s="193">
        <v>-23</v>
      </c>
      <c r="S561" s="193">
        <v>7</v>
      </c>
      <c r="T561" s="193">
        <v>3250</v>
      </c>
      <c r="U561" s="193">
        <v>3250000000</v>
      </c>
      <c r="V561" s="193">
        <v>3800</v>
      </c>
      <c r="W561" s="193"/>
      <c r="X561" s="193">
        <v>0</v>
      </c>
      <c r="Y561" s="193">
        <v>-14.47</v>
      </c>
      <c r="Z561" s="193">
        <v>68.537499999999966</v>
      </c>
      <c r="AA561" s="193">
        <v>100</v>
      </c>
      <c r="AB561" s="193" t="s">
        <v>1281</v>
      </c>
      <c r="AC561" s="193" t="s">
        <v>1428</v>
      </c>
      <c r="AD561" s="193" t="s">
        <v>1429</v>
      </c>
      <c r="AE561" s="193" t="s">
        <v>1884</v>
      </c>
      <c r="AF561" s="193" t="s">
        <v>938</v>
      </c>
      <c r="AG561" s="193" t="s">
        <v>942</v>
      </c>
      <c r="AH561" s="193" t="s">
        <v>876</v>
      </c>
      <c r="AI561" s="193" t="s">
        <v>938</v>
      </c>
      <c r="AJ561" s="193" t="s">
        <v>1431</v>
      </c>
      <c r="AK561" s="193" t="s">
        <v>1431</v>
      </c>
      <c r="AL561" s="193" t="s">
        <v>1431</v>
      </c>
    </row>
    <row r="562" spans="7:38">
      <c r="G562" s="193" t="s">
        <v>2027</v>
      </c>
      <c r="H562" s="193" t="s">
        <v>1870</v>
      </c>
      <c r="I562" s="193" t="s">
        <v>2028</v>
      </c>
      <c r="J562" s="193" t="s">
        <v>2028</v>
      </c>
      <c r="K562" s="193" t="s">
        <v>1569</v>
      </c>
      <c r="L562" s="193"/>
      <c r="M562" s="193"/>
      <c r="N562" s="193">
        <v>11.000684462696784</v>
      </c>
      <c r="O562" s="193"/>
      <c r="P562" s="193">
        <v>160</v>
      </c>
      <c r="Q562" s="193">
        <v>128</v>
      </c>
      <c r="R562" s="193">
        <v>-32</v>
      </c>
      <c r="S562" s="193">
        <v>0</v>
      </c>
      <c r="T562" s="193">
        <v>7000</v>
      </c>
      <c r="U562" s="193">
        <v>7000000000</v>
      </c>
      <c r="V562" s="193">
        <v>10300</v>
      </c>
      <c r="W562" s="193"/>
      <c r="X562" s="193">
        <v>0</v>
      </c>
      <c r="Y562" s="193">
        <v>-32.04</v>
      </c>
      <c r="Z562" s="193">
        <v>96.490900000000039</v>
      </c>
      <c r="AA562" s="193">
        <v>128</v>
      </c>
      <c r="AB562" s="193" t="s">
        <v>1281</v>
      </c>
      <c r="AC562" s="193" t="s">
        <v>1428</v>
      </c>
      <c r="AD562" s="193" t="s">
        <v>1429</v>
      </c>
      <c r="AE562" s="193" t="s">
        <v>1460</v>
      </c>
      <c r="AF562" s="193" t="s">
        <v>938</v>
      </c>
      <c r="AG562" s="193" t="s">
        <v>874</v>
      </c>
      <c r="AH562" s="193" t="s">
        <v>876</v>
      </c>
      <c r="AI562" s="193" t="s">
        <v>938</v>
      </c>
      <c r="AJ562" s="193" t="s">
        <v>1431</v>
      </c>
      <c r="AK562" s="193" t="s">
        <v>1431</v>
      </c>
      <c r="AL562" s="193" t="s">
        <v>1431</v>
      </c>
    </row>
    <row r="563" spans="7:38">
      <c r="G563" s="193" t="s">
        <v>2029</v>
      </c>
      <c r="H563" s="193" t="s">
        <v>2030</v>
      </c>
      <c r="I563" s="193" t="s">
        <v>2031</v>
      </c>
      <c r="J563" s="193" t="s">
        <v>2031</v>
      </c>
      <c r="K563" s="193" t="s">
        <v>1610</v>
      </c>
      <c r="L563" s="193"/>
      <c r="M563" s="193"/>
      <c r="N563" s="193">
        <v>3.0198494182067077</v>
      </c>
      <c r="O563" s="193"/>
      <c r="P563" s="193">
        <v>100</v>
      </c>
      <c r="Q563" s="193">
        <v>77</v>
      </c>
      <c r="R563" s="193">
        <v>-23</v>
      </c>
      <c r="S563" s="193">
        <v>7</v>
      </c>
      <c r="T563" s="193">
        <v>2150</v>
      </c>
      <c r="U563" s="193">
        <v>2150000000</v>
      </c>
      <c r="V563" s="193">
        <v>2800</v>
      </c>
      <c r="W563" s="193"/>
      <c r="X563" s="193">
        <v>0</v>
      </c>
      <c r="Y563" s="193">
        <v>-23.21</v>
      </c>
      <c r="Z563" s="193">
        <v>46.678400000000011</v>
      </c>
      <c r="AA563" s="193">
        <v>77</v>
      </c>
      <c r="AB563" s="193" t="s">
        <v>1281</v>
      </c>
      <c r="AC563" s="193" t="s">
        <v>1433</v>
      </c>
      <c r="AD563" s="193" t="s">
        <v>1938</v>
      </c>
      <c r="AE563" s="193" t="s">
        <v>2032</v>
      </c>
      <c r="AF563" s="193" t="s">
        <v>950</v>
      </c>
      <c r="AG563" s="193" t="s">
        <v>933</v>
      </c>
      <c r="AH563" s="193" t="s">
        <v>1432</v>
      </c>
      <c r="AI563" s="193" t="s">
        <v>950</v>
      </c>
      <c r="AJ563" s="193" t="s">
        <v>1431</v>
      </c>
      <c r="AK563" s="193" t="s">
        <v>1431</v>
      </c>
      <c r="AL563" s="193" t="s">
        <v>1431</v>
      </c>
    </row>
    <row r="564" spans="7:38">
      <c r="G564" s="193" t="s">
        <v>2033</v>
      </c>
      <c r="H564" s="193" t="s">
        <v>2030</v>
      </c>
      <c r="I564" s="193" t="s">
        <v>2034</v>
      </c>
      <c r="J564" s="193" t="s">
        <v>2034</v>
      </c>
      <c r="K564" s="193" t="s">
        <v>1610</v>
      </c>
      <c r="L564" s="193"/>
      <c r="M564" s="193"/>
      <c r="N564" s="193">
        <v>5.0184804928131417</v>
      </c>
      <c r="O564" s="193"/>
      <c r="P564" s="193">
        <v>115</v>
      </c>
      <c r="Q564" s="193">
        <v>90</v>
      </c>
      <c r="R564" s="193">
        <v>-25</v>
      </c>
      <c r="S564" s="193">
        <v>2.5</v>
      </c>
      <c r="T564" s="193">
        <v>2000</v>
      </c>
      <c r="U564" s="193">
        <v>2000000000</v>
      </c>
      <c r="V564" s="193">
        <v>2500</v>
      </c>
      <c r="W564" s="193"/>
      <c r="X564" s="193">
        <v>0</v>
      </c>
      <c r="Y564" s="193">
        <v>-20</v>
      </c>
      <c r="Z564" s="193">
        <v>57.796899999999951</v>
      </c>
      <c r="AA564" s="193">
        <v>90</v>
      </c>
      <c r="AB564" s="193" t="s">
        <v>1281</v>
      </c>
      <c r="AC564" s="193" t="s">
        <v>1433</v>
      </c>
      <c r="AD564" s="193" t="s">
        <v>1938</v>
      </c>
      <c r="AE564" s="193" t="s">
        <v>2032</v>
      </c>
      <c r="AF564" s="193" t="s">
        <v>950</v>
      </c>
      <c r="AG564" s="193" t="s">
        <v>933</v>
      </c>
      <c r="AH564" s="193" t="s">
        <v>1432</v>
      </c>
      <c r="AI564" s="193" t="s">
        <v>950</v>
      </c>
      <c r="AJ564" s="193" t="s">
        <v>1431</v>
      </c>
      <c r="AK564" s="193" t="s">
        <v>1431</v>
      </c>
      <c r="AL564" s="193" t="s">
        <v>1431</v>
      </c>
    </row>
    <row r="565" spans="7:38">
      <c r="G565" s="193" t="s">
        <v>2035</v>
      </c>
      <c r="H565" s="193" t="s">
        <v>2030</v>
      </c>
      <c r="I565" s="193" t="s">
        <v>2036</v>
      </c>
      <c r="J565" s="193" t="s">
        <v>2036</v>
      </c>
      <c r="K565" s="193" t="s">
        <v>1610</v>
      </c>
      <c r="L565" s="193"/>
      <c r="M565" s="193"/>
      <c r="N565" s="193">
        <v>10.017796030116358</v>
      </c>
      <c r="O565" s="193"/>
      <c r="P565" s="193">
        <v>135</v>
      </c>
      <c r="Q565" s="193">
        <v>110</v>
      </c>
      <c r="R565" s="193">
        <v>-25</v>
      </c>
      <c r="S565" s="193">
        <v>5</v>
      </c>
      <c r="T565" s="193">
        <v>2300</v>
      </c>
      <c r="U565" s="193">
        <v>2300000000</v>
      </c>
      <c r="V565" s="193">
        <v>3000</v>
      </c>
      <c r="W565" s="193"/>
      <c r="X565" s="193">
        <v>0</v>
      </c>
      <c r="Y565" s="193">
        <v>-23.33</v>
      </c>
      <c r="Z565" s="193">
        <v>82.373400000000004</v>
      </c>
      <c r="AA565" s="193">
        <v>110</v>
      </c>
      <c r="AB565" s="193" t="s">
        <v>1281</v>
      </c>
      <c r="AC565" s="193" t="s">
        <v>1433</v>
      </c>
      <c r="AD565" s="193" t="s">
        <v>1938</v>
      </c>
      <c r="AE565" s="193" t="s">
        <v>2032</v>
      </c>
      <c r="AF565" s="193" t="s">
        <v>950</v>
      </c>
      <c r="AG565" s="193" t="s">
        <v>933</v>
      </c>
      <c r="AH565" s="193" t="s">
        <v>1432</v>
      </c>
      <c r="AI565" s="193" t="s">
        <v>950</v>
      </c>
      <c r="AJ565" s="193" t="s">
        <v>1431</v>
      </c>
      <c r="AK565" s="193" t="s">
        <v>1431</v>
      </c>
      <c r="AL565" s="193" t="s">
        <v>1431</v>
      </c>
    </row>
    <row r="566" spans="7:38">
      <c r="G566" s="193" t="s">
        <v>2037</v>
      </c>
      <c r="H566" s="193" t="s">
        <v>1875</v>
      </c>
      <c r="I566" s="193" t="s">
        <v>2038</v>
      </c>
      <c r="J566" s="193" t="s">
        <v>2038</v>
      </c>
      <c r="K566" s="193" t="s">
        <v>1548</v>
      </c>
      <c r="L566" s="193"/>
      <c r="M566" s="193"/>
      <c r="N566" s="193">
        <v>5.9986310746064335</v>
      </c>
      <c r="O566" s="193"/>
      <c r="P566" s="193">
        <v>170</v>
      </c>
      <c r="Q566" s="193">
        <v>140</v>
      </c>
      <c r="R566" s="193">
        <v>-30</v>
      </c>
      <c r="S566" s="193">
        <v>8</v>
      </c>
      <c r="T566" s="193">
        <v>5100</v>
      </c>
      <c r="U566" s="193">
        <v>5100000000</v>
      </c>
      <c r="V566" s="193"/>
      <c r="W566" s="193"/>
      <c r="X566" s="193"/>
      <c r="Y566" s="193"/>
      <c r="Z566" s="193">
        <v>98.033299999999997</v>
      </c>
      <c r="AA566" s="193">
        <v>140</v>
      </c>
      <c r="AB566" s="193" t="s">
        <v>1281</v>
      </c>
      <c r="AC566" s="193" t="s">
        <v>1428</v>
      </c>
      <c r="AD566" s="193" t="s">
        <v>1429</v>
      </c>
      <c r="AE566" s="193" t="s">
        <v>1460</v>
      </c>
      <c r="AF566" s="193" t="s">
        <v>932</v>
      </c>
      <c r="AG566" s="193" t="s">
        <v>933</v>
      </c>
      <c r="AH566" s="193" t="s">
        <v>938</v>
      </c>
      <c r="AI566" s="193" t="s">
        <v>950</v>
      </c>
      <c r="AJ566" s="193" t="s">
        <v>1431</v>
      </c>
      <c r="AK566" s="193" t="s">
        <v>1431</v>
      </c>
      <c r="AL566" s="193" t="s">
        <v>1431</v>
      </c>
    </row>
    <row r="567" spans="7:38">
      <c r="G567" s="193" t="s">
        <v>2039</v>
      </c>
      <c r="H567" s="193" t="s">
        <v>2040</v>
      </c>
      <c r="I567" s="193" t="s">
        <v>2041</v>
      </c>
      <c r="J567" s="193" t="s">
        <v>2041</v>
      </c>
      <c r="K567" s="193" t="s">
        <v>1573</v>
      </c>
      <c r="L567" s="193"/>
      <c r="M567" s="193"/>
      <c r="N567" s="193">
        <v>7.0718685831622174</v>
      </c>
      <c r="O567" s="193"/>
      <c r="P567" s="193">
        <v>195</v>
      </c>
      <c r="Q567" s="193">
        <v>180</v>
      </c>
      <c r="R567" s="193">
        <v>-15</v>
      </c>
      <c r="S567" s="193">
        <v>12.5</v>
      </c>
      <c r="T567" s="193">
        <v>1000</v>
      </c>
      <c r="U567" s="193">
        <v>1000000000</v>
      </c>
      <c r="V567" s="193">
        <v>1300</v>
      </c>
      <c r="W567" s="193"/>
      <c r="X567" s="193">
        <v>0</v>
      </c>
      <c r="Y567" s="193">
        <v>-23.08</v>
      </c>
      <c r="Z567" s="193">
        <v>122.92769999999997</v>
      </c>
      <c r="AA567" s="193">
        <v>180</v>
      </c>
      <c r="AB567" s="193" t="s">
        <v>1281</v>
      </c>
      <c r="AC567" s="193" t="s">
        <v>1428</v>
      </c>
      <c r="AD567" s="193" t="s">
        <v>1436</v>
      </c>
      <c r="AE567" s="193" t="s">
        <v>2042</v>
      </c>
      <c r="AF567" s="193" t="s">
        <v>877</v>
      </c>
      <c r="AG567" s="193" t="s">
        <v>969</v>
      </c>
      <c r="AH567" s="193" t="s">
        <v>932</v>
      </c>
      <c r="AI567" s="193" t="s">
        <v>877</v>
      </c>
      <c r="AJ567" s="193" t="s">
        <v>1431</v>
      </c>
      <c r="AK567" s="193" t="s">
        <v>1431</v>
      </c>
      <c r="AL567" s="193" t="s">
        <v>1431</v>
      </c>
    </row>
    <row r="568" spans="7:38">
      <c r="G568" s="193" t="s">
        <v>2043</v>
      </c>
      <c r="H568" s="193" t="s">
        <v>2044</v>
      </c>
      <c r="I568" s="193" t="s">
        <v>2045</v>
      </c>
      <c r="J568" s="193" t="s">
        <v>2045</v>
      </c>
      <c r="K568" s="193" t="s">
        <v>1571</v>
      </c>
      <c r="L568" s="193"/>
      <c r="M568" s="193"/>
      <c r="N568" s="193">
        <v>3.0006844626967832</v>
      </c>
      <c r="O568" s="193"/>
      <c r="P568" s="193">
        <v>80</v>
      </c>
      <c r="Q568" s="193">
        <v>50</v>
      </c>
      <c r="R568" s="193">
        <v>-30</v>
      </c>
      <c r="S568" s="193">
        <v>5</v>
      </c>
      <c r="T568" s="193">
        <v>2250</v>
      </c>
      <c r="U568" s="193">
        <v>2250000000</v>
      </c>
      <c r="V568" s="193">
        <v>2800</v>
      </c>
      <c r="W568" s="193"/>
      <c r="X568" s="193">
        <v>0</v>
      </c>
      <c r="Y568" s="193">
        <v>-19.64</v>
      </c>
      <c r="Z568" s="193">
        <v>32.900900000000007</v>
      </c>
      <c r="AA568" s="193">
        <v>50</v>
      </c>
      <c r="AB568" s="193" t="s">
        <v>1281</v>
      </c>
      <c r="AC568" s="193" t="s">
        <v>1433</v>
      </c>
      <c r="AD568" s="193" t="s">
        <v>1434</v>
      </c>
      <c r="AE568" s="193" t="s">
        <v>1435</v>
      </c>
      <c r="AF568" s="193" t="s">
        <v>876</v>
      </c>
      <c r="AG568" s="193" t="s">
        <v>874</v>
      </c>
      <c r="AH568" s="193" t="s">
        <v>1432</v>
      </c>
      <c r="AI568" s="193" t="s">
        <v>876</v>
      </c>
      <c r="AJ568" s="193" t="s">
        <v>1431</v>
      </c>
      <c r="AK568" s="193" t="s">
        <v>1431</v>
      </c>
      <c r="AL568" s="193" t="s">
        <v>1431</v>
      </c>
    </row>
    <row r="569" spans="7:38">
      <c r="G569" s="193" t="s">
        <v>2046</v>
      </c>
      <c r="H569" s="193" t="s">
        <v>2044</v>
      </c>
      <c r="I569" s="193" t="s">
        <v>2047</v>
      </c>
      <c r="J569" s="193" t="s">
        <v>2047</v>
      </c>
      <c r="K569" s="193" t="s">
        <v>1571</v>
      </c>
      <c r="L569" s="193"/>
      <c r="M569" s="193"/>
      <c r="N569" s="193">
        <v>5.7713894592744692</v>
      </c>
      <c r="O569" s="193"/>
      <c r="P569" s="193">
        <v>100</v>
      </c>
      <c r="Q569" s="193">
        <v>80</v>
      </c>
      <c r="R569" s="193">
        <v>-20</v>
      </c>
      <c r="S569" s="193">
        <v>12</v>
      </c>
      <c r="T569" s="193">
        <v>1850</v>
      </c>
      <c r="U569" s="193">
        <v>1850000000</v>
      </c>
      <c r="V569" s="193">
        <v>2050</v>
      </c>
      <c r="W569" s="193"/>
      <c r="X569" s="193">
        <v>0</v>
      </c>
      <c r="Y569" s="193">
        <v>-9.76</v>
      </c>
      <c r="Z569" s="193">
        <v>62.428499999999957</v>
      </c>
      <c r="AA569" s="193">
        <v>80</v>
      </c>
      <c r="AB569" s="193" t="s">
        <v>1281</v>
      </c>
      <c r="AC569" s="193" t="s">
        <v>1433</v>
      </c>
      <c r="AD569" s="193" t="s">
        <v>1434</v>
      </c>
      <c r="AE569" s="193" t="s">
        <v>1435</v>
      </c>
      <c r="AF569" s="193" t="s">
        <v>876</v>
      </c>
      <c r="AG569" s="193" t="s">
        <v>874</v>
      </c>
      <c r="AH569" s="193" t="s">
        <v>1432</v>
      </c>
      <c r="AI569" s="193" t="s">
        <v>876</v>
      </c>
      <c r="AJ569" s="193" t="s">
        <v>1431</v>
      </c>
      <c r="AK569" s="193" t="s">
        <v>1431</v>
      </c>
      <c r="AL569" s="193" t="s">
        <v>1431</v>
      </c>
    </row>
    <row r="570" spans="7:38">
      <c r="G570" s="193" t="s">
        <v>2048</v>
      </c>
      <c r="H570" s="193" t="s">
        <v>2044</v>
      </c>
      <c r="I570" s="193" t="s">
        <v>2049</v>
      </c>
      <c r="J570" s="193" t="s">
        <v>2049</v>
      </c>
      <c r="K570" s="193" t="s">
        <v>1571</v>
      </c>
      <c r="L570" s="193"/>
      <c r="M570" s="193"/>
      <c r="N570" s="193">
        <v>9.9986310746064344</v>
      </c>
      <c r="O570" s="193"/>
      <c r="P570" s="193">
        <v>120</v>
      </c>
      <c r="Q570" s="193">
        <v>100</v>
      </c>
      <c r="R570" s="193">
        <v>-20</v>
      </c>
      <c r="S570" s="193">
        <v>7</v>
      </c>
      <c r="T570" s="193">
        <v>2900</v>
      </c>
      <c r="U570" s="193">
        <v>2900000000</v>
      </c>
      <c r="V570" s="193">
        <v>2900</v>
      </c>
      <c r="W570" s="193"/>
      <c r="X570" s="193">
        <v>0</v>
      </c>
      <c r="Y570" s="193">
        <v>0</v>
      </c>
      <c r="Z570" s="193">
        <v>74.966000000000037</v>
      </c>
      <c r="AA570" s="193">
        <v>100</v>
      </c>
      <c r="AB570" s="193" t="s">
        <v>1281</v>
      </c>
      <c r="AC570" s="193" t="s">
        <v>1433</v>
      </c>
      <c r="AD570" s="193" t="s">
        <v>1434</v>
      </c>
      <c r="AE570" s="193" t="s">
        <v>1435</v>
      </c>
      <c r="AF570" s="193" t="s">
        <v>876</v>
      </c>
      <c r="AG570" s="193" t="s">
        <v>874</v>
      </c>
      <c r="AH570" s="193" t="s">
        <v>1432</v>
      </c>
      <c r="AI570" s="193" t="s">
        <v>876</v>
      </c>
      <c r="AJ570" s="193" t="s">
        <v>1431</v>
      </c>
      <c r="AK570" s="193" t="s">
        <v>1431</v>
      </c>
      <c r="AL570" s="193" t="s">
        <v>1431</v>
      </c>
    </row>
    <row r="571" spans="7:38">
      <c r="G571" s="193" t="s">
        <v>2050</v>
      </c>
      <c r="H571" s="193" t="s">
        <v>1893</v>
      </c>
      <c r="I571" s="193" t="s">
        <v>2051</v>
      </c>
      <c r="J571" s="193" t="s">
        <v>2051</v>
      </c>
      <c r="K571" s="193" t="s">
        <v>1541</v>
      </c>
      <c r="L571" s="193"/>
      <c r="M571" s="193"/>
      <c r="N571" s="193">
        <v>4</v>
      </c>
      <c r="O571" s="193"/>
      <c r="P571" s="193">
        <v>110</v>
      </c>
      <c r="Q571" s="193">
        <v>85</v>
      </c>
      <c r="R571" s="193">
        <v>-25</v>
      </c>
      <c r="S571" s="193">
        <v>0</v>
      </c>
      <c r="T571" s="193"/>
      <c r="U571" s="193"/>
      <c r="V571" s="193">
        <v>6200</v>
      </c>
      <c r="W571" s="193"/>
      <c r="X571" s="193"/>
      <c r="Y571" s="193"/>
      <c r="Z571" s="193">
        <v>56.944599999999966</v>
      </c>
      <c r="AA571" s="193">
        <v>85</v>
      </c>
      <c r="AB571" s="193" t="s">
        <v>1281</v>
      </c>
      <c r="AC571" s="193" t="s">
        <v>1428</v>
      </c>
      <c r="AD571" s="193" t="s">
        <v>1429</v>
      </c>
      <c r="AE571" s="193" t="s">
        <v>1460</v>
      </c>
      <c r="AF571" s="193" t="s">
        <v>938</v>
      </c>
      <c r="AG571" s="193" t="s">
        <v>939</v>
      </c>
      <c r="AH571" s="193" t="s">
        <v>997</v>
      </c>
      <c r="AI571" s="193" t="s">
        <v>953</v>
      </c>
      <c r="AJ571" s="193" t="s">
        <v>1431</v>
      </c>
      <c r="AK571" s="193" t="s">
        <v>1431</v>
      </c>
      <c r="AL571" s="193" t="s">
        <v>1431</v>
      </c>
    </row>
    <row r="572" spans="7:38">
      <c r="G572" s="193" t="s">
        <v>2052</v>
      </c>
      <c r="H572" s="193" t="s">
        <v>1893</v>
      </c>
      <c r="I572" s="193" t="s">
        <v>2053</v>
      </c>
      <c r="J572" s="193" t="s">
        <v>2053</v>
      </c>
      <c r="K572" s="193" t="s">
        <v>1541</v>
      </c>
      <c r="L572" s="193"/>
      <c r="M572" s="193"/>
      <c r="N572" s="193">
        <v>4</v>
      </c>
      <c r="O572" s="193"/>
      <c r="P572" s="193">
        <v>134</v>
      </c>
      <c r="Q572" s="193">
        <v>110</v>
      </c>
      <c r="R572" s="193">
        <v>-24</v>
      </c>
      <c r="S572" s="193"/>
      <c r="T572" s="193"/>
      <c r="U572" s="193"/>
      <c r="V572" s="193">
        <v>1600</v>
      </c>
      <c r="W572" s="193"/>
      <c r="X572" s="193"/>
      <c r="Y572" s="193"/>
      <c r="Z572" s="193" t="s">
        <v>1432</v>
      </c>
      <c r="AA572" s="193" t="s">
        <v>1432</v>
      </c>
      <c r="AB572" s="193" t="s">
        <v>1281</v>
      </c>
      <c r="AC572" s="193" t="s">
        <v>1428</v>
      </c>
      <c r="AD572" s="193" t="s">
        <v>1429</v>
      </c>
      <c r="AE572" s="193" t="s">
        <v>1460</v>
      </c>
      <c r="AF572" s="193" t="s">
        <v>938</v>
      </c>
      <c r="AG572" s="193" t="s">
        <v>939</v>
      </c>
      <c r="AH572" s="193" t="s">
        <v>997</v>
      </c>
      <c r="AI572" s="193" t="s">
        <v>876</v>
      </c>
      <c r="AJ572" s="193" t="s">
        <v>1431</v>
      </c>
      <c r="AK572" s="193" t="s">
        <v>1431</v>
      </c>
      <c r="AL572" s="193" t="s">
        <v>1431</v>
      </c>
    </row>
    <row r="573" spans="7:38">
      <c r="G573" s="193" t="s">
        <v>2054</v>
      </c>
      <c r="H573" s="193" t="s">
        <v>1893</v>
      </c>
      <c r="I573" s="193" t="s">
        <v>2055</v>
      </c>
      <c r="J573" s="193" t="s">
        <v>2055</v>
      </c>
      <c r="K573" s="193" t="s">
        <v>1541</v>
      </c>
      <c r="L573" s="193"/>
      <c r="M573" s="193"/>
      <c r="N573" s="193">
        <v>11.000684462696784</v>
      </c>
      <c r="O573" s="193"/>
      <c r="P573" s="193">
        <v>140</v>
      </c>
      <c r="Q573" s="193">
        <v>115</v>
      </c>
      <c r="R573" s="193">
        <v>-25</v>
      </c>
      <c r="S573" s="193">
        <v>2</v>
      </c>
      <c r="T573" s="193"/>
      <c r="U573" s="193"/>
      <c r="V573" s="193">
        <v>9900</v>
      </c>
      <c r="W573" s="193"/>
      <c r="X573" s="193"/>
      <c r="Y573" s="193"/>
      <c r="Z573" s="193">
        <v>83.586600000000018</v>
      </c>
      <c r="AA573" s="193">
        <v>115</v>
      </c>
      <c r="AB573" s="193" t="s">
        <v>1281</v>
      </c>
      <c r="AC573" s="193" t="s">
        <v>1428</v>
      </c>
      <c r="AD573" s="193" t="s">
        <v>1429</v>
      </c>
      <c r="AE573" s="193" t="s">
        <v>1460</v>
      </c>
      <c r="AF573" s="193" t="s">
        <v>938</v>
      </c>
      <c r="AG573" s="193" t="s">
        <v>939</v>
      </c>
      <c r="AH573" s="193" t="s">
        <v>997</v>
      </c>
      <c r="AI573" s="193" t="s">
        <v>953</v>
      </c>
      <c r="AJ573" s="193" t="s">
        <v>1431</v>
      </c>
      <c r="AK573" s="193" t="s">
        <v>1431</v>
      </c>
      <c r="AL573" s="193" t="s">
        <v>1431</v>
      </c>
    </row>
    <row r="574" spans="7:38">
      <c r="G574" s="193" t="s">
        <v>2056</v>
      </c>
      <c r="H574" s="193" t="s">
        <v>2057</v>
      </c>
      <c r="I574" s="193" t="s">
        <v>2058</v>
      </c>
      <c r="J574" s="193" t="s">
        <v>2058</v>
      </c>
      <c r="K574" s="193" t="s">
        <v>1581</v>
      </c>
      <c r="L574" s="193"/>
      <c r="M574" s="193"/>
      <c r="N574" s="193">
        <v>9.9986310746064344</v>
      </c>
      <c r="O574" s="193"/>
      <c r="P574" s="193">
        <v>220</v>
      </c>
      <c r="Q574" s="193">
        <v>187</v>
      </c>
      <c r="R574" s="193">
        <v>-33</v>
      </c>
      <c r="S574" s="193">
        <v>2</v>
      </c>
      <c r="T574" s="193">
        <v>3800</v>
      </c>
      <c r="U574" s="193">
        <v>3800000000</v>
      </c>
      <c r="V574" s="193"/>
      <c r="W574" s="193"/>
      <c r="X574" s="193"/>
      <c r="Y574" s="193"/>
      <c r="Z574" s="193">
        <v>143.77870000000001</v>
      </c>
      <c r="AA574" s="193">
        <v>187</v>
      </c>
      <c r="AB574" s="193" t="s">
        <v>1281</v>
      </c>
      <c r="AC574" s="193" t="s">
        <v>1872</v>
      </c>
      <c r="AD574" s="193" t="s">
        <v>1873</v>
      </c>
      <c r="AE574" s="193" t="s">
        <v>2059</v>
      </c>
      <c r="AF574" s="193" t="s">
        <v>932</v>
      </c>
      <c r="AG574" s="193" t="s">
        <v>875</v>
      </c>
      <c r="AH574" s="193" t="s">
        <v>932</v>
      </c>
      <c r="AI574" s="193" t="s">
        <v>932</v>
      </c>
      <c r="AJ574" s="193" t="s">
        <v>1431</v>
      </c>
      <c r="AK574" s="193" t="s">
        <v>1431</v>
      </c>
      <c r="AL574" s="193" t="s">
        <v>1431</v>
      </c>
    </row>
    <row r="575" spans="7:38">
      <c r="G575" s="193" t="s">
        <v>2060</v>
      </c>
      <c r="H575" s="193" t="s">
        <v>2061</v>
      </c>
      <c r="I575" s="193" t="s">
        <v>2062</v>
      </c>
      <c r="J575" s="193" t="s">
        <v>2062</v>
      </c>
      <c r="K575" s="193" t="s">
        <v>1608</v>
      </c>
      <c r="L575" s="193"/>
      <c r="M575" s="193"/>
      <c r="N575" s="193">
        <v>5.0896646132785763</v>
      </c>
      <c r="O575" s="193"/>
      <c r="P575" s="193">
        <v>145</v>
      </c>
      <c r="Q575" s="193">
        <v>117</v>
      </c>
      <c r="R575" s="193">
        <v>-28</v>
      </c>
      <c r="S575" s="193">
        <v>7</v>
      </c>
      <c r="T575" s="193">
        <v>2800</v>
      </c>
      <c r="U575" s="193">
        <v>2800000000</v>
      </c>
      <c r="V575" s="193">
        <v>3300</v>
      </c>
      <c r="W575" s="193"/>
      <c r="X575" s="193">
        <v>0</v>
      </c>
      <c r="Y575" s="193">
        <v>-15.15</v>
      </c>
      <c r="Z575" s="193">
        <v>79.393199999999979</v>
      </c>
      <c r="AA575" s="193">
        <v>117</v>
      </c>
      <c r="AB575" s="193" t="s">
        <v>1281</v>
      </c>
      <c r="AC575" s="193" t="s">
        <v>1428</v>
      </c>
      <c r="AD575" s="193" t="s">
        <v>1436</v>
      </c>
      <c r="AE575" s="193" t="s">
        <v>1920</v>
      </c>
      <c r="AF575" s="193" t="s">
        <v>932</v>
      </c>
      <c r="AG575" s="193" t="s">
        <v>875</v>
      </c>
      <c r="AH575" s="193" t="s">
        <v>1432</v>
      </c>
      <c r="AI575" s="193" t="s">
        <v>932</v>
      </c>
      <c r="AJ575" s="193" t="s">
        <v>1431</v>
      </c>
      <c r="AK575" s="193" t="s">
        <v>1431</v>
      </c>
      <c r="AL575" s="193" t="s">
        <v>1431</v>
      </c>
    </row>
    <row r="576" spans="7:38">
      <c r="G576" s="193" t="s">
        <v>2063</v>
      </c>
      <c r="H576" s="193" t="s">
        <v>2064</v>
      </c>
      <c r="I576" s="193" t="s">
        <v>2065</v>
      </c>
      <c r="J576" s="193" t="s">
        <v>2065</v>
      </c>
      <c r="K576" s="193" t="s">
        <v>1557</v>
      </c>
      <c r="L576" s="193"/>
      <c r="M576" s="193"/>
      <c r="N576" s="193">
        <v>5.678302532511978</v>
      </c>
      <c r="O576" s="193"/>
      <c r="P576" s="193">
        <v>150</v>
      </c>
      <c r="Q576" s="193">
        <v>115</v>
      </c>
      <c r="R576" s="193">
        <v>-35</v>
      </c>
      <c r="S576" s="193">
        <v>10</v>
      </c>
      <c r="T576" s="193">
        <v>3200</v>
      </c>
      <c r="U576" s="193">
        <v>3200000000</v>
      </c>
      <c r="V576" s="193">
        <v>4000</v>
      </c>
      <c r="W576" s="193"/>
      <c r="X576" s="193">
        <v>0</v>
      </c>
      <c r="Y576" s="193">
        <v>-20</v>
      </c>
      <c r="Z576" s="193">
        <v>73.754000000000005</v>
      </c>
      <c r="AA576" s="193">
        <v>115</v>
      </c>
      <c r="AB576" s="193" t="s">
        <v>1281</v>
      </c>
      <c r="AC576" s="193" t="s">
        <v>1447</v>
      </c>
      <c r="AD576" s="193" t="s">
        <v>2066</v>
      </c>
      <c r="AE576" s="193" t="s">
        <v>2067</v>
      </c>
      <c r="AF576" s="193" t="s">
        <v>950</v>
      </c>
      <c r="AG576" s="193" t="s">
        <v>875</v>
      </c>
      <c r="AH576" s="193" t="s">
        <v>1432</v>
      </c>
      <c r="AI576" s="193" t="s">
        <v>932</v>
      </c>
      <c r="AJ576" s="193" t="s">
        <v>1431</v>
      </c>
      <c r="AK576" s="193" t="s">
        <v>1431</v>
      </c>
      <c r="AL576" s="193" t="s">
        <v>1431</v>
      </c>
    </row>
    <row r="577" spans="7:38">
      <c r="G577" s="193" t="s">
        <v>2068</v>
      </c>
      <c r="H577" s="193" t="s">
        <v>2064</v>
      </c>
      <c r="I577" s="193" t="s">
        <v>2069</v>
      </c>
      <c r="J577" s="193" t="s">
        <v>2069</v>
      </c>
      <c r="K577" s="193" t="s">
        <v>1557</v>
      </c>
      <c r="L577" s="193"/>
      <c r="M577" s="193"/>
      <c r="N577" s="193">
        <v>10.00684462696783</v>
      </c>
      <c r="O577" s="193"/>
      <c r="P577" s="193">
        <v>175</v>
      </c>
      <c r="Q577" s="193">
        <v>145</v>
      </c>
      <c r="R577" s="193">
        <v>-30</v>
      </c>
      <c r="S577" s="193">
        <v>15</v>
      </c>
      <c r="T577" s="193">
        <v>4000</v>
      </c>
      <c r="U577" s="193">
        <v>4000000000</v>
      </c>
      <c r="V577" s="193">
        <v>4900</v>
      </c>
      <c r="W577" s="193"/>
      <c r="X577" s="193">
        <v>0</v>
      </c>
      <c r="Y577" s="193">
        <v>-18.37</v>
      </c>
      <c r="Z577" s="193">
        <v>104.15390000000002</v>
      </c>
      <c r="AA577" s="193">
        <v>145</v>
      </c>
      <c r="AB577" s="193" t="s">
        <v>1281</v>
      </c>
      <c r="AC577" s="193" t="s">
        <v>1447</v>
      </c>
      <c r="AD577" s="193" t="s">
        <v>2066</v>
      </c>
      <c r="AE577" s="193" t="s">
        <v>2067</v>
      </c>
      <c r="AF577" s="193" t="s">
        <v>950</v>
      </c>
      <c r="AG577" s="193" t="s">
        <v>875</v>
      </c>
      <c r="AH577" s="193" t="s">
        <v>1432</v>
      </c>
      <c r="AI577" s="193" t="s">
        <v>932</v>
      </c>
      <c r="AJ577" s="193" t="s">
        <v>1431</v>
      </c>
      <c r="AK577" s="193" t="s">
        <v>1431</v>
      </c>
      <c r="AL577" s="193" t="s">
        <v>1431</v>
      </c>
    </row>
    <row r="578" spans="7:38">
      <c r="G578" s="193" t="s">
        <v>2070</v>
      </c>
      <c r="H578" s="193" t="s">
        <v>2064</v>
      </c>
      <c r="I578" s="193" t="s">
        <v>2071</v>
      </c>
      <c r="J578" s="193" t="s">
        <v>2071</v>
      </c>
      <c r="K578" s="193" t="s">
        <v>1557</v>
      </c>
      <c r="L578" s="193"/>
      <c r="M578" s="193"/>
      <c r="N578" s="193">
        <v>30.00684462696783</v>
      </c>
      <c r="O578" s="193"/>
      <c r="P578" s="193">
        <v>200</v>
      </c>
      <c r="Q578" s="193">
        <v>165</v>
      </c>
      <c r="R578" s="193">
        <v>-35</v>
      </c>
      <c r="S578" s="193">
        <v>10</v>
      </c>
      <c r="T578" s="193">
        <v>3200</v>
      </c>
      <c r="U578" s="193">
        <v>3200000000</v>
      </c>
      <c r="V578" s="193">
        <v>5200</v>
      </c>
      <c r="W578" s="193"/>
      <c r="X578" s="193">
        <v>0</v>
      </c>
      <c r="Y578" s="193">
        <v>-38.46</v>
      </c>
      <c r="Z578" s="193">
        <v>133.80760000000001</v>
      </c>
      <c r="AA578" s="193">
        <v>165</v>
      </c>
      <c r="AB578" s="193" t="s">
        <v>1281</v>
      </c>
      <c r="AC578" s="193" t="s">
        <v>1447</v>
      </c>
      <c r="AD578" s="193" t="s">
        <v>2066</v>
      </c>
      <c r="AE578" s="193" t="s">
        <v>2067</v>
      </c>
      <c r="AF578" s="193" t="s">
        <v>950</v>
      </c>
      <c r="AG578" s="193" t="s">
        <v>875</v>
      </c>
      <c r="AH578" s="193" t="s">
        <v>1432</v>
      </c>
      <c r="AI578" s="193" t="s">
        <v>932</v>
      </c>
      <c r="AJ578" s="193" t="s">
        <v>1431</v>
      </c>
      <c r="AK578" s="193" t="s">
        <v>1431</v>
      </c>
      <c r="AL578" s="193" t="s">
        <v>1431</v>
      </c>
    </row>
    <row r="579" spans="7:38">
      <c r="G579" s="193" t="s">
        <v>2072</v>
      </c>
      <c r="H579" s="193" t="s">
        <v>1451</v>
      </c>
      <c r="I579" s="193" t="s">
        <v>2073</v>
      </c>
      <c r="J579" s="193" t="s">
        <v>2073</v>
      </c>
      <c r="K579" s="193" t="s">
        <v>1452</v>
      </c>
      <c r="L579" s="193"/>
      <c r="M579" s="193"/>
      <c r="N579" s="193">
        <v>3.0061601642710474</v>
      </c>
      <c r="O579" s="193"/>
      <c r="P579" s="193">
        <v>110</v>
      </c>
      <c r="Q579" s="193">
        <v>87.5</v>
      </c>
      <c r="R579" s="193">
        <v>-23</v>
      </c>
      <c r="S579" s="193">
        <v>10</v>
      </c>
      <c r="T579" s="193">
        <v>3400</v>
      </c>
      <c r="U579" s="193">
        <v>3400000000</v>
      </c>
      <c r="V579" s="193">
        <v>3750</v>
      </c>
      <c r="W579" s="193"/>
      <c r="X579" s="193">
        <v>0</v>
      </c>
      <c r="Y579" s="193">
        <v>-9.33</v>
      </c>
      <c r="Z579" s="193">
        <v>56.142500000000027</v>
      </c>
      <c r="AA579" s="193">
        <v>87.5</v>
      </c>
      <c r="AB579" s="193" t="s">
        <v>1281</v>
      </c>
      <c r="AC579" s="193" t="s">
        <v>1441</v>
      </c>
      <c r="AD579" s="193" t="s">
        <v>1442</v>
      </c>
      <c r="AE579" s="193" t="s">
        <v>1443</v>
      </c>
      <c r="AF579" s="193" t="s">
        <v>932</v>
      </c>
      <c r="AG579" s="193" t="s">
        <v>875</v>
      </c>
      <c r="AH579" s="193" t="s">
        <v>950</v>
      </c>
      <c r="AI579" s="193" t="s">
        <v>932</v>
      </c>
      <c r="AJ579" s="193" t="s">
        <v>1431</v>
      </c>
      <c r="AK579" s="193" t="s">
        <v>1431</v>
      </c>
      <c r="AL579" s="193" t="s">
        <v>1431</v>
      </c>
    </row>
    <row r="580" spans="7:38">
      <c r="G580" s="193" t="s">
        <v>2074</v>
      </c>
      <c r="H580" s="193" t="s">
        <v>2075</v>
      </c>
      <c r="I580" s="193" t="s">
        <v>2076</v>
      </c>
      <c r="J580" s="193" t="s">
        <v>2076</v>
      </c>
      <c r="K580" s="193" t="s">
        <v>2077</v>
      </c>
      <c r="L580" s="193"/>
      <c r="M580" s="193"/>
      <c r="N580" s="193">
        <v>7.0006844626967828</v>
      </c>
      <c r="O580" s="193"/>
      <c r="P580" s="193">
        <v>265</v>
      </c>
      <c r="Q580" s="193">
        <v>230</v>
      </c>
      <c r="R580" s="193">
        <v>-35</v>
      </c>
      <c r="S580" s="193"/>
      <c r="T580" s="193"/>
      <c r="U580" s="193"/>
      <c r="V580" s="193">
        <v>2100</v>
      </c>
      <c r="W580" s="193"/>
      <c r="X580" s="193"/>
      <c r="Y580" s="193"/>
      <c r="Z580" s="193">
        <v>123.70739999999998</v>
      </c>
      <c r="AA580" s="193">
        <v>230</v>
      </c>
      <c r="AB580" s="193" t="s">
        <v>1281</v>
      </c>
      <c r="AC580" s="193" t="s">
        <v>1428</v>
      </c>
      <c r="AD580" s="193" t="s">
        <v>1864</v>
      </c>
      <c r="AE580" s="193" t="s">
        <v>1865</v>
      </c>
      <c r="AF580" s="193" t="s">
        <v>1432</v>
      </c>
      <c r="AG580" s="193" t="s">
        <v>875</v>
      </c>
      <c r="AH580" s="193" t="s">
        <v>932</v>
      </c>
      <c r="AI580" s="193" t="s">
        <v>932</v>
      </c>
      <c r="AJ580" s="193" t="s">
        <v>1431</v>
      </c>
      <c r="AK580" s="193" t="s">
        <v>1431</v>
      </c>
      <c r="AL580" s="193" t="s">
        <v>1431</v>
      </c>
    </row>
    <row r="581" spans="7:38">
      <c r="G581" s="193" t="s">
        <v>2078</v>
      </c>
      <c r="H581" s="193" t="s">
        <v>2079</v>
      </c>
      <c r="I581" s="193" t="s">
        <v>2080</v>
      </c>
      <c r="J581" s="193" t="s">
        <v>2080</v>
      </c>
      <c r="K581" s="193" t="s">
        <v>1550</v>
      </c>
      <c r="L581" s="193"/>
      <c r="M581" s="193"/>
      <c r="N581" s="193">
        <v>3.0006844626967832</v>
      </c>
      <c r="O581" s="193"/>
      <c r="P581" s="193">
        <v>45</v>
      </c>
      <c r="Q581" s="193">
        <v>25</v>
      </c>
      <c r="R581" s="193">
        <v>-20</v>
      </c>
      <c r="S581" s="193">
        <v>5</v>
      </c>
      <c r="T581" s="193">
        <v>2900</v>
      </c>
      <c r="U581" s="193">
        <v>2900000000</v>
      </c>
      <c r="V581" s="193">
        <v>3400</v>
      </c>
      <c r="W581" s="193"/>
      <c r="X581" s="193">
        <v>0</v>
      </c>
      <c r="Y581" s="193">
        <v>-14.71</v>
      </c>
      <c r="Z581" s="193">
        <v>12.265799999999993</v>
      </c>
      <c r="AA581" s="193">
        <v>25</v>
      </c>
      <c r="AB581" s="193" t="s">
        <v>1281</v>
      </c>
      <c r="AC581" s="193" t="s">
        <v>1439</v>
      </c>
      <c r="AD581" s="193" t="s">
        <v>2081</v>
      </c>
      <c r="AE581" s="193" t="s">
        <v>2081</v>
      </c>
      <c r="AF581" s="193" t="s">
        <v>1154</v>
      </c>
      <c r="AG581" s="193" t="s">
        <v>1017</v>
      </c>
      <c r="AH581" s="193" t="s">
        <v>1432</v>
      </c>
      <c r="AI581" s="193" t="s">
        <v>1154</v>
      </c>
      <c r="AJ581" s="193" t="s">
        <v>1431</v>
      </c>
      <c r="AK581" s="193" t="s">
        <v>1431</v>
      </c>
      <c r="AL581" s="193" t="s">
        <v>1431</v>
      </c>
    </row>
    <row r="582" spans="7:38">
      <c r="G582" s="193" t="s">
        <v>2082</v>
      </c>
      <c r="H582" s="193" t="s">
        <v>2079</v>
      </c>
      <c r="I582" s="193" t="s">
        <v>2083</v>
      </c>
      <c r="J582" s="193" t="s">
        <v>2083</v>
      </c>
      <c r="K582" s="193" t="s">
        <v>1550</v>
      </c>
      <c r="L582" s="193"/>
      <c r="M582" s="193"/>
      <c r="N582" s="193">
        <v>4.9993155373032172</v>
      </c>
      <c r="O582" s="193"/>
      <c r="P582" s="193">
        <v>50</v>
      </c>
      <c r="Q582" s="193">
        <v>30</v>
      </c>
      <c r="R582" s="193">
        <v>-20</v>
      </c>
      <c r="S582" s="193">
        <v>5</v>
      </c>
      <c r="T582" s="193">
        <v>2300</v>
      </c>
      <c r="U582" s="193">
        <v>2300000000</v>
      </c>
      <c r="V582" s="193">
        <v>3100</v>
      </c>
      <c r="W582" s="193"/>
      <c r="X582" s="193">
        <v>0</v>
      </c>
      <c r="Y582" s="193">
        <v>-25.81</v>
      </c>
      <c r="Z582" s="193">
        <v>16.973299999999991</v>
      </c>
      <c r="AA582" s="193">
        <v>30</v>
      </c>
      <c r="AB582" s="193" t="s">
        <v>1281</v>
      </c>
      <c r="AC582" s="193" t="s">
        <v>1439</v>
      </c>
      <c r="AD582" s="193" t="s">
        <v>2081</v>
      </c>
      <c r="AE582" s="193" t="s">
        <v>2081</v>
      </c>
      <c r="AF582" s="193" t="s">
        <v>1154</v>
      </c>
      <c r="AG582" s="193" t="s">
        <v>1017</v>
      </c>
      <c r="AH582" s="193" t="s">
        <v>1432</v>
      </c>
      <c r="AI582" s="193" t="s">
        <v>1154</v>
      </c>
      <c r="AJ582" s="193" t="s">
        <v>1431</v>
      </c>
      <c r="AK582" s="193" t="s">
        <v>1431</v>
      </c>
      <c r="AL582" s="193" t="s">
        <v>1431</v>
      </c>
    </row>
    <row r="583" spans="7:38">
      <c r="G583" s="193" t="s">
        <v>2084</v>
      </c>
      <c r="H583" s="193" t="s">
        <v>2079</v>
      </c>
      <c r="I583" s="193" t="s">
        <v>2085</v>
      </c>
      <c r="J583" s="193" t="s">
        <v>2085</v>
      </c>
      <c r="K583" s="193" t="s">
        <v>1550</v>
      </c>
      <c r="L583" s="193"/>
      <c r="M583" s="193"/>
      <c r="N583" s="193">
        <v>7.0006844626967828</v>
      </c>
      <c r="O583" s="193"/>
      <c r="P583" s="193">
        <v>60</v>
      </c>
      <c r="Q583" s="193">
        <v>40</v>
      </c>
      <c r="R583" s="193">
        <v>-20</v>
      </c>
      <c r="S583" s="193">
        <v>5</v>
      </c>
      <c r="T583" s="193">
        <v>2000</v>
      </c>
      <c r="U583" s="193">
        <v>2000000000</v>
      </c>
      <c r="V583" s="193">
        <v>3300</v>
      </c>
      <c r="W583" s="193"/>
      <c r="X583" s="193">
        <v>0</v>
      </c>
      <c r="Y583" s="193">
        <v>-39.39</v>
      </c>
      <c r="Z583" s="193">
        <v>22.351999999999972</v>
      </c>
      <c r="AA583" s="193">
        <v>40</v>
      </c>
      <c r="AB583" s="193" t="s">
        <v>1281</v>
      </c>
      <c r="AC583" s="193" t="s">
        <v>1439</v>
      </c>
      <c r="AD583" s="193" t="s">
        <v>2081</v>
      </c>
      <c r="AE583" s="193" t="s">
        <v>2081</v>
      </c>
      <c r="AF583" s="193" t="s">
        <v>1154</v>
      </c>
      <c r="AG583" s="193" t="s">
        <v>1017</v>
      </c>
      <c r="AH583" s="193" t="s">
        <v>1432</v>
      </c>
      <c r="AI583" s="193" t="s">
        <v>1154</v>
      </c>
      <c r="AJ583" s="193" t="s">
        <v>1431</v>
      </c>
      <c r="AK583" s="193" t="s">
        <v>1431</v>
      </c>
      <c r="AL583" s="193" t="s">
        <v>1431</v>
      </c>
    </row>
    <row r="584" spans="7:38">
      <c r="G584" s="193" t="s">
        <v>2086</v>
      </c>
      <c r="H584" s="193" t="s">
        <v>2079</v>
      </c>
      <c r="I584" s="193" t="s">
        <v>2087</v>
      </c>
      <c r="J584" s="193" t="s">
        <v>2087</v>
      </c>
      <c r="K584" s="193" t="s">
        <v>1550</v>
      </c>
      <c r="L584" s="193"/>
      <c r="M584" s="193"/>
      <c r="N584" s="193">
        <v>9.9986310746064344</v>
      </c>
      <c r="O584" s="193"/>
      <c r="P584" s="193">
        <v>70</v>
      </c>
      <c r="Q584" s="193">
        <v>50</v>
      </c>
      <c r="R584" s="193">
        <v>-20</v>
      </c>
      <c r="S584" s="193">
        <v>5</v>
      </c>
      <c r="T584" s="193">
        <v>2600</v>
      </c>
      <c r="U584" s="193">
        <v>2600000000</v>
      </c>
      <c r="V584" s="193">
        <v>4200</v>
      </c>
      <c r="W584" s="193"/>
      <c r="X584" s="193">
        <v>0</v>
      </c>
      <c r="Y584" s="193">
        <v>-38.1</v>
      </c>
      <c r="Z584" s="193">
        <v>29.142299999999999</v>
      </c>
      <c r="AA584" s="193">
        <v>50</v>
      </c>
      <c r="AB584" s="193" t="s">
        <v>1281</v>
      </c>
      <c r="AC584" s="193" t="s">
        <v>1439</v>
      </c>
      <c r="AD584" s="193" t="s">
        <v>2081</v>
      </c>
      <c r="AE584" s="193" t="s">
        <v>2081</v>
      </c>
      <c r="AF584" s="193" t="s">
        <v>1154</v>
      </c>
      <c r="AG584" s="193" t="s">
        <v>1017</v>
      </c>
      <c r="AH584" s="193" t="s">
        <v>1432</v>
      </c>
      <c r="AI584" s="193" t="s">
        <v>1154</v>
      </c>
      <c r="AJ584" s="193" t="s">
        <v>1431</v>
      </c>
      <c r="AK584" s="193" t="s">
        <v>1431</v>
      </c>
      <c r="AL584" s="193" t="s">
        <v>1431</v>
      </c>
    </row>
    <row r="585" spans="7:38">
      <c r="G585" s="193" t="s">
        <v>2088</v>
      </c>
      <c r="H585" s="193" t="s">
        <v>2089</v>
      </c>
      <c r="I585" s="193" t="s">
        <v>2090</v>
      </c>
      <c r="J585" s="193" t="s">
        <v>2090</v>
      </c>
      <c r="K585" s="193" t="s">
        <v>1604</v>
      </c>
      <c r="L585" s="193"/>
      <c r="M585" s="193"/>
      <c r="N585" s="193">
        <v>7.0006844626967828</v>
      </c>
      <c r="O585" s="193"/>
      <c r="P585" s="193">
        <v>80</v>
      </c>
      <c r="Q585" s="193">
        <v>63</v>
      </c>
      <c r="R585" s="193">
        <v>-17</v>
      </c>
      <c r="S585" s="193">
        <v>3</v>
      </c>
      <c r="T585" s="193">
        <v>2300</v>
      </c>
      <c r="U585" s="193">
        <v>2300000000</v>
      </c>
      <c r="V585" s="193"/>
      <c r="W585" s="193"/>
      <c r="X585" s="193"/>
      <c r="Y585" s="193"/>
      <c r="Z585" s="193">
        <v>41.007999999999981</v>
      </c>
      <c r="AA585" s="193">
        <v>63</v>
      </c>
      <c r="AB585" s="193" t="s">
        <v>1281</v>
      </c>
      <c r="AC585" s="193" t="s">
        <v>1447</v>
      </c>
      <c r="AD585" s="193" t="s">
        <v>1448</v>
      </c>
      <c r="AE585" s="193" t="s">
        <v>1448</v>
      </c>
      <c r="AF585" s="193" t="s">
        <v>997</v>
      </c>
      <c r="AG585" s="193" t="s">
        <v>998</v>
      </c>
      <c r="AH585" s="193" t="s">
        <v>997</v>
      </c>
      <c r="AI585" s="193" t="s">
        <v>997</v>
      </c>
      <c r="AJ585" s="193" t="s">
        <v>1431</v>
      </c>
      <c r="AK585" s="193" t="s">
        <v>1431</v>
      </c>
      <c r="AL585" s="193" t="s">
        <v>1431</v>
      </c>
    </row>
    <row r="586" spans="7:38">
      <c r="G586" s="193" t="s">
        <v>2091</v>
      </c>
      <c r="H586" s="193" t="s">
        <v>2092</v>
      </c>
      <c r="I586" s="193" t="s">
        <v>2093</v>
      </c>
      <c r="J586" s="193" t="s">
        <v>2093</v>
      </c>
      <c r="K586" s="193" t="s">
        <v>1555</v>
      </c>
      <c r="L586" s="193"/>
      <c r="M586" s="193"/>
      <c r="N586" s="193">
        <v>7.0198494182067082</v>
      </c>
      <c r="O586" s="193"/>
      <c r="P586" s="193">
        <v>117.5</v>
      </c>
      <c r="Q586" s="193">
        <v>85</v>
      </c>
      <c r="R586" s="193">
        <v>-33</v>
      </c>
      <c r="S586" s="193">
        <v>0</v>
      </c>
      <c r="T586" s="193">
        <v>2100</v>
      </c>
      <c r="U586" s="193">
        <v>2100000000</v>
      </c>
      <c r="V586" s="193">
        <v>4300</v>
      </c>
      <c r="W586" s="193"/>
      <c r="X586" s="193">
        <v>-1</v>
      </c>
      <c r="Y586" s="193">
        <v>-51.16</v>
      </c>
      <c r="Z586" s="193">
        <v>60.409399999999991</v>
      </c>
      <c r="AA586" s="193">
        <v>85</v>
      </c>
      <c r="AB586" s="193" t="s">
        <v>1281</v>
      </c>
      <c r="AC586" s="193" t="s">
        <v>1490</v>
      </c>
      <c r="AD586" s="193" t="s">
        <v>2094</v>
      </c>
      <c r="AE586" s="193" t="s">
        <v>2095</v>
      </c>
      <c r="AF586" s="193" t="s">
        <v>938</v>
      </c>
      <c r="AG586" s="193" t="s">
        <v>942</v>
      </c>
      <c r="AH586" s="193" t="s">
        <v>938</v>
      </c>
      <c r="AI586" s="193" t="s">
        <v>938</v>
      </c>
      <c r="AJ586" s="193" t="s">
        <v>1431</v>
      </c>
      <c r="AK586" s="193" t="s">
        <v>1431</v>
      </c>
      <c r="AL586" s="193" t="s">
        <v>1431</v>
      </c>
    </row>
    <row r="587" spans="7:38">
      <c r="G587" s="193" t="s">
        <v>2096</v>
      </c>
      <c r="H587" s="193" t="s">
        <v>2092</v>
      </c>
      <c r="I587" s="193" t="s">
        <v>2097</v>
      </c>
      <c r="J587" s="193" t="s">
        <v>2097</v>
      </c>
      <c r="K587" s="193" t="s">
        <v>1555</v>
      </c>
      <c r="L587" s="193"/>
      <c r="M587" s="193"/>
      <c r="N587" s="193">
        <v>10.017796030116358</v>
      </c>
      <c r="O587" s="193"/>
      <c r="P587" s="193">
        <v>130</v>
      </c>
      <c r="Q587" s="193">
        <v>100</v>
      </c>
      <c r="R587" s="193">
        <v>-30</v>
      </c>
      <c r="S587" s="193">
        <v>0</v>
      </c>
      <c r="T587" s="193">
        <v>2050</v>
      </c>
      <c r="U587" s="193">
        <v>2050000000</v>
      </c>
      <c r="V587" s="193">
        <v>4600</v>
      </c>
      <c r="W587" s="193"/>
      <c r="X587" s="193">
        <v>-1</v>
      </c>
      <c r="Y587" s="193">
        <v>-55.43</v>
      </c>
      <c r="Z587" s="193">
        <v>76.340000000000074</v>
      </c>
      <c r="AA587" s="193">
        <v>100</v>
      </c>
      <c r="AB587" s="193" t="s">
        <v>1281</v>
      </c>
      <c r="AC587" s="193" t="s">
        <v>1490</v>
      </c>
      <c r="AD587" s="193" t="s">
        <v>2094</v>
      </c>
      <c r="AE587" s="193" t="s">
        <v>2095</v>
      </c>
      <c r="AF587" s="193" t="s">
        <v>938</v>
      </c>
      <c r="AG587" s="193" t="s">
        <v>942</v>
      </c>
      <c r="AH587" s="193" t="s">
        <v>938</v>
      </c>
      <c r="AI587" s="193" t="s">
        <v>938</v>
      </c>
      <c r="AJ587" s="193" t="s">
        <v>1431</v>
      </c>
      <c r="AK587" s="193" t="s">
        <v>1431</v>
      </c>
      <c r="AL587" s="193" t="s">
        <v>1431</v>
      </c>
    </row>
    <row r="588" spans="7:38">
      <c r="G588" s="193" t="s">
        <v>2098</v>
      </c>
      <c r="H588" s="193" t="s">
        <v>2092</v>
      </c>
      <c r="I588" s="193" t="s">
        <v>2099</v>
      </c>
      <c r="J588" s="193" t="s">
        <v>2099</v>
      </c>
      <c r="K588" s="193" t="s">
        <v>1555</v>
      </c>
      <c r="L588" s="193"/>
      <c r="M588" s="193"/>
      <c r="N588" s="193">
        <v>30.017796030116358</v>
      </c>
      <c r="O588" s="193"/>
      <c r="P588" s="193">
        <v>155</v>
      </c>
      <c r="Q588" s="193">
        <v>122</v>
      </c>
      <c r="R588" s="193">
        <v>-33</v>
      </c>
      <c r="S588" s="193">
        <v>2</v>
      </c>
      <c r="T588" s="193">
        <v>2850</v>
      </c>
      <c r="U588" s="193">
        <v>2850000000</v>
      </c>
      <c r="V588" s="193">
        <v>7600</v>
      </c>
      <c r="W588" s="193"/>
      <c r="X588" s="193">
        <v>-1</v>
      </c>
      <c r="Y588" s="193">
        <v>-62.5</v>
      </c>
      <c r="Z588" s="193">
        <v>100.90120000000002</v>
      </c>
      <c r="AA588" s="193">
        <v>122</v>
      </c>
      <c r="AB588" s="193" t="s">
        <v>1281</v>
      </c>
      <c r="AC588" s="193" t="s">
        <v>1490</v>
      </c>
      <c r="AD588" s="193" t="s">
        <v>2094</v>
      </c>
      <c r="AE588" s="193" t="s">
        <v>2095</v>
      </c>
      <c r="AF588" s="193" t="s">
        <v>938</v>
      </c>
      <c r="AG588" s="193" t="s">
        <v>942</v>
      </c>
      <c r="AH588" s="193" t="s">
        <v>938</v>
      </c>
      <c r="AI588" s="193" t="s">
        <v>938</v>
      </c>
      <c r="AJ588" s="193" t="s">
        <v>1431</v>
      </c>
      <c r="AK588" s="193" t="s">
        <v>1431</v>
      </c>
      <c r="AL588" s="193" t="s">
        <v>1431</v>
      </c>
    </row>
    <row r="589" spans="7:38">
      <c r="G589" s="193" t="s">
        <v>2915</v>
      </c>
      <c r="H589" s="193" t="s">
        <v>2100</v>
      </c>
      <c r="I589" s="193" t="s">
        <v>2101</v>
      </c>
      <c r="J589" s="193" t="s">
        <v>2101</v>
      </c>
      <c r="K589" s="193" t="s">
        <v>1611</v>
      </c>
      <c r="L589" s="193" t="s">
        <v>2102</v>
      </c>
      <c r="M589" s="193">
        <v>300000000</v>
      </c>
      <c r="N589" s="193">
        <v>10.05886379192334</v>
      </c>
      <c r="O589" s="193" t="s">
        <v>1425</v>
      </c>
      <c r="P589" s="193">
        <v>120</v>
      </c>
      <c r="Q589" s="193">
        <v>97</v>
      </c>
      <c r="R589" s="193">
        <v>-23</v>
      </c>
      <c r="S589" s="193">
        <v>7</v>
      </c>
      <c r="T589" s="193">
        <v>950</v>
      </c>
      <c r="U589" s="193">
        <v>950000000</v>
      </c>
      <c r="V589" s="193">
        <v>1100</v>
      </c>
      <c r="W589" s="193">
        <v>3.2</v>
      </c>
      <c r="X589" s="193">
        <v>0</v>
      </c>
      <c r="Y589" s="193">
        <v>-13.64</v>
      </c>
      <c r="Z589" s="193">
        <v>62.04420000000006</v>
      </c>
      <c r="AA589" s="193">
        <v>100</v>
      </c>
      <c r="AB589" s="193">
        <v>-38</v>
      </c>
      <c r="AC589" s="193" t="s">
        <v>1441</v>
      </c>
      <c r="AD589" s="193" t="s">
        <v>1442</v>
      </c>
      <c r="AE589" s="193" t="s">
        <v>1443</v>
      </c>
      <c r="AF589" s="193" t="s">
        <v>876</v>
      </c>
      <c r="AG589" s="193" t="s">
        <v>874</v>
      </c>
      <c r="AH589" s="193" t="s">
        <v>1432</v>
      </c>
      <c r="AI589" s="193" t="s">
        <v>876</v>
      </c>
      <c r="AJ589" s="193" t="s">
        <v>1431</v>
      </c>
      <c r="AK589" s="193" t="s">
        <v>1431</v>
      </c>
      <c r="AL589" s="193" t="s">
        <v>1431</v>
      </c>
    </row>
    <row r="590" spans="7:38">
      <c r="G590" s="193" t="s">
        <v>2103</v>
      </c>
      <c r="H590" s="193" t="s">
        <v>2104</v>
      </c>
      <c r="I590" s="193" t="s">
        <v>2105</v>
      </c>
      <c r="J590" s="193" t="s">
        <v>2105</v>
      </c>
      <c r="K590" s="193" t="s">
        <v>2106</v>
      </c>
      <c r="L590" s="193"/>
      <c r="M590" s="193"/>
      <c r="N590" s="193">
        <v>4.9993155373032172</v>
      </c>
      <c r="O590" s="193"/>
      <c r="P590" s="193">
        <v>125</v>
      </c>
      <c r="Q590" s="193">
        <v>95</v>
      </c>
      <c r="R590" s="193">
        <v>-30</v>
      </c>
      <c r="S590" s="193">
        <v>-2.5</v>
      </c>
      <c r="T590" s="193">
        <v>3900</v>
      </c>
      <c r="U590" s="193">
        <v>3900000000</v>
      </c>
      <c r="V590" s="193">
        <v>4600</v>
      </c>
      <c r="W590" s="193"/>
      <c r="X590" s="193">
        <v>0</v>
      </c>
      <c r="Y590" s="193">
        <v>-15.22</v>
      </c>
      <c r="Z590" s="193">
        <v>58.428199999999997</v>
      </c>
      <c r="AA590" s="193">
        <v>95</v>
      </c>
      <c r="AB590" s="193" t="s">
        <v>1281</v>
      </c>
      <c r="AC590" s="193" t="s">
        <v>1428</v>
      </c>
      <c r="AD590" s="193" t="s">
        <v>1437</v>
      </c>
      <c r="AE590" s="193" t="s">
        <v>1438</v>
      </c>
      <c r="AF590" s="193" t="s">
        <v>938</v>
      </c>
      <c r="AG590" s="193" t="s">
        <v>933</v>
      </c>
      <c r="AH590" s="193" t="s">
        <v>950</v>
      </c>
      <c r="AI590" s="193" t="s">
        <v>950</v>
      </c>
      <c r="AJ590" s="193" t="s">
        <v>1431</v>
      </c>
      <c r="AK590" s="193" t="s">
        <v>1431</v>
      </c>
      <c r="AL590" s="193" t="s">
        <v>1431</v>
      </c>
    </row>
    <row r="591" spans="7:38">
      <c r="G591" s="193" t="s">
        <v>2107</v>
      </c>
      <c r="H591" s="193" t="s">
        <v>2104</v>
      </c>
      <c r="I591" s="193" t="s">
        <v>2108</v>
      </c>
      <c r="J591" s="193" t="s">
        <v>2108</v>
      </c>
      <c r="K591" s="193" t="s">
        <v>2106</v>
      </c>
      <c r="L591" s="193"/>
      <c r="M591" s="193"/>
      <c r="N591" s="193">
        <v>9.9986310746064344</v>
      </c>
      <c r="O591" s="193"/>
      <c r="P591" s="193">
        <v>145</v>
      </c>
      <c r="Q591" s="193">
        <v>112</v>
      </c>
      <c r="R591" s="193">
        <v>-33</v>
      </c>
      <c r="S591" s="193">
        <v>-8</v>
      </c>
      <c r="T591" s="193">
        <v>4800</v>
      </c>
      <c r="U591" s="193">
        <v>4800000000</v>
      </c>
      <c r="V591" s="193">
        <v>6100</v>
      </c>
      <c r="W591" s="193"/>
      <c r="X591" s="193">
        <v>0</v>
      </c>
      <c r="Y591" s="193">
        <v>-21.31</v>
      </c>
      <c r="Z591" s="193">
        <v>77.760199999999998</v>
      </c>
      <c r="AA591" s="193">
        <v>112</v>
      </c>
      <c r="AB591" s="193" t="s">
        <v>1281</v>
      </c>
      <c r="AC591" s="193" t="s">
        <v>1428</v>
      </c>
      <c r="AD591" s="193" t="s">
        <v>1437</v>
      </c>
      <c r="AE591" s="193" t="s">
        <v>1438</v>
      </c>
      <c r="AF591" s="193" t="s">
        <v>938</v>
      </c>
      <c r="AG591" s="193" t="s">
        <v>933</v>
      </c>
      <c r="AH591" s="193" t="s">
        <v>950</v>
      </c>
      <c r="AI591" s="193" t="s">
        <v>950</v>
      </c>
      <c r="AJ591" s="193" t="s">
        <v>1431</v>
      </c>
      <c r="AK591" s="193" t="s">
        <v>1431</v>
      </c>
      <c r="AL591" s="193" t="s">
        <v>1431</v>
      </c>
    </row>
    <row r="592" spans="7:38">
      <c r="G592" s="193" t="s">
        <v>2109</v>
      </c>
      <c r="H592" s="193" t="s">
        <v>1444</v>
      </c>
      <c r="I592" s="193" t="s">
        <v>2110</v>
      </c>
      <c r="J592" s="193" t="s">
        <v>2110</v>
      </c>
      <c r="K592" s="193" t="s">
        <v>1445</v>
      </c>
      <c r="L592" s="193"/>
      <c r="M592" s="193"/>
      <c r="N592" s="193">
        <v>4.9993155373032172</v>
      </c>
      <c r="O592" s="193"/>
      <c r="P592" s="193">
        <v>85</v>
      </c>
      <c r="Q592" s="193">
        <v>62.5</v>
      </c>
      <c r="R592" s="193">
        <v>-23</v>
      </c>
      <c r="S592" s="193">
        <v>2.5</v>
      </c>
      <c r="T592" s="193">
        <v>850</v>
      </c>
      <c r="U592" s="193">
        <v>850000000</v>
      </c>
      <c r="V592" s="193">
        <v>1000</v>
      </c>
      <c r="W592" s="193"/>
      <c r="X592" s="193">
        <v>0</v>
      </c>
      <c r="Y592" s="193">
        <v>-15</v>
      </c>
      <c r="Z592" s="193">
        <v>37.461599999999962</v>
      </c>
      <c r="AA592" s="193">
        <v>62.5</v>
      </c>
      <c r="AB592" s="193" t="s">
        <v>1281</v>
      </c>
      <c r="AC592" s="193" t="s">
        <v>1433</v>
      </c>
      <c r="AD592" s="193" t="s">
        <v>1434</v>
      </c>
      <c r="AE592" s="193" t="s">
        <v>1435</v>
      </c>
      <c r="AF592" s="193" t="s">
        <v>953</v>
      </c>
      <c r="AG592" s="193" t="s">
        <v>939</v>
      </c>
      <c r="AH592" s="193" t="s">
        <v>1432</v>
      </c>
      <c r="AI592" s="193" t="s">
        <v>953</v>
      </c>
      <c r="AJ592" s="193" t="s">
        <v>1431</v>
      </c>
      <c r="AK592" s="193" t="s">
        <v>1431</v>
      </c>
      <c r="AL592" s="193" t="s">
        <v>1431</v>
      </c>
    </row>
    <row r="593" spans="7:38">
      <c r="G593" s="193" t="s">
        <v>2111</v>
      </c>
      <c r="H593" s="193" t="s">
        <v>2112</v>
      </c>
      <c r="I593" s="193" t="s">
        <v>2113</v>
      </c>
      <c r="J593" s="193" t="s">
        <v>2113</v>
      </c>
      <c r="K593" s="193" t="s">
        <v>1609</v>
      </c>
      <c r="L593" s="193"/>
      <c r="M593" s="193"/>
      <c r="N593" s="193">
        <v>5.6919917864476384</v>
      </c>
      <c r="O593" s="193"/>
      <c r="P593" s="193">
        <v>110</v>
      </c>
      <c r="Q593" s="193">
        <v>85</v>
      </c>
      <c r="R593" s="193">
        <v>-25</v>
      </c>
      <c r="S593" s="193">
        <v>5</v>
      </c>
      <c r="T593" s="193">
        <v>2600</v>
      </c>
      <c r="U593" s="193">
        <v>2600000000</v>
      </c>
      <c r="V593" s="193">
        <v>3200</v>
      </c>
      <c r="W593" s="193"/>
      <c r="X593" s="193">
        <v>0</v>
      </c>
      <c r="Y593" s="193">
        <v>-18.75</v>
      </c>
      <c r="Z593" s="193">
        <v>59.223499999999959</v>
      </c>
      <c r="AA593" s="193">
        <v>85</v>
      </c>
      <c r="AB593" s="193" t="s">
        <v>1281</v>
      </c>
      <c r="AC593" s="193" t="s">
        <v>1428</v>
      </c>
      <c r="AD593" s="193" t="s">
        <v>1436</v>
      </c>
      <c r="AE593" s="193" t="s">
        <v>1933</v>
      </c>
      <c r="AF593" s="193" t="s">
        <v>876</v>
      </c>
      <c r="AG593" s="193" t="s">
        <v>874</v>
      </c>
      <c r="AH593" s="193" t="s">
        <v>1432</v>
      </c>
      <c r="AI593" s="193" t="s">
        <v>876</v>
      </c>
      <c r="AJ593" s="193" t="s">
        <v>1431</v>
      </c>
      <c r="AK593" s="193" t="s">
        <v>1431</v>
      </c>
      <c r="AL593" s="193" t="s">
        <v>1431</v>
      </c>
    </row>
    <row r="594" spans="7:38">
      <c r="G594" s="193" t="s">
        <v>2114</v>
      </c>
      <c r="H594" s="193" t="s">
        <v>2112</v>
      </c>
      <c r="I594" s="193" t="s">
        <v>2115</v>
      </c>
      <c r="J594" s="193" t="s">
        <v>2115</v>
      </c>
      <c r="K594" s="193" t="s">
        <v>1609</v>
      </c>
      <c r="L594" s="193"/>
      <c r="M594" s="193"/>
      <c r="N594" s="193">
        <v>10.020533880903491</v>
      </c>
      <c r="O594" s="193"/>
      <c r="P594" s="193">
        <v>130</v>
      </c>
      <c r="Q594" s="193">
        <v>103</v>
      </c>
      <c r="R594" s="193">
        <v>-27</v>
      </c>
      <c r="S594" s="193">
        <v>3</v>
      </c>
      <c r="T594" s="193">
        <v>2700</v>
      </c>
      <c r="U594" s="193">
        <v>2700000000</v>
      </c>
      <c r="V594" s="193">
        <v>3900</v>
      </c>
      <c r="W594" s="193"/>
      <c r="X594" s="193">
        <v>0</v>
      </c>
      <c r="Y594" s="193">
        <v>-30.77</v>
      </c>
      <c r="Z594" s="193">
        <v>73.08840000000005</v>
      </c>
      <c r="AA594" s="193">
        <v>103</v>
      </c>
      <c r="AB594" s="193" t="s">
        <v>1281</v>
      </c>
      <c r="AC594" s="193" t="s">
        <v>1428</v>
      </c>
      <c r="AD594" s="193" t="s">
        <v>1436</v>
      </c>
      <c r="AE594" s="193" t="s">
        <v>1933</v>
      </c>
      <c r="AF594" s="193" t="s">
        <v>876</v>
      </c>
      <c r="AG594" s="193" t="s">
        <v>874</v>
      </c>
      <c r="AH594" s="193" t="s">
        <v>1432</v>
      </c>
      <c r="AI594" s="193" t="s">
        <v>876</v>
      </c>
      <c r="AJ594" s="193" t="s">
        <v>1431</v>
      </c>
      <c r="AK594" s="193" t="s">
        <v>1431</v>
      </c>
      <c r="AL594" s="193" t="s">
        <v>1431</v>
      </c>
    </row>
    <row r="595" spans="7:38">
      <c r="G595" s="193" t="s">
        <v>2116</v>
      </c>
      <c r="H595" s="193" t="s">
        <v>2117</v>
      </c>
      <c r="I595" s="193" t="s">
        <v>2118</v>
      </c>
      <c r="J595" s="193" t="s">
        <v>2118</v>
      </c>
      <c r="K595" s="193" t="s">
        <v>1590</v>
      </c>
      <c r="L595" s="193"/>
      <c r="M595" s="193"/>
      <c r="N595" s="193">
        <v>1.998631074606434</v>
      </c>
      <c r="O595" s="193"/>
      <c r="P595" s="193">
        <v>80</v>
      </c>
      <c r="Q595" s="193">
        <v>45</v>
      </c>
      <c r="R595" s="193">
        <v>-35</v>
      </c>
      <c r="S595" s="193">
        <v>-5</v>
      </c>
      <c r="T595" s="193">
        <v>3900</v>
      </c>
      <c r="U595" s="193">
        <v>3900000000</v>
      </c>
      <c r="V595" s="193">
        <v>4000</v>
      </c>
      <c r="W595" s="193"/>
      <c r="X595" s="193">
        <v>0</v>
      </c>
      <c r="Y595" s="193">
        <v>-2.5</v>
      </c>
      <c r="Z595" s="193">
        <v>32.674800000000026</v>
      </c>
      <c r="AA595" s="193">
        <v>45</v>
      </c>
      <c r="AB595" s="193" t="s">
        <v>1281</v>
      </c>
      <c r="AC595" s="193" t="s">
        <v>1441</v>
      </c>
      <c r="AD595" s="193" t="s">
        <v>1442</v>
      </c>
      <c r="AE595" s="193" t="s">
        <v>1443</v>
      </c>
      <c r="AF595" s="193" t="s">
        <v>876</v>
      </c>
      <c r="AG595" s="193" t="s">
        <v>998</v>
      </c>
      <c r="AH595" s="193" t="s">
        <v>953</v>
      </c>
      <c r="AI595" s="193" t="s">
        <v>953</v>
      </c>
      <c r="AJ595" s="193" t="s">
        <v>1431</v>
      </c>
      <c r="AK595" s="193" t="s">
        <v>1431</v>
      </c>
      <c r="AL595" s="193" t="s">
        <v>1431</v>
      </c>
    </row>
    <row r="596" spans="7:38">
      <c r="G596" s="193" t="s">
        <v>2119</v>
      </c>
      <c r="H596" s="193" t="s">
        <v>2117</v>
      </c>
      <c r="I596" s="193" t="s">
        <v>2120</v>
      </c>
      <c r="J596" s="193" t="s">
        <v>2120</v>
      </c>
      <c r="K596" s="193" t="s">
        <v>1590</v>
      </c>
      <c r="L596" s="193"/>
      <c r="M596" s="193"/>
      <c r="N596" s="193">
        <v>10.001368925393566</v>
      </c>
      <c r="O596" s="193"/>
      <c r="P596" s="193">
        <v>120</v>
      </c>
      <c r="Q596" s="193">
        <v>93</v>
      </c>
      <c r="R596" s="193">
        <v>-27</v>
      </c>
      <c r="S596" s="193">
        <v>-2</v>
      </c>
      <c r="T596" s="193">
        <v>3000</v>
      </c>
      <c r="U596" s="193">
        <v>3000000000</v>
      </c>
      <c r="V596" s="193">
        <v>3500</v>
      </c>
      <c r="W596" s="193"/>
      <c r="X596" s="193">
        <v>0</v>
      </c>
      <c r="Y596" s="193">
        <v>-14.29</v>
      </c>
      <c r="Z596" s="193">
        <v>70.218100000000035</v>
      </c>
      <c r="AA596" s="193">
        <v>93</v>
      </c>
      <c r="AB596" s="193" t="s">
        <v>1281</v>
      </c>
      <c r="AC596" s="193" t="s">
        <v>1441</v>
      </c>
      <c r="AD596" s="193" t="s">
        <v>1442</v>
      </c>
      <c r="AE596" s="193" t="s">
        <v>1443</v>
      </c>
      <c r="AF596" s="193" t="s">
        <v>876</v>
      </c>
      <c r="AG596" s="193" t="s">
        <v>998</v>
      </c>
      <c r="AH596" s="193" t="s">
        <v>953</v>
      </c>
      <c r="AI596" s="193" t="s">
        <v>953</v>
      </c>
      <c r="AJ596" s="193" t="s">
        <v>1431</v>
      </c>
      <c r="AK596" s="193" t="s">
        <v>1431</v>
      </c>
      <c r="AL596" s="193" t="s">
        <v>1431</v>
      </c>
    </row>
    <row r="597" spans="7:38">
      <c r="G597" s="193" t="s">
        <v>2121</v>
      </c>
      <c r="H597" s="193" t="s">
        <v>2117</v>
      </c>
      <c r="I597" s="193" t="s">
        <v>2122</v>
      </c>
      <c r="J597" s="193" t="s">
        <v>2122</v>
      </c>
      <c r="K597" s="193" t="s">
        <v>1590</v>
      </c>
      <c r="L597" s="193"/>
      <c r="M597" s="193"/>
      <c r="N597" s="193">
        <v>30.001368925393567</v>
      </c>
      <c r="O597" s="193"/>
      <c r="P597" s="193">
        <v>135</v>
      </c>
      <c r="Q597" s="193">
        <v>103</v>
      </c>
      <c r="R597" s="193">
        <v>-32</v>
      </c>
      <c r="S597" s="193">
        <v>-2</v>
      </c>
      <c r="T597" s="193">
        <v>4800</v>
      </c>
      <c r="U597" s="193">
        <v>4800000000</v>
      </c>
      <c r="V597" s="193">
        <v>5500</v>
      </c>
      <c r="W597" s="193"/>
      <c r="X597" s="193">
        <v>0</v>
      </c>
      <c r="Y597" s="193">
        <v>-12.73</v>
      </c>
      <c r="Z597" s="193">
        <v>73.932399999999987</v>
      </c>
      <c r="AA597" s="193">
        <v>103</v>
      </c>
      <c r="AB597" s="193" t="s">
        <v>1281</v>
      </c>
      <c r="AC597" s="193" t="s">
        <v>1441</v>
      </c>
      <c r="AD597" s="193" t="s">
        <v>1442</v>
      </c>
      <c r="AE597" s="193" t="s">
        <v>1443</v>
      </c>
      <c r="AF597" s="193" t="s">
        <v>876</v>
      </c>
      <c r="AG597" s="193" t="s">
        <v>998</v>
      </c>
      <c r="AH597" s="193" t="s">
        <v>953</v>
      </c>
      <c r="AI597" s="193" t="s">
        <v>953</v>
      </c>
      <c r="AJ597" s="193" t="s">
        <v>1431</v>
      </c>
      <c r="AK597" s="193" t="s">
        <v>1431</v>
      </c>
      <c r="AL597" s="193" t="s">
        <v>1431</v>
      </c>
    </row>
    <row r="598" spans="7:38">
      <c r="G598" s="193" t="s">
        <v>2123</v>
      </c>
      <c r="H598" s="193" t="s">
        <v>2124</v>
      </c>
      <c r="I598" s="193" t="s">
        <v>2125</v>
      </c>
      <c r="J598" s="193" t="s">
        <v>2125</v>
      </c>
      <c r="K598" s="193" t="s">
        <v>1545</v>
      </c>
      <c r="L598" s="193"/>
      <c r="M598" s="193"/>
      <c r="N598" s="193">
        <v>2.9404517453798769</v>
      </c>
      <c r="O598" s="193"/>
      <c r="P598" s="193">
        <v>185</v>
      </c>
      <c r="Q598" s="193">
        <v>155</v>
      </c>
      <c r="R598" s="193">
        <v>-30</v>
      </c>
      <c r="S598" s="193">
        <v>18</v>
      </c>
      <c r="T598" s="193">
        <v>2500</v>
      </c>
      <c r="U598" s="193">
        <v>2500000000</v>
      </c>
      <c r="V598" s="193">
        <v>4000</v>
      </c>
      <c r="W598" s="193"/>
      <c r="X598" s="193">
        <v>0</v>
      </c>
      <c r="Y598" s="193">
        <v>-37.5</v>
      </c>
      <c r="Z598" s="193">
        <v>82.520600000000016</v>
      </c>
      <c r="AA598" s="193">
        <v>155</v>
      </c>
      <c r="AB598" s="193" t="s">
        <v>1281</v>
      </c>
      <c r="AC598" s="193" t="s">
        <v>1433</v>
      </c>
      <c r="AD598" s="193" t="s">
        <v>1434</v>
      </c>
      <c r="AE598" s="193" t="s">
        <v>1867</v>
      </c>
      <c r="AF598" s="193" t="s">
        <v>932</v>
      </c>
      <c r="AG598" s="193" t="s">
        <v>875</v>
      </c>
      <c r="AH598" s="193" t="s">
        <v>932</v>
      </c>
      <c r="AI598" s="193" t="s">
        <v>932</v>
      </c>
      <c r="AJ598" s="193" t="s">
        <v>1431</v>
      </c>
      <c r="AK598" s="193" t="s">
        <v>1431</v>
      </c>
      <c r="AL598" s="193" t="s">
        <v>1431</v>
      </c>
    </row>
    <row r="599" spans="7:38">
      <c r="G599" s="193" t="s">
        <v>2126</v>
      </c>
      <c r="H599" s="193" t="s">
        <v>2124</v>
      </c>
      <c r="I599" s="193" t="s">
        <v>2127</v>
      </c>
      <c r="J599" s="193" t="s">
        <v>2127</v>
      </c>
      <c r="K599" s="193" t="s">
        <v>1545</v>
      </c>
      <c r="L599" s="193"/>
      <c r="M599" s="193"/>
      <c r="N599" s="193">
        <v>4.9390828199863108</v>
      </c>
      <c r="O599" s="193"/>
      <c r="P599" s="193">
        <v>200</v>
      </c>
      <c r="Q599" s="193">
        <v>170</v>
      </c>
      <c r="R599" s="193">
        <v>-30</v>
      </c>
      <c r="S599" s="193">
        <v>15</v>
      </c>
      <c r="T599" s="193">
        <v>1700</v>
      </c>
      <c r="U599" s="193">
        <v>1700000000</v>
      </c>
      <c r="V599" s="193">
        <v>3700</v>
      </c>
      <c r="W599" s="193"/>
      <c r="X599" s="193">
        <v>-1</v>
      </c>
      <c r="Y599" s="193">
        <v>-54.05</v>
      </c>
      <c r="Z599" s="193">
        <v>106.05409999999998</v>
      </c>
      <c r="AA599" s="193">
        <v>170</v>
      </c>
      <c r="AB599" s="193" t="s">
        <v>1281</v>
      </c>
      <c r="AC599" s="193" t="s">
        <v>1433</v>
      </c>
      <c r="AD599" s="193" t="s">
        <v>1434</v>
      </c>
      <c r="AE599" s="193" t="s">
        <v>1867</v>
      </c>
      <c r="AF599" s="193" t="s">
        <v>932</v>
      </c>
      <c r="AG599" s="193" t="s">
        <v>875</v>
      </c>
      <c r="AH599" s="193" t="s">
        <v>932</v>
      </c>
      <c r="AI599" s="193" t="s">
        <v>932</v>
      </c>
      <c r="AJ599" s="193" t="s">
        <v>1431</v>
      </c>
      <c r="AK599" s="193" t="s">
        <v>1431</v>
      </c>
      <c r="AL599" s="193" t="s">
        <v>1431</v>
      </c>
    </row>
    <row r="600" spans="7:38">
      <c r="G600" s="193" t="s">
        <v>2128</v>
      </c>
      <c r="H600" s="193" t="s">
        <v>2124</v>
      </c>
      <c r="I600" s="193" t="s">
        <v>2129</v>
      </c>
      <c r="J600" s="193" t="s">
        <v>2129</v>
      </c>
      <c r="K600" s="193" t="s">
        <v>1545</v>
      </c>
      <c r="L600" s="193"/>
      <c r="M600" s="193"/>
      <c r="N600" s="193">
        <v>9.9383983572895271</v>
      </c>
      <c r="O600" s="193"/>
      <c r="P600" s="193">
        <v>220</v>
      </c>
      <c r="Q600" s="193">
        <v>195</v>
      </c>
      <c r="R600" s="193">
        <v>-25</v>
      </c>
      <c r="S600" s="193">
        <v>15</v>
      </c>
      <c r="T600" s="193">
        <v>1500</v>
      </c>
      <c r="U600" s="193">
        <v>1500000000</v>
      </c>
      <c r="V600" s="193">
        <v>3900</v>
      </c>
      <c r="W600" s="193"/>
      <c r="X600" s="193">
        <v>-1</v>
      </c>
      <c r="Y600" s="193">
        <v>-61.54</v>
      </c>
      <c r="Z600" s="193">
        <v>146.98860000000008</v>
      </c>
      <c r="AA600" s="193">
        <v>195</v>
      </c>
      <c r="AB600" s="193" t="s">
        <v>1281</v>
      </c>
      <c r="AC600" s="193" t="s">
        <v>1433</v>
      </c>
      <c r="AD600" s="193" t="s">
        <v>1434</v>
      </c>
      <c r="AE600" s="193" t="s">
        <v>1867</v>
      </c>
      <c r="AF600" s="193" t="s">
        <v>932</v>
      </c>
      <c r="AG600" s="193" t="s">
        <v>875</v>
      </c>
      <c r="AH600" s="193" t="s">
        <v>932</v>
      </c>
      <c r="AI600" s="193" t="s">
        <v>932</v>
      </c>
      <c r="AJ600" s="193" t="s">
        <v>1431</v>
      </c>
      <c r="AK600" s="193" t="s">
        <v>1431</v>
      </c>
      <c r="AL600" s="193" t="s">
        <v>1431</v>
      </c>
    </row>
    <row r="601" spans="7:38">
      <c r="G601" s="193" t="s">
        <v>2130</v>
      </c>
      <c r="H601" s="193" t="s">
        <v>2131</v>
      </c>
      <c r="I601" s="193" t="s">
        <v>2132</v>
      </c>
      <c r="J601" s="193" t="s">
        <v>2132</v>
      </c>
      <c r="K601" s="193" t="s">
        <v>1513</v>
      </c>
      <c r="L601" s="193"/>
      <c r="M601" s="193"/>
      <c r="N601" s="193">
        <v>3.0006844626967832</v>
      </c>
      <c r="O601" s="193"/>
      <c r="P601" s="193">
        <v>120</v>
      </c>
      <c r="Q601" s="193">
        <v>95</v>
      </c>
      <c r="R601" s="193">
        <v>-25</v>
      </c>
      <c r="S601" s="193">
        <v>0</v>
      </c>
      <c r="T601" s="193"/>
      <c r="U601" s="193"/>
      <c r="V601" s="193">
        <v>5100</v>
      </c>
      <c r="W601" s="193"/>
      <c r="X601" s="193"/>
      <c r="Y601" s="193"/>
      <c r="Z601" s="193">
        <v>65.020300000000034</v>
      </c>
      <c r="AA601" s="193">
        <v>95</v>
      </c>
      <c r="AB601" s="193" t="s">
        <v>1281</v>
      </c>
      <c r="AC601" s="193" t="s">
        <v>1428</v>
      </c>
      <c r="AD601" s="193" t="s">
        <v>1429</v>
      </c>
      <c r="AE601" s="193" t="s">
        <v>1460</v>
      </c>
      <c r="AF601" s="193" t="s">
        <v>950</v>
      </c>
      <c r="AG601" s="193" t="s">
        <v>942</v>
      </c>
      <c r="AH601" s="193" t="s">
        <v>876</v>
      </c>
      <c r="AI601" s="193" t="s">
        <v>938</v>
      </c>
      <c r="AJ601" s="193" t="s">
        <v>1431</v>
      </c>
      <c r="AK601" s="193" t="s">
        <v>1431</v>
      </c>
      <c r="AL601" s="193" t="s">
        <v>1431</v>
      </c>
    </row>
    <row r="602" spans="7:38">
      <c r="G602" s="193" t="s">
        <v>2133</v>
      </c>
      <c r="H602" s="193" t="s">
        <v>2131</v>
      </c>
      <c r="I602" s="193" t="s">
        <v>2134</v>
      </c>
      <c r="J602" s="193" t="s">
        <v>2134</v>
      </c>
      <c r="K602" s="193" t="s">
        <v>1513</v>
      </c>
      <c r="L602" s="193"/>
      <c r="M602" s="193"/>
      <c r="N602" s="193">
        <v>3.0006844626967832</v>
      </c>
      <c r="O602" s="193"/>
      <c r="P602" s="193"/>
      <c r="Q602" s="193"/>
      <c r="R602" s="193"/>
      <c r="S602" s="193"/>
      <c r="T602" s="193"/>
      <c r="U602" s="193"/>
      <c r="V602" s="193">
        <v>1900</v>
      </c>
      <c r="W602" s="193"/>
      <c r="X602" s="193"/>
      <c r="Y602" s="193"/>
      <c r="Z602" s="193" t="s">
        <v>1432</v>
      </c>
      <c r="AA602" s="193" t="s">
        <v>1432</v>
      </c>
      <c r="AB602" s="193" t="s">
        <v>1281</v>
      </c>
      <c r="AC602" s="193" t="s">
        <v>1428</v>
      </c>
      <c r="AD602" s="193" t="s">
        <v>1429</v>
      </c>
      <c r="AE602" s="193" t="s">
        <v>1460</v>
      </c>
      <c r="AF602" s="193" t="s">
        <v>950</v>
      </c>
      <c r="AG602" s="193" t="s">
        <v>942</v>
      </c>
      <c r="AH602" s="193" t="s">
        <v>876</v>
      </c>
      <c r="AI602" s="193" t="s">
        <v>938</v>
      </c>
      <c r="AJ602" s="193" t="s">
        <v>1431</v>
      </c>
      <c r="AK602" s="193" t="s">
        <v>1431</v>
      </c>
      <c r="AL602" s="193" t="s">
        <v>1431</v>
      </c>
    </row>
    <row r="603" spans="7:38">
      <c r="G603" s="193" t="s">
        <v>2135</v>
      </c>
      <c r="H603" s="193" t="s">
        <v>2131</v>
      </c>
      <c r="I603" s="193" t="s">
        <v>2136</v>
      </c>
      <c r="J603" s="193" t="s">
        <v>2136</v>
      </c>
      <c r="K603" s="193" t="s">
        <v>1513</v>
      </c>
      <c r="L603" s="193"/>
      <c r="M603" s="193"/>
      <c r="N603" s="193">
        <v>5.9986310746064335</v>
      </c>
      <c r="O603" s="193"/>
      <c r="P603" s="193">
        <v>140</v>
      </c>
      <c r="Q603" s="193">
        <v>115</v>
      </c>
      <c r="R603" s="193">
        <v>-25</v>
      </c>
      <c r="S603" s="193">
        <v>0</v>
      </c>
      <c r="T603" s="193"/>
      <c r="U603" s="193"/>
      <c r="V603" s="193">
        <v>7200</v>
      </c>
      <c r="W603" s="193"/>
      <c r="X603" s="193"/>
      <c r="Y603" s="193"/>
      <c r="Z603" s="193">
        <v>76.159999999999968</v>
      </c>
      <c r="AA603" s="193">
        <v>115</v>
      </c>
      <c r="AB603" s="193" t="s">
        <v>1281</v>
      </c>
      <c r="AC603" s="193" t="s">
        <v>1428</v>
      </c>
      <c r="AD603" s="193" t="s">
        <v>1429</v>
      </c>
      <c r="AE603" s="193" t="s">
        <v>1460</v>
      </c>
      <c r="AF603" s="193" t="s">
        <v>950</v>
      </c>
      <c r="AG603" s="193" t="s">
        <v>942</v>
      </c>
      <c r="AH603" s="193" t="s">
        <v>876</v>
      </c>
      <c r="AI603" s="193" t="s">
        <v>938</v>
      </c>
      <c r="AJ603" s="193" t="s">
        <v>1431</v>
      </c>
      <c r="AK603" s="193" t="s">
        <v>1431</v>
      </c>
      <c r="AL603" s="193" t="s">
        <v>1431</v>
      </c>
    </row>
    <row r="604" spans="7:38">
      <c r="G604" s="193" t="s">
        <v>2137</v>
      </c>
      <c r="H604" s="193" t="s">
        <v>2131</v>
      </c>
      <c r="I604" s="193" t="s">
        <v>2138</v>
      </c>
      <c r="J604" s="193" t="s">
        <v>2138</v>
      </c>
      <c r="K604" s="193" t="s">
        <v>1513</v>
      </c>
      <c r="L604" s="193"/>
      <c r="M604" s="193"/>
      <c r="N604" s="193">
        <v>5.9986310746064335</v>
      </c>
      <c r="O604" s="193"/>
      <c r="P604" s="193"/>
      <c r="Q604" s="193"/>
      <c r="R604" s="193"/>
      <c r="S604" s="193"/>
      <c r="T604" s="193"/>
      <c r="U604" s="193"/>
      <c r="V604" s="193">
        <v>850</v>
      </c>
      <c r="W604" s="193"/>
      <c r="X604" s="193"/>
      <c r="Y604" s="193"/>
      <c r="Z604" s="193" t="s">
        <v>1432</v>
      </c>
      <c r="AA604" s="193" t="s">
        <v>1432</v>
      </c>
      <c r="AB604" s="193" t="s">
        <v>1281</v>
      </c>
      <c r="AC604" s="193" t="s">
        <v>1428</v>
      </c>
      <c r="AD604" s="193" t="s">
        <v>1429</v>
      </c>
      <c r="AE604" s="193" t="s">
        <v>1460</v>
      </c>
      <c r="AF604" s="193" t="s">
        <v>950</v>
      </c>
      <c r="AG604" s="193" t="s">
        <v>942</v>
      </c>
      <c r="AH604" s="193" t="s">
        <v>876</v>
      </c>
      <c r="AI604" s="193" t="s">
        <v>938</v>
      </c>
      <c r="AJ604" s="193" t="s">
        <v>1431</v>
      </c>
      <c r="AK604" s="193" t="s">
        <v>1431</v>
      </c>
      <c r="AL604" s="193" t="s">
        <v>1431</v>
      </c>
    </row>
    <row r="605" spans="7:38">
      <c r="G605" s="193" t="s">
        <v>2139</v>
      </c>
      <c r="H605" s="193" t="s">
        <v>2140</v>
      </c>
      <c r="I605" s="193" t="s">
        <v>2141</v>
      </c>
      <c r="J605" s="193" t="s">
        <v>2141</v>
      </c>
      <c r="K605" s="193" t="s">
        <v>2142</v>
      </c>
      <c r="L605" s="193"/>
      <c r="M605" s="193"/>
      <c r="N605" s="193">
        <v>4.9993155373032172</v>
      </c>
      <c r="O605" s="193"/>
      <c r="P605" s="193">
        <v>100</v>
      </c>
      <c r="Q605" s="193">
        <v>80</v>
      </c>
      <c r="R605" s="193">
        <v>-20</v>
      </c>
      <c r="S605" s="193">
        <v>0</v>
      </c>
      <c r="T605" s="193">
        <v>1450</v>
      </c>
      <c r="U605" s="193">
        <v>1450000000</v>
      </c>
      <c r="V605" s="193">
        <v>1900</v>
      </c>
      <c r="W605" s="193"/>
      <c r="X605" s="193">
        <v>0</v>
      </c>
      <c r="Y605" s="193">
        <v>-23.68</v>
      </c>
      <c r="Z605" s="193">
        <v>56.617099999999979</v>
      </c>
      <c r="AA605" s="193">
        <v>80</v>
      </c>
      <c r="AB605" s="193" t="s">
        <v>1281</v>
      </c>
      <c r="AC605" s="193" t="s">
        <v>1428</v>
      </c>
      <c r="AD605" s="193" t="s">
        <v>1437</v>
      </c>
      <c r="AE605" s="193" t="s">
        <v>1887</v>
      </c>
      <c r="AF605" s="193" t="s">
        <v>1154</v>
      </c>
      <c r="AG605" s="193" t="s">
        <v>998</v>
      </c>
      <c r="AH605" s="193" t="s">
        <v>1154</v>
      </c>
      <c r="AI605" s="193" t="s">
        <v>1011</v>
      </c>
      <c r="AJ605" s="193" t="s">
        <v>1431</v>
      </c>
      <c r="AK605" s="193" t="s">
        <v>1431</v>
      </c>
      <c r="AL605" s="193" t="s">
        <v>1431</v>
      </c>
    </row>
    <row r="606" spans="7:38">
      <c r="G606" s="193" t="s">
        <v>2143</v>
      </c>
      <c r="H606" s="193" t="s">
        <v>2144</v>
      </c>
      <c r="I606" s="193" t="s">
        <v>2145</v>
      </c>
      <c r="J606" s="193" t="s">
        <v>2145</v>
      </c>
      <c r="K606" s="193" t="s">
        <v>1624</v>
      </c>
      <c r="L606" s="193"/>
      <c r="M606" s="193"/>
      <c r="N606" s="193">
        <v>7.0937713894592749</v>
      </c>
      <c r="O606" s="193"/>
      <c r="P606" s="193">
        <v>125</v>
      </c>
      <c r="Q606" s="193">
        <v>98</v>
      </c>
      <c r="R606" s="193">
        <v>-27</v>
      </c>
      <c r="S606" s="193">
        <v>0</v>
      </c>
      <c r="T606" s="193">
        <v>2200</v>
      </c>
      <c r="U606" s="193">
        <v>2200000000</v>
      </c>
      <c r="V606" s="193">
        <v>2700</v>
      </c>
      <c r="W606" s="193"/>
      <c r="X606" s="193">
        <v>0</v>
      </c>
      <c r="Y606" s="193">
        <v>-18.52</v>
      </c>
      <c r="Z606" s="193">
        <v>62.335199999999972</v>
      </c>
      <c r="AA606" s="193">
        <v>98</v>
      </c>
      <c r="AB606" s="193" t="s">
        <v>1281</v>
      </c>
      <c r="AC606" s="193" t="s">
        <v>1428</v>
      </c>
      <c r="AD606" s="193" t="s">
        <v>1436</v>
      </c>
      <c r="AE606" s="193" t="s">
        <v>1920</v>
      </c>
      <c r="AF606" s="193" t="s">
        <v>938</v>
      </c>
      <c r="AG606" s="193" t="s">
        <v>942</v>
      </c>
      <c r="AH606" s="193" t="s">
        <v>1432</v>
      </c>
      <c r="AI606" s="193" t="s">
        <v>938</v>
      </c>
      <c r="AJ606" s="193" t="s">
        <v>1431</v>
      </c>
      <c r="AK606" s="193" t="s">
        <v>1431</v>
      </c>
      <c r="AL606" s="193" t="s">
        <v>1431</v>
      </c>
    </row>
    <row r="607" spans="7:38">
      <c r="G607" s="193" t="s">
        <v>2146</v>
      </c>
      <c r="H607" s="193" t="s">
        <v>2147</v>
      </c>
      <c r="I607" s="193" t="s">
        <v>2148</v>
      </c>
      <c r="J607" s="193" t="s">
        <v>2148</v>
      </c>
      <c r="K607" s="193" t="s">
        <v>1592</v>
      </c>
      <c r="L607" s="193"/>
      <c r="M607" s="193"/>
      <c r="N607" s="193">
        <v>3.0006844626967832</v>
      </c>
      <c r="O607" s="193"/>
      <c r="P607" s="193">
        <v>90</v>
      </c>
      <c r="Q607" s="193">
        <v>65</v>
      </c>
      <c r="R607" s="193">
        <v>-25</v>
      </c>
      <c r="S607" s="193">
        <v>0</v>
      </c>
      <c r="T607" s="193">
        <v>1350</v>
      </c>
      <c r="U607" s="193">
        <v>1350000000</v>
      </c>
      <c r="V607" s="193">
        <v>1925</v>
      </c>
      <c r="W607" s="193"/>
      <c r="X607" s="193">
        <v>0</v>
      </c>
      <c r="Y607" s="193">
        <v>-29.87</v>
      </c>
      <c r="Z607" s="193">
        <v>47.734299999999983</v>
      </c>
      <c r="AA607" s="193">
        <v>65</v>
      </c>
      <c r="AB607" s="193" t="s">
        <v>1281</v>
      </c>
      <c r="AC607" s="193" t="s">
        <v>1447</v>
      </c>
      <c r="AD607" s="193" t="s">
        <v>1899</v>
      </c>
      <c r="AE607" s="193" t="s">
        <v>2149</v>
      </c>
      <c r="AF607" s="193" t="s">
        <v>932</v>
      </c>
      <c r="AG607" s="193" t="s">
        <v>933</v>
      </c>
      <c r="AH607" s="193" t="s">
        <v>1432</v>
      </c>
      <c r="AI607" s="193" t="s">
        <v>932</v>
      </c>
      <c r="AJ607" s="193" t="s">
        <v>1431</v>
      </c>
      <c r="AK607" s="193" t="s">
        <v>1431</v>
      </c>
      <c r="AL607" s="193" t="s">
        <v>1431</v>
      </c>
    </row>
    <row r="608" spans="7:38">
      <c r="G608" s="193" t="s">
        <v>2150</v>
      </c>
      <c r="H608" s="193" t="s">
        <v>2147</v>
      </c>
      <c r="I608" s="193" t="s">
        <v>2151</v>
      </c>
      <c r="J608" s="193" t="s">
        <v>2151</v>
      </c>
      <c r="K608" s="193" t="s">
        <v>1592</v>
      </c>
      <c r="L608" s="193"/>
      <c r="M608" s="193"/>
      <c r="N608" s="193">
        <v>4.9993155373032172</v>
      </c>
      <c r="O608" s="193"/>
      <c r="P608" s="193">
        <v>105</v>
      </c>
      <c r="Q608" s="193">
        <v>80</v>
      </c>
      <c r="R608" s="193">
        <v>-25</v>
      </c>
      <c r="S608" s="193">
        <v>0</v>
      </c>
      <c r="T608" s="193">
        <v>1500</v>
      </c>
      <c r="U608" s="193">
        <v>1500000000</v>
      </c>
      <c r="V608" s="193">
        <v>2475</v>
      </c>
      <c r="W608" s="193"/>
      <c r="X608" s="193">
        <v>0</v>
      </c>
      <c r="Y608" s="193">
        <v>-39.39</v>
      </c>
      <c r="Z608" s="193">
        <v>60.690299999999993</v>
      </c>
      <c r="AA608" s="193">
        <v>80</v>
      </c>
      <c r="AB608" s="193" t="s">
        <v>1281</v>
      </c>
      <c r="AC608" s="193" t="s">
        <v>1447</v>
      </c>
      <c r="AD608" s="193" t="s">
        <v>1899</v>
      </c>
      <c r="AE608" s="193" t="s">
        <v>2149</v>
      </c>
      <c r="AF608" s="193" t="s">
        <v>932</v>
      </c>
      <c r="AG608" s="193" t="s">
        <v>933</v>
      </c>
      <c r="AH608" s="193" t="s">
        <v>1432</v>
      </c>
      <c r="AI608" s="193" t="s">
        <v>932</v>
      </c>
      <c r="AJ608" s="193" t="s">
        <v>1431</v>
      </c>
      <c r="AK608" s="193" t="s">
        <v>1431</v>
      </c>
      <c r="AL608" s="193" t="s">
        <v>1431</v>
      </c>
    </row>
    <row r="609" spans="7:38">
      <c r="G609" s="193" t="s">
        <v>2152</v>
      </c>
      <c r="H609" s="193" t="s">
        <v>2147</v>
      </c>
      <c r="I609" s="193" t="s">
        <v>2153</v>
      </c>
      <c r="J609" s="193" t="s">
        <v>2153</v>
      </c>
      <c r="K609" s="193" t="s">
        <v>1592</v>
      </c>
      <c r="L609" s="193"/>
      <c r="M609" s="193"/>
      <c r="N609" s="193">
        <v>9.9986310746064344</v>
      </c>
      <c r="O609" s="193"/>
      <c r="P609" s="193">
        <v>120</v>
      </c>
      <c r="Q609" s="193">
        <v>95</v>
      </c>
      <c r="R609" s="193">
        <v>-25</v>
      </c>
      <c r="S609" s="193">
        <v>0</v>
      </c>
      <c r="T609" s="193">
        <v>1150</v>
      </c>
      <c r="U609" s="193">
        <v>1150000000</v>
      </c>
      <c r="V609" s="193">
        <v>2475</v>
      </c>
      <c r="W609" s="193"/>
      <c r="X609" s="193">
        <v>-1</v>
      </c>
      <c r="Y609" s="193">
        <v>-53.54</v>
      </c>
      <c r="Z609" s="193">
        <v>73.959400000000031</v>
      </c>
      <c r="AA609" s="193">
        <v>95</v>
      </c>
      <c r="AB609" s="193" t="s">
        <v>1281</v>
      </c>
      <c r="AC609" s="193" t="s">
        <v>1447</v>
      </c>
      <c r="AD609" s="193" t="s">
        <v>1899</v>
      </c>
      <c r="AE609" s="193" t="s">
        <v>2149</v>
      </c>
      <c r="AF609" s="193" t="s">
        <v>932</v>
      </c>
      <c r="AG609" s="193" t="s">
        <v>933</v>
      </c>
      <c r="AH609" s="193" t="s">
        <v>1432</v>
      </c>
      <c r="AI609" s="193" t="s">
        <v>932</v>
      </c>
      <c r="AJ609" s="193" t="s">
        <v>1431</v>
      </c>
      <c r="AK609" s="193" t="s">
        <v>1431</v>
      </c>
      <c r="AL609" s="193" t="s">
        <v>1431</v>
      </c>
    </row>
    <row r="610" spans="7:38">
      <c r="G610" s="193" t="s">
        <v>2154</v>
      </c>
      <c r="H610" s="193" t="s">
        <v>2155</v>
      </c>
      <c r="I610" s="193" t="s">
        <v>2156</v>
      </c>
      <c r="J610" s="193" t="s">
        <v>2156</v>
      </c>
      <c r="K610" s="193" t="s">
        <v>1597</v>
      </c>
      <c r="L610" s="193"/>
      <c r="M610" s="193"/>
      <c r="N610" s="193">
        <v>9.9986310746064344</v>
      </c>
      <c r="O610" s="193"/>
      <c r="P610" s="193">
        <v>120</v>
      </c>
      <c r="Q610" s="193">
        <v>93</v>
      </c>
      <c r="R610" s="193">
        <v>-27</v>
      </c>
      <c r="S610" s="193">
        <v>-5</v>
      </c>
      <c r="T610" s="193">
        <v>1400</v>
      </c>
      <c r="U610" s="193">
        <v>1400000000</v>
      </c>
      <c r="V610" s="193">
        <v>2300</v>
      </c>
      <c r="W610" s="193"/>
      <c r="X610" s="193">
        <v>0</v>
      </c>
      <c r="Y610" s="193">
        <v>-39.130000000000003</v>
      </c>
      <c r="Z610" s="193">
        <v>78.53410000000008</v>
      </c>
      <c r="AA610" s="193">
        <v>93</v>
      </c>
      <c r="AB610" s="193" t="s">
        <v>1281</v>
      </c>
      <c r="AC610" s="193" t="s">
        <v>1447</v>
      </c>
      <c r="AD610" s="193" t="s">
        <v>1889</v>
      </c>
      <c r="AE610" s="193" t="s">
        <v>1890</v>
      </c>
      <c r="AF610" s="193" t="s">
        <v>938</v>
      </c>
      <c r="AG610" s="193" t="s">
        <v>1432</v>
      </c>
      <c r="AH610" s="193" t="s">
        <v>876</v>
      </c>
      <c r="AI610" s="193" t="s">
        <v>938</v>
      </c>
      <c r="AJ610" s="193" t="s">
        <v>1431</v>
      </c>
      <c r="AK610" s="193" t="s">
        <v>1431</v>
      </c>
      <c r="AL610" s="193" t="s">
        <v>1431</v>
      </c>
    </row>
    <row r="611" spans="7:38">
      <c r="G611" s="193" t="s">
        <v>2157</v>
      </c>
      <c r="H611" s="193" t="s">
        <v>2158</v>
      </c>
      <c r="I611" s="193" t="s">
        <v>2159</v>
      </c>
      <c r="J611" s="193" t="s">
        <v>2159</v>
      </c>
      <c r="K611" s="193" t="s">
        <v>2160</v>
      </c>
      <c r="L611" s="193"/>
      <c r="M611" s="193"/>
      <c r="N611" s="193">
        <v>9.9986310746064344</v>
      </c>
      <c r="O611" s="193"/>
      <c r="P611" s="193">
        <v>187.5</v>
      </c>
      <c r="Q611" s="193">
        <v>165</v>
      </c>
      <c r="R611" s="193">
        <v>-23</v>
      </c>
      <c r="S611" s="193"/>
      <c r="T611" s="193">
        <v>1500</v>
      </c>
      <c r="U611" s="193">
        <v>1500000000</v>
      </c>
      <c r="V611" s="193">
        <v>1800</v>
      </c>
      <c r="W611" s="193"/>
      <c r="X611" s="193">
        <v>0</v>
      </c>
      <c r="Y611" s="193">
        <v>-16.670000000000002</v>
      </c>
      <c r="Z611" s="193">
        <v>121.45700000000002</v>
      </c>
      <c r="AA611" s="193">
        <v>165</v>
      </c>
      <c r="AB611" s="193" t="s">
        <v>1281</v>
      </c>
      <c r="AC611" s="193" t="s">
        <v>1428</v>
      </c>
      <c r="AD611" s="193" t="s">
        <v>1456</v>
      </c>
      <c r="AE611" s="193" t="s">
        <v>1456</v>
      </c>
      <c r="AF611" s="193" t="s">
        <v>938</v>
      </c>
      <c r="AG611" s="193" t="s">
        <v>1432</v>
      </c>
      <c r="AH611" s="193" t="s">
        <v>938</v>
      </c>
      <c r="AI611" s="193" t="s">
        <v>938</v>
      </c>
      <c r="AJ611" s="193" t="s">
        <v>1431</v>
      </c>
      <c r="AK611" s="193" t="s">
        <v>1431</v>
      </c>
      <c r="AL611" s="193" t="s">
        <v>1431</v>
      </c>
    </row>
    <row r="612" spans="7:38">
      <c r="G612" s="193" t="s">
        <v>2161</v>
      </c>
      <c r="H612" s="193" t="s">
        <v>2162</v>
      </c>
      <c r="I612" s="193" t="s">
        <v>2163</v>
      </c>
      <c r="J612" s="193" t="s">
        <v>2163</v>
      </c>
      <c r="K612" s="193" t="s">
        <v>1632</v>
      </c>
      <c r="L612" s="193"/>
      <c r="M612" s="193"/>
      <c r="N612" s="193">
        <v>3.0006844626967832</v>
      </c>
      <c r="O612" s="193"/>
      <c r="P612" s="193">
        <v>240</v>
      </c>
      <c r="Q612" s="193">
        <v>215</v>
      </c>
      <c r="R612" s="193">
        <v>-25</v>
      </c>
      <c r="S612" s="193">
        <v>10</v>
      </c>
      <c r="T612" s="193">
        <v>1200</v>
      </c>
      <c r="U612" s="193">
        <v>1200000000</v>
      </c>
      <c r="V612" s="193">
        <v>1300</v>
      </c>
      <c r="W612" s="193"/>
      <c r="X612" s="193">
        <v>0</v>
      </c>
      <c r="Y612" s="193">
        <v>-7.69</v>
      </c>
      <c r="Z612" s="193">
        <v>165.36199999999997</v>
      </c>
      <c r="AA612" s="193">
        <v>215</v>
      </c>
      <c r="AB612" s="193" t="s">
        <v>1281</v>
      </c>
      <c r="AC612" s="193" t="s">
        <v>1428</v>
      </c>
      <c r="AD612" s="193" t="s">
        <v>1864</v>
      </c>
      <c r="AE612" s="193" t="s">
        <v>1877</v>
      </c>
      <c r="AF612" s="193" t="s">
        <v>877</v>
      </c>
      <c r="AG612" s="193" t="s">
        <v>1432</v>
      </c>
      <c r="AH612" s="193" t="s">
        <v>877</v>
      </c>
      <c r="AI612" s="193" t="s">
        <v>877</v>
      </c>
      <c r="AJ612" s="193" t="s">
        <v>1431</v>
      </c>
      <c r="AK612" s="193" t="s">
        <v>1431</v>
      </c>
      <c r="AL612" s="193" t="s">
        <v>1431</v>
      </c>
    </row>
    <row r="613" spans="7:38">
      <c r="G613" s="193" t="s">
        <v>2164</v>
      </c>
      <c r="H613" s="193" t="s">
        <v>1922</v>
      </c>
      <c r="I613" s="193" t="s">
        <v>2165</v>
      </c>
      <c r="J613" s="193" t="s">
        <v>2165</v>
      </c>
      <c r="K613" s="193" t="s">
        <v>1923</v>
      </c>
      <c r="L613" s="193"/>
      <c r="M613" s="193"/>
      <c r="N613" s="193">
        <v>4</v>
      </c>
      <c r="O613" s="193"/>
      <c r="P613" s="193">
        <v>150</v>
      </c>
      <c r="Q613" s="193">
        <v>120</v>
      </c>
      <c r="R613" s="193">
        <v>-30</v>
      </c>
      <c r="S613" s="193">
        <v>5</v>
      </c>
      <c r="T613" s="193">
        <v>3700</v>
      </c>
      <c r="U613" s="193">
        <v>3700000000</v>
      </c>
      <c r="V613" s="193">
        <v>4800</v>
      </c>
      <c r="W613" s="193"/>
      <c r="X613" s="193">
        <v>0</v>
      </c>
      <c r="Y613" s="193">
        <v>-22.92</v>
      </c>
      <c r="Z613" s="193">
        <v>81.556100000000015</v>
      </c>
      <c r="AA613" s="193">
        <v>120</v>
      </c>
      <c r="AB613" s="193" t="s">
        <v>1281</v>
      </c>
      <c r="AC613" s="193" t="s">
        <v>1428</v>
      </c>
      <c r="AD613" s="193" t="s">
        <v>1429</v>
      </c>
      <c r="AE613" s="193" t="s">
        <v>1460</v>
      </c>
      <c r="AF613" s="193" t="s">
        <v>938</v>
      </c>
      <c r="AG613" s="193" t="s">
        <v>933</v>
      </c>
      <c r="AH613" s="193" t="s">
        <v>953</v>
      </c>
      <c r="AI613" s="193" t="s">
        <v>938</v>
      </c>
      <c r="AJ613" s="193" t="s">
        <v>1431</v>
      </c>
      <c r="AK613" s="193" t="s">
        <v>1431</v>
      </c>
      <c r="AL613" s="193" t="s">
        <v>1431</v>
      </c>
    </row>
    <row r="614" spans="7:38">
      <c r="G614" s="193" t="s">
        <v>2166</v>
      </c>
      <c r="H614" s="193" t="s">
        <v>1922</v>
      </c>
      <c r="I614" s="193" t="s">
        <v>2167</v>
      </c>
      <c r="J614" s="193" t="s">
        <v>2167</v>
      </c>
      <c r="K614" s="193" t="s">
        <v>1923</v>
      </c>
      <c r="L614" s="193"/>
      <c r="M614" s="193"/>
      <c r="N614" s="193">
        <v>4</v>
      </c>
      <c r="O614" s="193"/>
      <c r="P614" s="193"/>
      <c r="Q614" s="193">
        <v>143</v>
      </c>
      <c r="R614" s="193"/>
      <c r="S614" s="193"/>
      <c r="T614" s="193">
        <v>1000</v>
      </c>
      <c r="U614" s="193">
        <v>1000000000</v>
      </c>
      <c r="V614" s="193">
        <v>1100</v>
      </c>
      <c r="W614" s="193"/>
      <c r="X614" s="193">
        <v>0</v>
      </c>
      <c r="Y614" s="193">
        <v>-9.09</v>
      </c>
      <c r="Z614" s="193" t="s">
        <v>1432</v>
      </c>
      <c r="AA614" s="193" t="s">
        <v>1432</v>
      </c>
      <c r="AB614" s="193" t="s">
        <v>1281</v>
      </c>
      <c r="AC614" s="193" t="s">
        <v>1428</v>
      </c>
      <c r="AD614" s="193" t="s">
        <v>1429</v>
      </c>
      <c r="AE614" s="193" t="s">
        <v>1460</v>
      </c>
      <c r="AF614" s="193" t="s">
        <v>938</v>
      </c>
      <c r="AG614" s="193" t="s">
        <v>933</v>
      </c>
      <c r="AH614" s="193" t="s">
        <v>953</v>
      </c>
      <c r="AI614" s="193" t="s">
        <v>938</v>
      </c>
      <c r="AJ614" s="193" t="s">
        <v>1431</v>
      </c>
      <c r="AK614" s="193" t="s">
        <v>1431</v>
      </c>
      <c r="AL614" s="193" t="s">
        <v>1431</v>
      </c>
    </row>
    <row r="615" spans="7:38">
      <c r="G615" s="193" t="s">
        <v>2168</v>
      </c>
      <c r="H615" s="193" t="s">
        <v>1922</v>
      </c>
      <c r="I615" s="193" t="s">
        <v>2169</v>
      </c>
      <c r="J615" s="193" t="s">
        <v>2169</v>
      </c>
      <c r="K615" s="193" t="s">
        <v>1923</v>
      </c>
      <c r="L615" s="193"/>
      <c r="M615" s="193"/>
      <c r="N615" s="193">
        <v>5.9986310746064335</v>
      </c>
      <c r="O615" s="193"/>
      <c r="P615" s="193">
        <v>160</v>
      </c>
      <c r="Q615" s="193">
        <v>135</v>
      </c>
      <c r="R615" s="193">
        <v>-25</v>
      </c>
      <c r="S615" s="193">
        <v>8</v>
      </c>
      <c r="T615" s="193">
        <v>3000</v>
      </c>
      <c r="U615" s="193">
        <v>3000000000</v>
      </c>
      <c r="V615" s="193">
        <v>3750</v>
      </c>
      <c r="W615" s="193"/>
      <c r="X615" s="193">
        <v>0</v>
      </c>
      <c r="Y615" s="193">
        <v>-20</v>
      </c>
      <c r="Z615" s="193">
        <v>97.648099999999971</v>
      </c>
      <c r="AA615" s="193">
        <v>135</v>
      </c>
      <c r="AB615" s="193" t="s">
        <v>1281</v>
      </c>
      <c r="AC615" s="193" t="s">
        <v>1428</v>
      </c>
      <c r="AD615" s="193" t="s">
        <v>1429</v>
      </c>
      <c r="AE615" s="193" t="s">
        <v>1460</v>
      </c>
      <c r="AF615" s="193" t="s">
        <v>938</v>
      </c>
      <c r="AG615" s="193" t="s">
        <v>933</v>
      </c>
      <c r="AH615" s="193" t="s">
        <v>953</v>
      </c>
      <c r="AI615" s="193" t="s">
        <v>938</v>
      </c>
      <c r="AJ615" s="193" t="s">
        <v>1431</v>
      </c>
      <c r="AK615" s="193" t="s">
        <v>1431</v>
      </c>
      <c r="AL615" s="193" t="s">
        <v>1431</v>
      </c>
    </row>
    <row r="616" spans="7:38">
      <c r="G616" s="193" t="s">
        <v>2170</v>
      </c>
      <c r="H616" s="193" t="s">
        <v>2171</v>
      </c>
      <c r="I616" s="193" t="s">
        <v>2172</v>
      </c>
      <c r="J616" s="193" t="s">
        <v>2172</v>
      </c>
      <c r="K616" s="193" t="s">
        <v>2173</v>
      </c>
      <c r="L616" s="193"/>
      <c r="M616" s="193"/>
      <c r="N616" s="193">
        <v>4.9993155373032172</v>
      </c>
      <c r="O616" s="193"/>
      <c r="P616" s="193">
        <v>330</v>
      </c>
      <c r="Q616" s="193">
        <v>310</v>
      </c>
      <c r="R616" s="193">
        <v>-20</v>
      </c>
      <c r="S616" s="193"/>
      <c r="T616" s="193">
        <v>1250</v>
      </c>
      <c r="U616" s="193">
        <v>1250000000</v>
      </c>
      <c r="V616" s="193">
        <v>1375</v>
      </c>
      <c r="W616" s="193"/>
      <c r="X616" s="193">
        <v>0</v>
      </c>
      <c r="Y616" s="193">
        <v>-9.09</v>
      </c>
      <c r="Z616" s="193">
        <v>249.10990000000001</v>
      </c>
      <c r="AA616" s="193">
        <v>310</v>
      </c>
      <c r="AB616" s="193" t="s">
        <v>1281</v>
      </c>
      <c r="AC616" s="193" t="s">
        <v>1872</v>
      </c>
      <c r="AD616" s="193" t="s">
        <v>1873</v>
      </c>
      <c r="AE616" s="193" t="s">
        <v>2174</v>
      </c>
      <c r="AF616" s="193" t="s">
        <v>1432</v>
      </c>
      <c r="AG616" s="193" t="s">
        <v>969</v>
      </c>
      <c r="AH616" s="193" t="s">
        <v>932</v>
      </c>
      <c r="AI616" s="193" t="s">
        <v>877</v>
      </c>
      <c r="AJ616" s="193" t="s">
        <v>1431</v>
      </c>
      <c r="AK616" s="193" t="s">
        <v>1431</v>
      </c>
      <c r="AL616" s="193" t="s">
        <v>1431</v>
      </c>
    </row>
    <row r="617" spans="7:38">
      <c r="G617" s="193" t="s">
        <v>2175</v>
      </c>
      <c r="H617" s="193" t="s">
        <v>2171</v>
      </c>
      <c r="I617" s="193" t="s">
        <v>2176</v>
      </c>
      <c r="J617" s="193" t="s">
        <v>2176</v>
      </c>
      <c r="K617" s="193" t="s">
        <v>2173</v>
      </c>
      <c r="L617" s="193"/>
      <c r="M617" s="193"/>
      <c r="N617" s="193">
        <v>9.9986310746064344</v>
      </c>
      <c r="O617" s="193"/>
      <c r="P617" s="193">
        <v>370</v>
      </c>
      <c r="Q617" s="193">
        <v>345</v>
      </c>
      <c r="R617" s="193">
        <v>-25</v>
      </c>
      <c r="S617" s="193"/>
      <c r="T617" s="193">
        <v>1300</v>
      </c>
      <c r="U617" s="193">
        <v>1300000000</v>
      </c>
      <c r="V617" s="193">
        <v>1375</v>
      </c>
      <c r="W617" s="193"/>
      <c r="X617" s="193">
        <v>0</v>
      </c>
      <c r="Y617" s="193">
        <v>-5.45</v>
      </c>
      <c r="Z617" s="193">
        <v>269.80560000000003</v>
      </c>
      <c r="AA617" s="193">
        <v>345</v>
      </c>
      <c r="AB617" s="193" t="s">
        <v>1281</v>
      </c>
      <c r="AC617" s="193" t="s">
        <v>1872</v>
      </c>
      <c r="AD617" s="193" t="s">
        <v>1873</v>
      </c>
      <c r="AE617" s="193" t="s">
        <v>2174</v>
      </c>
      <c r="AF617" s="193" t="s">
        <v>1432</v>
      </c>
      <c r="AG617" s="193" t="s">
        <v>969</v>
      </c>
      <c r="AH617" s="193" t="s">
        <v>932</v>
      </c>
      <c r="AI617" s="193" t="s">
        <v>877</v>
      </c>
      <c r="AJ617" s="193" t="s">
        <v>1431</v>
      </c>
      <c r="AK617" s="193" t="s">
        <v>1431</v>
      </c>
      <c r="AL617" s="193" t="s">
        <v>1431</v>
      </c>
    </row>
    <row r="618" spans="7:38">
      <c r="G618" s="193" t="s">
        <v>2177</v>
      </c>
      <c r="H618" s="193" t="s">
        <v>2178</v>
      </c>
      <c r="I618" s="193" t="s">
        <v>2179</v>
      </c>
      <c r="J618" s="193" t="s">
        <v>2179</v>
      </c>
      <c r="K618" s="193" t="s">
        <v>2180</v>
      </c>
      <c r="L618" s="193"/>
      <c r="M618" s="193"/>
      <c r="N618" s="193">
        <v>7.0006844626967828</v>
      </c>
      <c r="O618" s="193"/>
      <c r="P618" s="193">
        <v>260</v>
      </c>
      <c r="Q618" s="193">
        <v>225</v>
      </c>
      <c r="R618" s="193">
        <v>-35</v>
      </c>
      <c r="S618" s="193">
        <v>12.5</v>
      </c>
      <c r="T618" s="193">
        <v>1850</v>
      </c>
      <c r="U618" s="193">
        <v>1850000000</v>
      </c>
      <c r="V618" s="193">
        <v>2250</v>
      </c>
      <c r="W618" s="193"/>
      <c r="X618" s="193">
        <v>0</v>
      </c>
      <c r="Y618" s="193">
        <v>-17.78</v>
      </c>
      <c r="Z618" s="193">
        <v>160.18930000000006</v>
      </c>
      <c r="AA618" s="193">
        <v>225</v>
      </c>
      <c r="AB618" s="193" t="s">
        <v>1281</v>
      </c>
      <c r="AC618" s="193" t="s">
        <v>1872</v>
      </c>
      <c r="AD618" s="193" t="s">
        <v>1953</v>
      </c>
      <c r="AE618" s="193" t="s">
        <v>1954</v>
      </c>
      <c r="AF618" s="193" t="s">
        <v>877</v>
      </c>
      <c r="AG618" s="193" t="s">
        <v>969</v>
      </c>
      <c r="AH618" s="193" t="s">
        <v>932</v>
      </c>
      <c r="AI618" s="193" t="s">
        <v>877</v>
      </c>
      <c r="AJ618" s="193" t="s">
        <v>1431</v>
      </c>
      <c r="AK618" s="193" t="s">
        <v>1431</v>
      </c>
      <c r="AL618" s="193" t="s">
        <v>1450</v>
      </c>
    </row>
    <row r="619" spans="7:38">
      <c r="G619" s="193" t="s">
        <v>2181</v>
      </c>
      <c r="H619" s="193" t="s">
        <v>2182</v>
      </c>
      <c r="I619" s="193" t="s">
        <v>2183</v>
      </c>
      <c r="J619" s="193" t="s">
        <v>2183</v>
      </c>
      <c r="K619" s="193" t="s">
        <v>1635</v>
      </c>
      <c r="L619" s="193"/>
      <c r="M619" s="193"/>
      <c r="N619" s="193">
        <v>5.7549623545516768</v>
      </c>
      <c r="O619" s="193"/>
      <c r="P619" s="193">
        <v>107.5</v>
      </c>
      <c r="Q619" s="193">
        <v>83</v>
      </c>
      <c r="R619" s="193">
        <v>-25</v>
      </c>
      <c r="S619" s="193">
        <v>3</v>
      </c>
      <c r="T619" s="193">
        <v>1900</v>
      </c>
      <c r="U619" s="193">
        <v>1900000000</v>
      </c>
      <c r="V619" s="193">
        <v>2400</v>
      </c>
      <c r="W619" s="193"/>
      <c r="X619" s="193">
        <v>0</v>
      </c>
      <c r="Y619" s="193">
        <v>-20.83</v>
      </c>
      <c r="Z619" s="193">
        <v>60.965799999999959</v>
      </c>
      <c r="AA619" s="193">
        <v>83</v>
      </c>
      <c r="AB619" s="193" t="s">
        <v>1281</v>
      </c>
      <c r="AC619" s="193" t="s">
        <v>1879</v>
      </c>
      <c r="AD619" s="193" t="s">
        <v>1935</v>
      </c>
      <c r="AE619" s="193" t="s">
        <v>1936</v>
      </c>
      <c r="AF619" s="193" t="s">
        <v>938</v>
      </c>
      <c r="AG619" s="193" t="s">
        <v>942</v>
      </c>
      <c r="AH619" s="193" t="s">
        <v>938</v>
      </c>
      <c r="AI619" s="193" t="s">
        <v>938</v>
      </c>
      <c r="AJ619" s="193" t="s">
        <v>1431</v>
      </c>
      <c r="AK619" s="193" t="s">
        <v>1431</v>
      </c>
      <c r="AL619" s="193" t="s">
        <v>1431</v>
      </c>
    </row>
    <row r="620" spans="7:38">
      <c r="G620" s="193" t="s">
        <v>2184</v>
      </c>
      <c r="H620" s="193" t="s">
        <v>2182</v>
      </c>
      <c r="I620" s="193" t="s">
        <v>2185</v>
      </c>
      <c r="J620" s="193" t="s">
        <v>2185</v>
      </c>
      <c r="K620" s="193" t="s">
        <v>1635</v>
      </c>
      <c r="L620" s="193"/>
      <c r="M620" s="193"/>
      <c r="N620" s="193">
        <v>9.9986310746064344</v>
      </c>
      <c r="O620" s="193"/>
      <c r="P620" s="193">
        <v>122.5</v>
      </c>
      <c r="Q620" s="193">
        <v>97</v>
      </c>
      <c r="R620" s="193">
        <v>-26</v>
      </c>
      <c r="S620" s="193">
        <v>2</v>
      </c>
      <c r="T620" s="193">
        <v>2100</v>
      </c>
      <c r="U620" s="193">
        <v>2100000000</v>
      </c>
      <c r="V620" s="193">
        <v>2600</v>
      </c>
      <c r="W620" s="193"/>
      <c r="X620" s="193">
        <v>0</v>
      </c>
      <c r="Y620" s="193">
        <v>-19.23</v>
      </c>
      <c r="Z620" s="193">
        <v>78.834500000000048</v>
      </c>
      <c r="AA620" s="193">
        <v>97</v>
      </c>
      <c r="AB620" s="193" t="s">
        <v>1281</v>
      </c>
      <c r="AC620" s="193" t="s">
        <v>1879</v>
      </c>
      <c r="AD620" s="193" t="s">
        <v>1935</v>
      </c>
      <c r="AE620" s="193" t="s">
        <v>1936</v>
      </c>
      <c r="AF620" s="193" t="s">
        <v>938</v>
      </c>
      <c r="AG620" s="193" t="s">
        <v>942</v>
      </c>
      <c r="AH620" s="193" t="s">
        <v>938</v>
      </c>
      <c r="AI620" s="193" t="s">
        <v>938</v>
      </c>
      <c r="AJ620" s="193" t="s">
        <v>1431</v>
      </c>
      <c r="AK620" s="193" t="s">
        <v>1431</v>
      </c>
      <c r="AL620" s="193" t="s">
        <v>1431</v>
      </c>
    </row>
    <row r="621" spans="7:38">
      <c r="G621" s="193" t="s">
        <v>2186</v>
      </c>
      <c r="H621" s="193" t="s">
        <v>2187</v>
      </c>
      <c r="I621" s="193" t="s">
        <v>2188</v>
      </c>
      <c r="J621" s="193" t="s">
        <v>2188</v>
      </c>
      <c r="K621" s="193" t="s">
        <v>2189</v>
      </c>
      <c r="L621" s="193"/>
      <c r="M621" s="193"/>
      <c r="N621" s="193">
        <v>3.1101984941820673</v>
      </c>
      <c r="O621" s="193"/>
      <c r="P621" s="193">
        <v>237.5</v>
      </c>
      <c r="Q621" s="193">
        <v>200</v>
      </c>
      <c r="R621" s="193">
        <v>-38</v>
      </c>
      <c r="S621" s="193">
        <v>25</v>
      </c>
      <c r="T621" s="193">
        <v>2600</v>
      </c>
      <c r="U621" s="193">
        <v>2600000000</v>
      </c>
      <c r="V621" s="193">
        <v>2800</v>
      </c>
      <c r="W621" s="193"/>
      <c r="X621" s="193">
        <v>0</v>
      </c>
      <c r="Y621" s="193">
        <v>-7.14</v>
      </c>
      <c r="Z621" s="193">
        <v>106.66129999999998</v>
      </c>
      <c r="AA621" s="193">
        <v>200</v>
      </c>
      <c r="AB621" s="193" t="s">
        <v>1281</v>
      </c>
      <c r="AC621" s="193" t="s">
        <v>1433</v>
      </c>
      <c r="AD621" s="193" t="s">
        <v>2190</v>
      </c>
      <c r="AE621" s="193" t="s">
        <v>2191</v>
      </c>
      <c r="AF621" s="193" t="s">
        <v>955</v>
      </c>
      <c r="AG621" s="193" t="s">
        <v>969</v>
      </c>
      <c r="AH621" s="193" t="s">
        <v>877</v>
      </c>
      <c r="AI621" s="193" t="s">
        <v>955</v>
      </c>
      <c r="AJ621" s="193" t="s">
        <v>1431</v>
      </c>
      <c r="AK621" s="193" t="s">
        <v>1431</v>
      </c>
      <c r="AL621" s="193" t="s">
        <v>1431</v>
      </c>
    </row>
    <row r="622" spans="7:38">
      <c r="G622" s="193" t="s">
        <v>2192</v>
      </c>
      <c r="H622" s="193" t="s">
        <v>2187</v>
      </c>
      <c r="I622" s="193" t="s">
        <v>2193</v>
      </c>
      <c r="J622" s="193" t="s">
        <v>2193</v>
      </c>
      <c r="K622" s="193" t="s">
        <v>2189</v>
      </c>
      <c r="L622" s="193"/>
      <c r="M622" s="193"/>
      <c r="N622" s="193">
        <v>5.1060917180013687</v>
      </c>
      <c r="O622" s="193"/>
      <c r="P622" s="193">
        <v>262.5</v>
      </c>
      <c r="Q622" s="193">
        <v>225</v>
      </c>
      <c r="R622" s="193">
        <v>-38</v>
      </c>
      <c r="S622" s="193">
        <v>25</v>
      </c>
      <c r="T622" s="193">
        <v>2950</v>
      </c>
      <c r="U622" s="193">
        <v>2950000000</v>
      </c>
      <c r="V622" s="193">
        <v>3500</v>
      </c>
      <c r="W622" s="193"/>
      <c r="X622" s="193">
        <v>0</v>
      </c>
      <c r="Y622" s="193">
        <v>-15.71</v>
      </c>
      <c r="Z622" s="193">
        <v>127.86710000000001</v>
      </c>
      <c r="AA622" s="193">
        <v>225</v>
      </c>
      <c r="AB622" s="193" t="s">
        <v>1281</v>
      </c>
      <c r="AC622" s="193" t="s">
        <v>1433</v>
      </c>
      <c r="AD622" s="193" t="s">
        <v>2190</v>
      </c>
      <c r="AE622" s="193" t="s">
        <v>2191</v>
      </c>
      <c r="AF622" s="193" t="s">
        <v>955</v>
      </c>
      <c r="AG622" s="193" t="s">
        <v>969</v>
      </c>
      <c r="AH622" s="193" t="s">
        <v>877</v>
      </c>
      <c r="AI622" s="193" t="s">
        <v>955</v>
      </c>
      <c r="AJ622" s="193" t="s">
        <v>1431</v>
      </c>
      <c r="AK622" s="193" t="s">
        <v>1431</v>
      </c>
      <c r="AL622" s="193" t="s">
        <v>1431</v>
      </c>
    </row>
    <row r="623" spans="7:38">
      <c r="G623" s="193" t="s">
        <v>2194</v>
      </c>
      <c r="H623" s="193" t="s">
        <v>2195</v>
      </c>
      <c r="I623" s="193" t="s">
        <v>2196</v>
      </c>
      <c r="J623" s="193" t="s">
        <v>2196</v>
      </c>
      <c r="K623" s="193" t="s">
        <v>1454</v>
      </c>
      <c r="L623" s="193"/>
      <c r="M623" s="193"/>
      <c r="N623" s="193">
        <v>10.03422313483915</v>
      </c>
      <c r="O623" s="193"/>
      <c r="P623" s="193">
        <v>135</v>
      </c>
      <c r="Q623" s="193">
        <v>115</v>
      </c>
      <c r="R623" s="193">
        <v>-20</v>
      </c>
      <c r="S623" s="193">
        <v>5</v>
      </c>
      <c r="T623" s="193">
        <v>1000</v>
      </c>
      <c r="U623" s="193">
        <v>1000000000</v>
      </c>
      <c r="V623" s="193">
        <v>1850</v>
      </c>
      <c r="W623" s="193"/>
      <c r="X623" s="193">
        <v>0</v>
      </c>
      <c r="Y623" s="193">
        <v>-45.95</v>
      </c>
      <c r="Z623" s="193">
        <v>91.463099999999997</v>
      </c>
      <c r="AA623" s="193">
        <v>115</v>
      </c>
      <c r="AB623" s="193" t="s">
        <v>1281</v>
      </c>
      <c r="AC623" s="193" t="s">
        <v>1441</v>
      </c>
      <c r="AD623" s="193" t="s">
        <v>1442</v>
      </c>
      <c r="AE623" s="193" t="s">
        <v>1443</v>
      </c>
      <c r="AF623" s="193" t="s">
        <v>938</v>
      </c>
      <c r="AG623" s="193" t="s">
        <v>942</v>
      </c>
      <c r="AH623" s="193" t="s">
        <v>938</v>
      </c>
      <c r="AI623" s="193" t="s">
        <v>938</v>
      </c>
      <c r="AJ623" s="193" t="s">
        <v>1431</v>
      </c>
      <c r="AK623" s="193" t="s">
        <v>1431</v>
      </c>
      <c r="AL623" s="193" t="s">
        <v>1431</v>
      </c>
    </row>
    <row r="624" spans="7:38">
      <c r="G624" s="193" t="s">
        <v>2197</v>
      </c>
      <c r="H624" s="193" t="s">
        <v>2198</v>
      </c>
      <c r="I624" s="193" t="s">
        <v>2199</v>
      </c>
      <c r="J624" s="193" t="s">
        <v>2199</v>
      </c>
      <c r="K624" s="193" t="s">
        <v>1613</v>
      </c>
      <c r="L624" s="193"/>
      <c r="M624" s="193"/>
      <c r="N624" s="193">
        <v>4.9993155373032172</v>
      </c>
      <c r="O624" s="193"/>
      <c r="P624" s="193">
        <v>135</v>
      </c>
      <c r="Q624" s="193">
        <v>107</v>
      </c>
      <c r="R624" s="193">
        <v>-28</v>
      </c>
      <c r="S624" s="193">
        <v>2</v>
      </c>
      <c r="T624" s="193">
        <v>4400</v>
      </c>
      <c r="U624" s="193">
        <v>4400000000</v>
      </c>
      <c r="V624" s="193">
        <v>5000</v>
      </c>
      <c r="W624" s="193"/>
      <c r="X624" s="193">
        <v>0</v>
      </c>
      <c r="Y624" s="193">
        <v>-12</v>
      </c>
      <c r="Z624" s="193">
        <v>71.943899999999957</v>
      </c>
      <c r="AA624" s="193">
        <v>107</v>
      </c>
      <c r="AB624" s="193" t="s">
        <v>1281</v>
      </c>
      <c r="AC624" s="193" t="s">
        <v>1447</v>
      </c>
      <c r="AD624" s="193" t="s">
        <v>1889</v>
      </c>
      <c r="AE624" s="193" t="s">
        <v>2200</v>
      </c>
      <c r="AF624" s="193" t="s">
        <v>932</v>
      </c>
      <c r="AG624" s="193" t="s">
        <v>875</v>
      </c>
      <c r="AH624" s="193" t="s">
        <v>1432</v>
      </c>
      <c r="AI624" s="193" t="s">
        <v>932</v>
      </c>
      <c r="AJ624" s="193" t="s">
        <v>1431</v>
      </c>
      <c r="AK624" s="193" t="s">
        <v>1431</v>
      </c>
      <c r="AL624" s="193" t="s">
        <v>1431</v>
      </c>
    </row>
    <row r="625" spans="7:38">
      <c r="G625" s="193" t="s">
        <v>2201</v>
      </c>
      <c r="H625" s="193" t="s">
        <v>2202</v>
      </c>
      <c r="I625" s="193" t="s">
        <v>2203</v>
      </c>
      <c r="J625" s="193" t="s">
        <v>2203</v>
      </c>
      <c r="K625" s="193" t="s">
        <v>2204</v>
      </c>
      <c r="L625" s="193"/>
      <c r="M625" s="193"/>
      <c r="N625" s="193">
        <v>4.9993155373032172</v>
      </c>
      <c r="O625" s="193"/>
      <c r="P625" s="193">
        <v>190</v>
      </c>
      <c r="Q625" s="193">
        <v>160</v>
      </c>
      <c r="R625" s="193">
        <v>-30</v>
      </c>
      <c r="S625" s="193"/>
      <c r="T625" s="193">
        <v>2300</v>
      </c>
      <c r="U625" s="193">
        <v>2300000000</v>
      </c>
      <c r="V625" s="193">
        <v>3000</v>
      </c>
      <c r="W625" s="193"/>
      <c r="X625" s="193">
        <v>0</v>
      </c>
      <c r="Y625" s="193">
        <v>-23.33</v>
      </c>
      <c r="Z625" s="193">
        <v>113.21430000000001</v>
      </c>
      <c r="AA625" s="193">
        <v>160</v>
      </c>
      <c r="AB625" s="193" t="s">
        <v>1281</v>
      </c>
      <c r="AC625" s="193" t="s">
        <v>1879</v>
      </c>
      <c r="AD625" s="193" t="s">
        <v>1891</v>
      </c>
      <c r="AE625" s="193" t="s">
        <v>2205</v>
      </c>
      <c r="AF625" s="193" t="s">
        <v>877</v>
      </c>
      <c r="AG625" s="193" t="s">
        <v>969</v>
      </c>
      <c r="AH625" s="193" t="s">
        <v>1432</v>
      </c>
      <c r="AI625" s="193" t="s">
        <v>877</v>
      </c>
      <c r="AJ625" s="193" t="s">
        <v>1431</v>
      </c>
      <c r="AK625" s="193" t="s">
        <v>1431</v>
      </c>
      <c r="AL625" s="193" t="s">
        <v>1431</v>
      </c>
    </row>
    <row r="626" spans="7:38">
      <c r="G626" s="193" t="s">
        <v>2206</v>
      </c>
      <c r="H626" s="193" t="s">
        <v>2207</v>
      </c>
      <c r="I626" s="193" t="s">
        <v>2208</v>
      </c>
      <c r="J626" s="193" t="s">
        <v>2208</v>
      </c>
      <c r="K626" s="193" t="s">
        <v>2209</v>
      </c>
      <c r="L626" s="193"/>
      <c r="M626" s="193"/>
      <c r="N626" s="193">
        <v>3.0006844626967832</v>
      </c>
      <c r="O626" s="193"/>
      <c r="P626" s="193">
        <v>260</v>
      </c>
      <c r="Q626" s="193">
        <v>225</v>
      </c>
      <c r="R626" s="193">
        <v>-35</v>
      </c>
      <c r="S626" s="193"/>
      <c r="T626" s="193">
        <v>1900</v>
      </c>
      <c r="U626" s="193">
        <v>1900000000</v>
      </c>
      <c r="V626" s="193">
        <v>2400</v>
      </c>
      <c r="W626" s="193"/>
      <c r="X626" s="193">
        <v>0</v>
      </c>
      <c r="Y626" s="193">
        <v>-20.83</v>
      </c>
      <c r="Z626" s="193">
        <v>162.07150000000001</v>
      </c>
      <c r="AA626" s="193">
        <v>225</v>
      </c>
      <c r="AB626" s="193" t="s">
        <v>1281</v>
      </c>
      <c r="AC626" s="193" t="s">
        <v>1428</v>
      </c>
      <c r="AD626" s="193" t="s">
        <v>1897</v>
      </c>
      <c r="AE626" s="193" t="s">
        <v>1897</v>
      </c>
      <c r="AF626" s="193" t="s">
        <v>1432</v>
      </c>
      <c r="AG626" s="193" t="s">
        <v>969</v>
      </c>
      <c r="AH626" s="193" t="s">
        <v>877</v>
      </c>
      <c r="AI626" s="193" t="s">
        <v>877</v>
      </c>
      <c r="AJ626" s="193" t="s">
        <v>1431</v>
      </c>
      <c r="AK626" s="193" t="s">
        <v>1431</v>
      </c>
      <c r="AL626" s="193" t="s">
        <v>1431</v>
      </c>
    </row>
    <row r="627" spans="7:38">
      <c r="G627" s="193" t="s">
        <v>2210</v>
      </c>
      <c r="H627" s="193" t="s">
        <v>2207</v>
      </c>
      <c r="I627" s="193" t="s">
        <v>2211</v>
      </c>
      <c r="J627" s="193" t="s">
        <v>2211</v>
      </c>
      <c r="K627" s="193" t="s">
        <v>2209</v>
      </c>
      <c r="L627" s="193"/>
      <c r="M627" s="193"/>
      <c r="N627" s="193">
        <v>4.9993155373032172</v>
      </c>
      <c r="O627" s="193"/>
      <c r="P627" s="193">
        <v>285</v>
      </c>
      <c r="Q627" s="193">
        <v>250</v>
      </c>
      <c r="R627" s="193">
        <v>-35</v>
      </c>
      <c r="S627" s="193"/>
      <c r="T627" s="193">
        <v>2200</v>
      </c>
      <c r="U627" s="193">
        <v>2200000000</v>
      </c>
      <c r="V627" s="193">
        <v>2700</v>
      </c>
      <c r="W627" s="193"/>
      <c r="X627" s="193">
        <v>0</v>
      </c>
      <c r="Y627" s="193">
        <v>-18.52</v>
      </c>
      <c r="Z627" s="193">
        <v>191.59869999999995</v>
      </c>
      <c r="AA627" s="193">
        <v>250</v>
      </c>
      <c r="AB627" s="193" t="s">
        <v>1281</v>
      </c>
      <c r="AC627" s="193" t="s">
        <v>1428</v>
      </c>
      <c r="AD627" s="193" t="s">
        <v>1897</v>
      </c>
      <c r="AE627" s="193" t="s">
        <v>1897</v>
      </c>
      <c r="AF627" s="193" t="s">
        <v>1432</v>
      </c>
      <c r="AG627" s="193" t="s">
        <v>969</v>
      </c>
      <c r="AH627" s="193" t="s">
        <v>877</v>
      </c>
      <c r="AI627" s="193" t="s">
        <v>877</v>
      </c>
      <c r="AJ627" s="193" t="s">
        <v>1431</v>
      </c>
      <c r="AK627" s="193" t="s">
        <v>1431</v>
      </c>
      <c r="AL627" s="193" t="s">
        <v>1431</v>
      </c>
    </row>
    <row r="628" spans="7:38">
      <c r="G628" s="193" t="s">
        <v>2212</v>
      </c>
      <c r="H628" s="193" t="s">
        <v>2213</v>
      </c>
      <c r="I628" s="193" t="s">
        <v>2214</v>
      </c>
      <c r="J628" s="193" t="s">
        <v>2214</v>
      </c>
      <c r="K628" s="193" t="s">
        <v>2215</v>
      </c>
      <c r="L628" s="193"/>
      <c r="M628" s="193"/>
      <c r="N628" s="193">
        <v>3.0006844626967832</v>
      </c>
      <c r="O628" s="193"/>
      <c r="P628" s="193">
        <v>120</v>
      </c>
      <c r="Q628" s="193">
        <v>77.5</v>
      </c>
      <c r="R628" s="193">
        <v>-43</v>
      </c>
      <c r="S628" s="193"/>
      <c r="T628" s="193">
        <v>4800</v>
      </c>
      <c r="U628" s="193">
        <v>4800000000</v>
      </c>
      <c r="V628" s="193"/>
      <c r="W628" s="193"/>
      <c r="X628" s="193"/>
      <c r="Y628" s="193"/>
      <c r="Z628" s="193">
        <v>48.340999999999966</v>
      </c>
      <c r="AA628" s="193">
        <v>77.5</v>
      </c>
      <c r="AB628" s="193" t="s">
        <v>1281</v>
      </c>
      <c r="AC628" s="193" t="s">
        <v>1428</v>
      </c>
      <c r="AD628" s="193" t="s">
        <v>1429</v>
      </c>
      <c r="AE628" s="193" t="s">
        <v>1430</v>
      </c>
      <c r="AF628" s="193" t="s">
        <v>953</v>
      </c>
      <c r="AG628" s="193" t="s">
        <v>998</v>
      </c>
      <c r="AH628" s="193" t="s">
        <v>1432</v>
      </c>
      <c r="AI628" s="193" t="s">
        <v>953</v>
      </c>
      <c r="AJ628" s="193" t="s">
        <v>1431</v>
      </c>
      <c r="AK628" s="193" t="s">
        <v>1431</v>
      </c>
      <c r="AL628" s="193" t="s">
        <v>1431</v>
      </c>
    </row>
    <row r="629" spans="7:38">
      <c r="G629" s="193" t="s">
        <v>2216</v>
      </c>
      <c r="H629" s="193" t="s">
        <v>2213</v>
      </c>
      <c r="I629" s="193" t="s">
        <v>2217</v>
      </c>
      <c r="J629" s="193" t="s">
        <v>2217</v>
      </c>
      <c r="K629" s="193" t="s">
        <v>2215</v>
      </c>
      <c r="L629" s="193"/>
      <c r="M629" s="193"/>
      <c r="N629" s="193">
        <v>4.9993155373032172</v>
      </c>
      <c r="O629" s="193"/>
      <c r="P629" s="193">
        <v>125</v>
      </c>
      <c r="Q629" s="193">
        <v>82.5</v>
      </c>
      <c r="R629" s="193">
        <v>-43</v>
      </c>
      <c r="S629" s="193"/>
      <c r="T629" s="193">
        <v>4300</v>
      </c>
      <c r="U629" s="193">
        <v>4300000000</v>
      </c>
      <c r="V629" s="193"/>
      <c r="W629" s="193"/>
      <c r="X629" s="193"/>
      <c r="Y629" s="193"/>
      <c r="Z629" s="193">
        <v>40.209299999999985</v>
      </c>
      <c r="AA629" s="193">
        <v>82.5</v>
      </c>
      <c r="AB629" s="193" t="s">
        <v>1281</v>
      </c>
      <c r="AC629" s="193" t="s">
        <v>1428</v>
      </c>
      <c r="AD629" s="193" t="s">
        <v>1429</v>
      </c>
      <c r="AE629" s="193" t="s">
        <v>1430</v>
      </c>
      <c r="AF629" s="193" t="s">
        <v>953</v>
      </c>
      <c r="AG629" s="193" t="s">
        <v>998</v>
      </c>
      <c r="AH629" s="193" t="s">
        <v>1432</v>
      </c>
      <c r="AI629" s="193" t="s">
        <v>953</v>
      </c>
      <c r="AJ629" s="193" t="s">
        <v>1431</v>
      </c>
      <c r="AK629" s="193" t="s">
        <v>1431</v>
      </c>
      <c r="AL629" s="193" t="s">
        <v>1431</v>
      </c>
    </row>
    <row r="630" spans="7:38">
      <c r="G630" s="193" t="s">
        <v>2218</v>
      </c>
      <c r="H630" s="193" t="s">
        <v>2219</v>
      </c>
      <c r="I630" s="193" t="s">
        <v>2220</v>
      </c>
      <c r="J630" s="193" t="s">
        <v>2220</v>
      </c>
      <c r="K630" s="193" t="s">
        <v>2221</v>
      </c>
      <c r="L630" s="193"/>
      <c r="M630" s="193"/>
      <c r="N630" s="193">
        <v>4.9993155373032172</v>
      </c>
      <c r="O630" s="193"/>
      <c r="P630" s="193">
        <v>180</v>
      </c>
      <c r="Q630" s="193">
        <v>137.5</v>
      </c>
      <c r="R630" s="193">
        <v>-43</v>
      </c>
      <c r="S630" s="193"/>
      <c r="T630" s="193">
        <v>3800</v>
      </c>
      <c r="U630" s="193">
        <v>3800000000</v>
      </c>
      <c r="V630" s="193"/>
      <c r="W630" s="193"/>
      <c r="X630" s="193"/>
      <c r="Y630" s="193"/>
      <c r="Z630" s="193">
        <v>80.630700000000033</v>
      </c>
      <c r="AA630" s="193">
        <v>137.5</v>
      </c>
      <c r="AB630" s="193" t="s">
        <v>1281</v>
      </c>
      <c r="AC630" s="193" t="s">
        <v>1872</v>
      </c>
      <c r="AD630" s="193" t="s">
        <v>1942</v>
      </c>
      <c r="AE630" s="193" t="s">
        <v>1943</v>
      </c>
      <c r="AF630" s="193" t="s">
        <v>938</v>
      </c>
      <c r="AG630" s="193" t="s">
        <v>933</v>
      </c>
      <c r="AH630" s="193" t="s">
        <v>1432</v>
      </c>
      <c r="AI630" s="193" t="s">
        <v>950</v>
      </c>
      <c r="AJ630" s="193" t="s">
        <v>1450</v>
      </c>
      <c r="AK630" s="193" t="s">
        <v>1431</v>
      </c>
      <c r="AL630" s="193" t="s">
        <v>1431</v>
      </c>
    </row>
    <row r="631" spans="7:38">
      <c r="G631" s="193" t="s">
        <v>2222</v>
      </c>
      <c r="H631" s="193" t="s">
        <v>2219</v>
      </c>
      <c r="I631" s="193" t="s">
        <v>2223</v>
      </c>
      <c r="J631" s="193" t="s">
        <v>2223</v>
      </c>
      <c r="K631" s="193" t="s">
        <v>2221</v>
      </c>
      <c r="L631" s="193"/>
      <c r="M631" s="193"/>
      <c r="N631" s="193">
        <v>9.9986310746064344</v>
      </c>
      <c r="O631" s="193"/>
      <c r="P631" s="193">
        <v>200</v>
      </c>
      <c r="Q631" s="193">
        <v>157.5</v>
      </c>
      <c r="R631" s="193">
        <v>-43</v>
      </c>
      <c r="S631" s="193"/>
      <c r="T631" s="193">
        <v>2800</v>
      </c>
      <c r="U631" s="193">
        <v>2800000000</v>
      </c>
      <c r="V631" s="193"/>
      <c r="W631" s="193"/>
      <c r="X631" s="193"/>
      <c r="Y631" s="193"/>
      <c r="Z631" s="193">
        <v>93.028300000000016</v>
      </c>
      <c r="AA631" s="193">
        <v>157.5</v>
      </c>
      <c r="AB631" s="193" t="s">
        <v>1281</v>
      </c>
      <c r="AC631" s="193" t="s">
        <v>1872</v>
      </c>
      <c r="AD631" s="193" t="s">
        <v>1942</v>
      </c>
      <c r="AE631" s="193" t="s">
        <v>1943</v>
      </c>
      <c r="AF631" s="193" t="s">
        <v>938</v>
      </c>
      <c r="AG631" s="193" t="s">
        <v>933</v>
      </c>
      <c r="AH631" s="193" t="s">
        <v>1432</v>
      </c>
      <c r="AI631" s="193" t="s">
        <v>950</v>
      </c>
      <c r="AJ631" s="193" t="s">
        <v>1450</v>
      </c>
      <c r="AK631" s="193" t="s">
        <v>1431</v>
      </c>
      <c r="AL631" s="193" t="s">
        <v>1431</v>
      </c>
    </row>
    <row r="632" spans="7:38">
      <c r="G632" s="193" t="s">
        <v>2224</v>
      </c>
      <c r="H632" s="193" t="s">
        <v>2225</v>
      </c>
      <c r="I632" s="193" t="s">
        <v>2226</v>
      </c>
      <c r="J632" s="193" t="s">
        <v>2226</v>
      </c>
      <c r="K632" s="193" t="s">
        <v>1567</v>
      </c>
      <c r="L632" s="193"/>
      <c r="M632" s="193"/>
      <c r="N632" s="193">
        <v>5.0376454483230662</v>
      </c>
      <c r="O632" s="193"/>
      <c r="P632" s="193">
        <v>57.5</v>
      </c>
      <c r="Q632" s="193">
        <v>32</v>
      </c>
      <c r="R632" s="193">
        <v>-26</v>
      </c>
      <c r="S632" s="193">
        <v>2</v>
      </c>
      <c r="T632" s="193">
        <v>4400</v>
      </c>
      <c r="U632" s="193">
        <v>4400000000</v>
      </c>
      <c r="V632" s="193">
        <v>5450</v>
      </c>
      <c r="W632" s="193"/>
      <c r="X632" s="193">
        <v>0</v>
      </c>
      <c r="Y632" s="193">
        <v>-19.27</v>
      </c>
      <c r="Z632" s="193">
        <v>14.219299999999979</v>
      </c>
      <c r="AA632" s="193">
        <v>32</v>
      </c>
      <c r="AB632" s="193" t="s">
        <v>1281</v>
      </c>
      <c r="AC632" s="193" t="s">
        <v>1490</v>
      </c>
      <c r="AD632" s="193" t="s">
        <v>2227</v>
      </c>
      <c r="AE632" s="193" t="s">
        <v>2228</v>
      </c>
      <c r="AF632" s="193" t="s">
        <v>1154</v>
      </c>
      <c r="AG632" s="193" t="s">
        <v>1012</v>
      </c>
      <c r="AH632" s="193" t="s">
        <v>1432</v>
      </c>
      <c r="AI632" s="193" t="s">
        <v>1011</v>
      </c>
      <c r="AJ632" s="193" t="s">
        <v>1431</v>
      </c>
      <c r="AK632" s="193" t="s">
        <v>1431</v>
      </c>
      <c r="AL632" s="193" t="s">
        <v>1431</v>
      </c>
    </row>
    <row r="633" spans="7:38">
      <c r="G633" s="193" t="s">
        <v>2229</v>
      </c>
      <c r="H633" s="193" t="s">
        <v>2225</v>
      </c>
      <c r="I633" s="193" t="s">
        <v>2230</v>
      </c>
      <c r="J633" s="193" t="s">
        <v>2230</v>
      </c>
      <c r="K633" s="193" t="s">
        <v>1567</v>
      </c>
      <c r="L633" s="193"/>
      <c r="M633" s="193"/>
      <c r="N633" s="193">
        <v>10.036960985626283</v>
      </c>
      <c r="O633" s="193"/>
      <c r="P633" s="193">
        <v>72.5</v>
      </c>
      <c r="Q633" s="193">
        <v>47</v>
      </c>
      <c r="R633" s="193">
        <v>-26</v>
      </c>
      <c r="S633" s="193">
        <v>2</v>
      </c>
      <c r="T633" s="193">
        <v>5100</v>
      </c>
      <c r="U633" s="193">
        <v>5100000000</v>
      </c>
      <c r="V633" s="193">
        <v>6200</v>
      </c>
      <c r="W633" s="193"/>
      <c r="X633" s="193">
        <v>0</v>
      </c>
      <c r="Y633" s="193">
        <v>-17.739999999999998</v>
      </c>
      <c r="Z633" s="193">
        <v>33.812400000000054</v>
      </c>
      <c r="AA633" s="193">
        <v>47</v>
      </c>
      <c r="AB633" s="193" t="s">
        <v>1281</v>
      </c>
      <c r="AC633" s="193" t="s">
        <v>1490</v>
      </c>
      <c r="AD633" s="193" t="s">
        <v>2227</v>
      </c>
      <c r="AE633" s="193" t="s">
        <v>2228</v>
      </c>
      <c r="AF633" s="193" t="s">
        <v>1154</v>
      </c>
      <c r="AG633" s="193" t="s">
        <v>1012</v>
      </c>
      <c r="AH633" s="193" t="s">
        <v>1432</v>
      </c>
      <c r="AI633" s="193" t="s">
        <v>1011</v>
      </c>
      <c r="AJ633" s="193" t="s">
        <v>1431</v>
      </c>
      <c r="AK633" s="193" t="s">
        <v>1431</v>
      </c>
      <c r="AL633" s="193" t="s">
        <v>1431</v>
      </c>
    </row>
    <row r="634" spans="7:38">
      <c r="G634" s="193" t="s">
        <v>2231</v>
      </c>
      <c r="H634" s="193" t="s">
        <v>2225</v>
      </c>
      <c r="I634" s="193" t="s">
        <v>2232</v>
      </c>
      <c r="J634" s="193" t="s">
        <v>2232</v>
      </c>
      <c r="K634" s="193" t="s">
        <v>1567</v>
      </c>
      <c r="L634" s="193"/>
      <c r="M634" s="193"/>
      <c r="N634" s="193">
        <v>30.036960985626283</v>
      </c>
      <c r="O634" s="193"/>
      <c r="P634" s="193">
        <v>92.5</v>
      </c>
      <c r="Q634" s="193">
        <v>62</v>
      </c>
      <c r="R634" s="193">
        <v>-31</v>
      </c>
      <c r="S634" s="193">
        <v>-3</v>
      </c>
      <c r="T634" s="193">
        <v>10850</v>
      </c>
      <c r="U634" s="193">
        <v>10850000000</v>
      </c>
      <c r="V634" s="193">
        <v>12250</v>
      </c>
      <c r="W634" s="193"/>
      <c r="X634" s="193">
        <v>0</v>
      </c>
      <c r="Y634" s="193">
        <v>-11.43</v>
      </c>
      <c r="Z634" s="193">
        <v>48.242000000000033</v>
      </c>
      <c r="AA634" s="193">
        <v>62</v>
      </c>
      <c r="AB634" s="193" t="s">
        <v>1281</v>
      </c>
      <c r="AC634" s="193" t="s">
        <v>1490</v>
      </c>
      <c r="AD634" s="193" t="s">
        <v>2227</v>
      </c>
      <c r="AE634" s="193" t="s">
        <v>2228</v>
      </c>
      <c r="AF634" s="193" t="s">
        <v>1154</v>
      </c>
      <c r="AG634" s="193" t="s">
        <v>1012</v>
      </c>
      <c r="AH634" s="193" t="s">
        <v>1432</v>
      </c>
      <c r="AI634" s="193" t="s">
        <v>1011</v>
      </c>
      <c r="AJ634" s="193" t="s">
        <v>1431</v>
      </c>
      <c r="AK634" s="193" t="s">
        <v>1431</v>
      </c>
      <c r="AL634" s="193" t="s">
        <v>1431</v>
      </c>
    </row>
    <row r="635" spans="7:38">
      <c r="G635" s="193" t="s">
        <v>2233</v>
      </c>
      <c r="H635" s="193" t="s">
        <v>2225</v>
      </c>
      <c r="I635" s="193" t="s">
        <v>2234</v>
      </c>
      <c r="J635" s="193" t="s">
        <v>2234</v>
      </c>
      <c r="K635" s="193" t="s">
        <v>1567</v>
      </c>
      <c r="L635" s="193"/>
      <c r="M635" s="193"/>
      <c r="N635" s="193">
        <v>40.038329911019851</v>
      </c>
      <c r="O635" s="193"/>
      <c r="P635" s="193">
        <v>102.5</v>
      </c>
      <c r="Q635" s="193">
        <v>70</v>
      </c>
      <c r="R635" s="193">
        <v>-33</v>
      </c>
      <c r="S635" s="193">
        <v>-5</v>
      </c>
      <c r="T635" s="193">
        <v>10650</v>
      </c>
      <c r="U635" s="193">
        <v>10650000000</v>
      </c>
      <c r="V635" s="193">
        <v>11500</v>
      </c>
      <c r="W635" s="193"/>
      <c r="X635" s="193">
        <v>0</v>
      </c>
      <c r="Y635" s="193">
        <v>-7.39</v>
      </c>
      <c r="Z635" s="193">
        <v>56.994800000000012</v>
      </c>
      <c r="AA635" s="193">
        <v>70</v>
      </c>
      <c r="AB635" s="193" t="s">
        <v>1281</v>
      </c>
      <c r="AC635" s="193" t="s">
        <v>1490</v>
      </c>
      <c r="AD635" s="193" t="s">
        <v>2227</v>
      </c>
      <c r="AE635" s="193" t="s">
        <v>2228</v>
      </c>
      <c r="AF635" s="193" t="s">
        <v>1154</v>
      </c>
      <c r="AG635" s="193" t="s">
        <v>1012</v>
      </c>
      <c r="AH635" s="193" t="s">
        <v>1432</v>
      </c>
      <c r="AI635" s="193" t="s">
        <v>1011</v>
      </c>
      <c r="AJ635" s="193" t="s">
        <v>1431</v>
      </c>
      <c r="AK635" s="193" t="s">
        <v>1431</v>
      </c>
      <c r="AL635" s="193" t="s">
        <v>1431</v>
      </c>
    </row>
    <row r="636" spans="7:38">
      <c r="G636" s="193" t="s">
        <v>2235</v>
      </c>
      <c r="H636" s="193" t="s">
        <v>2236</v>
      </c>
      <c r="I636" s="193" t="s">
        <v>2237</v>
      </c>
      <c r="J636" s="193" t="s">
        <v>2237</v>
      </c>
      <c r="K636" s="193" t="s">
        <v>1628</v>
      </c>
      <c r="L636" s="193"/>
      <c r="M636" s="193"/>
      <c r="N636" s="193">
        <v>4.9993155373032172</v>
      </c>
      <c r="O636" s="193"/>
      <c r="P636" s="193">
        <v>55</v>
      </c>
      <c r="Q636" s="193">
        <v>28</v>
      </c>
      <c r="R636" s="193">
        <v>-27</v>
      </c>
      <c r="S636" s="193">
        <v>3</v>
      </c>
      <c r="T636" s="193">
        <v>1500</v>
      </c>
      <c r="U636" s="193">
        <v>1500000000</v>
      </c>
      <c r="V636" s="193">
        <v>2900</v>
      </c>
      <c r="W636" s="193"/>
      <c r="X636" s="193">
        <v>0</v>
      </c>
      <c r="Y636" s="193">
        <v>-48.28</v>
      </c>
      <c r="Z636" s="193">
        <v>19.470499999999991</v>
      </c>
      <c r="AA636" s="193">
        <v>28</v>
      </c>
      <c r="AB636" s="193" t="s">
        <v>1281</v>
      </c>
      <c r="AC636" s="193" t="s">
        <v>1447</v>
      </c>
      <c r="AD636" s="193" t="s">
        <v>1956</v>
      </c>
      <c r="AE636" s="193" t="s">
        <v>1957</v>
      </c>
      <c r="AF636" s="193" t="s">
        <v>997</v>
      </c>
      <c r="AG636" s="193" t="s">
        <v>998</v>
      </c>
      <c r="AH636" s="193" t="s">
        <v>1432</v>
      </c>
      <c r="AI636" s="193" t="s">
        <v>997</v>
      </c>
      <c r="AJ636" s="193" t="s">
        <v>1431</v>
      </c>
      <c r="AK636" s="193" t="s">
        <v>1431</v>
      </c>
      <c r="AL636" s="193" t="s">
        <v>1431</v>
      </c>
    </row>
    <row r="637" spans="7:38">
      <c r="G637" s="193" t="s">
        <v>2238</v>
      </c>
      <c r="H637" s="193" t="s">
        <v>2236</v>
      </c>
      <c r="I637" s="193" t="s">
        <v>2239</v>
      </c>
      <c r="J637" s="193" t="s">
        <v>2239</v>
      </c>
      <c r="K637" s="193" t="s">
        <v>1628</v>
      </c>
      <c r="L637" s="193"/>
      <c r="M637" s="193"/>
      <c r="N637" s="193">
        <v>9.9986310746064344</v>
      </c>
      <c r="O637" s="193"/>
      <c r="P637" s="193">
        <v>70</v>
      </c>
      <c r="Q637" s="193">
        <v>43</v>
      </c>
      <c r="R637" s="193">
        <v>-27</v>
      </c>
      <c r="S637" s="193">
        <v>0</v>
      </c>
      <c r="T637" s="193">
        <v>1500</v>
      </c>
      <c r="U637" s="193">
        <v>1500000000</v>
      </c>
      <c r="V637" s="193">
        <v>2900</v>
      </c>
      <c r="W637" s="193"/>
      <c r="X637" s="193">
        <v>0</v>
      </c>
      <c r="Y637" s="193">
        <v>-48.28</v>
      </c>
      <c r="Z637" s="193">
        <v>25.676900000000025</v>
      </c>
      <c r="AA637" s="193">
        <v>43</v>
      </c>
      <c r="AB637" s="193" t="s">
        <v>1281</v>
      </c>
      <c r="AC637" s="193" t="s">
        <v>1447</v>
      </c>
      <c r="AD637" s="193" t="s">
        <v>1956</v>
      </c>
      <c r="AE637" s="193" t="s">
        <v>1957</v>
      </c>
      <c r="AF637" s="193" t="s">
        <v>997</v>
      </c>
      <c r="AG637" s="193" t="s">
        <v>998</v>
      </c>
      <c r="AH637" s="193" t="s">
        <v>1432</v>
      </c>
      <c r="AI637" s="193" t="s">
        <v>997</v>
      </c>
      <c r="AJ637" s="193" t="s">
        <v>1431</v>
      </c>
      <c r="AK637" s="193" t="s">
        <v>1431</v>
      </c>
      <c r="AL637" s="193" t="s">
        <v>1431</v>
      </c>
    </row>
    <row r="638" spans="7:38">
      <c r="G638" s="193" t="s">
        <v>2240</v>
      </c>
      <c r="H638" s="193" t="s">
        <v>2241</v>
      </c>
      <c r="I638" s="193" t="s">
        <v>2242</v>
      </c>
      <c r="J638" s="193" t="s">
        <v>2242</v>
      </c>
      <c r="K638" s="193" t="s">
        <v>1591</v>
      </c>
      <c r="L638" s="193"/>
      <c r="M638" s="193"/>
      <c r="N638" s="193">
        <v>10.272416153319645</v>
      </c>
      <c r="O638" s="193"/>
      <c r="P638" s="193">
        <v>110</v>
      </c>
      <c r="Q638" s="193">
        <v>78</v>
      </c>
      <c r="R638" s="193">
        <v>-32</v>
      </c>
      <c r="S638" s="193">
        <v>3</v>
      </c>
      <c r="T638" s="193">
        <v>6000</v>
      </c>
      <c r="U638" s="193">
        <v>6000000000</v>
      </c>
      <c r="V638" s="193">
        <v>7250</v>
      </c>
      <c r="W638" s="193"/>
      <c r="X638" s="193">
        <v>0</v>
      </c>
      <c r="Y638" s="193">
        <v>-17.239999999999998</v>
      </c>
      <c r="Z638" s="193">
        <v>56.628699999999995</v>
      </c>
      <c r="AA638" s="193">
        <v>78</v>
      </c>
      <c r="AB638" s="193" t="s">
        <v>1281</v>
      </c>
      <c r="AC638" s="193" t="s">
        <v>1879</v>
      </c>
      <c r="AD638" s="193" t="s">
        <v>1880</v>
      </c>
      <c r="AE638" s="193" t="s">
        <v>1880</v>
      </c>
      <c r="AF638" s="193" t="s">
        <v>876</v>
      </c>
      <c r="AG638" s="193" t="s">
        <v>874</v>
      </c>
      <c r="AH638" s="193" t="s">
        <v>1432</v>
      </c>
      <c r="AI638" s="193" t="s">
        <v>876</v>
      </c>
      <c r="AJ638" s="193" t="s">
        <v>1431</v>
      </c>
      <c r="AK638" s="193" t="s">
        <v>1431</v>
      </c>
      <c r="AL638" s="193" t="s">
        <v>1431</v>
      </c>
    </row>
    <row r="639" spans="7:38">
      <c r="G639" s="193" t="s">
        <v>2243</v>
      </c>
      <c r="H639" s="193" t="s">
        <v>2244</v>
      </c>
      <c r="I639" s="193" t="s">
        <v>2245</v>
      </c>
      <c r="J639" s="193" t="s">
        <v>2245</v>
      </c>
      <c r="K639" s="193" t="s">
        <v>1561</v>
      </c>
      <c r="L639" s="193"/>
      <c r="M639" s="193"/>
      <c r="N639" s="193">
        <v>5.4455852156057496</v>
      </c>
      <c r="O639" s="193"/>
      <c r="P639" s="193">
        <v>130</v>
      </c>
      <c r="Q639" s="193">
        <v>103</v>
      </c>
      <c r="R639" s="193">
        <v>-27</v>
      </c>
      <c r="S639" s="193">
        <v>3</v>
      </c>
      <c r="T639" s="193">
        <v>1200</v>
      </c>
      <c r="U639" s="193">
        <v>1200000000</v>
      </c>
      <c r="V639" s="193">
        <v>1850</v>
      </c>
      <c r="W639" s="193"/>
      <c r="X639" s="193">
        <v>0</v>
      </c>
      <c r="Y639" s="193">
        <v>-35.14</v>
      </c>
      <c r="Z639" s="193">
        <v>65.499099999999984</v>
      </c>
      <c r="AA639" s="193">
        <v>103</v>
      </c>
      <c r="AB639" s="193" t="s">
        <v>1281</v>
      </c>
      <c r="AC639" s="193" t="s">
        <v>1433</v>
      </c>
      <c r="AD639" s="193" t="s">
        <v>1940</v>
      </c>
      <c r="AE639" s="193" t="s">
        <v>1941</v>
      </c>
      <c r="AF639" s="193" t="s">
        <v>950</v>
      </c>
      <c r="AG639" s="193" t="s">
        <v>942</v>
      </c>
      <c r="AH639" s="193" t="s">
        <v>938</v>
      </c>
      <c r="AI639" s="193" t="s">
        <v>950</v>
      </c>
      <c r="AJ639" s="193" t="s">
        <v>1431</v>
      </c>
      <c r="AK639" s="193" t="s">
        <v>1431</v>
      </c>
      <c r="AL639" s="193" t="s">
        <v>1431</v>
      </c>
    </row>
    <row r="640" spans="7:38">
      <c r="G640" s="193" t="s">
        <v>2246</v>
      </c>
      <c r="H640" s="193" t="s">
        <v>2247</v>
      </c>
      <c r="I640" s="193" t="s">
        <v>2248</v>
      </c>
      <c r="J640" s="193" t="s">
        <v>2248</v>
      </c>
      <c r="K640" s="193" t="s">
        <v>1622</v>
      </c>
      <c r="L640" s="193"/>
      <c r="M640" s="193"/>
      <c r="N640" s="193">
        <v>5.7056810403832987</v>
      </c>
      <c r="O640" s="193"/>
      <c r="P640" s="193">
        <v>95</v>
      </c>
      <c r="Q640" s="193">
        <v>67</v>
      </c>
      <c r="R640" s="193">
        <v>-28</v>
      </c>
      <c r="S640" s="193">
        <v>0</v>
      </c>
      <c r="T640" s="193">
        <v>2500</v>
      </c>
      <c r="U640" s="193">
        <v>2500000000</v>
      </c>
      <c r="V640" s="193">
        <v>3600</v>
      </c>
      <c r="W640" s="193"/>
      <c r="X640" s="193">
        <v>0</v>
      </c>
      <c r="Y640" s="193">
        <v>-30.56</v>
      </c>
      <c r="Z640" s="193">
        <v>59.09509999999996</v>
      </c>
      <c r="AA640" s="193">
        <v>67</v>
      </c>
      <c r="AB640" s="193" t="s">
        <v>1281</v>
      </c>
      <c r="AC640" s="193" t="s">
        <v>1441</v>
      </c>
      <c r="AD640" s="193" t="s">
        <v>1442</v>
      </c>
      <c r="AE640" s="193" t="s">
        <v>1443</v>
      </c>
      <c r="AF640" s="193" t="s">
        <v>876</v>
      </c>
      <c r="AG640" s="193" t="s">
        <v>939</v>
      </c>
      <c r="AH640" s="193" t="s">
        <v>953</v>
      </c>
      <c r="AI640" s="193" t="s">
        <v>876</v>
      </c>
      <c r="AJ640" s="193" t="s">
        <v>1431</v>
      </c>
      <c r="AK640" s="193" t="s">
        <v>1431</v>
      </c>
      <c r="AL640" s="193" t="s">
        <v>1431</v>
      </c>
    </row>
    <row r="641" spans="7:38">
      <c r="G641" s="193" t="s">
        <v>2249</v>
      </c>
      <c r="H641" s="193" t="s">
        <v>2247</v>
      </c>
      <c r="I641" s="193" t="s">
        <v>2250</v>
      </c>
      <c r="J641" s="193" t="s">
        <v>2250</v>
      </c>
      <c r="K641" s="193" t="s">
        <v>1622</v>
      </c>
      <c r="L641" s="193"/>
      <c r="M641" s="193"/>
      <c r="N641" s="193">
        <v>10.03422313483915</v>
      </c>
      <c r="O641" s="193"/>
      <c r="P641" s="193">
        <v>117.5</v>
      </c>
      <c r="Q641" s="193">
        <v>87</v>
      </c>
      <c r="R641" s="193">
        <v>-31</v>
      </c>
      <c r="S641" s="193">
        <v>-3</v>
      </c>
      <c r="T641" s="193">
        <v>3900</v>
      </c>
      <c r="U641" s="193">
        <v>3900000000</v>
      </c>
      <c r="V641" s="193">
        <v>5500</v>
      </c>
      <c r="W641" s="193"/>
      <c r="X641" s="193">
        <v>0</v>
      </c>
      <c r="Y641" s="193">
        <v>-29.09</v>
      </c>
      <c r="Z641" s="193">
        <v>66.32850000000002</v>
      </c>
      <c r="AA641" s="193">
        <v>87</v>
      </c>
      <c r="AB641" s="193" t="s">
        <v>1281</v>
      </c>
      <c r="AC641" s="193" t="s">
        <v>1441</v>
      </c>
      <c r="AD641" s="193" t="s">
        <v>1442</v>
      </c>
      <c r="AE641" s="193" t="s">
        <v>1443</v>
      </c>
      <c r="AF641" s="193" t="s">
        <v>876</v>
      </c>
      <c r="AG641" s="193" t="s">
        <v>939</v>
      </c>
      <c r="AH641" s="193" t="s">
        <v>953</v>
      </c>
      <c r="AI641" s="193" t="s">
        <v>876</v>
      </c>
      <c r="AJ641" s="193" t="s">
        <v>1431</v>
      </c>
      <c r="AK641" s="193" t="s">
        <v>1431</v>
      </c>
      <c r="AL641" s="193" t="s">
        <v>1431</v>
      </c>
    </row>
    <row r="642" spans="7:38">
      <c r="G642" s="193" t="s">
        <v>2251</v>
      </c>
      <c r="H642" s="193" t="s">
        <v>2252</v>
      </c>
      <c r="I642" s="193" t="s">
        <v>2253</v>
      </c>
      <c r="J642" s="193" t="s">
        <v>2253</v>
      </c>
      <c r="K642" s="193" t="s">
        <v>1641</v>
      </c>
      <c r="L642" s="193"/>
      <c r="M642" s="193"/>
      <c r="N642" s="193">
        <v>4.9965776865160851</v>
      </c>
      <c r="O642" s="193"/>
      <c r="P642" s="193">
        <v>60</v>
      </c>
      <c r="Q642" s="193">
        <v>38</v>
      </c>
      <c r="R642" s="193">
        <v>-22</v>
      </c>
      <c r="S642" s="193">
        <v>0</v>
      </c>
      <c r="T642" s="193">
        <v>1700</v>
      </c>
      <c r="U642" s="193">
        <v>1700000000</v>
      </c>
      <c r="V642" s="193">
        <v>2200</v>
      </c>
      <c r="W642" s="193"/>
      <c r="X642" s="193">
        <v>0</v>
      </c>
      <c r="Y642" s="193">
        <v>-22.73</v>
      </c>
      <c r="Z642" s="193">
        <v>22.269399999999973</v>
      </c>
      <c r="AA642" s="193">
        <v>38</v>
      </c>
      <c r="AB642" s="193" t="s">
        <v>1281</v>
      </c>
      <c r="AC642" s="193" t="s">
        <v>1447</v>
      </c>
      <c r="AD642" s="193" t="s">
        <v>1956</v>
      </c>
      <c r="AE642" s="193" t="s">
        <v>1957</v>
      </c>
      <c r="AF642" s="193" t="s">
        <v>953</v>
      </c>
      <c r="AG642" s="193" t="s">
        <v>998</v>
      </c>
      <c r="AH642" s="193" t="s">
        <v>1432</v>
      </c>
      <c r="AI642" s="193" t="s">
        <v>953</v>
      </c>
      <c r="AJ642" s="193" t="s">
        <v>1431</v>
      </c>
      <c r="AK642" s="193" t="s">
        <v>1431</v>
      </c>
      <c r="AL642" s="193" t="s">
        <v>1431</v>
      </c>
    </row>
    <row r="643" spans="7:38">
      <c r="G643" s="193" t="s">
        <v>2254</v>
      </c>
      <c r="H643" s="193" t="s">
        <v>2255</v>
      </c>
      <c r="I643" s="193" t="s">
        <v>2256</v>
      </c>
      <c r="J643" s="193" t="s">
        <v>2256</v>
      </c>
      <c r="K643" s="193" t="s">
        <v>1454</v>
      </c>
      <c r="L643" s="193"/>
      <c r="M643" s="193"/>
      <c r="N643" s="193">
        <v>10.026009582477755</v>
      </c>
      <c r="O643" s="193"/>
      <c r="P643" s="193">
        <v>115</v>
      </c>
      <c r="Q643" s="193">
        <v>83</v>
      </c>
      <c r="R643" s="193">
        <v>-32</v>
      </c>
      <c r="S643" s="193">
        <v>-2</v>
      </c>
      <c r="T643" s="193">
        <v>2600</v>
      </c>
      <c r="U643" s="193">
        <v>2600000000</v>
      </c>
      <c r="V643" s="193">
        <v>4750</v>
      </c>
      <c r="W643" s="193"/>
      <c r="X643" s="193">
        <v>0</v>
      </c>
      <c r="Y643" s="193">
        <v>-45.26</v>
      </c>
      <c r="Z643" s="193">
        <v>64.321200000000005</v>
      </c>
      <c r="AA643" s="193">
        <v>83</v>
      </c>
      <c r="AB643" s="193" t="s">
        <v>1281</v>
      </c>
      <c r="AC643" s="193" t="s">
        <v>1441</v>
      </c>
      <c r="AD643" s="193" t="s">
        <v>1442</v>
      </c>
      <c r="AE643" s="193" t="s">
        <v>1443</v>
      </c>
      <c r="AF643" s="193" t="s">
        <v>876</v>
      </c>
      <c r="AG643" s="193" t="s">
        <v>998</v>
      </c>
      <c r="AH643" s="193" t="s">
        <v>953</v>
      </c>
      <c r="AI643" s="193" t="s">
        <v>953</v>
      </c>
      <c r="AJ643" s="193" t="s">
        <v>1431</v>
      </c>
      <c r="AK643" s="193" t="s">
        <v>1431</v>
      </c>
      <c r="AL643" s="193" t="s">
        <v>1431</v>
      </c>
    </row>
    <row r="644" spans="7:38">
      <c r="G644" s="193" t="s">
        <v>2257</v>
      </c>
      <c r="H644" s="193" t="s">
        <v>2255</v>
      </c>
      <c r="I644" s="193" t="s">
        <v>2258</v>
      </c>
      <c r="J644" s="193" t="s">
        <v>2258</v>
      </c>
      <c r="K644" s="193" t="s">
        <v>1454</v>
      </c>
      <c r="L644" s="193"/>
      <c r="M644" s="193"/>
      <c r="N644" s="193">
        <v>30.026009582477755</v>
      </c>
      <c r="O644" s="193"/>
      <c r="P644" s="193">
        <v>130</v>
      </c>
      <c r="Q644" s="193">
        <v>98</v>
      </c>
      <c r="R644" s="193">
        <v>-32</v>
      </c>
      <c r="S644" s="193">
        <v>-2</v>
      </c>
      <c r="T644" s="193">
        <v>3100</v>
      </c>
      <c r="U644" s="193">
        <v>3100000000</v>
      </c>
      <c r="V644" s="193">
        <v>6100</v>
      </c>
      <c r="W644" s="193"/>
      <c r="X644" s="193">
        <v>0</v>
      </c>
      <c r="Y644" s="193">
        <v>-49.18</v>
      </c>
      <c r="Z644" s="193">
        <v>75.081600000000037</v>
      </c>
      <c r="AA644" s="193">
        <v>98</v>
      </c>
      <c r="AB644" s="193" t="s">
        <v>1281</v>
      </c>
      <c r="AC644" s="193" t="s">
        <v>1441</v>
      </c>
      <c r="AD644" s="193" t="s">
        <v>1442</v>
      </c>
      <c r="AE644" s="193" t="s">
        <v>1443</v>
      </c>
      <c r="AF644" s="193" t="s">
        <v>876</v>
      </c>
      <c r="AG644" s="193" t="s">
        <v>998</v>
      </c>
      <c r="AH644" s="193" t="s">
        <v>953</v>
      </c>
      <c r="AI644" s="193" t="s">
        <v>953</v>
      </c>
      <c r="AJ644" s="193" t="s">
        <v>1431</v>
      </c>
      <c r="AK644" s="193" t="s">
        <v>1431</v>
      </c>
      <c r="AL644" s="193" t="s">
        <v>1431</v>
      </c>
    </row>
    <row r="645" spans="7:38">
      <c r="G645" s="193" t="s">
        <v>2259</v>
      </c>
      <c r="H645" s="193" t="s">
        <v>2260</v>
      </c>
      <c r="I645" s="193" t="s">
        <v>2261</v>
      </c>
      <c r="J645" s="193" t="s">
        <v>2261</v>
      </c>
      <c r="K645" s="193" t="s">
        <v>1517</v>
      </c>
      <c r="L645" s="193"/>
      <c r="M645" s="193"/>
      <c r="N645" s="193">
        <v>5.1060917180013687</v>
      </c>
      <c r="O645" s="193"/>
      <c r="P645" s="193">
        <v>130</v>
      </c>
      <c r="Q645" s="193">
        <v>108</v>
      </c>
      <c r="R645" s="193">
        <v>-22</v>
      </c>
      <c r="S645" s="193">
        <v>3</v>
      </c>
      <c r="T645" s="193">
        <v>625</v>
      </c>
      <c r="U645" s="193">
        <v>625000000</v>
      </c>
      <c r="V645" s="193">
        <v>1000</v>
      </c>
      <c r="W645" s="193"/>
      <c r="X645" s="193">
        <v>0</v>
      </c>
      <c r="Y645" s="193">
        <v>-37.5</v>
      </c>
      <c r="Z645" s="193">
        <v>67.087099999999992</v>
      </c>
      <c r="AA645" s="193">
        <v>108</v>
      </c>
      <c r="AB645" s="193" t="s">
        <v>1281</v>
      </c>
      <c r="AC645" s="193" t="s">
        <v>1879</v>
      </c>
      <c r="AD645" s="193" t="s">
        <v>1947</v>
      </c>
      <c r="AE645" s="193" t="s">
        <v>1961</v>
      </c>
      <c r="AF645" s="193" t="s">
        <v>950</v>
      </c>
      <c r="AG645" s="193" t="s">
        <v>875</v>
      </c>
      <c r="AH645" s="193" t="s">
        <v>950</v>
      </c>
      <c r="AI645" s="193" t="s">
        <v>932</v>
      </c>
      <c r="AJ645" s="193" t="s">
        <v>1431</v>
      </c>
      <c r="AK645" s="193" t="s">
        <v>1431</v>
      </c>
      <c r="AL645" s="193" t="s">
        <v>1431</v>
      </c>
    </row>
    <row r="646" spans="7:38">
      <c r="G646" s="193" t="s">
        <v>2262</v>
      </c>
      <c r="H646" s="193" t="s">
        <v>2263</v>
      </c>
      <c r="I646" s="193" t="s">
        <v>2264</v>
      </c>
      <c r="J646" s="193" t="s">
        <v>2264</v>
      </c>
      <c r="K646" s="193" t="s">
        <v>1616</v>
      </c>
      <c r="L646" s="193"/>
      <c r="M646" s="193"/>
      <c r="N646" s="193">
        <v>2.9952087611225187</v>
      </c>
      <c r="O646" s="193"/>
      <c r="P646" s="193">
        <v>87.5</v>
      </c>
      <c r="Q646" s="193">
        <v>58</v>
      </c>
      <c r="R646" s="193">
        <v>-30</v>
      </c>
      <c r="S646" s="193">
        <v>-2</v>
      </c>
      <c r="T646" s="193">
        <v>875</v>
      </c>
      <c r="U646" s="193">
        <v>875000000</v>
      </c>
      <c r="V646" s="193">
        <v>1000</v>
      </c>
      <c r="W646" s="193"/>
      <c r="X646" s="193">
        <v>0</v>
      </c>
      <c r="Y646" s="193">
        <v>-12.5</v>
      </c>
      <c r="Z646" s="193">
        <v>43.771300000000004</v>
      </c>
      <c r="AA646" s="193">
        <v>58</v>
      </c>
      <c r="AB646" s="193" t="s">
        <v>1281</v>
      </c>
      <c r="AC646" s="193" t="s">
        <v>1447</v>
      </c>
      <c r="AD646" s="193" t="s">
        <v>1458</v>
      </c>
      <c r="AE646" s="193" t="s">
        <v>1459</v>
      </c>
      <c r="AF646" s="193" t="s">
        <v>938</v>
      </c>
      <c r="AG646" s="193" t="s">
        <v>874</v>
      </c>
      <c r="AH646" s="193" t="s">
        <v>876</v>
      </c>
      <c r="AI646" s="193" t="s">
        <v>938</v>
      </c>
      <c r="AJ646" s="193" t="s">
        <v>1431</v>
      </c>
      <c r="AK646" s="193" t="s">
        <v>1431</v>
      </c>
      <c r="AL646" s="193" t="s">
        <v>1431</v>
      </c>
    </row>
    <row r="647" spans="7:38">
      <c r="G647" s="193" t="s">
        <v>2265</v>
      </c>
      <c r="H647" s="193" t="s">
        <v>2263</v>
      </c>
      <c r="I647" s="193" t="s">
        <v>2266</v>
      </c>
      <c r="J647" s="193" t="s">
        <v>2266</v>
      </c>
      <c r="K647" s="193" t="s">
        <v>1616</v>
      </c>
      <c r="L647" s="193"/>
      <c r="M647" s="193"/>
      <c r="N647" s="193">
        <v>2.9952087611225187</v>
      </c>
      <c r="O647" s="193"/>
      <c r="P647" s="193"/>
      <c r="Q647" s="193">
        <v>83</v>
      </c>
      <c r="R647" s="193"/>
      <c r="S647" s="193"/>
      <c r="T647" s="193">
        <v>1900</v>
      </c>
      <c r="U647" s="193">
        <v>1900000000</v>
      </c>
      <c r="V647" s="193">
        <v>2500</v>
      </c>
      <c r="W647" s="193"/>
      <c r="X647" s="193">
        <v>0</v>
      </c>
      <c r="Y647" s="193">
        <v>-24</v>
      </c>
      <c r="Z647" s="193" t="s">
        <v>1432</v>
      </c>
      <c r="AA647" s="193" t="s">
        <v>1432</v>
      </c>
      <c r="AB647" s="193" t="s">
        <v>1281</v>
      </c>
      <c r="AC647" s="193" t="s">
        <v>1447</v>
      </c>
      <c r="AD647" s="193" t="s">
        <v>1458</v>
      </c>
      <c r="AE647" s="193" t="s">
        <v>1459</v>
      </c>
      <c r="AF647" s="193" t="s">
        <v>938</v>
      </c>
      <c r="AG647" s="193" t="s">
        <v>874</v>
      </c>
      <c r="AH647" s="193" t="s">
        <v>876</v>
      </c>
      <c r="AI647" s="193" t="s">
        <v>938</v>
      </c>
      <c r="AJ647" s="193" t="s">
        <v>1431</v>
      </c>
      <c r="AK647" s="193" t="s">
        <v>1431</v>
      </c>
      <c r="AL647" s="193" t="s">
        <v>1431</v>
      </c>
    </row>
    <row r="648" spans="7:38">
      <c r="G648" s="193" t="s">
        <v>2267</v>
      </c>
      <c r="H648" s="193" t="s">
        <v>2263</v>
      </c>
      <c r="I648" s="193" t="s">
        <v>2268</v>
      </c>
      <c r="J648" s="193" t="s">
        <v>2268</v>
      </c>
      <c r="K648" s="193" t="s">
        <v>1616</v>
      </c>
      <c r="L648" s="193"/>
      <c r="M648" s="193"/>
      <c r="N648" s="193">
        <v>4.9993155373032172</v>
      </c>
      <c r="O648" s="193"/>
      <c r="P648" s="193">
        <v>100</v>
      </c>
      <c r="Q648" s="193">
        <v>75</v>
      </c>
      <c r="R648" s="193">
        <v>-25</v>
      </c>
      <c r="S648" s="193">
        <v>0</v>
      </c>
      <c r="T648" s="193">
        <v>2400</v>
      </c>
      <c r="U648" s="193">
        <v>2400000000</v>
      </c>
      <c r="V648" s="193">
        <v>2700</v>
      </c>
      <c r="W648" s="193"/>
      <c r="X648" s="193">
        <v>0</v>
      </c>
      <c r="Y648" s="193">
        <v>-11.11</v>
      </c>
      <c r="Z648" s="193">
        <v>51.313199999999966</v>
      </c>
      <c r="AA648" s="193">
        <v>75</v>
      </c>
      <c r="AB648" s="193" t="s">
        <v>1281</v>
      </c>
      <c r="AC648" s="193" t="s">
        <v>1447</v>
      </c>
      <c r="AD648" s="193" t="s">
        <v>1458</v>
      </c>
      <c r="AE648" s="193" t="s">
        <v>1459</v>
      </c>
      <c r="AF648" s="193" t="s">
        <v>938</v>
      </c>
      <c r="AG648" s="193" t="s">
        <v>874</v>
      </c>
      <c r="AH648" s="193" t="s">
        <v>876</v>
      </c>
      <c r="AI648" s="193" t="s">
        <v>938</v>
      </c>
      <c r="AJ648" s="193" t="s">
        <v>1431</v>
      </c>
      <c r="AK648" s="193" t="s">
        <v>1431</v>
      </c>
      <c r="AL648" s="193" t="s">
        <v>1431</v>
      </c>
    </row>
    <row r="649" spans="7:38">
      <c r="G649" s="193" t="s">
        <v>2269</v>
      </c>
      <c r="H649" s="193" t="s">
        <v>2263</v>
      </c>
      <c r="I649" s="193" t="s">
        <v>2270</v>
      </c>
      <c r="J649" s="193" t="s">
        <v>2270</v>
      </c>
      <c r="K649" s="193" t="s">
        <v>1616</v>
      </c>
      <c r="L649" s="193"/>
      <c r="M649" s="193"/>
      <c r="N649" s="193">
        <v>9.9986310746064344</v>
      </c>
      <c r="O649" s="193"/>
      <c r="P649" s="193">
        <v>120</v>
      </c>
      <c r="Q649" s="193">
        <v>93</v>
      </c>
      <c r="R649" s="193">
        <v>-27</v>
      </c>
      <c r="S649" s="193">
        <v>-2</v>
      </c>
      <c r="T649" s="193">
        <v>3100</v>
      </c>
      <c r="U649" s="193">
        <v>3100000000</v>
      </c>
      <c r="V649" s="193">
        <v>4200</v>
      </c>
      <c r="W649" s="193"/>
      <c r="X649" s="193">
        <v>0</v>
      </c>
      <c r="Y649" s="193">
        <v>-26.19</v>
      </c>
      <c r="Z649" s="193">
        <v>74.212500000000063</v>
      </c>
      <c r="AA649" s="193">
        <v>93</v>
      </c>
      <c r="AB649" s="193" t="s">
        <v>1281</v>
      </c>
      <c r="AC649" s="193" t="s">
        <v>1447</v>
      </c>
      <c r="AD649" s="193" t="s">
        <v>1458</v>
      </c>
      <c r="AE649" s="193" t="s">
        <v>1459</v>
      </c>
      <c r="AF649" s="193" t="s">
        <v>938</v>
      </c>
      <c r="AG649" s="193" t="s">
        <v>874</v>
      </c>
      <c r="AH649" s="193" t="s">
        <v>876</v>
      </c>
      <c r="AI649" s="193" t="s">
        <v>938</v>
      </c>
      <c r="AJ649" s="193" t="s">
        <v>1431</v>
      </c>
      <c r="AK649" s="193" t="s">
        <v>1431</v>
      </c>
      <c r="AL649" s="193" t="s">
        <v>1431</v>
      </c>
    </row>
    <row r="650" spans="7:38">
      <c r="G650" s="193" t="s">
        <v>2271</v>
      </c>
      <c r="H650" s="193" t="s">
        <v>2272</v>
      </c>
      <c r="I650" s="193" t="s">
        <v>2273</v>
      </c>
      <c r="J650" s="193" t="s">
        <v>2273</v>
      </c>
      <c r="K650" s="193" t="s">
        <v>1598</v>
      </c>
      <c r="L650" s="193"/>
      <c r="M650" s="193"/>
      <c r="N650" s="193">
        <v>1.5304585900068446</v>
      </c>
      <c r="O650" s="193"/>
      <c r="P650" s="193">
        <v>85</v>
      </c>
      <c r="Q650" s="193">
        <v>58</v>
      </c>
      <c r="R650" s="193">
        <v>-27</v>
      </c>
      <c r="S650" s="193"/>
      <c r="T650" s="193">
        <v>900</v>
      </c>
      <c r="U650" s="193">
        <v>900000000</v>
      </c>
      <c r="V650" s="193">
        <v>1400</v>
      </c>
      <c r="W650" s="193"/>
      <c r="X650" s="193">
        <v>0</v>
      </c>
      <c r="Y650" s="193">
        <v>-35.71</v>
      </c>
      <c r="Z650" s="193" t="s">
        <v>1432</v>
      </c>
      <c r="AA650" s="193" t="s">
        <v>1432</v>
      </c>
      <c r="AB650" s="193" t="s">
        <v>1281</v>
      </c>
      <c r="AC650" s="193" t="s">
        <v>1447</v>
      </c>
      <c r="AD650" s="193" t="s">
        <v>1889</v>
      </c>
      <c r="AE650" s="193" t="s">
        <v>1890</v>
      </c>
      <c r="AF650" s="193" t="s">
        <v>2861</v>
      </c>
      <c r="AG650" s="193" t="s">
        <v>2916</v>
      </c>
      <c r="AH650" s="193" t="s">
        <v>2917</v>
      </c>
      <c r="AI650" s="193" t="s">
        <v>932</v>
      </c>
      <c r="AJ650" s="193" t="s">
        <v>1431</v>
      </c>
      <c r="AK650" s="193" t="s">
        <v>1431</v>
      </c>
      <c r="AL650" s="193" t="s">
        <v>1431</v>
      </c>
    </row>
    <row r="651" spans="7:38">
      <c r="G651" s="193" t="s">
        <v>2274</v>
      </c>
      <c r="H651" s="193" t="s">
        <v>2272</v>
      </c>
      <c r="I651" s="193" t="s">
        <v>2275</v>
      </c>
      <c r="J651" s="193" t="s">
        <v>2275</v>
      </c>
      <c r="K651" s="193" t="s">
        <v>1598</v>
      </c>
      <c r="L651" s="193"/>
      <c r="M651" s="193"/>
      <c r="N651" s="193">
        <v>3.0280629705681039</v>
      </c>
      <c r="O651" s="193"/>
      <c r="P651" s="193">
        <v>90</v>
      </c>
      <c r="Q651" s="193">
        <v>68</v>
      </c>
      <c r="R651" s="193">
        <v>-22</v>
      </c>
      <c r="S651" s="193">
        <v>3</v>
      </c>
      <c r="T651" s="193">
        <v>1500</v>
      </c>
      <c r="U651" s="193">
        <v>1500000000</v>
      </c>
      <c r="V651" s="193">
        <v>2400</v>
      </c>
      <c r="W651" s="193"/>
      <c r="X651" s="193">
        <v>0</v>
      </c>
      <c r="Y651" s="193">
        <v>-37.5</v>
      </c>
      <c r="Z651" s="193">
        <v>76.927900000000051</v>
      </c>
      <c r="AA651" s="193">
        <v>68</v>
      </c>
      <c r="AB651" s="193" t="s">
        <v>1281</v>
      </c>
      <c r="AC651" s="193" t="s">
        <v>1447</v>
      </c>
      <c r="AD651" s="193" t="s">
        <v>1889</v>
      </c>
      <c r="AE651" s="193" t="s">
        <v>1890</v>
      </c>
      <c r="AF651" s="193" t="s">
        <v>2861</v>
      </c>
      <c r="AG651" s="193" t="s">
        <v>2916</v>
      </c>
      <c r="AH651" s="193" t="s">
        <v>2917</v>
      </c>
      <c r="AI651" s="193" t="s">
        <v>932</v>
      </c>
      <c r="AJ651" s="193" t="s">
        <v>1431</v>
      </c>
      <c r="AK651" s="193" t="s">
        <v>1431</v>
      </c>
      <c r="AL651" s="193" t="s">
        <v>1431</v>
      </c>
    </row>
    <row r="652" spans="7:38">
      <c r="G652" s="193" t="s">
        <v>2276</v>
      </c>
      <c r="H652" s="193" t="s">
        <v>2272</v>
      </c>
      <c r="I652" s="193" t="s">
        <v>2277</v>
      </c>
      <c r="J652" s="193" t="s">
        <v>2277</v>
      </c>
      <c r="K652" s="193" t="s">
        <v>1598</v>
      </c>
      <c r="L652" s="193"/>
      <c r="M652" s="193"/>
      <c r="N652" s="193">
        <v>5.0266940451745379</v>
      </c>
      <c r="O652" s="193"/>
      <c r="P652" s="193">
        <v>105</v>
      </c>
      <c r="Q652" s="193">
        <v>83</v>
      </c>
      <c r="R652" s="193">
        <v>-22</v>
      </c>
      <c r="S652" s="193">
        <v>3</v>
      </c>
      <c r="T652" s="193">
        <v>1200</v>
      </c>
      <c r="U652" s="193">
        <v>1200000000</v>
      </c>
      <c r="V652" s="193">
        <v>2700</v>
      </c>
      <c r="W652" s="193"/>
      <c r="X652" s="193">
        <v>-1</v>
      </c>
      <c r="Y652" s="193">
        <v>-55.56</v>
      </c>
      <c r="Z652" s="193">
        <v>88.225999999999956</v>
      </c>
      <c r="AA652" s="193">
        <v>83</v>
      </c>
      <c r="AB652" s="193" t="s">
        <v>1281</v>
      </c>
      <c r="AC652" s="193" t="s">
        <v>1447</v>
      </c>
      <c r="AD652" s="193" t="s">
        <v>1889</v>
      </c>
      <c r="AE652" s="193" t="s">
        <v>1890</v>
      </c>
      <c r="AF652" s="193" t="s">
        <v>2861</v>
      </c>
      <c r="AG652" s="193" t="s">
        <v>2916</v>
      </c>
      <c r="AH652" s="193" t="s">
        <v>2917</v>
      </c>
      <c r="AI652" s="193" t="s">
        <v>932</v>
      </c>
      <c r="AJ652" s="193" t="s">
        <v>1431</v>
      </c>
      <c r="AK652" s="193" t="s">
        <v>1431</v>
      </c>
      <c r="AL652" s="193" t="s">
        <v>1431</v>
      </c>
    </row>
    <row r="653" spans="7:38">
      <c r="G653" s="193" t="s">
        <v>2278</v>
      </c>
      <c r="H653" s="193" t="s">
        <v>2272</v>
      </c>
      <c r="I653" s="193" t="s">
        <v>2279</v>
      </c>
      <c r="J653" s="193" t="s">
        <v>2279</v>
      </c>
      <c r="K653" s="193" t="s">
        <v>1598</v>
      </c>
      <c r="L653" s="193"/>
      <c r="M653" s="193"/>
      <c r="N653" s="193">
        <v>10.026009582477755</v>
      </c>
      <c r="O653" s="193"/>
      <c r="P653" s="193">
        <v>125</v>
      </c>
      <c r="Q653" s="193">
        <v>98</v>
      </c>
      <c r="R653" s="193">
        <v>-27</v>
      </c>
      <c r="S653" s="193">
        <v>3</v>
      </c>
      <c r="T653" s="193">
        <v>2500</v>
      </c>
      <c r="U653" s="193">
        <v>2500000000</v>
      </c>
      <c r="V653" s="193">
        <v>4200</v>
      </c>
      <c r="W653" s="193"/>
      <c r="X653" s="193">
        <v>0</v>
      </c>
      <c r="Y653" s="193">
        <v>-40.479999999999997</v>
      </c>
      <c r="Z653" s="193">
        <v>106.38140000000007</v>
      </c>
      <c r="AA653" s="193">
        <v>98</v>
      </c>
      <c r="AB653" s="193" t="s">
        <v>1281</v>
      </c>
      <c r="AC653" s="193" t="s">
        <v>1447</v>
      </c>
      <c r="AD653" s="193" t="s">
        <v>1889</v>
      </c>
      <c r="AE653" s="193" t="s">
        <v>1890</v>
      </c>
      <c r="AF653" s="193" t="s">
        <v>2861</v>
      </c>
      <c r="AG653" s="193" t="s">
        <v>2916</v>
      </c>
      <c r="AH653" s="193" t="s">
        <v>2917</v>
      </c>
      <c r="AI653" s="193" t="s">
        <v>932</v>
      </c>
      <c r="AJ653" s="193" t="s">
        <v>1431</v>
      </c>
      <c r="AK653" s="193" t="s">
        <v>1431</v>
      </c>
      <c r="AL653" s="193" t="s">
        <v>1431</v>
      </c>
    </row>
    <row r="654" spans="7:38">
      <c r="G654" s="193" t="s">
        <v>2280</v>
      </c>
      <c r="H654" s="193" t="s">
        <v>2281</v>
      </c>
      <c r="I654" s="193" t="s">
        <v>2282</v>
      </c>
      <c r="J654" s="193" t="s">
        <v>2282</v>
      </c>
      <c r="K654" s="193" t="s">
        <v>1617</v>
      </c>
      <c r="L654" s="193"/>
      <c r="M654" s="193"/>
      <c r="N654" s="193">
        <v>5.0924024640657084</v>
      </c>
      <c r="O654" s="193"/>
      <c r="P654" s="193">
        <v>150</v>
      </c>
      <c r="Q654" s="193">
        <v>120</v>
      </c>
      <c r="R654" s="193">
        <v>-30</v>
      </c>
      <c r="S654" s="193">
        <v>0</v>
      </c>
      <c r="T654" s="193">
        <v>2700</v>
      </c>
      <c r="U654" s="193">
        <v>2700000000</v>
      </c>
      <c r="V654" s="193">
        <v>3400</v>
      </c>
      <c r="W654" s="193"/>
      <c r="X654" s="193">
        <v>0</v>
      </c>
      <c r="Y654" s="193">
        <v>-20.59</v>
      </c>
      <c r="Z654" s="193">
        <v>73.736599999999981</v>
      </c>
      <c r="AA654" s="193">
        <v>120</v>
      </c>
      <c r="AB654" s="193" t="s">
        <v>1281</v>
      </c>
      <c r="AC654" s="193" t="s">
        <v>1428</v>
      </c>
      <c r="AD654" s="193" t="s">
        <v>2283</v>
      </c>
      <c r="AE654" s="193" t="s">
        <v>2284</v>
      </c>
      <c r="AF654" s="193" t="s">
        <v>950</v>
      </c>
      <c r="AG654" s="193" t="s">
        <v>933</v>
      </c>
      <c r="AH654" s="193" t="s">
        <v>950</v>
      </c>
      <c r="AI654" s="193" t="s">
        <v>950</v>
      </c>
      <c r="AJ654" s="193" t="s">
        <v>1431</v>
      </c>
      <c r="AK654" s="193" t="s">
        <v>1431</v>
      </c>
      <c r="AL654" s="193" t="s">
        <v>1431</v>
      </c>
    </row>
    <row r="655" spans="7:38">
      <c r="G655" s="193" t="s">
        <v>2285</v>
      </c>
      <c r="H655" s="193" t="s">
        <v>2281</v>
      </c>
      <c r="I655" s="193" t="s">
        <v>2286</v>
      </c>
      <c r="J655" s="193" t="s">
        <v>2286</v>
      </c>
      <c r="K655" s="193" t="s">
        <v>1617</v>
      </c>
      <c r="L655" s="193"/>
      <c r="M655" s="193"/>
      <c r="N655" s="193">
        <v>10.091718001368925</v>
      </c>
      <c r="O655" s="193"/>
      <c r="P655" s="193">
        <v>165</v>
      </c>
      <c r="Q655" s="193">
        <v>135</v>
      </c>
      <c r="R655" s="193">
        <v>-30</v>
      </c>
      <c r="S655" s="193">
        <v>5</v>
      </c>
      <c r="T655" s="193">
        <v>2100</v>
      </c>
      <c r="U655" s="193">
        <v>2100000000</v>
      </c>
      <c r="V655" s="193">
        <v>2900</v>
      </c>
      <c r="W655" s="193"/>
      <c r="X655" s="193">
        <v>0</v>
      </c>
      <c r="Y655" s="193">
        <v>-27.59</v>
      </c>
      <c r="Z655" s="193">
        <v>96.017400000000038</v>
      </c>
      <c r="AA655" s="193">
        <v>135</v>
      </c>
      <c r="AB655" s="193" t="s">
        <v>1281</v>
      </c>
      <c r="AC655" s="193" t="s">
        <v>1428</v>
      </c>
      <c r="AD655" s="193" t="s">
        <v>2283</v>
      </c>
      <c r="AE655" s="193" t="s">
        <v>2284</v>
      </c>
      <c r="AF655" s="193" t="s">
        <v>950</v>
      </c>
      <c r="AG655" s="193" t="s">
        <v>933</v>
      </c>
      <c r="AH655" s="193" t="s">
        <v>950</v>
      </c>
      <c r="AI655" s="193" t="s">
        <v>950</v>
      </c>
      <c r="AJ655" s="193" t="s">
        <v>1431</v>
      </c>
      <c r="AK655" s="193" t="s">
        <v>1431</v>
      </c>
      <c r="AL655" s="193" t="s">
        <v>1431</v>
      </c>
    </row>
    <row r="656" spans="7:38">
      <c r="G656" s="193" t="s">
        <v>2287</v>
      </c>
      <c r="H656" s="193" t="s">
        <v>2288</v>
      </c>
      <c r="I656" s="193" t="s">
        <v>2289</v>
      </c>
      <c r="J656" s="193" t="s">
        <v>2289</v>
      </c>
      <c r="K656" s="193" t="s">
        <v>1634</v>
      </c>
      <c r="L656" s="193"/>
      <c r="M656" s="193"/>
      <c r="N656" s="193">
        <v>9.9958932238193015</v>
      </c>
      <c r="O656" s="193"/>
      <c r="P656" s="193">
        <v>120</v>
      </c>
      <c r="Q656" s="193">
        <v>90</v>
      </c>
      <c r="R656" s="193">
        <v>-30</v>
      </c>
      <c r="S656" s="193">
        <v>0</v>
      </c>
      <c r="T656" s="193">
        <v>3500</v>
      </c>
      <c r="U656" s="193">
        <v>3500000000</v>
      </c>
      <c r="V656" s="193">
        <v>4600</v>
      </c>
      <c r="W656" s="193"/>
      <c r="X656" s="193">
        <v>0</v>
      </c>
      <c r="Y656" s="193">
        <v>-23.91</v>
      </c>
      <c r="Z656" s="193">
        <v>68.057100000000048</v>
      </c>
      <c r="AA656" s="193">
        <v>90</v>
      </c>
      <c r="AB656" s="193" t="s">
        <v>1281</v>
      </c>
      <c r="AC656" s="193" t="s">
        <v>1879</v>
      </c>
      <c r="AD656" s="193" t="s">
        <v>1947</v>
      </c>
      <c r="AE656" s="193" t="s">
        <v>1948</v>
      </c>
      <c r="AF656" s="193" t="s">
        <v>950</v>
      </c>
      <c r="AG656" s="193" t="s">
        <v>2290</v>
      </c>
      <c r="AH656" s="193" t="s">
        <v>1432</v>
      </c>
      <c r="AI656" s="193" t="s">
        <v>950</v>
      </c>
      <c r="AJ656" s="193" t="s">
        <v>1431</v>
      </c>
      <c r="AK656" s="193" t="s">
        <v>1431</v>
      </c>
      <c r="AL656" s="193" t="s">
        <v>1431</v>
      </c>
    </row>
    <row r="657" spans="7:38">
      <c r="G657" s="193" t="s">
        <v>2291</v>
      </c>
      <c r="H657" s="193" t="s">
        <v>2292</v>
      </c>
      <c r="I657" s="193" t="s">
        <v>2293</v>
      </c>
      <c r="J657" s="193" t="s">
        <v>2293</v>
      </c>
      <c r="K657" s="193" t="s">
        <v>1630</v>
      </c>
      <c r="L657" s="193"/>
      <c r="M657" s="193"/>
      <c r="N657" s="193">
        <v>2.9979466119096507</v>
      </c>
      <c r="O657" s="193"/>
      <c r="P657" s="193">
        <v>75</v>
      </c>
      <c r="Q657" s="193">
        <v>55</v>
      </c>
      <c r="R657" s="193">
        <v>-20</v>
      </c>
      <c r="S657" s="193">
        <v>0</v>
      </c>
      <c r="T657" s="193">
        <v>900</v>
      </c>
      <c r="U657" s="193">
        <v>900000000</v>
      </c>
      <c r="V657" s="193">
        <v>1250</v>
      </c>
      <c r="W657" s="193"/>
      <c r="X657" s="193">
        <v>0</v>
      </c>
      <c r="Y657" s="193">
        <v>-28</v>
      </c>
      <c r="Z657" s="193">
        <v>40.616299999999981</v>
      </c>
      <c r="AA657" s="193">
        <v>55</v>
      </c>
      <c r="AB657" s="193" t="s">
        <v>1281</v>
      </c>
      <c r="AC657" s="193" t="s">
        <v>1447</v>
      </c>
      <c r="AD657" s="193" t="s">
        <v>1448</v>
      </c>
      <c r="AE657" s="193" t="s">
        <v>1448</v>
      </c>
      <c r="AF657" s="193" t="s">
        <v>938</v>
      </c>
      <c r="AG657" s="193" t="s">
        <v>942</v>
      </c>
      <c r="AH657" s="193" t="s">
        <v>1432</v>
      </c>
      <c r="AI657" s="193" t="s">
        <v>938</v>
      </c>
      <c r="AJ657" s="193" t="s">
        <v>1431</v>
      </c>
      <c r="AK657" s="193" t="s">
        <v>1431</v>
      </c>
      <c r="AL657" s="193" t="s">
        <v>1431</v>
      </c>
    </row>
    <row r="658" spans="7:38">
      <c r="G658" s="193" t="s">
        <v>2294</v>
      </c>
      <c r="H658" s="193" t="s">
        <v>2295</v>
      </c>
      <c r="I658" s="193" t="s">
        <v>2296</v>
      </c>
      <c r="J658" s="193" t="s">
        <v>2296</v>
      </c>
      <c r="K658" s="193" t="s">
        <v>1631</v>
      </c>
      <c r="L658" s="193"/>
      <c r="M658" s="193"/>
      <c r="N658" s="193">
        <v>29.998631074606433</v>
      </c>
      <c r="O658" s="193" t="s">
        <v>2297</v>
      </c>
      <c r="P658" s="193">
        <v>7.25</v>
      </c>
      <c r="Q658" s="193">
        <v>6.5</v>
      </c>
      <c r="R658" s="193">
        <v>-75</v>
      </c>
      <c r="S658" s="193"/>
      <c r="T658" s="193">
        <v>14000</v>
      </c>
      <c r="U658" s="193">
        <v>14000000000</v>
      </c>
      <c r="V658" s="193">
        <v>15900</v>
      </c>
      <c r="W658" s="193"/>
      <c r="X658" s="193">
        <v>0</v>
      </c>
      <c r="Y658" s="193">
        <v>-11.95</v>
      </c>
      <c r="Z658" s="193">
        <v>134.11090000000004</v>
      </c>
      <c r="AA658" s="193">
        <v>218.9</v>
      </c>
      <c r="AB658" s="193">
        <v>-85</v>
      </c>
      <c r="AC658" s="193" t="s">
        <v>1428</v>
      </c>
      <c r="AD658" s="193" t="s">
        <v>1437</v>
      </c>
      <c r="AE658" s="193" t="s">
        <v>1896</v>
      </c>
      <c r="AF658" s="193" t="s">
        <v>938</v>
      </c>
      <c r="AG658" s="193" t="s">
        <v>942</v>
      </c>
      <c r="AH658" s="193" t="s">
        <v>1432</v>
      </c>
      <c r="AI658" s="193" t="s">
        <v>938</v>
      </c>
      <c r="AJ658" s="193" t="s">
        <v>1431</v>
      </c>
      <c r="AK658" s="193" t="s">
        <v>1431</v>
      </c>
      <c r="AL658" s="193" t="s">
        <v>1431</v>
      </c>
    </row>
    <row r="659" spans="7:38">
      <c r="G659" s="193" t="s">
        <v>2298</v>
      </c>
      <c r="H659" s="193" t="s">
        <v>2299</v>
      </c>
      <c r="I659" s="193" t="s">
        <v>2300</v>
      </c>
      <c r="J659" s="193" t="s">
        <v>2300</v>
      </c>
      <c r="K659" s="193" t="s">
        <v>1575</v>
      </c>
      <c r="L659" s="193"/>
      <c r="M659" s="193"/>
      <c r="N659" s="193">
        <v>7.5099247091033536</v>
      </c>
      <c r="O659" s="193"/>
      <c r="P659" s="193">
        <v>195</v>
      </c>
      <c r="Q659" s="193">
        <v>158</v>
      </c>
      <c r="R659" s="193">
        <v>-37</v>
      </c>
      <c r="S659" s="193"/>
      <c r="T659" s="193">
        <v>4000</v>
      </c>
      <c r="U659" s="193">
        <v>4000000000</v>
      </c>
      <c r="V659" s="193">
        <v>5300</v>
      </c>
      <c r="W659" s="193"/>
      <c r="X659" s="193">
        <v>0</v>
      </c>
      <c r="Y659" s="193">
        <v>-24.53</v>
      </c>
      <c r="Z659" s="193">
        <v>92.086999999999989</v>
      </c>
      <c r="AA659" s="193">
        <v>158</v>
      </c>
      <c r="AB659" s="193" t="s">
        <v>1281</v>
      </c>
      <c r="AC659" s="193" t="s">
        <v>1439</v>
      </c>
      <c r="AD659" s="193" t="s">
        <v>1912</v>
      </c>
      <c r="AE659" s="193" t="s">
        <v>1913</v>
      </c>
      <c r="AF659" s="193" t="s">
        <v>877</v>
      </c>
      <c r="AG659" s="193" t="s">
        <v>969</v>
      </c>
      <c r="AH659" s="193" t="s">
        <v>932</v>
      </c>
      <c r="AI659" s="193" t="s">
        <v>877</v>
      </c>
      <c r="AJ659" s="193" t="s">
        <v>1431</v>
      </c>
      <c r="AK659" s="193" t="s">
        <v>1431</v>
      </c>
      <c r="AL659" s="193" t="s">
        <v>1431</v>
      </c>
    </row>
    <row r="660" spans="7:38">
      <c r="G660" s="193" t="s">
        <v>2301</v>
      </c>
      <c r="H660" s="193" t="s">
        <v>2299</v>
      </c>
      <c r="I660" s="193" t="s">
        <v>2302</v>
      </c>
      <c r="J660" s="193" t="s">
        <v>2302</v>
      </c>
      <c r="K660" s="193" t="s">
        <v>1575</v>
      </c>
      <c r="L660" s="193"/>
      <c r="M660" s="193"/>
      <c r="N660" s="193">
        <v>10.507871321013004</v>
      </c>
      <c r="O660" s="193"/>
      <c r="P660" s="193">
        <v>205</v>
      </c>
      <c r="Q660" s="193">
        <v>175</v>
      </c>
      <c r="R660" s="193">
        <v>-30</v>
      </c>
      <c r="S660" s="193"/>
      <c r="T660" s="193">
        <v>4900</v>
      </c>
      <c r="U660" s="193">
        <v>4900000000</v>
      </c>
      <c r="V660" s="193">
        <v>5200</v>
      </c>
      <c r="W660" s="193"/>
      <c r="X660" s="193">
        <v>0</v>
      </c>
      <c r="Y660" s="193">
        <v>-5.77</v>
      </c>
      <c r="Z660" s="193">
        <v>112.72710000000004</v>
      </c>
      <c r="AA660" s="193">
        <v>175</v>
      </c>
      <c r="AB660" s="193" t="s">
        <v>1281</v>
      </c>
      <c r="AC660" s="193" t="s">
        <v>1439</v>
      </c>
      <c r="AD660" s="193" t="s">
        <v>1912</v>
      </c>
      <c r="AE660" s="193" t="s">
        <v>1913</v>
      </c>
      <c r="AF660" s="193" t="s">
        <v>877</v>
      </c>
      <c r="AG660" s="193" t="s">
        <v>969</v>
      </c>
      <c r="AH660" s="193" t="s">
        <v>932</v>
      </c>
      <c r="AI660" s="193" t="s">
        <v>877</v>
      </c>
      <c r="AJ660" s="193" t="s">
        <v>1431</v>
      </c>
      <c r="AK660" s="193" t="s">
        <v>1431</v>
      </c>
      <c r="AL660" s="193" t="s">
        <v>1431</v>
      </c>
    </row>
    <row r="661" spans="7:38">
      <c r="G661" s="193" t="s">
        <v>2303</v>
      </c>
      <c r="H661" s="193" t="s">
        <v>1907</v>
      </c>
      <c r="I661" s="193" t="s">
        <v>2304</v>
      </c>
      <c r="J661" s="193" t="s">
        <v>2304</v>
      </c>
      <c r="K661" s="193" t="s">
        <v>1908</v>
      </c>
      <c r="L661" s="193"/>
      <c r="M661" s="193"/>
      <c r="N661" s="193">
        <v>4.9993155373032172</v>
      </c>
      <c r="O661" s="193"/>
      <c r="P661" s="193">
        <v>120</v>
      </c>
      <c r="Q661" s="193">
        <v>100</v>
      </c>
      <c r="R661" s="193">
        <v>-20</v>
      </c>
      <c r="S661" s="193"/>
      <c r="T661" s="193">
        <v>1750</v>
      </c>
      <c r="U661" s="193">
        <v>1750000000</v>
      </c>
      <c r="V661" s="193">
        <v>1750</v>
      </c>
      <c r="W661" s="193"/>
      <c r="X661" s="193">
        <v>0</v>
      </c>
      <c r="Y661" s="193">
        <v>0</v>
      </c>
      <c r="Z661" s="193">
        <v>70.358400000000017</v>
      </c>
      <c r="AA661" s="193">
        <v>100</v>
      </c>
      <c r="AB661" s="193" t="s">
        <v>1281</v>
      </c>
      <c r="AC661" s="193" t="s">
        <v>1428</v>
      </c>
      <c r="AD661" s="193" t="s">
        <v>1437</v>
      </c>
      <c r="AE661" s="193" t="s">
        <v>1896</v>
      </c>
      <c r="AF661" s="193" t="s">
        <v>997</v>
      </c>
      <c r="AG661" s="193" t="s">
        <v>998</v>
      </c>
      <c r="AH661" s="193" t="s">
        <v>1011</v>
      </c>
      <c r="AI661" s="193" t="s">
        <v>997</v>
      </c>
      <c r="AJ661" s="193" t="s">
        <v>1431</v>
      </c>
      <c r="AK661" s="193" t="s">
        <v>1431</v>
      </c>
      <c r="AL661" s="193" t="s">
        <v>1431</v>
      </c>
    </row>
    <row r="662" spans="7:38">
      <c r="G662" s="193" t="s">
        <v>2918</v>
      </c>
      <c r="H662" s="193" t="s">
        <v>1893</v>
      </c>
      <c r="I662" s="193" t="s">
        <v>2305</v>
      </c>
      <c r="J662" s="193" t="s">
        <v>2305</v>
      </c>
      <c r="K662" s="193" t="s">
        <v>1541</v>
      </c>
      <c r="L662" s="193"/>
      <c r="M662" s="193"/>
      <c r="N662" s="193" t="s">
        <v>1871</v>
      </c>
      <c r="O662" s="193"/>
      <c r="P662" s="193"/>
      <c r="Q662" s="193">
        <v>6.625</v>
      </c>
      <c r="R662" s="193">
        <v>-38</v>
      </c>
      <c r="S662" s="193"/>
      <c r="T662" s="193"/>
      <c r="U662" s="193"/>
      <c r="V662" s="193">
        <v>9000</v>
      </c>
      <c r="W662" s="193"/>
      <c r="X662" s="193"/>
      <c r="Y662" s="193"/>
      <c r="Z662" s="193">
        <v>216.75769999999997</v>
      </c>
      <c r="AA662" s="193">
        <v>268.39999999999998</v>
      </c>
      <c r="AB662" s="193">
        <v>-52</v>
      </c>
      <c r="AC662" s="193" t="s">
        <v>1428</v>
      </c>
      <c r="AD662" s="193" t="s">
        <v>1429</v>
      </c>
      <c r="AE662" s="193" t="s">
        <v>1460</v>
      </c>
      <c r="AF662" s="193" t="s">
        <v>877</v>
      </c>
      <c r="AG662" s="193" t="s">
        <v>875</v>
      </c>
      <c r="AH662" s="193" t="s">
        <v>950</v>
      </c>
      <c r="AI662" s="193" t="s">
        <v>932</v>
      </c>
      <c r="AJ662" s="193" t="s">
        <v>1431</v>
      </c>
      <c r="AK662" s="193" t="s">
        <v>1431</v>
      </c>
      <c r="AL662" s="193" t="s">
        <v>1431</v>
      </c>
    </row>
    <row r="663" spans="7:38">
      <c r="G663" s="193" t="s">
        <v>2306</v>
      </c>
      <c r="H663" s="193" t="s">
        <v>1904</v>
      </c>
      <c r="I663" s="193" t="s">
        <v>2307</v>
      </c>
      <c r="J663" s="193" t="s">
        <v>2307</v>
      </c>
      <c r="K663" s="193" t="s">
        <v>1905</v>
      </c>
      <c r="L663" s="193"/>
      <c r="M663" s="193"/>
      <c r="N663" s="193">
        <v>3.0006844626967832</v>
      </c>
      <c r="O663" s="193"/>
      <c r="P663" s="193">
        <v>85</v>
      </c>
      <c r="Q663" s="193">
        <v>65</v>
      </c>
      <c r="R663" s="193">
        <v>-20</v>
      </c>
      <c r="S663" s="193"/>
      <c r="T663" s="193">
        <v>1000</v>
      </c>
      <c r="U663" s="193">
        <v>1000000000</v>
      </c>
      <c r="V663" s="193">
        <v>1230</v>
      </c>
      <c r="W663" s="193"/>
      <c r="X663" s="193">
        <v>0</v>
      </c>
      <c r="Y663" s="193">
        <v>-18.7</v>
      </c>
      <c r="Z663" s="193">
        <v>38.265999999999998</v>
      </c>
      <c r="AA663" s="193">
        <v>65</v>
      </c>
      <c r="AB663" s="193" t="s">
        <v>1281</v>
      </c>
      <c r="AC663" s="193" t="s">
        <v>1428</v>
      </c>
      <c r="AD663" s="193" t="s">
        <v>1437</v>
      </c>
      <c r="AE663" s="193" t="s">
        <v>1896</v>
      </c>
      <c r="AF663" s="193" t="s">
        <v>997</v>
      </c>
      <c r="AG663" s="193" t="s">
        <v>998</v>
      </c>
      <c r="AH663" s="193" t="s">
        <v>997</v>
      </c>
      <c r="AI663" s="193" t="s">
        <v>997</v>
      </c>
      <c r="AJ663" s="193" t="s">
        <v>1431</v>
      </c>
      <c r="AK663" s="193" t="s">
        <v>1431</v>
      </c>
      <c r="AL663" s="193" t="s">
        <v>1431</v>
      </c>
    </row>
    <row r="664" spans="7:38">
      <c r="G664" s="193" t="s">
        <v>2308</v>
      </c>
      <c r="H664" s="193" t="s">
        <v>2309</v>
      </c>
      <c r="I664" s="193" t="s">
        <v>2310</v>
      </c>
      <c r="J664" s="193" t="s">
        <v>2310</v>
      </c>
      <c r="K664" s="193" t="s">
        <v>1583</v>
      </c>
      <c r="L664" s="193"/>
      <c r="M664" s="193"/>
      <c r="N664" s="193">
        <v>1.998631074606434</v>
      </c>
      <c r="O664" s="193"/>
      <c r="P664" s="193">
        <v>45</v>
      </c>
      <c r="Q664" s="193">
        <v>22</v>
      </c>
      <c r="R664" s="193">
        <v>-23</v>
      </c>
      <c r="S664" s="193">
        <v>4</v>
      </c>
      <c r="T664" s="193">
        <v>3000</v>
      </c>
      <c r="U664" s="193">
        <v>3000000000</v>
      </c>
      <c r="V664" s="193">
        <v>3650</v>
      </c>
      <c r="W664" s="193"/>
      <c r="X664" s="193">
        <v>0</v>
      </c>
      <c r="Y664" s="193">
        <v>-17.809999999999999</v>
      </c>
      <c r="Z664" s="193">
        <v>14.487899999999998</v>
      </c>
      <c r="AA664" s="193">
        <v>22</v>
      </c>
      <c r="AB664" s="193" t="s">
        <v>1281</v>
      </c>
      <c r="AC664" s="193" t="s">
        <v>1433</v>
      </c>
      <c r="AD664" s="193" t="s">
        <v>1938</v>
      </c>
      <c r="AE664" s="193" t="s">
        <v>1939</v>
      </c>
      <c r="AF664" s="193" t="s">
        <v>1011</v>
      </c>
      <c r="AG664" s="193" t="s">
        <v>1012</v>
      </c>
      <c r="AH664" s="193" t="s">
        <v>1011</v>
      </c>
      <c r="AI664" s="193" t="s">
        <v>1011</v>
      </c>
      <c r="AJ664" s="193" t="s">
        <v>1431</v>
      </c>
      <c r="AK664" s="193" t="s">
        <v>1431</v>
      </c>
      <c r="AL664" s="193" t="s">
        <v>1431</v>
      </c>
    </row>
    <row r="665" spans="7:38">
      <c r="G665" s="193" t="s">
        <v>2311</v>
      </c>
      <c r="H665" s="193" t="s">
        <v>2309</v>
      </c>
      <c r="I665" s="193" t="s">
        <v>2312</v>
      </c>
      <c r="J665" s="193" t="s">
        <v>2312</v>
      </c>
      <c r="K665" s="193" t="s">
        <v>1583</v>
      </c>
      <c r="L665" s="193"/>
      <c r="M665" s="193"/>
      <c r="N665" s="193">
        <v>1.998631074606434</v>
      </c>
      <c r="O665" s="193"/>
      <c r="P665" s="193"/>
      <c r="Q665" s="193">
        <v>43</v>
      </c>
      <c r="R665" s="193"/>
      <c r="S665" s="193"/>
      <c r="T665" s="193">
        <v>2700</v>
      </c>
      <c r="U665" s="193">
        <v>2700000000</v>
      </c>
      <c r="V665" s="193">
        <v>3000</v>
      </c>
      <c r="W665" s="193"/>
      <c r="X665" s="193">
        <v>0</v>
      </c>
      <c r="Y665" s="193">
        <v>-10</v>
      </c>
      <c r="Z665" s="193" t="s">
        <v>1432</v>
      </c>
      <c r="AA665" s="193" t="s">
        <v>1432</v>
      </c>
      <c r="AB665" s="193" t="s">
        <v>1281</v>
      </c>
      <c r="AC665" s="193" t="s">
        <v>1433</v>
      </c>
      <c r="AD665" s="193" t="s">
        <v>1938</v>
      </c>
      <c r="AE665" s="193" t="s">
        <v>1939</v>
      </c>
      <c r="AF665" s="193" t="s">
        <v>1011</v>
      </c>
      <c r="AG665" s="193" t="s">
        <v>1012</v>
      </c>
      <c r="AH665" s="193" t="s">
        <v>1011</v>
      </c>
      <c r="AI665" s="193" t="s">
        <v>1011</v>
      </c>
      <c r="AJ665" s="193" t="s">
        <v>1431</v>
      </c>
      <c r="AK665" s="193" t="s">
        <v>1431</v>
      </c>
      <c r="AL665" s="193" t="s">
        <v>1431</v>
      </c>
    </row>
    <row r="666" spans="7:38">
      <c r="G666" s="193" t="s">
        <v>2313</v>
      </c>
      <c r="H666" s="193" t="s">
        <v>2309</v>
      </c>
      <c r="I666" s="193" t="s">
        <v>2314</v>
      </c>
      <c r="J666" s="193" t="s">
        <v>2314</v>
      </c>
      <c r="K666" s="193" t="s">
        <v>1583</v>
      </c>
      <c r="L666" s="193"/>
      <c r="M666" s="193"/>
      <c r="N666" s="193">
        <v>4.9993155373032172</v>
      </c>
      <c r="O666" s="193"/>
      <c r="P666" s="193">
        <v>62.5</v>
      </c>
      <c r="Q666" s="193">
        <v>37</v>
      </c>
      <c r="R666" s="193">
        <v>-26</v>
      </c>
      <c r="S666" s="193">
        <v>5</v>
      </c>
      <c r="T666" s="193">
        <v>5200</v>
      </c>
      <c r="U666" s="193">
        <v>5200000000</v>
      </c>
      <c r="V666" s="193">
        <v>5700</v>
      </c>
      <c r="W666" s="193"/>
      <c r="X666" s="193">
        <v>0</v>
      </c>
      <c r="Y666" s="193">
        <v>-8.77</v>
      </c>
      <c r="Z666" s="193">
        <v>26.5946</v>
      </c>
      <c r="AA666" s="193">
        <v>37</v>
      </c>
      <c r="AB666" s="193" t="s">
        <v>1281</v>
      </c>
      <c r="AC666" s="193" t="s">
        <v>1433</v>
      </c>
      <c r="AD666" s="193" t="s">
        <v>1938</v>
      </c>
      <c r="AE666" s="193" t="s">
        <v>1939</v>
      </c>
      <c r="AF666" s="193" t="s">
        <v>1011</v>
      </c>
      <c r="AG666" s="193" t="s">
        <v>1012</v>
      </c>
      <c r="AH666" s="193" t="s">
        <v>1011</v>
      </c>
      <c r="AI666" s="193" t="s">
        <v>1011</v>
      </c>
      <c r="AJ666" s="193" t="s">
        <v>1431</v>
      </c>
      <c r="AK666" s="193" t="s">
        <v>1431</v>
      </c>
      <c r="AL666" s="193" t="s">
        <v>1431</v>
      </c>
    </row>
    <row r="667" spans="7:38">
      <c r="G667" s="193" t="s">
        <v>2315</v>
      </c>
      <c r="H667" s="193" t="s">
        <v>2309</v>
      </c>
      <c r="I667" s="193" t="s">
        <v>2316</v>
      </c>
      <c r="J667" s="193" t="s">
        <v>2316</v>
      </c>
      <c r="K667" s="193" t="s">
        <v>1583</v>
      </c>
      <c r="L667" s="193"/>
      <c r="M667" s="193"/>
      <c r="N667" s="193">
        <v>9.9986310746064344</v>
      </c>
      <c r="O667" s="193"/>
      <c r="P667" s="193">
        <v>80</v>
      </c>
      <c r="Q667" s="193">
        <v>52</v>
      </c>
      <c r="R667" s="193">
        <v>-28</v>
      </c>
      <c r="S667" s="193">
        <v>2</v>
      </c>
      <c r="T667" s="193">
        <v>7400</v>
      </c>
      <c r="U667" s="193">
        <v>7400000000</v>
      </c>
      <c r="V667" s="193">
        <v>8800</v>
      </c>
      <c r="W667" s="193"/>
      <c r="X667" s="193">
        <v>0</v>
      </c>
      <c r="Y667" s="193">
        <v>-15.91</v>
      </c>
      <c r="Z667" s="193">
        <v>43.112800000000021</v>
      </c>
      <c r="AA667" s="193">
        <v>52</v>
      </c>
      <c r="AB667" s="193" t="s">
        <v>1281</v>
      </c>
      <c r="AC667" s="193" t="s">
        <v>1433</v>
      </c>
      <c r="AD667" s="193" t="s">
        <v>1938</v>
      </c>
      <c r="AE667" s="193" t="s">
        <v>1939</v>
      </c>
      <c r="AF667" s="193" t="s">
        <v>1011</v>
      </c>
      <c r="AG667" s="193" t="s">
        <v>1012</v>
      </c>
      <c r="AH667" s="193" t="s">
        <v>1011</v>
      </c>
      <c r="AI667" s="193" t="s">
        <v>1011</v>
      </c>
      <c r="AJ667" s="193" t="s">
        <v>1431</v>
      </c>
      <c r="AK667" s="193" t="s">
        <v>1431</v>
      </c>
      <c r="AL667" s="193" t="s">
        <v>1431</v>
      </c>
    </row>
    <row r="668" spans="7:38">
      <c r="G668" s="193" t="s">
        <v>2317</v>
      </c>
      <c r="H668" s="193" t="s">
        <v>2318</v>
      </c>
      <c r="I668" s="193" t="s">
        <v>2319</v>
      </c>
      <c r="J668" s="193" t="s">
        <v>2319</v>
      </c>
      <c r="K668" s="193" t="s">
        <v>2320</v>
      </c>
      <c r="L668" s="193"/>
      <c r="M668" s="193"/>
      <c r="N668" s="193">
        <v>4.9993155373032172</v>
      </c>
      <c r="O668" s="193"/>
      <c r="P668" s="193">
        <v>105</v>
      </c>
      <c r="Q668" s="193">
        <v>80</v>
      </c>
      <c r="R668" s="193">
        <v>-25</v>
      </c>
      <c r="S668" s="193">
        <v>0</v>
      </c>
      <c r="T668" s="193">
        <v>1700</v>
      </c>
      <c r="U668" s="193">
        <v>1700000000</v>
      </c>
      <c r="V668" s="193">
        <v>2100</v>
      </c>
      <c r="W668" s="193"/>
      <c r="X668" s="193">
        <v>0</v>
      </c>
      <c r="Y668" s="193">
        <v>-19.05</v>
      </c>
      <c r="Z668" s="193">
        <v>60.079499999999975</v>
      </c>
      <c r="AA668" s="193">
        <v>80</v>
      </c>
      <c r="AB668" s="193" t="s">
        <v>1281</v>
      </c>
      <c r="AC668" s="193" t="s">
        <v>1428</v>
      </c>
      <c r="AD668" s="193" t="s">
        <v>1437</v>
      </c>
      <c r="AE668" s="193" t="s">
        <v>1438</v>
      </c>
      <c r="AF668" s="193" t="s">
        <v>1154</v>
      </c>
      <c r="AG668" s="193" t="s">
        <v>1141</v>
      </c>
      <c r="AH668" s="193" t="s">
        <v>1432</v>
      </c>
      <c r="AI668" s="193" t="s">
        <v>1154</v>
      </c>
      <c r="AJ668" s="193" t="s">
        <v>1431</v>
      </c>
      <c r="AK668" s="193" t="s">
        <v>1431</v>
      </c>
      <c r="AL668" s="193" t="s">
        <v>1431</v>
      </c>
    </row>
    <row r="669" spans="7:38">
      <c r="G669" s="193" t="s">
        <v>2919</v>
      </c>
      <c r="H669" s="193" t="s">
        <v>2321</v>
      </c>
      <c r="I669" s="193" t="s">
        <v>2322</v>
      </c>
      <c r="J669" s="193" t="s">
        <v>2322</v>
      </c>
      <c r="K669" s="193" t="s">
        <v>1636</v>
      </c>
      <c r="L669" s="193"/>
      <c r="M669" s="193"/>
      <c r="N669" s="193">
        <v>10.247775496235455</v>
      </c>
      <c r="O669" s="193"/>
      <c r="P669" s="193"/>
      <c r="Q669" s="193">
        <v>6.5</v>
      </c>
      <c r="R669" s="193">
        <v>-45</v>
      </c>
      <c r="S669" s="193"/>
      <c r="T669" s="193">
        <v>1350</v>
      </c>
      <c r="U669" s="193">
        <v>1350000000</v>
      </c>
      <c r="V669" s="193">
        <v>1800</v>
      </c>
      <c r="W669" s="193"/>
      <c r="X669" s="193">
        <v>0</v>
      </c>
      <c r="Y669" s="193">
        <v>-25</v>
      </c>
      <c r="Z669" s="193">
        <v>163.21099999999998</v>
      </c>
      <c r="AA669" s="193">
        <v>248.6</v>
      </c>
      <c r="AB669" s="193">
        <v>-85</v>
      </c>
      <c r="AC669" s="193" t="s">
        <v>1428</v>
      </c>
      <c r="AD669" s="193" t="s">
        <v>1429</v>
      </c>
      <c r="AE669" s="193" t="s">
        <v>1430</v>
      </c>
      <c r="AF669" s="193" t="s">
        <v>955</v>
      </c>
      <c r="AG669" s="193" t="s">
        <v>875</v>
      </c>
      <c r="AH669" s="193" t="s">
        <v>1432</v>
      </c>
      <c r="AI669" s="193" t="s">
        <v>877</v>
      </c>
      <c r="AJ669" s="193" t="s">
        <v>1431</v>
      </c>
      <c r="AK669" s="193" t="s">
        <v>1431</v>
      </c>
      <c r="AL669" s="193" t="s">
        <v>1431</v>
      </c>
    </row>
    <row r="670" spans="7:38">
      <c r="G670" s="193" t="s">
        <v>2323</v>
      </c>
      <c r="H670" s="193" t="s">
        <v>2324</v>
      </c>
      <c r="I670" s="193" t="s">
        <v>2325</v>
      </c>
      <c r="J670" s="193" t="s">
        <v>2325</v>
      </c>
      <c r="K670" s="193" t="s">
        <v>2326</v>
      </c>
      <c r="L670" s="193"/>
      <c r="M670" s="193"/>
      <c r="N670" s="193">
        <v>4.9993155373032172</v>
      </c>
      <c r="O670" s="193"/>
      <c r="P670" s="193">
        <v>145</v>
      </c>
      <c r="Q670" s="193">
        <v>115</v>
      </c>
      <c r="R670" s="193">
        <v>-30</v>
      </c>
      <c r="S670" s="193"/>
      <c r="T670" s="193">
        <v>2600</v>
      </c>
      <c r="U670" s="193">
        <v>2600000000</v>
      </c>
      <c r="V670" s="193">
        <v>3800</v>
      </c>
      <c r="W670" s="193"/>
      <c r="X670" s="193">
        <v>0</v>
      </c>
      <c r="Y670" s="193">
        <v>-31.58</v>
      </c>
      <c r="Z670" s="193">
        <v>85.578199999999953</v>
      </c>
      <c r="AA670" s="193">
        <v>115</v>
      </c>
      <c r="AB670" s="193" t="s">
        <v>1281</v>
      </c>
      <c r="AC670" s="193" t="s">
        <v>1447</v>
      </c>
      <c r="AD670" s="193" t="s">
        <v>1448</v>
      </c>
      <c r="AE670" s="193" t="s">
        <v>2327</v>
      </c>
      <c r="AF670" s="193" t="s">
        <v>932</v>
      </c>
      <c r="AG670" s="193" t="s">
        <v>1432</v>
      </c>
      <c r="AH670" s="193" t="s">
        <v>932</v>
      </c>
      <c r="AI670" s="193" t="s">
        <v>932</v>
      </c>
      <c r="AJ670" s="193" t="s">
        <v>1431</v>
      </c>
      <c r="AK670" s="193" t="s">
        <v>1431</v>
      </c>
      <c r="AL670" s="193" t="s">
        <v>1431</v>
      </c>
    </row>
    <row r="671" spans="7:38">
      <c r="G671" s="193" t="s">
        <v>2328</v>
      </c>
      <c r="H671" s="193" t="s">
        <v>2324</v>
      </c>
      <c r="I671" s="193" t="s">
        <v>2329</v>
      </c>
      <c r="J671" s="193" t="s">
        <v>2329</v>
      </c>
      <c r="K671" s="193" t="s">
        <v>2326</v>
      </c>
      <c r="L671" s="193"/>
      <c r="M671" s="193"/>
      <c r="N671" s="193">
        <v>9.9986310746064344</v>
      </c>
      <c r="O671" s="193"/>
      <c r="P671" s="193">
        <v>170</v>
      </c>
      <c r="Q671" s="193">
        <v>135</v>
      </c>
      <c r="R671" s="193">
        <v>-35</v>
      </c>
      <c r="S671" s="193"/>
      <c r="T671" s="193">
        <v>3000</v>
      </c>
      <c r="U671" s="193">
        <v>3000000000</v>
      </c>
      <c r="V671" s="193">
        <v>4300</v>
      </c>
      <c r="W671" s="193"/>
      <c r="X671" s="193">
        <v>0</v>
      </c>
      <c r="Y671" s="193">
        <v>-30.23</v>
      </c>
      <c r="Z671" s="193">
        <v>114.62260000000003</v>
      </c>
      <c r="AA671" s="193">
        <v>135</v>
      </c>
      <c r="AB671" s="193" t="s">
        <v>1281</v>
      </c>
      <c r="AC671" s="193" t="s">
        <v>1447</v>
      </c>
      <c r="AD671" s="193" t="s">
        <v>1448</v>
      </c>
      <c r="AE671" s="193" t="s">
        <v>2327</v>
      </c>
      <c r="AF671" s="193" t="s">
        <v>932</v>
      </c>
      <c r="AG671" s="193" t="s">
        <v>1432</v>
      </c>
      <c r="AH671" s="193" t="s">
        <v>932</v>
      </c>
      <c r="AI671" s="193" t="s">
        <v>932</v>
      </c>
      <c r="AJ671" s="193" t="s">
        <v>1431</v>
      </c>
      <c r="AK671" s="193" t="s">
        <v>1431</v>
      </c>
      <c r="AL671" s="193" t="s">
        <v>1431</v>
      </c>
    </row>
    <row r="672" spans="7:38">
      <c r="G672" s="193" t="s">
        <v>2330</v>
      </c>
      <c r="H672" s="193" t="s">
        <v>2331</v>
      </c>
      <c r="I672" s="193" t="s">
        <v>2332</v>
      </c>
      <c r="J672" s="193" t="s">
        <v>2332</v>
      </c>
      <c r="K672" s="193" t="s">
        <v>1572</v>
      </c>
      <c r="L672" s="193"/>
      <c r="M672" s="193"/>
      <c r="N672" s="193">
        <v>5.0841889117043122</v>
      </c>
      <c r="O672" s="193"/>
      <c r="P672" s="193">
        <v>155</v>
      </c>
      <c r="Q672" s="193">
        <v>120</v>
      </c>
      <c r="R672" s="193">
        <v>-35</v>
      </c>
      <c r="S672" s="193">
        <v>0</v>
      </c>
      <c r="T672" s="193">
        <v>7000</v>
      </c>
      <c r="U672" s="193">
        <v>7000000000</v>
      </c>
      <c r="V672" s="193">
        <v>8100</v>
      </c>
      <c r="W672" s="193"/>
      <c r="X672" s="193">
        <v>0</v>
      </c>
      <c r="Y672" s="193">
        <v>-13.58</v>
      </c>
      <c r="Z672" s="193">
        <v>74.273699999999991</v>
      </c>
      <c r="AA672" s="193">
        <v>120</v>
      </c>
      <c r="AB672" s="193" t="s">
        <v>1281</v>
      </c>
      <c r="AC672" s="193" t="s">
        <v>1488</v>
      </c>
      <c r="AD672" s="193" t="s">
        <v>1863</v>
      </c>
      <c r="AE672" s="193" t="s">
        <v>1863</v>
      </c>
      <c r="AF672" s="193" t="s">
        <v>932</v>
      </c>
      <c r="AG672" s="193" t="s">
        <v>875</v>
      </c>
      <c r="AH672" s="193" t="s">
        <v>950</v>
      </c>
      <c r="AI672" s="193" t="s">
        <v>932</v>
      </c>
      <c r="AJ672" s="193" t="s">
        <v>1431</v>
      </c>
      <c r="AK672" s="193" t="s">
        <v>1431</v>
      </c>
      <c r="AL672" s="193" t="s">
        <v>1431</v>
      </c>
    </row>
    <row r="673" spans="7:38">
      <c r="G673" s="193" t="s">
        <v>2333</v>
      </c>
      <c r="H673" s="193" t="s">
        <v>2331</v>
      </c>
      <c r="I673" s="193" t="s">
        <v>2334</v>
      </c>
      <c r="J673" s="193" t="s">
        <v>2334</v>
      </c>
      <c r="K673" s="193" t="s">
        <v>1572</v>
      </c>
      <c r="L673" s="193"/>
      <c r="M673" s="193"/>
      <c r="N673" s="193">
        <v>10.083504449007529</v>
      </c>
      <c r="O673" s="193"/>
      <c r="P673" s="193">
        <v>185</v>
      </c>
      <c r="Q673" s="193">
        <v>150</v>
      </c>
      <c r="R673" s="193">
        <v>-35</v>
      </c>
      <c r="S673" s="193">
        <v>0</v>
      </c>
      <c r="T673" s="193">
        <v>7200</v>
      </c>
      <c r="U673" s="193">
        <v>7200000000</v>
      </c>
      <c r="V673" s="193">
        <v>8750</v>
      </c>
      <c r="W673" s="193"/>
      <c r="X673" s="193">
        <v>0</v>
      </c>
      <c r="Y673" s="193">
        <v>-17.71</v>
      </c>
      <c r="Z673" s="193">
        <v>106.58640000000004</v>
      </c>
      <c r="AA673" s="193">
        <v>150</v>
      </c>
      <c r="AB673" s="193" t="s">
        <v>1281</v>
      </c>
      <c r="AC673" s="193" t="s">
        <v>1488</v>
      </c>
      <c r="AD673" s="193" t="s">
        <v>1863</v>
      </c>
      <c r="AE673" s="193" t="s">
        <v>1863</v>
      </c>
      <c r="AF673" s="193" t="s">
        <v>932</v>
      </c>
      <c r="AG673" s="193" t="s">
        <v>875</v>
      </c>
      <c r="AH673" s="193" t="s">
        <v>950</v>
      </c>
      <c r="AI673" s="193" t="s">
        <v>932</v>
      </c>
      <c r="AJ673" s="193" t="s">
        <v>1431</v>
      </c>
      <c r="AK673" s="193" t="s">
        <v>1431</v>
      </c>
      <c r="AL673" s="193" t="s">
        <v>1431</v>
      </c>
    </row>
    <row r="674" spans="7:38">
      <c r="G674" s="193" t="s">
        <v>2335</v>
      </c>
      <c r="H674" s="193" t="s">
        <v>2336</v>
      </c>
      <c r="I674" s="193" t="s">
        <v>2337</v>
      </c>
      <c r="J674" s="193" t="s">
        <v>2337</v>
      </c>
      <c r="K674" s="193" t="s">
        <v>1563</v>
      </c>
      <c r="L674" s="193"/>
      <c r="M674" s="193"/>
      <c r="N674" s="193">
        <v>3.0006844626967832</v>
      </c>
      <c r="O674" s="193"/>
      <c r="P674" s="193">
        <v>105</v>
      </c>
      <c r="Q674" s="193">
        <v>73</v>
      </c>
      <c r="R674" s="193">
        <v>-32</v>
      </c>
      <c r="S674" s="193">
        <v>0</v>
      </c>
      <c r="T674" s="193">
        <v>3950</v>
      </c>
      <c r="U674" s="193">
        <v>3950000000</v>
      </c>
      <c r="V674" s="193">
        <v>4400</v>
      </c>
      <c r="W674" s="193"/>
      <c r="X674" s="193">
        <v>0</v>
      </c>
      <c r="Y674" s="193">
        <v>-10.23</v>
      </c>
      <c r="Z674" s="193">
        <v>41.351000000000049</v>
      </c>
      <c r="AA674" s="193">
        <v>73</v>
      </c>
      <c r="AB674" s="193" t="s">
        <v>1281</v>
      </c>
      <c r="AC674" s="193" t="s">
        <v>1428</v>
      </c>
      <c r="AD674" s="193" t="s">
        <v>1429</v>
      </c>
      <c r="AE674" s="193" t="s">
        <v>1946</v>
      </c>
      <c r="AF674" s="193" t="s">
        <v>876</v>
      </c>
      <c r="AG674" s="193" t="s">
        <v>998</v>
      </c>
      <c r="AH674" s="193" t="s">
        <v>997</v>
      </c>
      <c r="AI674" s="193" t="s">
        <v>953</v>
      </c>
      <c r="AJ674" s="193" t="s">
        <v>1431</v>
      </c>
      <c r="AK674" s="193" t="s">
        <v>1431</v>
      </c>
      <c r="AL674" s="193" t="s">
        <v>1431</v>
      </c>
    </row>
    <row r="675" spans="7:38">
      <c r="G675" s="193" t="s">
        <v>2338</v>
      </c>
      <c r="H675" s="193" t="s">
        <v>2336</v>
      </c>
      <c r="I675" s="193" t="s">
        <v>2339</v>
      </c>
      <c r="J675" s="193" t="s">
        <v>2339</v>
      </c>
      <c r="K675" s="193" t="s">
        <v>1563</v>
      </c>
      <c r="L675" s="193"/>
      <c r="M675" s="193"/>
      <c r="N675" s="193">
        <v>3.0006844626967832</v>
      </c>
      <c r="O675" s="193"/>
      <c r="P675" s="193"/>
      <c r="Q675" s="193">
        <v>95</v>
      </c>
      <c r="R675" s="193"/>
      <c r="S675" s="193"/>
      <c r="T675" s="193">
        <v>1550</v>
      </c>
      <c r="U675" s="193">
        <v>1550000000</v>
      </c>
      <c r="V675" s="193">
        <v>1550</v>
      </c>
      <c r="W675" s="193"/>
      <c r="X675" s="193">
        <v>0</v>
      </c>
      <c r="Y675" s="193">
        <v>0</v>
      </c>
      <c r="Z675" s="193" t="s">
        <v>1432</v>
      </c>
      <c r="AA675" s="193" t="s">
        <v>1432</v>
      </c>
      <c r="AB675" s="193" t="s">
        <v>1281</v>
      </c>
      <c r="AC675" s="193" t="s">
        <v>1428</v>
      </c>
      <c r="AD675" s="193" t="s">
        <v>1429</v>
      </c>
      <c r="AE675" s="193" t="s">
        <v>1946</v>
      </c>
      <c r="AF675" s="193" t="s">
        <v>876</v>
      </c>
      <c r="AG675" s="193" t="s">
        <v>998</v>
      </c>
      <c r="AH675" s="193" t="s">
        <v>997</v>
      </c>
      <c r="AI675" s="193" t="s">
        <v>953</v>
      </c>
      <c r="AJ675" s="193" t="s">
        <v>1431</v>
      </c>
      <c r="AK675" s="193" t="s">
        <v>1431</v>
      </c>
      <c r="AL675" s="193" t="s">
        <v>1431</v>
      </c>
    </row>
    <row r="676" spans="7:38">
      <c r="G676" s="193" t="s">
        <v>2340</v>
      </c>
      <c r="H676" s="193" t="s">
        <v>2336</v>
      </c>
      <c r="I676" s="193" t="s">
        <v>2341</v>
      </c>
      <c r="J676" s="193" t="s">
        <v>2341</v>
      </c>
      <c r="K676" s="193" t="s">
        <v>1563</v>
      </c>
      <c r="L676" s="193"/>
      <c r="M676" s="193"/>
      <c r="N676" s="193">
        <v>4.9993155373032172</v>
      </c>
      <c r="O676" s="193"/>
      <c r="P676" s="193">
        <v>115</v>
      </c>
      <c r="Q676" s="193">
        <v>85</v>
      </c>
      <c r="R676" s="193">
        <v>-30</v>
      </c>
      <c r="S676" s="193">
        <v>0</v>
      </c>
      <c r="T676" s="193">
        <v>4100</v>
      </c>
      <c r="U676" s="193">
        <v>4100000000</v>
      </c>
      <c r="V676" s="193">
        <v>4800</v>
      </c>
      <c r="W676" s="193"/>
      <c r="X676" s="193">
        <v>0</v>
      </c>
      <c r="Y676" s="193">
        <v>-14.58</v>
      </c>
      <c r="Z676" s="193">
        <v>46.146400000000028</v>
      </c>
      <c r="AA676" s="193">
        <v>85</v>
      </c>
      <c r="AB676" s="193" t="s">
        <v>1281</v>
      </c>
      <c r="AC676" s="193" t="s">
        <v>1428</v>
      </c>
      <c r="AD676" s="193" t="s">
        <v>1429</v>
      </c>
      <c r="AE676" s="193" t="s">
        <v>1946</v>
      </c>
      <c r="AF676" s="193" t="s">
        <v>876</v>
      </c>
      <c r="AG676" s="193" t="s">
        <v>998</v>
      </c>
      <c r="AH676" s="193" t="s">
        <v>997</v>
      </c>
      <c r="AI676" s="193" t="s">
        <v>953</v>
      </c>
      <c r="AJ676" s="193" t="s">
        <v>1431</v>
      </c>
      <c r="AK676" s="193" t="s">
        <v>1431</v>
      </c>
      <c r="AL676" s="193" t="s">
        <v>1431</v>
      </c>
    </row>
    <row r="677" spans="7:38">
      <c r="G677" s="193" t="s">
        <v>2342</v>
      </c>
      <c r="H677" s="193" t="s">
        <v>1885</v>
      </c>
      <c r="I677" s="193" t="s">
        <v>2343</v>
      </c>
      <c r="J677" s="193" t="s">
        <v>2343</v>
      </c>
      <c r="K677" s="193" t="s">
        <v>1886</v>
      </c>
      <c r="L677" s="193"/>
      <c r="M677" s="193"/>
      <c r="N677" s="193">
        <v>3.0006844626967832</v>
      </c>
      <c r="O677" s="193"/>
      <c r="P677" s="193">
        <v>85</v>
      </c>
      <c r="Q677" s="193">
        <v>60</v>
      </c>
      <c r="R677" s="193">
        <v>-25</v>
      </c>
      <c r="S677" s="193">
        <v>0</v>
      </c>
      <c r="T677" s="193">
        <v>1400</v>
      </c>
      <c r="U677" s="193">
        <v>1400000000</v>
      </c>
      <c r="V677" s="193">
        <v>1850</v>
      </c>
      <c r="W677" s="193"/>
      <c r="X677" s="193">
        <v>0</v>
      </c>
      <c r="Y677" s="193">
        <v>-24.32</v>
      </c>
      <c r="Z677" s="193">
        <v>38.446600000000018</v>
      </c>
      <c r="AA677" s="193">
        <v>60</v>
      </c>
      <c r="AB677" s="193" t="s">
        <v>1281</v>
      </c>
      <c r="AC677" s="193" t="s">
        <v>1428</v>
      </c>
      <c r="AD677" s="193" t="s">
        <v>1437</v>
      </c>
      <c r="AE677" s="193" t="s">
        <v>1887</v>
      </c>
      <c r="AF677" s="193" t="s">
        <v>1154</v>
      </c>
      <c r="AG677" s="193" t="s">
        <v>1141</v>
      </c>
      <c r="AH677" s="193" t="s">
        <v>1016</v>
      </c>
      <c r="AI677" s="193" t="s">
        <v>1154</v>
      </c>
      <c r="AJ677" s="193" t="s">
        <v>1431</v>
      </c>
      <c r="AK677" s="193" t="s">
        <v>1431</v>
      </c>
      <c r="AL677" s="193" t="s">
        <v>1431</v>
      </c>
    </row>
    <row r="678" spans="7:38">
      <c r="G678" s="193" t="s">
        <v>2344</v>
      </c>
      <c r="H678" s="193" t="s">
        <v>1885</v>
      </c>
      <c r="I678" s="193" t="s">
        <v>2345</v>
      </c>
      <c r="J678" s="193" t="s">
        <v>2345</v>
      </c>
      <c r="K678" s="193" t="s">
        <v>1886</v>
      </c>
      <c r="L678" s="193"/>
      <c r="M678" s="193"/>
      <c r="N678" s="193">
        <v>3.0006844626967832</v>
      </c>
      <c r="O678" s="193"/>
      <c r="P678" s="193"/>
      <c r="Q678" s="193">
        <v>88</v>
      </c>
      <c r="R678" s="193"/>
      <c r="S678" s="193"/>
      <c r="T678" s="193">
        <v>800</v>
      </c>
      <c r="U678" s="193">
        <v>800000000</v>
      </c>
      <c r="V678" s="193">
        <v>1000</v>
      </c>
      <c r="W678" s="193"/>
      <c r="X678" s="193">
        <v>0</v>
      </c>
      <c r="Y678" s="193">
        <v>-20</v>
      </c>
      <c r="Z678" s="193" t="s">
        <v>1432</v>
      </c>
      <c r="AA678" s="193" t="s">
        <v>1432</v>
      </c>
      <c r="AB678" s="193" t="s">
        <v>1281</v>
      </c>
      <c r="AC678" s="193" t="s">
        <v>1428</v>
      </c>
      <c r="AD678" s="193" t="s">
        <v>1437</v>
      </c>
      <c r="AE678" s="193" t="s">
        <v>1887</v>
      </c>
      <c r="AF678" s="193" t="s">
        <v>1154</v>
      </c>
      <c r="AG678" s="193" t="s">
        <v>1141</v>
      </c>
      <c r="AH678" s="193" t="s">
        <v>1016</v>
      </c>
      <c r="AI678" s="193" t="s">
        <v>1154</v>
      </c>
      <c r="AJ678" s="193" t="s">
        <v>1431</v>
      </c>
      <c r="AK678" s="193" t="s">
        <v>1431</v>
      </c>
      <c r="AL678" s="193" t="s">
        <v>1431</v>
      </c>
    </row>
    <row r="679" spans="7:38">
      <c r="G679" s="193" t="s">
        <v>2346</v>
      </c>
      <c r="H679" s="193" t="s">
        <v>2347</v>
      </c>
      <c r="I679" s="193" t="s">
        <v>2348</v>
      </c>
      <c r="J679" s="193" t="s">
        <v>2348</v>
      </c>
      <c r="K679" s="193" t="s">
        <v>2349</v>
      </c>
      <c r="L679" s="193"/>
      <c r="M679" s="193"/>
      <c r="N679" s="193">
        <v>9.9986310746064344</v>
      </c>
      <c r="O679" s="193"/>
      <c r="P679" s="193">
        <v>170</v>
      </c>
      <c r="Q679" s="193">
        <v>140</v>
      </c>
      <c r="R679" s="193">
        <v>-30</v>
      </c>
      <c r="S679" s="193"/>
      <c r="T679" s="193">
        <v>2800</v>
      </c>
      <c r="U679" s="193">
        <v>2800000000</v>
      </c>
      <c r="V679" s="193">
        <v>3500</v>
      </c>
      <c r="W679" s="193"/>
      <c r="X679" s="193">
        <v>0</v>
      </c>
      <c r="Y679" s="193">
        <v>-20</v>
      </c>
      <c r="Z679" s="193">
        <v>104.87710000000004</v>
      </c>
      <c r="AA679" s="193">
        <v>140</v>
      </c>
      <c r="AB679" s="193" t="s">
        <v>1281</v>
      </c>
      <c r="AC679" s="193" t="s">
        <v>1428</v>
      </c>
      <c r="AD679" s="193" t="s">
        <v>1864</v>
      </c>
      <c r="AE679" s="193" t="s">
        <v>1865</v>
      </c>
      <c r="AF679" s="193" t="s">
        <v>938</v>
      </c>
      <c r="AG679" s="193" t="s">
        <v>1432</v>
      </c>
      <c r="AH679" s="193" t="s">
        <v>876</v>
      </c>
      <c r="AI679" s="193" t="s">
        <v>938</v>
      </c>
      <c r="AJ679" s="193" t="s">
        <v>1431</v>
      </c>
      <c r="AK679" s="193" t="s">
        <v>1431</v>
      </c>
      <c r="AL679" s="193" t="s">
        <v>1431</v>
      </c>
    </row>
    <row r="680" spans="7:38">
      <c r="G680" s="193" t="s">
        <v>2350</v>
      </c>
      <c r="H680" s="193" t="s">
        <v>1888</v>
      </c>
      <c r="I680" s="193" t="s">
        <v>2351</v>
      </c>
      <c r="J680" s="193" t="s">
        <v>2351</v>
      </c>
      <c r="K680" s="193" t="s">
        <v>1544</v>
      </c>
      <c r="L680" s="193"/>
      <c r="M680" s="193"/>
      <c r="N680" s="193">
        <v>4</v>
      </c>
      <c r="O680" s="193"/>
      <c r="P680" s="193">
        <v>125</v>
      </c>
      <c r="Q680" s="193">
        <v>98</v>
      </c>
      <c r="R680" s="193">
        <v>-27</v>
      </c>
      <c r="S680" s="193">
        <v>10</v>
      </c>
      <c r="T680" s="193">
        <v>4250</v>
      </c>
      <c r="U680" s="193">
        <v>4250000000</v>
      </c>
      <c r="V680" s="193">
        <v>5650</v>
      </c>
      <c r="W680" s="193"/>
      <c r="X680" s="193">
        <v>0</v>
      </c>
      <c r="Y680" s="193">
        <v>-24.78</v>
      </c>
      <c r="Z680" s="193">
        <v>48.187199999999962</v>
      </c>
      <c r="AA680" s="193">
        <v>98</v>
      </c>
      <c r="AB680" s="193" t="s">
        <v>1281</v>
      </c>
      <c r="AC680" s="193" t="s">
        <v>1428</v>
      </c>
      <c r="AD680" s="193" t="s">
        <v>1864</v>
      </c>
      <c r="AE680" s="193" t="s">
        <v>1878</v>
      </c>
      <c r="AF680" s="193" t="s">
        <v>938</v>
      </c>
      <c r="AG680" s="193" t="s">
        <v>874</v>
      </c>
      <c r="AH680" s="193" t="s">
        <v>876</v>
      </c>
      <c r="AI680" s="193" t="s">
        <v>938</v>
      </c>
      <c r="AJ680" s="193" t="s">
        <v>1431</v>
      </c>
      <c r="AK680" s="193" t="s">
        <v>1431</v>
      </c>
      <c r="AL680" s="193" t="s">
        <v>1431</v>
      </c>
    </row>
    <row r="681" spans="7:38">
      <c r="G681" s="193" t="s">
        <v>2352</v>
      </c>
      <c r="H681" s="193" t="s">
        <v>1888</v>
      </c>
      <c r="I681" s="193" t="s">
        <v>2353</v>
      </c>
      <c r="J681" s="193" t="s">
        <v>2353</v>
      </c>
      <c r="K681" s="193" t="s">
        <v>1544</v>
      </c>
      <c r="L681" s="193"/>
      <c r="M681" s="193"/>
      <c r="N681" s="193">
        <v>4</v>
      </c>
      <c r="O681" s="193"/>
      <c r="P681" s="193"/>
      <c r="Q681" s="193">
        <v>126</v>
      </c>
      <c r="R681" s="193"/>
      <c r="S681" s="193"/>
      <c r="T681" s="193">
        <v>835</v>
      </c>
      <c r="U681" s="193">
        <v>835000000</v>
      </c>
      <c r="V681" s="193">
        <v>1150</v>
      </c>
      <c r="W681" s="193"/>
      <c r="X681" s="193">
        <v>0</v>
      </c>
      <c r="Y681" s="193">
        <v>-27.39</v>
      </c>
      <c r="Z681" s="193" t="s">
        <v>1432</v>
      </c>
      <c r="AA681" s="193" t="s">
        <v>1432</v>
      </c>
      <c r="AB681" s="193" t="s">
        <v>1281</v>
      </c>
      <c r="AC681" s="193" t="s">
        <v>1428</v>
      </c>
      <c r="AD681" s="193" t="s">
        <v>1864</v>
      </c>
      <c r="AE681" s="193" t="s">
        <v>1878</v>
      </c>
      <c r="AF681" s="193" t="s">
        <v>938</v>
      </c>
      <c r="AG681" s="193" t="s">
        <v>874</v>
      </c>
      <c r="AH681" s="193" t="s">
        <v>876</v>
      </c>
      <c r="AI681" s="193" t="s">
        <v>938</v>
      </c>
      <c r="AJ681" s="193" t="s">
        <v>1431</v>
      </c>
      <c r="AK681" s="193" t="s">
        <v>1431</v>
      </c>
      <c r="AL681" s="193" t="s">
        <v>1431</v>
      </c>
    </row>
    <row r="682" spans="7:38">
      <c r="G682" s="193" t="s">
        <v>2354</v>
      </c>
      <c r="H682" s="193" t="s">
        <v>1888</v>
      </c>
      <c r="I682" s="193" t="s">
        <v>2355</v>
      </c>
      <c r="J682" s="193" t="s">
        <v>2355</v>
      </c>
      <c r="K682" s="193" t="s">
        <v>1544</v>
      </c>
      <c r="L682" s="193"/>
      <c r="M682" s="193"/>
      <c r="N682" s="193">
        <v>5.9986310746064335</v>
      </c>
      <c r="O682" s="193"/>
      <c r="P682" s="193">
        <v>135</v>
      </c>
      <c r="Q682" s="193">
        <v>108</v>
      </c>
      <c r="R682" s="193">
        <v>-27</v>
      </c>
      <c r="S682" s="193">
        <v>8</v>
      </c>
      <c r="T682" s="193">
        <v>3600</v>
      </c>
      <c r="U682" s="193">
        <v>3600000000</v>
      </c>
      <c r="V682" s="193">
        <v>5450</v>
      </c>
      <c r="W682" s="193"/>
      <c r="X682" s="193">
        <v>0</v>
      </c>
      <c r="Y682" s="193">
        <v>-33.94</v>
      </c>
      <c r="Z682" s="193">
        <v>62.78779999999999</v>
      </c>
      <c r="AA682" s="193">
        <v>108</v>
      </c>
      <c r="AB682" s="193" t="s">
        <v>1281</v>
      </c>
      <c r="AC682" s="193" t="s">
        <v>1428</v>
      </c>
      <c r="AD682" s="193" t="s">
        <v>1864</v>
      </c>
      <c r="AE682" s="193" t="s">
        <v>1878</v>
      </c>
      <c r="AF682" s="193" t="s">
        <v>938</v>
      </c>
      <c r="AG682" s="193" t="s">
        <v>874</v>
      </c>
      <c r="AH682" s="193" t="s">
        <v>876</v>
      </c>
      <c r="AI682" s="193" t="s">
        <v>938</v>
      </c>
      <c r="AJ682" s="193" t="s">
        <v>1431</v>
      </c>
      <c r="AK682" s="193" t="s">
        <v>1431</v>
      </c>
      <c r="AL682" s="193" t="s">
        <v>1431</v>
      </c>
    </row>
    <row r="683" spans="7:38">
      <c r="G683" s="193" t="s">
        <v>2356</v>
      </c>
      <c r="H683" s="193" t="s">
        <v>1888</v>
      </c>
      <c r="I683" s="193" t="s">
        <v>2357</v>
      </c>
      <c r="J683" s="193" t="s">
        <v>2357</v>
      </c>
      <c r="K683" s="193" t="s">
        <v>1544</v>
      </c>
      <c r="L683" s="193"/>
      <c r="M683" s="193"/>
      <c r="N683" s="193">
        <v>11.000684462696784</v>
      </c>
      <c r="O683" s="193"/>
      <c r="P683" s="193">
        <v>155</v>
      </c>
      <c r="Q683" s="193">
        <v>128</v>
      </c>
      <c r="R683" s="193">
        <v>-27</v>
      </c>
      <c r="S683" s="193">
        <v>8</v>
      </c>
      <c r="T683" s="193">
        <v>6250</v>
      </c>
      <c r="U683" s="193">
        <v>6250000000</v>
      </c>
      <c r="V683" s="193">
        <v>7850</v>
      </c>
      <c r="W683" s="193"/>
      <c r="X683" s="193">
        <v>0</v>
      </c>
      <c r="Y683" s="193">
        <v>-20.38</v>
      </c>
      <c r="Z683" s="193">
        <v>81.647800000000004</v>
      </c>
      <c r="AA683" s="193">
        <v>128</v>
      </c>
      <c r="AB683" s="193" t="s">
        <v>1281</v>
      </c>
      <c r="AC683" s="193" t="s">
        <v>1428</v>
      </c>
      <c r="AD683" s="193" t="s">
        <v>1864</v>
      </c>
      <c r="AE683" s="193" t="s">
        <v>1878</v>
      </c>
      <c r="AF683" s="193" t="s">
        <v>938</v>
      </c>
      <c r="AG683" s="193" t="s">
        <v>874</v>
      </c>
      <c r="AH683" s="193" t="s">
        <v>876</v>
      </c>
      <c r="AI683" s="193" t="s">
        <v>938</v>
      </c>
      <c r="AJ683" s="193" t="s">
        <v>1431</v>
      </c>
      <c r="AK683" s="193" t="s">
        <v>1431</v>
      </c>
      <c r="AL683" s="193" t="s">
        <v>1431</v>
      </c>
    </row>
    <row r="684" spans="7:38">
      <c r="G684" s="193" t="s">
        <v>2358</v>
      </c>
      <c r="H684" s="193" t="s">
        <v>2359</v>
      </c>
      <c r="I684" s="193" t="s">
        <v>2360</v>
      </c>
      <c r="J684" s="193" t="s">
        <v>2360</v>
      </c>
      <c r="K684" s="193" t="s">
        <v>2361</v>
      </c>
      <c r="L684" s="193"/>
      <c r="M684" s="193"/>
      <c r="N684" s="193">
        <v>3.0225872689938398</v>
      </c>
      <c r="O684" s="193"/>
      <c r="P684" s="193">
        <v>130</v>
      </c>
      <c r="Q684" s="193">
        <v>100</v>
      </c>
      <c r="R684" s="193">
        <v>-30</v>
      </c>
      <c r="S684" s="193"/>
      <c r="T684" s="193">
        <v>2100</v>
      </c>
      <c r="U684" s="193">
        <v>2100000000</v>
      </c>
      <c r="V684" s="193">
        <v>2450</v>
      </c>
      <c r="W684" s="193"/>
      <c r="X684" s="193">
        <v>0</v>
      </c>
      <c r="Y684" s="193">
        <v>-14.29</v>
      </c>
      <c r="Z684" s="193">
        <v>74.836399999999998</v>
      </c>
      <c r="AA684" s="193">
        <v>100</v>
      </c>
      <c r="AB684" s="193" t="s">
        <v>1281</v>
      </c>
      <c r="AC684" s="193" t="s">
        <v>1879</v>
      </c>
      <c r="AD684" s="193" t="s">
        <v>2362</v>
      </c>
      <c r="AE684" s="193" t="s">
        <v>2363</v>
      </c>
      <c r="AF684" s="193" t="s">
        <v>938</v>
      </c>
      <c r="AG684" s="193" t="s">
        <v>933</v>
      </c>
      <c r="AH684" s="193" t="s">
        <v>1432</v>
      </c>
      <c r="AI684" s="193" t="s">
        <v>950</v>
      </c>
      <c r="AJ684" s="193" t="s">
        <v>1431</v>
      </c>
      <c r="AK684" s="193" t="s">
        <v>1431</v>
      </c>
      <c r="AL684" s="193" t="s">
        <v>1431</v>
      </c>
    </row>
    <row r="685" spans="7:38">
      <c r="G685" s="193" t="s">
        <v>2364</v>
      </c>
      <c r="H685" s="193" t="s">
        <v>2359</v>
      </c>
      <c r="I685" s="193" t="s">
        <v>2365</v>
      </c>
      <c r="J685" s="193" t="s">
        <v>2365</v>
      </c>
      <c r="K685" s="193" t="s">
        <v>2361</v>
      </c>
      <c r="L685" s="193"/>
      <c r="M685" s="193"/>
      <c r="N685" s="193">
        <v>7.0225872689938402</v>
      </c>
      <c r="O685" s="193"/>
      <c r="P685" s="193">
        <v>150</v>
      </c>
      <c r="Q685" s="193">
        <v>120</v>
      </c>
      <c r="R685" s="193">
        <v>-30</v>
      </c>
      <c r="S685" s="193"/>
      <c r="T685" s="193">
        <v>2000</v>
      </c>
      <c r="U685" s="193">
        <v>2000000000</v>
      </c>
      <c r="V685" s="193">
        <v>2600</v>
      </c>
      <c r="W685" s="193"/>
      <c r="X685" s="193">
        <v>0</v>
      </c>
      <c r="Y685" s="193">
        <v>-23.08</v>
      </c>
      <c r="Z685" s="193">
        <v>103.27980000000005</v>
      </c>
      <c r="AA685" s="193">
        <v>120</v>
      </c>
      <c r="AB685" s="193" t="s">
        <v>1281</v>
      </c>
      <c r="AC685" s="193" t="s">
        <v>1879</v>
      </c>
      <c r="AD685" s="193" t="s">
        <v>2362</v>
      </c>
      <c r="AE685" s="193" t="s">
        <v>2363</v>
      </c>
      <c r="AF685" s="193" t="s">
        <v>938</v>
      </c>
      <c r="AG685" s="193" t="s">
        <v>933</v>
      </c>
      <c r="AH685" s="193" t="s">
        <v>1432</v>
      </c>
      <c r="AI685" s="193" t="s">
        <v>950</v>
      </c>
      <c r="AJ685" s="193" t="s">
        <v>1431</v>
      </c>
      <c r="AK685" s="193" t="s">
        <v>1431</v>
      </c>
      <c r="AL685" s="193" t="s">
        <v>1431</v>
      </c>
    </row>
    <row r="686" spans="7:38">
      <c r="G686" s="193" t="s">
        <v>2366</v>
      </c>
      <c r="H686" s="193" t="s">
        <v>2367</v>
      </c>
      <c r="I686" s="193" t="s">
        <v>2368</v>
      </c>
      <c r="J686" s="193" t="s">
        <v>2368</v>
      </c>
      <c r="K686" s="193" t="s">
        <v>1549</v>
      </c>
      <c r="L686" s="193"/>
      <c r="M686" s="193"/>
      <c r="N686" s="193">
        <v>5.9986310746064335</v>
      </c>
      <c r="O686" s="193"/>
      <c r="P686" s="193">
        <v>145</v>
      </c>
      <c r="Q686" s="193">
        <v>117</v>
      </c>
      <c r="R686" s="193">
        <v>-28</v>
      </c>
      <c r="S686" s="193">
        <v>7</v>
      </c>
      <c r="T686" s="193">
        <v>4250</v>
      </c>
      <c r="U686" s="193">
        <v>4250000000</v>
      </c>
      <c r="V686" s="193">
        <v>5250</v>
      </c>
      <c r="W686" s="193"/>
      <c r="X686" s="193">
        <v>0</v>
      </c>
      <c r="Y686" s="193">
        <v>-19.05</v>
      </c>
      <c r="Z686" s="193">
        <v>68.06159999999997</v>
      </c>
      <c r="AA686" s="193">
        <v>117</v>
      </c>
      <c r="AB686" s="193" t="s">
        <v>1281</v>
      </c>
      <c r="AC686" s="193" t="s">
        <v>1428</v>
      </c>
      <c r="AD686" s="193" t="s">
        <v>1429</v>
      </c>
      <c r="AE686" s="193" t="s">
        <v>1460</v>
      </c>
      <c r="AF686" s="193" t="s">
        <v>938</v>
      </c>
      <c r="AG686" s="193" t="s">
        <v>939</v>
      </c>
      <c r="AH686" s="193" t="s">
        <v>938</v>
      </c>
      <c r="AI686" s="193" t="s">
        <v>938</v>
      </c>
      <c r="AJ686" s="193" t="s">
        <v>1431</v>
      </c>
      <c r="AK686" s="193" t="s">
        <v>1431</v>
      </c>
      <c r="AL686" s="193" t="s">
        <v>1431</v>
      </c>
    </row>
    <row r="687" spans="7:38">
      <c r="G687" s="193" t="s">
        <v>2369</v>
      </c>
      <c r="H687" s="193" t="s">
        <v>2367</v>
      </c>
      <c r="I687" s="193" t="s">
        <v>2370</v>
      </c>
      <c r="J687" s="193" t="s">
        <v>2370</v>
      </c>
      <c r="K687" s="193" t="s">
        <v>1549</v>
      </c>
      <c r="L687" s="193"/>
      <c r="M687" s="193"/>
      <c r="N687" s="193">
        <v>5.9986310746064335</v>
      </c>
      <c r="O687" s="193"/>
      <c r="P687" s="193"/>
      <c r="Q687" s="193">
        <v>148</v>
      </c>
      <c r="R687" s="193"/>
      <c r="S687" s="193"/>
      <c r="T687" s="193">
        <v>2450</v>
      </c>
      <c r="U687" s="193">
        <v>2450000000</v>
      </c>
      <c r="V687" s="193">
        <v>2600</v>
      </c>
      <c r="W687" s="193"/>
      <c r="X687" s="193">
        <v>0</v>
      </c>
      <c r="Y687" s="193">
        <v>-5.77</v>
      </c>
      <c r="Z687" s="193" t="s">
        <v>1432</v>
      </c>
      <c r="AA687" s="193" t="s">
        <v>1432</v>
      </c>
      <c r="AB687" s="193" t="s">
        <v>1281</v>
      </c>
      <c r="AC687" s="193" t="s">
        <v>1428</v>
      </c>
      <c r="AD687" s="193" t="s">
        <v>1429</v>
      </c>
      <c r="AE687" s="193" t="s">
        <v>1460</v>
      </c>
      <c r="AF687" s="193" t="s">
        <v>938</v>
      </c>
      <c r="AG687" s="193" t="s">
        <v>939</v>
      </c>
      <c r="AH687" s="193" t="s">
        <v>938</v>
      </c>
      <c r="AI687" s="193" t="s">
        <v>938</v>
      </c>
      <c r="AJ687" s="193" t="s">
        <v>1431</v>
      </c>
      <c r="AK687" s="193" t="s">
        <v>1431</v>
      </c>
      <c r="AL687" s="193" t="s">
        <v>1431</v>
      </c>
    </row>
    <row r="688" spans="7:38">
      <c r="G688" s="193" t="s">
        <v>2371</v>
      </c>
      <c r="H688" s="193" t="s">
        <v>2367</v>
      </c>
      <c r="I688" s="193" t="s">
        <v>2372</v>
      </c>
      <c r="J688" s="193" t="s">
        <v>2372</v>
      </c>
      <c r="K688" s="193" t="s">
        <v>1549</v>
      </c>
      <c r="L688" s="193"/>
      <c r="M688" s="193"/>
      <c r="N688" s="193">
        <v>11.000684462696784</v>
      </c>
      <c r="O688" s="193"/>
      <c r="P688" s="193">
        <v>155</v>
      </c>
      <c r="Q688" s="193">
        <v>127</v>
      </c>
      <c r="R688" s="193">
        <v>-28</v>
      </c>
      <c r="S688" s="193">
        <v>4</v>
      </c>
      <c r="T688" s="193">
        <v>3350</v>
      </c>
      <c r="U688" s="193">
        <v>3350000000</v>
      </c>
      <c r="V688" s="193">
        <v>5100</v>
      </c>
      <c r="W688" s="193"/>
      <c r="X688" s="193">
        <v>0</v>
      </c>
      <c r="Y688" s="193">
        <v>-34.31</v>
      </c>
      <c r="Z688" s="193">
        <v>82.113200000000035</v>
      </c>
      <c r="AA688" s="193">
        <v>127</v>
      </c>
      <c r="AB688" s="193" t="s">
        <v>1281</v>
      </c>
      <c r="AC688" s="193" t="s">
        <v>1428</v>
      </c>
      <c r="AD688" s="193" t="s">
        <v>1429</v>
      </c>
      <c r="AE688" s="193" t="s">
        <v>1460</v>
      </c>
      <c r="AF688" s="193" t="s">
        <v>938</v>
      </c>
      <c r="AG688" s="193" t="s">
        <v>939</v>
      </c>
      <c r="AH688" s="193" t="s">
        <v>938</v>
      </c>
      <c r="AI688" s="193" t="s">
        <v>938</v>
      </c>
      <c r="AJ688" s="193" t="s">
        <v>1431</v>
      </c>
      <c r="AK688" s="193" t="s">
        <v>1431</v>
      </c>
      <c r="AL688" s="193" t="s">
        <v>1431</v>
      </c>
    </row>
    <row r="689" spans="7:38">
      <c r="G689" s="193" t="s">
        <v>2373</v>
      </c>
      <c r="H689" s="193" t="s">
        <v>1882</v>
      </c>
      <c r="I689" s="193" t="s">
        <v>2374</v>
      </c>
      <c r="J689" s="193" t="s">
        <v>2374</v>
      </c>
      <c r="K689" s="193" t="s">
        <v>1538</v>
      </c>
      <c r="L689" s="193"/>
      <c r="M689" s="193"/>
      <c r="N689" s="193">
        <v>4</v>
      </c>
      <c r="O689" s="193"/>
      <c r="P689" s="193">
        <v>132.5</v>
      </c>
      <c r="Q689" s="193">
        <v>113</v>
      </c>
      <c r="R689" s="193">
        <v>-20</v>
      </c>
      <c r="S689" s="193">
        <v>1</v>
      </c>
      <c r="T689" s="193">
        <v>6000</v>
      </c>
      <c r="U689" s="193">
        <v>6000000000</v>
      </c>
      <c r="V689" s="193">
        <v>6400</v>
      </c>
      <c r="W689" s="193"/>
      <c r="X689" s="193">
        <v>0</v>
      </c>
      <c r="Y689" s="193">
        <v>-6.25</v>
      </c>
      <c r="Z689" s="193">
        <v>58.386800000000029</v>
      </c>
      <c r="AA689" s="193">
        <v>113</v>
      </c>
      <c r="AB689" s="193" t="s">
        <v>1281</v>
      </c>
      <c r="AC689" s="193" t="s">
        <v>1428</v>
      </c>
      <c r="AD689" s="193" t="s">
        <v>1429</v>
      </c>
      <c r="AE689" s="193" t="s">
        <v>1884</v>
      </c>
      <c r="AF689" s="193" t="s">
        <v>950</v>
      </c>
      <c r="AG689" s="193" t="s">
        <v>939</v>
      </c>
      <c r="AH689" s="193" t="s">
        <v>953</v>
      </c>
      <c r="AI689" s="193" t="s">
        <v>876</v>
      </c>
      <c r="AJ689" s="193" t="s">
        <v>1431</v>
      </c>
      <c r="AK689" s="193" t="s">
        <v>1431</v>
      </c>
      <c r="AL689" s="193" t="s">
        <v>1431</v>
      </c>
    </row>
    <row r="690" spans="7:38">
      <c r="G690" s="193" t="s">
        <v>2375</v>
      </c>
      <c r="H690" s="193" t="s">
        <v>1882</v>
      </c>
      <c r="I690" s="193" t="s">
        <v>2376</v>
      </c>
      <c r="J690" s="193" t="s">
        <v>2376</v>
      </c>
      <c r="K690" s="193" t="s">
        <v>1538</v>
      </c>
      <c r="L690" s="193"/>
      <c r="M690" s="193"/>
      <c r="N690" s="193">
        <v>4</v>
      </c>
      <c r="O690" s="193"/>
      <c r="P690" s="193"/>
      <c r="Q690" s="193">
        <v>137</v>
      </c>
      <c r="R690" s="193"/>
      <c r="S690" s="193"/>
      <c r="T690" s="193">
        <v>1300</v>
      </c>
      <c r="U690" s="193">
        <v>1300000000</v>
      </c>
      <c r="V690" s="193">
        <v>1400</v>
      </c>
      <c r="W690" s="193"/>
      <c r="X690" s="193">
        <v>0</v>
      </c>
      <c r="Y690" s="193">
        <v>-7.14</v>
      </c>
      <c r="Z690" s="193" t="s">
        <v>1432</v>
      </c>
      <c r="AA690" s="193" t="s">
        <v>1432</v>
      </c>
      <c r="AB690" s="193" t="s">
        <v>1281</v>
      </c>
      <c r="AC690" s="193" t="s">
        <v>1428</v>
      </c>
      <c r="AD690" s="193" t="s">
        <v>1429</v>
      </c>
      <c r="AE690" s="193" t="s">
        <v>1884</v>
      </c>
      <c r="AF690" s="193" t="s">
        <v>950</v>
      </c>
      <c r="AG690" s="193" t="s">
        <v>939</v>
      </c>
      <c r="AH690" s="193" t="s">
        <v>953</v>
      </c>
      <c r="AI690" s="193" t="s">
        <v>876</v>
      </c>
      <c r="AJ690" s="193" t="s">
        <v>1431</v>
      </c>
      <c r="AK690" s="193" t="s">
        <v>1431</v>
      </c>
      <c r="AL690" s="193" t="s">
        <v>1431</v>
      </c>
    </row>
    <row r="691" spans="7:38">
      <c r="G691" s="193" t="s">
        <v>1881</v>
      </c>
      <c r="H691" s="193" t="s">
        <v>1882</v>
      </c>
      <c r="I691" s="193" t="s">
        <v>1883</v>
      </c>
      <c r="J691" s="193" t="s">
        <v>1883</v>
      </c>
      <c r="K691" s="193" t="s">
        <v>1538</v>
      </c>
      <c r="L691" s="193"/>
      <c r="M691" s="193"/>
      <c r="N691" s="193">
        <v>5.9986310746064335</v>
      </c>
      <c r="O691" s="193"/>
      <c r="P691" s="193">
        <v>137.5</v>
      </c>
      <c r="Q691" s="193">
        <v>118</v>
      </c>
      <c r="R691" s="193">
        <v>-20</v>
      </c>
      <c r="S691" s="193">
        <v>1</v>
      </c>
      <c r="T691" s="193">
        <v>6600</v>
      </c>
      <c r="U691" s="193">
        <v>6600000000</v>
      </c>
      <c r="V691" s="193">
        <v>7800</v>
      </c>
      <c r="W691" s="193"/>
      <c r="X691" s="193">
        <v>0</v>
      </c>
      <c r="Y691" s="193">
        <v>-15.38</v>
      </c>
      <c r="Z691" s="193">
        <v>69.27830000000003</v>
      </c>
      <c r="AA691" s="193">
        <v>118</v>
      </c>
      <c r="AB691" s="193" t="s">
        <v>1281</v>
      </c>
      <c r="AC691" s="193" t="s">
        <v>1428</v>
      </c>
      <c r="AD691" s="193" t="s">
        <v>1429</v>
      </c>
      <c r="AE691" s="193" t="s">
        <v>1884</v>
      </c>
      <c r="AF691" s="193" t="s">
        <v>950</v>
      </c>
      <c r="AG691" s="193" t="s">
        <v>939</v>
      </c>
      <c r="AH691" s="193" t="s">
        <v>953</v>
      </c>
      <c r="AI691" s="193" t="s">
        <v>876</v>
      </c>
      <c r="AJ691" s="193" t="s">
        <v>1431</v>
      </c>
      <c r="AK691" s="193" t="s">
        <v>1431</v>
      </c>
      <c r="AL691" s="193" t="s">
        <v>1431</v>
      </c>
    </row>
    <row r="692" spans="7:38">
      <c r="G692" s="193" t="s">
        <v>2377</v>
      </c>
      <c r="H692" s="193" t="s">
        <v>1882</v>
      </c>
      <c r="I692" s="193" t="s">
        <v>2378</v>
      </c>
      <c r="J692" s="193" t="s">
        <v>2378</v>
      </c>
      <c r="K692" s="193" t="s">
        <v>1538</v>
      </c>
      <c r="L692" s="193"/>
      <c r="M692" s="193"/>
      <c r="N692" s="193">
        <v>11.000684462696784</v>
      </c>
      <c r="O692" s="193"/>
      <c r="P692" s="193">
        <v>147.5</v>
      </c>
      <c r="Q692" s="193">
        <v>128</v>
      </c>
      <c r="R692" s="193">
        <v>-20</v>
      </c>
      <c r="S692" s="193">
        <v>1</v>
      </c>
      <c r="T692" s="193">
        <v>10000</v>
      </c>
      <c r="U692" s="193">
        <v>10000000000</v>
      </c>
      <c r="V692" s="193">
        <v>10600</v>
      </c>
      <c r="W692" s="193"/>
      <c r="X692" s="193">
        <v>0</v>
      </c>
      <c r="Y692" s="193">
        <v>-5.66</v>
      </c>
      <c r="Z692" s="193">
        <v>83.669500000000056</v>
      </c>
      <c r="AA692" s="193">
        <v>128</v>
      </c>
      <c r="AB692" s="193" t="s">
        <v>1281</v>
      </c>
      <c r="AC692" s="193" t="s">
        <v>1428</v>
      </c>
      <c r="AD692" s="193" t="s">
        <v>1429</v>
      </c>
      <c r="AE692" s="193" t="s">
        <v>1884</v>
      </c>
      <c r="AF692" s="193" t="s">
        <v>950</v>
      </c>
      <c r="AG692" s="193" t="s">
        <v>939</v>
      </c>
      <c r="AH692" s="193" t="s">
        <v>953</v>
      </c>
      <c r="AI692" s="193" t="s">
        <v>876</v>
      </c>
      <c r="AJ692" s="193" t="s">
        <v>1431</v>
      </c>
      <c r="AK692" s="193" t="s">
        <v>1431</v>
      </c>
      <c r="AL692" s="193" t="s">
        <v>1431</v>
      </c>
    </row>
    <row r="693" spans="7:38">
      <c r="G693" s="193" t="s">
        <v>2379</v>
      </c>
      <c r="H693" s="193" t="s">
        <v>2380</v>
      </c>
      <c r="I693" s="193" t="s">
        <v>2381</v>
      </c>
      <c r="J693" s="193" t="s">
        <v>2381</v>
      </c>
      <c r="K693" s="193" t="s">
        <v>1540</v>
      </c>
      <c r="L693" s="193"/>
      <c r="M693" s="193"/>
      <c r="N693" s="193">
        <v>3.0006844626967832</v>
      </c>
      <c r="O693" s="193"/>
      <c r="P693" s="193">
        <v>130</v>
      </c>
      <c r="Q693" s="193">
        <v>110</v>
      </c>
      <c r="R693" s="193">
        <v>-20</v>
      </c>
      <c r="S693" s="193">
        <v>2</v>
      </c>
      <c r="T693" s="193"/>
      <c r="U693" s="193"/>
      <c r="V693" s="193">
        <v>6300</v>
      </c>
      <c r="W693" s="193"/>
      <c r="X693" s="193"/>
      <c r="Y693" s="193"/>
      <c r="Z693" s="193">
        <v>60.974400000000003</v>
      </c>
      <c r="AA693" s="193">
        <v>110</v>
      </c>
      <c r="AB693" s="193" t="s">
        <v>1281</v>
      </c>
      <c r="AC693" s="193" t="s">
        <v>1428</v>
      </c>
      <c r="AD693" s="193" t="s">
        <v>1429</v>
      </c>
      <c r="AE693" s="193" t="s">
        <v>1460</v>
      </c>
      <c r="AF693" s="193" t="s">
        <v>950</v>
      </c>
      <c r="AG693" s="193" t="s">
        <v>874</v>
      </c>
      <c r="AH693" s="193" t="s">
        <v>876</v>
      </c>
      <c r="AI693" s="193" t="s">
        <v>938</v>
      </c>
      <c r="AJ693" s="193" t="s">
        <v>1431</v>
      </c>
      <c r="AK693" s="193" t="s">
        <v>1431</v>
      </c>
      <c r="AL693" s="193" t="s">
        <v>1431</v>
      </c>
    </row>
    <row r="694" spans="7:38">
      <c r="G694" s="193" t="s">
        <v>2382</v>
      </c>
      <c r="H694" s="193" t="s">
        <v>2380</v>
      </c>
      <c r="I694" s="193" t="s">
        <v>2383</v>
      </c>
      <c r="J694" s="193" t="s">
        <v>2383</v>
      </c>
      <c r="K694" s="193" t="s">
        <v>1540</v>
      </c>
      <c r="L694" s="193"/>
      <c r="M694" s="193"/>
      <c r="N694" s="193">
        <v>3.0006844626967832</v>
      </c>
      <c r="O694" s="193"/>
      <c r="P694" s="193"/>
      <c r="Q694" s="193">
        <v>129</v>
      </c>
      <c r="R694" s="193"/>
      <c r="S694" s="193"/>
      <c r="T694" s="193"/>
      <c r="U694" s="193"/>
      <c r="V694" s="193">
        <v>1800</v>
      </c>
      <c r="W694" s="193"/>
      <c r="X694" s="193"/>
      <c r="Y694" s="193"/>
      <c r="Z694" s="193" t="s">
        <v>1432</v>
      </c>
      <c r="AA694" s="193" t="s">
        <v>1432</v>
      </c>
      <c r="AB694" s="193" t="s">
        <v>1281</v>
      </c>
      <c r="AC694" s="193" t="s">
        <v>1428</v>
      </c>
      <c r="AD694" s="193" t="s">
        <v>1429</v>
      </c>
      <c r="AE694" s="193" t="s">
        <v>1460</v>
      </c>
      <c r="AF694" s="193" t="s">
        <v>950</v>
      </c>
      <c r="AG694" s="193" t="s">
        <v>874</v>
      </c>
      <c r="AH694" s="193" t="s">
        <v>876</v>
      </c>
      <c r="AI694" s="193" t="s">
        <v>938</v>
      </c>
      <c r="AJ694" s="193" t="s">
        <v>1431</v>
      </c>
      <c r="AK694" s="193" t="s">
        <v>1431</v>
      </c>
      <c r="AL694" s="193" t="s">
        <v>1431</v>
      </c>
    </row>
    <row r="695" spans="7:38">
      <c r="G695" s="193" t="s">
        <v>2384</v>
      </c>
      <c r="H695" s="193" t="s">
        <v>2380</v>
      </c>
      <c r="I695" s="193" t="s">
        <v>2385</v>
      </c>
      <c r="J695" s="193" t="s">
        <v>2385</v>
      </c>
      <c r="K695" s="193" t="s">
        <v>1540</v>
      </c>
      <c r="L695" s="193"/>
      <c r="M695" s="193"/>
      <c r="N695" s="193">
        <v>5.9986310746064335</v>
      </c>
      <c r="O695" s="193"/>
      <c r="P695" s="193">
        <v>145</v>
      </c>
      <c r="Q695" s="193">
        <v>125</v>
      </c>
      <c r="R695" s="193">
        <v>-20</v>
      </c>
      <c r="S695" s="193">
        <v>2</v>
      </c>
      <c r="T695" s="193"/>
      <c r="U695" s="193"/>
      <c r="V695" s="193">
        <v>8900</v>
      </c>
      <c r="W695" s="193"/>
      <c r="X695" s="193"/>
      <c r="Y695" s="193"/>
      <c r="Z695" s="193">
        <v>71.093799999999959</v>
      </c>
      <c r="AA695" s="193">
        <v>125</v>
      </c>
      <c r="AB695" s="193" t="s">
        <v>1281</v>
      </c>
      <c r="AC695" s="193" t="s">
        <v>1428</v>
      </c>
      <c r="AD695" s="193" t="s">
        <v>1429</v>
      </c>
      <c r="AE695" s="193" t="s">
        <v>1460</v>
      </c>
      <c r="AF695" s="193" t="s">
        <v>950</v>
      </c>
      <c r="AG695" s="193" t="s">
        <v>874</v>
      </c>
      <c r="AH695" s="193" t="s">
        <v>876</v>
      </c>
      <c r="AI695" s="193" t="s">
        <v>938</v>
      </c>
      <c r="AJ695" s="193" t="s">
        <v>1431</v>
      </c>
      <c r="AK695" s="193" t="s">
        <v>1431</v>
      </c>
      <c r="AL695" s="193" t="s">
        <v>1431</v>
      </c>
    </row>
    <row r="696" spans="7:38">
      <c r="G696" s="193" t="s">
        <v>2386</v>
      </c>
      <c r="H696" s="193" t="s">
        <v>2387</v>
      </c>
      <c r="I696" s="193" t="s">
        <v>2388</v>
      </c>
      <c r="J696" s="193" t="s">
        <v>2388</v>
      </c>
      <c r="K696" s="193" t="s">
        <v>1539</v>
      </c>
      <c r="L696" s="193"/>
      <c r="M696" s="193"/>
      <c r="N696" s="193">
        <v>3.9863107460643397</v>
      </c>
      <c r="O696" s="193"/>
      <c r="P696" s="193">
        <v>130</v>
      </c>
      <c r="Q696" s="193">
        <v>113</v>
      </c>
      <c r="R696" s="193">
        <v>-17</v>
      </c>
      <c r="S696" s="193">
        <v>7</v>
      </c>
      <c r="T696" s="193">
        <v>7000</v>
      </c>
      <c r="U696" s="193">
        <v>7000000000</v>
      </c>
      <c r="V696" s="193">
        <v>6200</v>
      </c>
      <c r="W696" s="193"/>
      <c r="X696" s="193">
        <v>0</v>
      </c>
      <c r="Y696" s="193">
        <v>12.9</v>
      </c>
      <c r="Z696" s="193">
        <v>60.604099999999981</v>
      </c>
      <c r="AA696" s="193">
        <v>113</v>
      </c>
      <c r="AB696" s="193" t="s">
        <v>1281</v>
      </c>
      <c r="AC696" s="193" t="s">
        <v>1428</v>
      </c>
      <c r="AD696" s="193" t="s">
        <v>1429</v>
      </c>
      <c r="AE696" s="193" t="s">
        <v>1460</v>
      </c>
      <c r="AF696" s="193" t="s">
        <v>938</v>
      </c>
      <c r="AG696" s="193" t="s">
        <v>939</v>
      </c>
      <c r="AH696" s="193" t="s">
        <v>953</v>
      </c>
      <c r="AI696" s="193" t="s">
        <v>876</v>
      </c>
      <c r="AJ696" s="193" t="s">
        <v>1431</v>
      </c>
      <c r="AK696" s="193" t="s">
        <v>1431</v>
      </c>
      <c r="AL696" s="193" t="s">
        <v>1431</v>
      </c>
    </row>
    <row r="697" spans="7:38">
      <c r="G697" s="193" t="s">
        <v>2389</v>
      </c>
      <c r="H697" s="193" t="s">
        <v>2387</v>
      </c>
      <c r="I697" s="193" t="s">
        <v>2390</v>
      </c>
      <c r="J697" s="193" t="s">
        <v>2390</v>
      </c>
      <c r="K697" s="193" t="s">
        <v>1539</v>
      </c>
      <c r="L697" s="193"/>
      <c r="M697" s="193"/>
      <c r="N697" s="193">
        <v>3.9863107460643397</v>
      </c>
      <c r="O697" s="193"/>
      <c r="P697" s="193"/>
      <c r="Q697" s="193"/>
      <c r="R697" s="193"/>
      <c r="S697" s="193"/>
      <c r="T697" s="193">
        <v>1250</v>
      </c>
      <c r="U697" s="193">
        <v>1250000000</v>
      </c>
      <c r="V697" s="193">
        <v>1200</v>
      </c>
      <c r="W697" s="193"/>
      <c r="X697" s="193">
        <v>0</v>
      </c>
      <c r="Y697" s="193">
        <v>4.17</v>
      </c>
      <c r="Z697" s="193" t="s">
        <v>1432</v>
      </c>
      <c r="AA697" s="193" t="s">
        <v>1432</v>
      </c>
      <c r="AB697" s="193" t="s">
        <v>1281</v>
      </c>
      <c r="AC697" s="193" t="s">
        <v>1428</v>
      </c>
      <c r="AD697" s="193" t="s">
        <v>1429</v>
      </c>
      <c r="AE697" s="193" t="s">
        <v>1460</v>
      </c>
      <c r="AF697" s="193" t="s">
        <v>938</v>
      </c>
      <c r="AG697" s="193" t="s">
        <v>939</v>
      </c>
      <c r="AH697" s="193" t="s">
        <v>953</v>
      </c>
      <c r="AI697" s="193" t="s">
        <v>876</v>
      </c>
      <c r="AJ697" s="193" t="s">
        <v>1431</v>
      </c>
      <c r="AK697" s="193" t="s">
        <v>1431</v>
      </c>
      <c r="AL697" s="193" t="s">
        <v>1431</v>
      </c>
    </row>
    <row r="698" spans="7:38">
      <c r="G698" s="193" t="s">
        <v>2391</v>
      </c>
      <c r="H698" s="193" t="s">
        <v>2387</v>
      </c>
      <c r="I698" s="193" t="s">
        <v>2392</v>
      </c>
      <c r="J698" s="193" t="s">
        <v>2392</v>
      </c>
      <c r="K698" s="193" t="s">
        <v>1539</v>
      </c>
      <c r="L698" s="193"/>
      <c r="M698" s="193"/>
      <c r="N698" s="193">
        <v>5.9986310746064335</v>
      </c>
      <c r="O698" s="193"/>
      <c r="P698" s="193">
        <v>135</v>
      </c>
      <c r="Q698" s="193">
        <v>118</v>
      </c>
      <c r="R698" s="193">
        <v>-17</v>
      </c>
      <c r="S698" s="193">
        <v>7</v>
      </c>
      <c r="T698" s="193">
        <v>9200</v>
      </c>
      <c r="U698" s="193">
        <v>9200000000</v>
      </c>
      <c r="V698" s="193">
        <v>8600</v>
      </c>
      <c r="W698" s="193"/>
      <c r="X698" s="193">
        <v>0</v>
      </c>
      <c r="Y698" s="193">
        <v>6.98</v>
      </c>
      <c r="Z698" s="193">
        <v>71.112199999999959</v>
      </c>
      <c r="AA698" s="193">
        <v>118</v>
      </c>
      <c r="AB698" s="193" t="s">
        <v>1281</v>
      </c>
      <c r="AC698" s="193" t="s">
        <v>1428</v>
      </c>
      <c r="AD698" s="193" t="s">
        <v>1429</v>
      </c>
      <c r="AE698" s="193" t="s">
        <v>1460</v>
      </c>
      <c r="AF698" s="193" t="s">
        <v>938</v>
      </c>
      <c r="AG698" s="193" t="s">
        <v>939</v>
      </c>
      <c r="AH698" s="193" t="s">
        <v>953</v>
      </c>
      <c r="AI698" s="193" t="s">
        <v>876</v>
      </c>
      <c r="AJ698" s="193" t="s">
        <v>1431</v>
      </c>
      <c r="AK698" s="193" t="s">
        <v>1431</v>
      </c>
      <c r="AL698" s="193" t="s">
        <v>1431</v>
      </c>
    </row>
    <row r="699" spans="7:38">
      <c r="G699" s="193" t="s">
        <v>2393</v>
      </c>
      <c r="H699" s="193" t="s">
        <v>2387</v>
      </c>
      <c r="I699" s="193" t="s">
        <v>2394</v>
      </c>
      <c r="J699" s="193" t="s">
        <v>2394</v>
      </c>
      <c r="K699" s="193" t="s">
        <v>1539</v>
      </c>
      <c r="L699" s="193"/>
      <c r="M699" s="193"/>
      <c r="N699" s="193">
        <v>11.000684462696784</v>
      </c>
      <c r="O699" s="193"/>
      <c r="P699" s="193">
        <v>145</v>
      </c>
      <c r="Q699" s="193">
        <v>128</v>
      </c>
      <c r="R699" s="193">
        <v>-17</v>
      </c>
      <c r="S699" s="193">
        <v>7</v>
      </c>
      <c r="T699" s="193">
        <v>13300</v>
      </c>
      <c r="U699" s="193">
        <v>13300000000</v>
      </c>
      <c r="V699" s="193">
        <v>11700</v>
      </c>
      <c r="W699" s="193"/>
      <c r="X699" s="193">
        <v>0</v>
      </c>
      <c r="Y699" s="193">
        <v>13.68</v>
      </c>
      <c r="Z699" s="193">
        <v>86.47059999999999</v>
      </c>
      <c r="AA699" s="193">
        <v>128</v>
      </c>
      <c r="AB699" s="193" t="s">
        <v>1281</v>
      </c>
      <c r="AC699" s="193" t="s">
        <v>1428</v>
      </c>
      <c r="AD699" s="193" t="s">
        <v>1429</v>
      </c>
      <c r="AE699" s="193" t="s">
        <v>1460</v>
      </c>
      <c r="AF699" s="193" t="s">
        <v>938</v>
      </c>
      <c r="AG699" s="193" t="s">
        <v>939</v>
      </c>
      <c r="AH699" s="193" t="s">
        <v>953</v>
      </c>
      <c r="AI699" s="193" t="s">
        <v>876</v>
      </c>
      <c r="AJ699" s="193" t="s">
        <v>1431</v>
      </c>
      <c r="AK699" s="193" t="s">
        <v>1431</v>
      </c>
      <c r="AL699" s="193" t="s">
        <v>1431</v>
      </c>
    </row>
    <row r="700" spans="7:38">
      <c r="G700" s="193" t="s">
        <v>2395</v>
      </c>
      <c r="H700" s="193" t="s">
        <v>2396</v>
      </c>
      <c r="I700" s="193" t="s">
        <v>2397</v>
      </c>
      <c r="J700" s="193" t="s">
        <v>2397</v>
      </c>
      <c r="K700" s="193" t="s">
        <v>1577</v>
      </c>
      <c r="L700" s="193"/>
      <c r="M700" s="193"/>
      <c r="N700" s="193">
        <v>1.9931553730321698</v>
      </c>
      <c r="O700" s="193"/>
      <c r="P700" s="193">
        <v>100</v>
      </c>
      <c r="Q700" s="193">
        <v>75</v>
      </c>
      <c r="R700" s="193">
        <v>-25</v>
      </c>
      <c r="S700" s="193"/>
      <c r="T700" s="193">
        <v>1500</v>
      </c>
      <c r="U700" s="193">
        <v>1500000000</v>
      </c>
      <c r="V700" s="193">
        <v>2000</v>
      </c>
      <c r="W700" s="193"/>
      <c r="X700" s="193">
        <v>0</v>
      </c>
      <c r="Y700" s="193">
        <v>-25</v>
      </c>
      <c r="Z700" s="193">
        <v>55.500900000000009</v>
      </c>
      <c r="AA700" s="193">
        <v>75</v>
      </c>
      <c r="AB700" s="193" t="s">
        <v>1281</v>
      </c>
      <c r="AC700" s="193" t="s">
        <v>1428</v>
      </c>
      <c r="AD700" s="193" t="s">
        <v>1429</v>
      </c>
      <c r="AE700" s="193" t="s">
        <v>2398</v>
      </c>
      <c r="AF700" s="193" t="s">
        <v>997</v>
      </c>
      <c r="AG700" s="193" t="s">
        <v>1012</v>
      </c>
      <c r="AH700" s="193" t="s">
        <v>1011</v>
      </c>
      <c r="AI700" s="193" t="s">
        <v>1011</v>
      </c>
      <c r="AJ700" s="193" t="s">
        <v>1431</v>
      </c>
      <c r="AK700" s="193" t="s">
        <v>1431</v>
      </c>
      <c r="AL700" s="193" t="s">
        <v>1431</v>
      </c>
    </row>
    <row r="701" spans="7:38">
      <c r="G701" s="193" t="s">
        <v>2399</v>
      </c>
      <c r="H701" s="193" t="s">
        <v>2396</v>
      </c>
      <c r="I701" s="193" t="s">
        <v>2400</v>
      </c>
      <c r="J701" s="193" t="s">
        <v>2400</v>
      </c>
      <c r="K701" s="193" t="s">
        <v>1577</v>
      </c>
      <c r="L701" s="193"/>
      <c r="M701" s="193"/>
      <c r="N701" s="193">
        <v>1.9931553730321698</v>
      </c>
      <c r="O701" s="193"/>
      <c r="P701" s="193"/>
      <c r="Q701" s="193"/>
      <c r="R701" s="193"/>
      <c r="S701" s="193"/>
      <c r="T701" s="193">
        <v>1000</v>
      </c>
      <c r="U701" s="193">
        <v>1000000000</v>
      </c>
      <c r="V701" s="193">
        <v>1200</v>
      </c>
      <c r="W701" s="193"/>
      <c r="X701" s="193">
        <v>0</v>
      </c>
      <c r="Y701" s="193">
        <v>-16.670000000000002</v>
      </c>
      <c r="Z701" s="193" t="s">
        <v>1432</v>
      </c>
      <c r="AA701" s="193" t="s">
        <v>1432</v>
      </c>
      <c r="AB701" s="193" t="s">
        <v>1281</v>
      </c>
      <c r="AC701" s="193" t="s">
        <v>1428</v>
      </c>
      <c r="AD701" s="193" t="s">
        <v>1429</v>
      </c>
      <c r="AE701" s="193" t="s">
        <v>2398</v>
      </c>
      <c r="AF701" s="193" t="s">
        <v>997</v>
      </c>
      <c r="AG701" s="193" t="s">
        <v>1012</v>
      </c>
      <c r="AH701" s="193" t="s">
        <v>1011</v>
      </c>
      <c r="AI701" s="193" t="s">
        <v>1011</v>
      </c>
      <c r="AJ701" s="193" t="s">
        <v>1431</v>
      </c>
      <c r="AK701" s="193" t="s">
        <v>1431</v>
      </c>
      <c r="AL701" s="193" t="s">
        <v>1431</v>
      </c>
    </row>
    <row r="702" spans="7:38">
      <c r="G702" s="193" t="s">
        <v>2401</v>
      </c>
      <c r="H702" s="193" t="s">
        <v>2396</v>
      </c>
      <c r="I702" s="193" t="s">
        <v>2402</v>
      </c>
      <c r="J702" s="193" t="s">
        <v>2402</v>
      </c>
      <c r="K702" s="193" t="s">
        <v>1577</v>
      </c>
      <c r="L702" s="193"/>
      <c r="M702" s="193"/>
      <c r="N702" s="193">
        <v>3.9945242984257359</v>
      </c>
      <c r="O702" s="193"/>
      <c r="P702" s="193">
        <v>120</v>
      </c>
      <c r="Q702" s="193">
        <v>87</v>
      </c>
      <c r="R702" s="193">
        <v>-33</v>
      </c>
      <c r="S702" s="193"/>
      <c r="T702" s="193">
        <v>4400</v>
      </c>
      <c r="U702" s="193">
        <v>4400000000</v>
      </c>
      <c r="V702" s="193">
        <v>5800</v>
      </c>
      <c r="W702" s="193"/>
      <c r="X702" s="193">
        <v>0</v>
      </c>
      <c r="Y702" s="193">
        <v>-24.14</v>
      </c>
      <c r="Z702" s="193">
        <v>45.421600000000019</v>
      </c>
      <c r="AA702" s="193">
        <v>87</v>
      </c>
      <c r="AB702" s="193" t="s">
        <v>1281</v>
      </c>
      <c r="AC702" s="193" t="s">
        <v>1428</v>
      </c>
      <c r="AD702" s="193" t="s">
        <v>1429</v>
      </c>
      <c r="AE702" s="193" t="s">
        <v>2398</v>
      </c>
      <c r="AF702" s="193" t="s">
        <v>997</v>
      </c>
      <c r="AG702" s="193" t="s">
        <v>1012</v>
      </c>
      <c r="AH702" s="193" t="s">
        <v>1011</v>
      </c>
      <c r="AI702" s="193" t="s">
        <v>1011</v>
      </c>
      <c r="AJ702" s="193" t="s">
        <v>1431</v>
      </c>
      <c r="AK702" s="193" t="s">
        <v>1431</v>
      </c>
      <c r="AL702" s="193" t="s">
        <v>1431</v>
      </c>
    </row>
    <row r="703" spans="7:38">
      <c r="G703" s="193" t="s">
        <v>2403</v>
      </c>
      <c r="H703" s="193" t="s">
        <v>2404</v>
      </c>
      <c r="I703" s="193" t="s">
        <v>2405</v>
      </c>
      <c r="J703" s="193" t="s">
        <v>2405</v>
      </c>
      <c r="K703" s="193" t="s">
        <v>1560</v>
      </c>
      <c r="L703" s="193"/>
      <c r="M703" s="193"/>
      <c r="N703" s="193">
        <v>4.9993155373032172</v>
      </c>
      <c r="O703" s="193"/>
      <c r="P703" s="193">
        <v>170</v>
      </c>
      <c r="Q703" s="193">
        <v>145</v>
      </c>
      <c r="R703" s="193">
        <v>-25</v>
      </c>
      <c r="S703" s="193">
        <v>10</v>
      </c>
      <c r="T703" s="193">
        <v>1750</v>
      </c>
      <c r="U703" s="193">
        <v>1750000000</v>
      </c>
      <c r="V703" s="193">
        <v>2800</v>
      </c>
      <c r="W703" s="193"/>
      <c r="X703" s="193">
        <v>0</v>
      </c>
      <c r="Y703" s="193">
        <v>-37.5</v>
      </c>
      <c r="Z703" s="193">
        <v>72.138300000000029</v>
      </c>
      <c r="AA703" s="193">
        <v>145</v>
      </c>
      <c r="AB703" s="193" t="s">
        <v>1281</v>
      </c>
      <c r="AC703" s="193" t="s">
        <v>1439</v>
      </c>
      <c r="AD703" s="193" t="s">
        <v>2081</v>
      </c>
      <c r="AE703" s="193" t="s">
        <v>2081</v>
      </c>
      <c r="AF703" s="193" t="s">
        <v>932</v>
      </c>
      <c r="AG703" s="193" t="s">
        <v>875</v>
      </c>
      <c r="AH703" s="193" t="s">
        <v>950</v>
      </c>
      <c r="AI703" s="193" t="s">
        <v>932</v>
      </c>
      <c r="AJ703" s="193" t="s">
        <v>1431</v>
      </c>
      <c r="AK703" s="193" t="s">
        <v>1431</v>
      </c>
      <c r="AL703" s="193" t="s">
        <v>1431</v>
      </c>
    </row>
    <row r="704" spans="7:38">
      <c r="G704" s="193" t="s">
        <v>2406</v>
      </c>
      <c r="H704" s="193" t="s">
        <v>2404</v>
      </c>
      <c r="I704" s="193" t="s">
        <v>2407</v>
      </c>
      <c r="J704" s="193" t="s">
        <v>2407</v>
      </c>
      <c r="K704" s="193" t="s">
        <v>1560</v>
      </c>
      <c r="L704" s="193"/>
      <c r="M704" s="193"/>
      <c r="N704" s="193">
        <v>9.9986310746064344</v>
      </c>
      <c r="O704" s="193"/>
      <c r="P704" s="193">
        <v>200</v>
      </c>
      <c r="Q704" s="193">
        <v>175</v>
      </c>
      <c r="R704" s="193">
        <v>-25</v>
      </c>
      <c r="S704" s="193">
        <v>10</v>
      </c>
      <c r="T704" s="193">
        <v>1850</v>
      </c>
      <c r="U704" s="193">
        <v>1850000000</v>
      </c>
      <c r="V704" s="193">
        <v>3300</v>
      </c>
      <c r="W704" s="193"/>
      <c r="X704" s="193">
        <v>0</v>
      </c>
      <c r="Y704" s="193">
        <v>-43.94</v>
      </c>
      <c r="Z704" s="193">
        <v>121.17820000000003</v>
      </c>
      <c r="AA704" s="193">
        <v>175</v>
      </c>
      <c r="AB704" s="193" t="s">
        <v>1281</v>
      </c>
      <c r="AC704" s="193" t="s">
        <v>1439</v>
      </c>
      <c r="AD704" s="193" t="s">
        <v>2081</v>
      </c>
      <c r="AE704" s="193" t="s">
        <v>2081</v>
      </c>
      <c r="AF704" s="193" t="s">
        <v>932</v>
      </c>
      <c r="AG704" s="193" t="s">
        <v>875</v>
      </c>
      <c r="AH704" s="193" t="s">
        <v>950</v>
      </c>
      <c r="AI704" s="193" t="s">
        <v>932</v>
      </c>
      <c r="AJ704" s="193" t="s">
        <v>1431</v>
      </c>
      <c r="AK704" s="193" t="s">
        <v>1431</v>
      </c>
      <c r="AL704" s="193" t="s">
        <v>1431</v>
      </c>
    </row>
    <row r="705" spans="7:38">
      <c r="G705" s="193" t="s">
        <v>2408</v>
      </c>
      <c r="H705" s="193" t="s">
        <v>2409</v>
      </c>
      <c r="I705" s="193" t="s">
        <v>2410</v>
      </c>
      <c r="J705" s="193" t="s">
        <v>2410</v>
      </c>
      <c r="K705" s="193" t="s">
        <v>1615</v>
      </c>
      <c r="L705" s="193"/>
      <c r="M705" s="193"/>
      <c r="N705" s="193">
        <v>5.7494866529774127</v>
      </c>
      <c r="O705" s="193"/>
      <c r="P705" s="193">
        <v>135</v>
      </c>
      <c r="Q705" s="193">
        <v>100</v>
      </c>
      <c r="R705" s="193">
        <v>-35</v>
      </c>
      <c r="S705" s="193">
        <v>5</v>
      </c>
      <c r="T705" s="193">
        <v>4400</v>
      </c>
      <c r="U705" s="193">
        <v>4400000000</v>
      </c>
      <c r="V705" s="193">
        <v>5600</v>
      </c>
      <c r="W705" s="193"/>
      <c r="X705" s="193">
        <v>0</v>
      </c>
      <c r="Y705" s="193">
        <v>-21.43</v>
      </c>
      <c r="Z705" s="193">
        <v>76.855500000000006</v>
      </c>
      <c r="AA705" s="193">
        <v>100</v>
      </c>
      <c r="AB705" s="193" t="s">
        <v>1281</v>
      </c>
      <c r="AC705" s="193" t="s">
        <v>1441</v>
      </c>
      <c r="AD705" s="193" t="s">
        <v>1442</v>
      </c>
      <c r="AE705" s="193" t="s">
        <v>1970</v>
      </c>
      <c r="AF705" s="193" t="s">
        <v>938</v>
      </c>
      <c r="AG705" s="193" t="s">
        <v>942</v>
      </c>
      <c r="AH705" s="193" t="s">
        <v>953</v>
      </c>
      <c r="AI705" s="193" t="s">
        <v>938</v>
      </c>
      <c r="AJ705" s="193" t="s">
        <v>1431</v>
      </c>
      <c r="AK705" s="193" t="s">
        <v>1431</v>
      </c>
      <c r="AL705" s="193" t="s">
        <v>1431</v>
      </c>
    </row>
    <row r="706" spans="7:38">
      <c r="G706" s="193" t="s">
        <v>2411</v>
      </c>
      <c r="H706" s="193" t="s">
        <v>1898</v>
      </c>
      <c r="I706" s="193" t="s">
        <v>2412</v>
      </c>
      <c r="J706" s="193" t="s">
        <v>2412</v>
      </c>
      <c r="K706" s="193" t="s">
        <v>1535</v>
      </c>
      <c r="L706" s="193"/>
      <c r="M706" s="193"/>
      <c r="N706" s="193">
        <v>5.9986310746064335</v>
      </c>
      <c r="O706" s="193"/>
      <c r="P706" s="193">
        <v>135</v>
      </c>
      <c r="Q706" s="193">
        <v>110</v>
      </c>
      <c r="R706" s="193">
        <v>-25</v>
      </c>
      <c r="S706" s="193">
        <v>5</v>
      </c>
      <c r="T706" s="193"/>
      <c r="U706" s="193"/>
      <c r="V706" s="193"/>
      <c r="W706" s="193"/>
      <c r="X706" s="193"/>
      <c r="Y706" s="193"/>
      <c r="Z706" s="193">
        <v>61.651399999999953</v>
      </c>
      <c r="AA706" s="193">
        <v>110</v>
      </c>
      <c r="AB706" s="193" t="s">
        <v>1281</v>
      </c>
      <c r="AC706" s="193" t="s">
        <v>1428</v>
      </c>
      <c r="AD706" s="193" t="s">
        <v>1429</v>
      </c>
      <c r="AE706" s="193" t="s">
        <v>1460</v>
      </c>
      <c r="AF706" s="193" t="s">
        <v>876</v>
      </c>
      <c r="AG706" s="193" t="s">
        <v>939</v>
      </c>
      <c r="AH706" s="193" t="s">
        <v>997</v>
      </c>
      <c r="AI706" s="193" t="s">
        <v>953</v>
      </c>
      <c r="AJ706" s="193" t="s">
        <v>1431</v>
      </c>
      <c r="AK706" s="193" t="s">
        <v>1431</v>
      </c>
      <c r="AL706" s="193" t="s">
        <v>1431</v>
      </c>
    </row>
    <row r="707" spans="7:38">
      <c r="G707" s="193" t="s">
        <v>2413</v>
      </c>
      <c r="H707" s="193" t="s">
        <v>1898</v>
      </c>
      <c r="I707" s="193" t="s">
        <v>2414</v>
      </c>
      <c r="J707" s="193" t="s">
        <v>2414</v>
      </c>
      <c r="K707" s="193" t="s">
        <v>1535</v>
      </c>
      <c r="L707" s="193"/>
      <c r="M707" s="193"/>
      <c r="N707" s="193">
        <v>11.000684462696784</v>
      </c>
      <c r="O707" s="193"/>
      <c r="P707" s="193">
        <v>145</v>
      </c>
      <c r="Q707" s="193">
        <v>120</v>
      </c>
      <c r="R707" s="193">
        <v>-25</v>
      </c>
      <c r="S707" s="193">
        <v>5</v>
      </c>
      <c r="T707" s="193"/>
      <c r="U707" s="193"/>
      <c r="V707" s="193"/>
      <c r="W707" s="193"/>
      <c r="X707" s="193"/>
      <c r="Y707" s="193"/>
      <c r="Z707" s="193">
        <v>78.380300000000062</v>
      </c>
      <c r="AA707" s="193">
        <v>120</v>
      </c>
      <c r="AB707" s="193" t="s">
        <v>1281</v>
      </c>
      <c r="AC707" s="193" t="s">
        <v>1428</v>
      </c>
      <c r="AD707" s="193" t="s">
        <v>1429</v>
      </c>
      <c r="AE707" s="193" t="s">
        <v>1460</v>
      </c>
      <c r="AF707" s="193" t="s">
        <v>876</v>
      </c>
      <c r="AG707" s="193" t="s">
        <v>939</v>
      </c>
      <c r="AH707" s="193" t="s">
        <v>997</v>
      </c>
      <c r="AI707" s="193" t="s">
        <v>953</v>
      </c>
      <c r="AJ707" s="193" t="s">
        <v>1431</v>
      </c>
      <c r="AK707" s="193" t="s">
        <v>1431</v>
      </c>
      <c r="AL707" s="193" t="s">
        <v>1431</v>
      </c>
    </row>
    <row r="708" spans="7:38">
      <c r="G708" s="193" t="s">
        <v>2415</v>
      </c>
      <c r="H708" s="193" t="s">
        <v>2416</v>
      </c>
      <c r="I708" s="193" t="s">
        <v>2417</v>
      </c>
      <c r="J708" s="193" t="s">
        <v>2417</v>
      </c>
      <c r="K708" s="193" t="s">
        <v>2418</v>
      </c>
      <c r="L708" s="193"/>
      <c r="M708" s="193"/>
      <c r="N708" s="193">
        <v>3.0828199863107462</v>
      </c>
      <c r="O708" s="193"/>
      <c r="P708" s="193">
        <v>130</v>
      </c>
      <c r="Q708" s="193">
        <v>105</v>
      </c>
      <c r="R708" s="193">
        <v>-25</v>
      </c>
      <c r="S708" s="193"/>
      <c r="T708" s="193">
        <v>1800</v>
      </c>
      <c r="U708" s="193">
        <v>1800000000</v>
      </c>
      <c r="V708" s="193">
        <v>2600</v>
      </c>
      <c r="W708" s="193"/>
      <c r="X708" s="193">
        <v>0</v>
      </c>
      <c r="Y708" s="193">
        <v>-30.77</v>
      </c>
      <c r="Z708" s="193">
        <v>54.674600000000019</v>
      </c>
      <c r="AA708" s="193">
        <v>105</v>
      </c>
      <c r="AB708" s="193" t="s">
        <v>1281</v>
      </c>
      <c r="AC708" s="193" t="s">
        <v>1447</v>
      </c>
      <c r="AD708" s="193" t="s">
        <v>1458</v>
      </c>
      <c r="AE708" s="193" t="s">
        <v>1459</v>
      </c>
      <c r="AF708" s="193" t="s">
        <v>953</v>
      </c>
      <c r="AG708" s="193" t="s">
        <v>874</v>
      </c>
      <c r="AH708" s="193" t="s">
        <v>1432</v>
      </c>
      <c r="AI708" s="193" t="s">
        <v>876</v>
      </c>
      <c r="AJ708" s="193" t="s">
        <v>1431</v>
      </c>
      <c r="AK708" s="193" t="s">
        <v>1431</v>
      </c>
      <c r="AL708" s="193" t="s">
        <v>1431</v>
      </c>
    </row>
    <row r="709" spans="7:38">
      <c r="G709" s="193" t="s">
        <v>2419</v>
      </c>
      <c r="H709" s="193" t="s">
        <v>2416</v>
      </c>
      <c r="I709" s="193" t="s">
        <v>2420</v>
      </c>
      <c r="J709" s="193" t="s">
        <v>2420</v>
      </c>
      <c r="K709" s="193" t="s">
        <v>2418</v>
      </c>
      <c r="L709" s="193"/>
      <c r="M709" s="193"/>
      <c r="N709" s="193">
        <v>5.1663244353182751</v>
      </c>
      <c r="O709" s="193"/>
      <c r="P709" s="193">
        <v>150</v>
      </c>
      <c r="Q709" s="193">
        <v>125</v>
      </c>
      <c r="R709" s="193">
        <v>-25</v>
      </c>
      <c r="S709" s="193"/>
      <c r="T709" s="193">
        <v>1700</v>
      </c>
      <c r="U709" s="193">
        <v>1700000000</v>
      </c>
      <c r="V709" s="193">
        <v>2900</v>
      </c>
      <c r="W709" s="193"/>
      <c r="X709" s="193">
        <v>0</v>
      </c>
      <c r="Y709" s="193">
        <v>-41.38</v>
      </c>
      <c r="Z709" s="193">
        <v>65.225199999999987</v>
      </c>
      <c r="AA709" s="193">
        <v>125</v>
      </c>
      <c r="AB709" s="193" t="s">
        <v>1281</v>
      </c>
      <c r="AC709" s="193" t="s">
        <v>1447</v>
      </c>
      <c r="AD709" s="193" t="s">
        <v>1458</v>
      </c>
      <c r="AE709" s="193" t="s">
        <v>1459</v>
      </c>
      <c r="AF709" s="193" t="s">
        <v>953</v>
      </c>
      <c r="AG709" s="193" t="s">
        <v>874</v>
      </c>
      <c r="AH709" s="193" t="s">
        <v>1432</v>
      </c>
      <c r="AI709" s="193" t="s">
        <v>876</v>
      </c>
      <c r="AJ709" s="193" t="s">
        <v>1431</v>
      </c>
      <c r="AK709" s="193" t="s">
        <v>1431</v>
      </c>
      <c r="AL709" s="193" t="s">
        <v>1431</v>
      </c>
    </row>
    <row r="710" spans="7:38">
      <c r="G710" s="193" t="s">
        <v>2421</v>
      </c>
      <c r="H710" s="193" t="s">
        <v>2416</v>
      </c>
      <c r="I710" s="193" t="s">
        <v>2422</v>
      </c>
      <c r="J710" s="193" t="s">
        <v>2422</v>
      </c>
      <c r="K710" s="193" t="s">
        <v>2418</v>
      </c>
      <c r="L710" s="193"/>
      <c r="M710" s="193"/>
      <c r="N710" s="193">
        <v>10.165639972621491</v>
      </c>
      <c r="O710" s="193"/>
      <c r="P710" s="193">
        <v>175</v>
      </c>
      <c r="Q710" s="193">
        <v>150</v>
      </c>
      <c r="R710" s="193">
        <v>-25</v>
      </c>
      <c r="S710" s="193"/>
      <c r="T710" s="193">
        <v>1850</v>
      </c>
      <c r="U710" s="193">
        <v>1850000000</v>
      </c>
      <c r="V710" s="193">
        <v>3500</v>
      </c>
      <c r="W710" s="193"/>
      <c r="X710" s="193">
        <v>0</v>
      </c>
      <c r="Y710" s="193">
        <v>-47.14</v>
      </c>
      <c r="Z710" s="193">
        <v>87.420100000000019</v>
      </c>
      <c r="AA710" s="193">
        <v>150</v>
      </c>
      <c r="AB710" s="193" t="s">
        <v>1281</v>
      </c>
      <c r="AC710" s="193" t="s">
        <v>1447</v>
      </c>
      <c r="AD710" s="193" t="s">
        <v>1458</v>
      </c>
      <c r="AE710" s="193" t="s">
        <v>1459</v>
      </c>
      <c r="AF710" s="193" t="s">
        <v>953</v>
      </c>
      <c r="AG710" s="193" t="s">
        <v>874</v>
      </c>
      <c r="AH710" s="193" t="s">
        <v>1432</v>
      </c>
      <c r="AI710" s="193" t="s">
        <v>876</v>
      </c>
      <c r="AJ710" s="193" t="s">
        <v>1431</v>
      </c>
      <c r="AK710" s="193" t="s">
        <v>1431</v>
      </c>
      <c r="AL710" s="193" t="s">
        <v>1431</v>
      </c>
    </row>
    <row r="711" spans="7:38">
      <c r="G711" s="193" t="s">
        <v>2423</v>
      </c>
      <c r="H711" s="193" t="s">
        <v>2424</v>
      </c>
      <c r="I711" s="193" t="s">
        <v>2425</v>
      </c>
      <c r="J711" s="193" t="s">
        <v>2425</v>
      </c>
      <c r="K711" s="193" t="s">
        <v>1603</v>
      </c>
      <c r="L711" s="193"/>
      <c r="M711" s="193"/>
      <c r="N711" s="193">
        <v>5.1690622861054072</v>
      </c>
      <c r="O711" s="193"/>
      <c r="P711" s="193">
        <v>145</v>
      </c>
      <c r="Q711" s="193">
        <v>115</v>
      </c>
      <c r="R711" s="193">
        <v>-30</v>
      </c>
      <c r="S711" s="193">
        <v>12</v>
      </c>
      <c r="T711" s="193">
        <v>2850</v>
      </c>
      <c r="U711" s="193">
        <v>2850000000</v>
      </c>
      <c r="V711" s="193">
        <v>4250</v>
      </c>
      <c r="W711" s="193"/>
      <c r="X711" s="193">
        <v>0</v>
      </c>
      <c r="Y711" s="193">
        <v>-32.94</v>
      </c>
      <c r="Z711" s="193">
        <v>63.320099999999968</v>
      </c>
      <c r="AA711" s="193">
        <v>115</v>
      </c>
      <c r="AB711" s="193" t="s">
        <v>1281</v>
      </c>
      <c r="AC711" s="193" t="s">
        <v>1433</v>
      </c>
      <c r="AD711" s="193" t="s">
        <v>1938</v>
      </c>
      <c r="AE711" s="193" t="s">
        <v>2426</v>
      </c>
      <c r="AF711" s="193" t="s">
        <v>932</v>
      </c>
      <c r="AG711" s="193" t="s">
        <v>933</v>
      </c>
      <c r="AH711" s="193" t="s">
        <v>932</v>
      </c>
      <c r="AI711" s="193" t="s">
        <v>932</v>
      </c>
      <c r="AJ711" s="193" t="s">
        <v>1431</v>
      </c>
      <c r="AK711" s="193" t="s">
        <v>1431</v>
      </c>
      <c r="AL711" s="193" t="s">
        <v>1431</v>
      </c>
    </row>
    <row r="712" spans="7:38">
      <c r="G712" s="193" t="s">
        <v>2427</v>
      </c>
      <c r="H712" s="193" t="s">
        <v>2428</v>
      </c>
      <c r="I712" s="193" t="s">
        <v>2429</v>
      </c>
      <c r="J712" s="193" t="s">
        <v>2429</v>
      </c>
      <c r="K712" s="193" t="s">
        <v>1614</v>
      </c>
      <c r="L712" s="193"/>
      <c r="M712" s="193"/>
      <c r="N712" s="193">
        <v>5.333333333333333</v>
      </c>
      <c r="O712" s="193"/>
      <c r="P712" s="193">
        <v>145</v>
      </c>
      <c r="Q712" s="193">
        <v>110</v>
      </c>
      <c r="R712" s="193">
        <v>-35</v>
      </c>
      <c r="S712" s="193">
        <v>10</v>
      </c>
      <c r="T712" s="193">
        <v>4800</v>
      </c>
      <c r="U712" s="193">
        <v>4800000000</v>
      </c>
      <c r="V712" s="193">
        <v>7000</v>
      </c>
      <c r="W712" s="193"/>
      <c r="X712" s="193">
        <v>0</v>
      </c>
      <c r="Y712" s="193">
        <v>-31.43</v>
      </c>
      <c r="Z712" s="193">
        <v>55.192499999999981</v>
      </c>
      <c r="AA712" s="193">
        <v>110</v>
      </c>
      <c r="AB712" s="193" t="s">
        <v>1281</v>
      </c>
      <c r="AC712" s="193" t="s">
        <v>1447</v>
      </c>
      <c r="AD712" s="193" t="s">
        <v>1889</v>
      </c>
      <c r="AE712" s="193" t="s">
        <v>2430</v>
      </c>
      <c r="AF712" s="193" t="s">
        <v>938</v>
      </c>
      <c r="AG712" s="193" t="s">
        <v>942</v>
      </c>
      <c r="AH712" s="193" t="s">
        <v>1432</v>
      </c>
      <c r="AI712" s="193" t="s">
        <v>938</v>
      </c>
      <c r="AJ712" s="193" t="s">
        <v>1431</v>
      </c>
      <c r="AK712" s="193" t="s">
        <v>1431</v>
      </c>
      <c r="AL712" s="193" t="s">
        <v>1431</v>
      </c>
    </row>
    <row r="713" spans="7:38">
      <c r="G713" s="193" t="s">
        <v>2431</v>
      </c>
      <c r="H713" s="193" t="s">
        <v>2428</v>
      </c>
      <c r="I713" s="193" t="s">
        <v>2432</v>
      </c>
      <c r="J713" s="193" t="s">
        <v>2432</v>
      </c>
      <c r="K713" s="193" t="s">
        <v>1614</v>
      </c>
      <c r="L713" s="193"/>
      <c r="M713" s="193"/>
      <c r="N713" s="193">
        <v>9.9986310746064344</v>
      </c>
      <c r="O713" s="193"/>
      <c r="P713" s="193">
        <v>165</v>
      </c>
      <c r="Q713" s="193">
        <v>130</v>
      </c>
      <c r="R713" s="193">
        <v>-35</v>
      </c>
      <c r="S713" s="193">
        <v>10</v>
      </c>
      <c r="T713" s="193">
        <v>6300</v>
      </c>
      <c r="U713" s="193">
        <v>6300000000</v>
      </c>
      <c r="V713" s="193">
        <v>9000</v>
      </c>
      <c r="W713" s="193"/>
      <c r="X713" s="193">
        <v>0</v>
      </c>
      <c r="Y713" s="193">
        <v>-30</v>
      </c>
      <c r="Z713" s="193">
        <v>66.356999999999999</v>
      </c>
      <c r="AA713" s="193">
        <v>130</v>
      </c>
      <c r="AB713" s="193" t="s">
        <v>1281</v>
      </c>
      <c r="AC713" s="193" t="s">
        <v>1447</v>
      </c>
      <c r="AD713" s="193" t="s">
        <v>1889</v>
      </c>
      <c r="AE713" s="193" t="s">
        <v>2430</v>
      </c>
      <c r="AF713" s="193" t="s">
        <v>938</v>
      </c>
      <c r="AG713" s="193" t="s">
        <v>942</v>
      </c>
      <c r="AH713" s="193" t="s">
        <v>1432</v>
      </c>
      <c r="AI713" s="193" t="s">
        <v>938</v>
      </c>
      <c r="AJ713" s="193" t="s">
        <v>1431</v>
      </c>
      <c r="AK713" s="193" t="s">
        <v>1431</v>
      </c>
      <c r="AL713" s="193" t="s">
        <v>1431</v>
      </c>
    </row>
    <row r="714" spans="7:38">
      <c r="G714" s="193" t="s">
        <v>2433</v>
      </c>
      <c r="H714" s="193" t="s">
        <v>2434</v>
      </c>
      <c r="I714" s="193" t="s">
        <v>2435</v>
      </c>
      <c r="J714" s="193" t="s">
        <v>2435</v>
      </c>
      <c r="K714" s="193" t="s">
        <v>1600</v>
      </c>
      <c r="L714" s="193"/>
      <c r="M714" s="193"/>
      <c r="N714" s="193">
        <v>5.2840520191649558</v>
      </c>
      <c r="O714" s="193"/>
      <c r="P714" s="193">
        <v>160</v>
      </c>
      <c r="Q714" s="193">
        <v>140</v>
      </c>
      <c r="R714" s="193">
        <v>-20</v>
      </c>
      <c r="S714" s="193">
        <v>20</v>
      </c>
      <c r="T714" s="193">
        <v>2000</v>
      </c>
      <c r="U714" s="193">
        <v>2000000000</v>
      </c>
      <c r="V714" s="193">
        <v>3000</v>
      </c>
      <c r="W714" s="193"/>
      <c r="X714" s="193">
        <v>0</v>
      </c>
      <c r="Y714" s="193">
        <v>-33.33</v>
      </c>
      <c r="Z714" s="193">
        <v>71.223300000000037</v>
      </c>
      <c r="AA714" s="193">
        <v>140</v>
      </c>
      <c r="AB714" s="193" t="s">
        <v>1281</v>
      </c>
      <c r="AC714" s="193" t="s">
        <v>1879</v>
      </c>
      <c r="AD714" s="193" t="s">
        <v>1935</v>
      </c>
      <c r="AE714" s="193" t="s">
        <v>2436</v>
      </c>
      <c r="AF714" s="193" t="s">
        <v>932</v>
      </c>
      <c r="AG714" s="193" t="s">
        <v>933</v>
      </c>
      <c r="AH714" s="193" t="s">
        <v>950</v>
      </c>
      <c r="AI714" s="193" t="s">
        <v>932</v>
      </c>
      <c r="AJ714" s="193" t="s">
        <v>1431</v>
      </c>
      <c r="AK714" s="193" t="s">
        <v>1431</v>
      </c>
      <c r="AL714" s="193" t="s">
        <v>1431</v>
      </c>
    </row>
    <row r="715" spans="7:38">
      <c r="G715" s="193" t="s">
        <v>2437</v>
      </c>
      <c r="H715" s="193" t="s">
        <v>2438</v>
      </c>
      <c r="I715" s="193" t="s">
        <v>2439</v>
      </c>
      <c r="J715" s="193" t="s">
        <v>2439</v>
      </c>
      <c r="K715" s="193" t="s">
        <v>1593</v>
      </c>
      <c r="L715" s="193"/>
      <c r="M715" s="193"/>
      <c r="N715" s="193">
        <v>5.0130047912388775</v>
      </c>
      <c r="O715" s="193"/>
      <c r="P715" s="193">
        <v>165</v>
      </c>
      <c r="Q715" s="193">
        <v>125</v>
      </c>
      <c r="R715" s="193">
        <v>-40</v>
      </c>
      <c r="S715" s="193"/>
      <c r="T715" s="193">
        <v>9400</v>
      </c>
      <c r="U715" s="193">
        <v>9400000000</v>
      </c>
      <c r="V715" s="193">
        <v>10200</v>
      </c>
      <c r="W715" s="193"/>
      <c r="X715" s="193">
        <v>0</v>
      </c>
      <c r="Y715" s="193">
        <v>-7.84</v>
      </c>
      <c r="Z715" s="193">
        <v>64.254600000000025</v>
      </c>
      <c r="AA715" s="193">
        <v>125</v>
      </c>
      <c r="AB715" s="193" t="s">
        <v>1281</v>
      </c>
      <c r="AC715" s="193" t="s">
        <v>1439</v>
      </c>
      <c r="AD715" s="193" t="s">
        <v>1440</v>
      </c>
      <c r="AE715" s="193" t="s">
        <v>1446</v>
      </c>
      <c r="AF715" s="193" t="s">
        <v>950</v>
      </c>
      <c r="AG715" s="193" t="s">
        <v>933</v>
      </c>
      <c r="AH715" s="193" t="s">
        <v>1432</v>
      </c>
      <c r="AI715" s="193" t="s">
        <v>950</v>
      </c>
      <c r="AJ715" s="193" t="s">
        <v>1431</v>
      </c>
      <c r="AK715" s="193" t="s">
        <v>1431</v>
      </c>
      <c r="AL715" s="193" t="s">
        <v>1431</v>
      </c>
    </row>
    <row r="716" spans="7:38">
      <c r="G716" s="193" t="s">
        <v>2440</v>
      </c>
      <c r="H716" s="193" t="s">
        <v>2438</v>
      </c>
      <c r="I716" s="193" t="s">
        <v>2441</v>
      </c>
      <c r="J716" s="193" t="s">
        <v>2441</v>
      </c>
      <c r="K716" s="193" t="s">
        <v>1593</v>
      </c>
      <c r="L716" s="193"/>
      <c r="M716" s="193"/>
      <c r="N716" s="193">
        <v>7.0143737166324431</v>
      </c>
      <c r="O716" s="193"/>
      <c r="P716" s="193">
        <v>175</v>
      </c>
      <c r="Q716" s="193">
        <v>135</v>
      </c>
      <c r="R716" s="193">
        <v>-40</v>
      </c>
      <c r="S716" s="193"/>
      <c r="T716" s="193">
        <v>8400</v>
      </c>
      <c r="U716" s="193">
        <v>8400000000</v>
      </c>
      <c r="V716" s="193">
        <v>9000</v>
      </c>
      <c r="W716" s="193"/>
      <c r="X716" s="193">
        <v>0</v>
      </c>
      <c r="Y716" s="193">
        <v>-6.67</v>
      </c>
      <c r="Z716" s="193">
        <v>76.867399999999989</v>
      </c>
      <c r="AA716" s="193">
        <v>135</v>
      </c>
      <c r="AB716" s="193" t="s">
        <v>1281</v>
      </c>
      <c r="AC716" s="193" t="s">
        <v>1439</v>
      </c>
      <c r="AD716" s="193" t="s">
        <v>1440</v>
      </c>
      <c r="AE716" s="193" t="s">
        <v>1446</v>
      </c>
      <c r="AF716" s="193" t="s">
        <v>950</v>
      </c>
      <c r="AG716" s="193" t="s">
        <v>933</v>
      </c>
      <c r="AH716" s="193" t="s">
        <v>1432</v>
      </c>
      <c r="AI716" s="193" t="s">
        <v>950</v>
      </c>
      <c r="AJ716" s="193" t="s">
        <v>1431</v>
      </c>
      <c r="AK716" s="193" t="s">
        <v>1431</v>
      </c>
      <c r="AL716" s="193" t="s">
        <v>1431</v>
      </c>
    </row>
    <row r="717" spans="7:38">
      <c r="G717" s="193" t="s">
        <v>2442</v>
      </c>
      <c r="H717" s="193" t="s">
        <v>2438</v>
      </c>
      <c r="I717" s="193" t="s">
        <v>2443</v>
      </c>
      <c r="J717" s="193" t="s">
        <v>2443</v>
      </c>
      <c r="K717" s="193" t="s">
        <v>1593</v>
      </c>
      <c r="L717" s="193"/>
      <c r="M717" s="193"/>
      <c r="N717" s="193">
        <v>10.012320328542094</v>
      </c>
      <c r="O717" s="193"/>
      <c r="P717" s="193">
        <v>185</v>
      </c>
      <c r="Q717" s="193">
        <v>145</v>
      </c>
      <c r="R717" s="193">
        <v>-40</v>
      </c>
      <c r="S717" s="193"/>
      <c r="T717" s="193">
        <v>12000</v>
      </c>
      <c r="U717" s="193">
        <v>12000000000</v>
      </c>
      <c r="V717" s="193">
        <v>14000</v>
      </c>
      <c r="W717" s="193"/>
      <c r="X717" s="193">
        <v>0</v>
      </c>
      <c r="Y717" s="193">
        <v>-14.29</v>
      </c>
      <c r="Z717" s="193">
        <v>88.119700000000023</v>
      </c>
      <c r="AA717" s="193">
        <v>145</v>
      </c>
      <c r="AB717" s="193" t="s">
        <v>1281</v>
      </c>
      <c r="AC717" s="193" t="s">
        <v>1439</v>
      </c>
      <c r="AD717" s="193" t="s">
        <v>1440</v>
      </c>
      <c r="AE717" s="193" t="s">
        <v>1446</v>
      </c>
      <c r="AF717" s="193" t="s">
        <v>950</v>
      </c>
      <c r="AG717" s="193" t="s">
        <v>933</v>
      </c>
      <c r="AH717" s="193" t="s">
        <v>1432</v>
      </c>
      <c r="AI717" s="193" t="s">
        <v>950</v>
      </c>
      <c r="AJ717" s="193" t="s">
        <v>1431</v>
      </c>
      <c r="AK717" s="193" t="s">
        <v>1431</v>
      </c>
      <c r="AL717" s="193" t="s">
        <v>1431</v>
      </c>
    </row>
    <row r="718" spans="7:38">
      <c r="G718" s="193" t="s">
        <v>2444</v>
      </c>
      <c r="H718" s="193" t="s">
        <v>2445</v>
      </c>
      <c r="I718" s="193" t="s">
        <v>2446</v>
      </c>
      <c r="J718" s="193" t="s">
        <v>2446</v>
      </c>
      <c r="K718" s="193" t="s">
        <v>2447</v>
      </c>
      <c r="L718" s="193"/>
      <c r="M718" s="193"/>
      <c r="N718" s="193">
        <v>1.998631074606434</v>
      </c>
      <c r="O718" s="193"/>
      <c r="P718" s="193">
        <v>95</v>
      </c>
      <c r="Q718" s="193">
        <v>70</v>
      </c>
      <c r="R718" s="193">
        <v>-25</v>
      </c>
      <c r="S718" s="193">
        <v>5</v>
      </c>
      <c r="T718" s="193">
        <v>1900</v>
      </c>
      <c r="U718" s="193">
        <v>1900000000</v>
      </c>
      <c r="V718" s="193">
        <v>2075</v>
      </c>
      <c r="W718" s="193"/>
      <c r="X718" s="193">
        <v>0</v>
      </c>
      <c r="Y718" s="193">
        <v>-8.43</v>
      </c>
      <c r="Z718" s="193">
        <v>62.917200000000051</v>
      </c>
      <c r="AA718" s="193">
        <v>70</v>
      </c>
      <c r="AB718" s="193" t="s">
        <v>1281</v>
      </c>
      <c r="AC718" s="193" t="s">
        <v>1879</v>
      </c>
      <c r="AD718" s="193" t="s">
        <v>2448</v>
      </c>
      <c r="AE718" s="193" t="s">
        <v>2449</v>
      </c>
      <c r="AF718" s="193" t="s">
        <v>950</v>
      </c>
      <c r="AG718" s="193" t="s">
        <v>933</v>
      </c>
      <c r="AH718" s="193" t="s">
        <v>1432</v>
      </c>
      <c r="AI718" s="193" t="s">
        <v>950</v>
      </c>
      <c r="AJ718" s="193" t="s">
        <v>1431</v>
      </c>
      <c r="AK718" s="193" t="s">
        <v>1431</v>
      </c>
      <c r="AL718" s="193" t="s">
        <v>1431</v>
      </c>
    </row>
    <row r="719" spans="7:38">
      <c r="G719" s="193" t="s">
        <v>2450</v>
      </c>
      <c r="H719" s="193" t="s">
        <v>2445</v>
      </c>
      <c r="I719" s="193" t="s">
        <v>2451</v>
      </c>
      <c r="J719" s="193" t="s">
        <v>2451</v>
      </c>
      <c r="K719" s="193" t="s">
        <v>2447</v>
      </c>
      <c r="L719" s="193"/>
      <c r="M719" s="193"/>
      <c r="N719" s="193">
        <v>3.0006844626967832</v>
      </c>
      <c r="O719" s="193"/>
      <c r="P719" s="193">
        <v>105</v>
      </c>
      <c r="Q719" s="193">
        <v>80</v>
      </c>
      <c r="R719" s="193">
        <v>-25</v>
      </c>
      <c r="S719" s="193">
        <v>5</v>
      </c>
      <c r="T719" s="193">
        <v>2800</v>
      </c>
      <c r="U719" s="193">
        <v>2800000000</v>
      </c>
      <c r="V719" s="193">
        <v>2900</v>
      </c>
      <c r="W719" s="193"/>
      <c r="X719" s="193">
        <v>0</v>
      </c>
      <c r="Y719" s="193">
        <v>-3.45</v>
      </c>
      <c r="Z719" s="193">
        <v>61.39579999999998</v>
      </c>
      <c r="AA719" s="193">
        <v>80</v>
      </c>
      <c r="AB719" s="193" t="s">
        <v>1281</v>
      </c>
      <c r="AC719" s="193" t="s">
        <v>1879</v>
      </c>
      <c r="AD719" s="193" t="s">
        <v>2448</v>
      </c>
      <c r="AE719" s="193" t="s">
        <v>2449</v>
      </c>
      <c r="AF719" s="193" t="s">
        <v>950</v>
      </c>
      <c r="AG719" s="193" t="s">
        <v>933</v>
      </c>
      <c r="AH719" s="193" t="s">
        <v>1432</v>
      </c>
      <c r="AI719" s="193" t="s">
        <v>950</v>
      </c>
      <c r="AJ719" s="193" t="s">
        <v>1431</v>
      </c>
      <c r="AK719" s="193" t="s">
        <v>1431</v>
      </c>
      <c r="AL719" s="193" t="s">
        <v>1431</v>
      </c>
    </row>
    <row r="720" spans="7:38">
      <c r="G720" s="193" t="s">
        <v>2452</v>
      </c>
      <c r="H720" s="193" t="s">
        <v>2445</v>
      </c>
      <c r="I720" s="193" t="s">
        <v>2453</v>
      </c>
      <c r="J720" s="193" t="s">
        <v>2453</v>
      </c>
      <c r="K720" s="193" t="s">
        <v>2447</v>
      </c>
      <c r="L720" s="193"/>
      <c r="M720" s="193"/>
      <c r="N720" s="193">
        <v>4.9993155373032172</v>
      </c>
      <c r="O720" s="193"/>
      <c r="P720" s="193">
        <v>125</v>
      </c>
      <c r="Q720" s="193">
        <v>100</v>
      </c>
      <c r="R720" s="193">
        <v>-25</v>
      </c>
      <c r="S720" s="193">
        <v>5</v>
      </c>
      <c r="T720" s="193">
        <v>4800</v>
      </c>
      <c r="U720" s="193">
        <v>4800000000</v>
      </c>
      <c r="V720" s="193">
        <v>4800</v>
      </c>
      <c r="W720" s="193"/>
      <c r="X720" s="193">
        <v>0</v>
      </c>
      <c r="Y720" s="193">
        <v>0</v>
      </c>
      <c r="Z720" s="193">
        <v>74.235299999999967</v>
      </c>
      <c r="AA720" s="193">
        <v>100</v>
      </c>
      <c r="AB720" s="193" t="s">
        <v>1281</v>
      </c>
      <c r="AC720" s="193" t="s">
        <v>1879</v>
      </c>
      <c r="AD720" s="193" t="s">
        <v>2448</v>
      </c>
      <c r="AE720" s="193" t="s">
        <v>2449</v>
      </c>
      <c r="AF720" s="193" t="s">
        <v>950</v>
      </c>
      <c r="AG720" s="193" t="s">
        <v>933</v>
      </c>
      <c r="AH720" s="193" t="s">
        <v>1432</v>
      </c>
      <c r="AI720" s="193" t="s">
        <v>950</v>
      </c>
      <c r="AJ720" s="193" t="s">
        <v>1431</v>
      </c>
      <c r="AK720" s="193" t="s">
        <v>1431</v>
      </c>
      <c r="AL720" s="193" t="s">
        <v>1431</v>
      </c>
    </row>
    <row r="721" spans="7:38">
      <c r="G721" s="193" t="s">
        <v>2454</v>
      </c>
      <c r="H721" s="193" t="s">
        <v>2445</v>
      </c>
      <c r="I721" s="193" t="s">
        <v>2455</v>
      </c>
      <c r="J721" s="193" t="s">
        <v>2455</v>
      </c>
      <c r="K721" s="193" t="s">
        <v>2447</v>
      </c>
      <c r="L721" s="193"/>
      <c r="M721" s="193"/>
      <c r="N721" s="193">
        <v>9.9986310746064344</v>
      </c>
      <c r="O721" s="193"/>
      <c r="P721" s="193">
        <v>145</v>
      </c>
      <c r="Q721" s="193">
        <v>120</v>
      </c>
      <c r="R721" s="193">
        <v>-25</v>
      </c>
      <c r="S721" s="193">
        <v>5</v>
      </c>
      <c r="T721" s="193">
        <v>4900</v>
      </c>
      <c r="U721" s="193">
        <v>4900000000</v>
      </c>
      <c r="V721" s="193">
        <v>5250</v>
      </c>
      <c r="W721" s="193"/>
      <c r="X721" s="193">
        <v>0</v>
      </c>
      <c r="Y721" s="193">
        <v>-6.67</v>
      </c>
      <c r="Z721" s="193">
        <v>93.529900000000055</v>
      </c>
      <c r="AA721" s="193">
        <v>120</v>
      </c>
      <c r="AB721" s="193" t="s">
        <v>1281</v>
      </c>
      <c r="AC721" s="193" t="s">
        <v>1879</v>
      </c>
      <c r="AD721" s="193" t="s">
        <v>2448</v>
      </c>
      <c r="AE721" s="193" t="s">
        <v>2449</v>
      </c>
      <c r="AF721" s="193" t="s">
        <v>950</v>
      </c>
      <c r="AG721" s="193" t="s">
        <v>933</v>
      </c>
      <c r="AH721" s="193" t="s">
        <v>1432</v>
      </c>
      <c r="AI721" s="193" t="s">
        <v>950</v>
      </c>
      <c r="AJ721" s="193" t="s">
        <v>1431</v>
      </c>
      <c r="AK721" s="193" t="s">
        <v>1431</v>
      </c>
      <c r="AL721" s="193" t="s">
        <v>1431</v>
      </c>
    </row>
    <row r="722" spans="7:38">
      <c r="G722" s="193" t="s">
        <v>2456</v>
      </c>
      <c r="H722" s="193" t="s">
        <v>2457</v>
      </c>
      <c r="I722" s="193" t="s">
        <v>2458</v>
      </c>
      <c r="J722" s="193" t="s">
        <v>2458</v>
      </c>
      <c r="K722" s="193" t="s">
        <v>1586</v>
      </c>
      <c r="L722" s="193"/>
      <c r="M722" s="193"/>
      <c r="N722" s="193">
        <v>3.0006844626967832</v>
      </c>
      <c r="O722" s="193"/>
      <c r="P722" s="193">
        <v>135</v>
      </c>
      <c r="Q722" s="193">
        <v>110</v>
      </c>
      <c r="R722" s="193">
        <v>-25</v>
      </c>
      <c r="S722" s="193">
        <v>5</v>
      </c>
      <c r="T722" s="193">
        <v>1650</v>
      </c>
      <c r="U722" s="193">
        <v>1650000000</v>
      </c>
      <c r="V722" s="193">
        <v>1950</v>
      </c>
      <c r="W722" s="193"/>
      <c r="X722" s="193">
        <v>0</v>
      </c>
      <c r="Y722" s="193">
        <v>-15.38</v>
      </c>
      <c r="Z722" s="193">
        <v>76.700800000000015</v>
      </c>
      <c r="AA722" s="193">
        <v>110</v>
      </c>
      <c r="AB722" s="193" t="s">
        <v>1281</v>
      </c>
      <c r="AC722" s="193" t="s">
        <v>1428</v>
      </c>
      <c r="AD722" s="193" t="s">
        <v>1864</v>
      </c>
      <c r="AE722" s="193" t="s">
        <v>1877</v>
      </c>
      <c r="AF722" s="193" t="s">
        <v>877</v>
      </c>
      <c r="AG722" s="193" t="s">
        <v>969</v>
      </c>
      <c r="AH722" s="193" t="s">
        <v>932</v>
      </c>
      <c r="AI722" s="193" t="s">
        <v>877</v>
      </c>
      <c r="AJ722" s="193" t="s">
        <v>1431</v>
      </c>
      <c r="AK722" s="193" t="s">
        <v>1431</v>
      </c>
      <c r="AL722" s="193" t="s">
        <v>1431</v>
      </c>
    </row>
    <row r="723" spans="7:38">
      <c r="G723" s="193" t="s">
        <v>2459</v>
      </c>
      <c r="H723" s="193" t="s">
        <v>2457</v>
      </c>
      <c r="I723" s="193" t="s">
        <v>2460</v>
      </c>
      <c r="J723" s="193" t="s">
        <v>2460</v>
      </c>
      <c r="K723" s="193" t="s">
        <v>1586</v>
      </c>
      <c r="L723" s="193"/>
      <c r="M723" s="193"/>
      <c r="N723" s="193">
        <v>5.1991786447638599</v>
      </c>
      <c r="O723" s="193"/>
      <c r="P723" s="193">
        <v>150</v>
      </c>
      <c r="Q723" s="193">
        <v>128</v>
      </c>
      <c r="R723" s="193">
        <v>-22</v>
      </c>
      <c r="S723" s="193">
        <v>8</v>
      </c>
      <c r="T723" s="193">
        <v>1300</v>
      </c>
      <c r="U723" s="193">
        <v>1300000000</v>
      </c>
      <c r="V723" s="193">
        <v>1600</v>
      </c>
      <c r="W723" s="193"/>
      <c r="X723" s="193">
        <v>0</v>
      </c>
      <c r="Y723" s="193">
        <v>-18.75</v>
      </c>
      <c r="Z723" s="193">
        <v>94.519600000000011</v>
      </c>
      <c r="AA723" s="193">
        <v>128</v>
      </c>
      <c r="AB723" s="193" t="s">
        <v>1281</v>
      </c>
      <c r="AC723" s="193" t="s">
        <v>1428</v>
      </c>
      <c r="AD723" s="193" t="s">
        <v>1864</v>
      </c>
      <c r="AE723" s="193" t="s">
        <v>1877</v>
      </c>
      <c r="AF723" s="193" t="s">
        <v>877</v>
      </c>
      <c r="AG723" s="193" t="s">
        <v>969</v>
      </c>
      <c r="AH723" s="193" t="s">
        <v>932</v>
      </c>
      <c r="AI723" s="193" t="s">
        <v>877</v>
      </c>
      <c r="AJ723" s="193" t="s">
        <v>1431</v>
      </c>
      <c r="AK723" s="193" t="s">
        <v>1431</v>
      </c>
      <c r="AL723" s="193" t="s">
        <v>1431</v>
      </c>
    </row>
    <row r="724" spans="7:38">
      <c r="G724" s="193" t="s">
        <v>2461</v>
      </c>
      <c r="H724" s="193" t="s">
        <v>2457</v>
      </c>
      <c r="I724" s="193" t="s">
        <v>2462</v>
      </c>
      <c r="J724" s="193" t="s">
        <v>2462</v>
      </c>
      <c r="K724" s="193" t="s">
        <v>1586</v>
      </c>
      <c r="L724" s="193"/>
      <c r="M724" s="193"/>
      <c r="N724" s="193">
        <v>10.198494182067078</v>
      </c>
      <c r="O724" s="193"/>
      <c r="P724" s="193">
        <v>187.5</v>
      </c>
      <c r="Q724" s="193">
        <v>165</v>
      </c>
      <c r="R724" s="193">
        <v>-23</v>
      </c>
      <c r="S724" s="193">
        <v>7.5</v>
      </c>
      <c r="T724" s="193">
        <v>1700</v>
      </c>
      <c r="U724" s="193">
        <v>1700000000</v>
      </c>
      <c r="V724" s="193">
        <v>2100</v>
      </c>
      <c r="W724" s="193"/>
      <c r="X724" s="193">
        <v>0</v>
      </c>
      <c r="Y724" s="193">
        <v>-19.05</v>
      </c>
      <c r="Z724" s="193">
        <v>127.78490000000006</v>
      </c>
      <c r="AA724" s="193">
        <v>165</v>
      </c>
      <c r="AB724" s="193" t="s">
        <v>1281</v>
      </c>
      <c r="AC724" s="193" t="s">
        <v>1428</v>
      </c>
      <c r="AD724" s="193" t="s">
        <v>1864</v>
      </c>
      <c r="AE724" s="193" t="s">
        <v>1877</v>
      </c>
      <c r="AF724" s="193" t="s">
        <v>877</v>
      </c>
      <c r="AG724" s="193" t="s">
        <v>969</v>
      </c>
      <c r="AH724" s="193" t="s">
        <v>932</v>
      </c>
      <c r="AI724" s="193" t="s">
        <v>877</v>
      </c>
      <c r="AJ724" s="193" t="s">
        <v>1431</v>
      </c>
      <c r="AK724" s="193" t="s">
        <v>1431</v>
      </c>
      <c r="AL724" s="193" t="s">
        <v>1431</v>
      </c>
    </row>
    <row r="725" spans="7:38">
      <c r="G725" s="193" t="s">
        <v>2463</v>
      </c>
      <c r="H725" s="193" t="s">
        <v>2464</v>
      </c>
      <c r="I725" s="193" t="s">
        <v>2465</v>
      </c>
      <c r="J725" s="193" t="s">
        <v>2465</v>
      </c>
      <c r="K725" s="193" t="s">
        <v>1594</v>
      </c>
      <c r="L725" s="193"/>
      <c r="M725" s="193"/>
      <c r="N725" s="193">
        <v>10.012320328542094</v>
      </c>
      <c r="O725" s="193"/>
      <c r="P725" s="193">
        <v>145</v>
      </c>
      <c r="Q725" s="193">
        <v>118</v>
      </c>
      <c r="R725" s="193">
        <v>-27</v>
      </c>
      <c r="S725" s="193">
        <v>5</v>
      </c>
      <c r="T725" s="193">
        <v>4000</v>
      </c>
      <c r="U725" s="193">
        <v>4000000000</v>
      </c>
      <c r="V725" s="193">
        <v>4600</v>
      </c>
      <c r="W725" s="193"/>
      <c r="X725" s="193">
        <v>0</v>
      </c>
      <c r="Y725" s="193">
        <v>-13.04</v>
      </c>
      <c r="Z725" s="193">
        <v>78.613900000000029</v>
      </c>
      <c r="AA725" s="193">
        <v>118</v>
      </c>
      <c r="AB725" s="193" t="s">
        <v>1281</v>
      </c>
      <c r="AC725" s="193" t="s">
        <v>1428</v>
      </c>
      <c r="AD725" s="193" t="s">
        <v>1436</v>
      </c>
      <c r="AE725" s="193" t="s">
        <v>1921</v>
      </c>
      <c r="AF725" s="193" t="s">
        <v>938</v>
      </c>
      <c r="AG725" s="193" t="s">
        <v>942</v>
      </c>
      <c r="AH725" s="193" t="s">
        <v>1432</v>
      </c>
      <c r="AI725" s="193" t="s">
        <v>938</v>
      </c>
      <c r="AJ725" s="193" t="s">
        <v>1431</v>
      </c>
      <c r="AK725" s="193" t="s">
        <v>1431</v>
      </c>
      <c r="AL725" s="193" t="s">
        <v>1431</v>
      </c>
    </row>
    <row r="726" spans="7:38">
      <c r="G726" s="193" t="s">
        <v>2466</v>
      </c>
      <c r="H726" s="193" t="s">
        <v>2467</v>
      </c>
      <c r="I726" s="193" t="s">
        <v>2468</v>
      </c>
      <c r="J726" s="193" t="s">
        <v>2468</v>
      </c>
      <c r="K726" s="193" t="s">
        <v>2469</v>
      </c>
      <c r="L726" s="193"/>
      <c r="M726" s="193"/>
      <c r="N726" s="193">
        <v>12</v>
      </c>
      <c r="O726" s="193"/>
      <c r="P726" s="193">
        <v>275</v>
      </c>
      <c r="Q726" s="193">
        <v>245</v>
      </c>
      <c r="R726" s="193">
        <v>-30</v>
      </c>
      <c r="S726" s="193">
        <v>20</v>
      </c>
      <c r="T726" s="193">
        <v>1650</v>
      </c>
      <c r="U726" s="193">
        <v>1650000000</v>
      </c>
      <c r="V726" s="193">
        <v>1650</v>
      </c>
      <c r="W726" s="193"/>
      <c r="X726" s="193">
        <v>0</v>
      </c>
      <c r="Y726" s="193">
        <v>0</v>
      </c>
      <c r="Z726" s="193">
        <v>201.6508</v>
      </c>
      <c r="AA726" s="193">
        <v>245</v>
      </c>
      <c r="AB726" s="193" t="s">
        <v>1281</v>
      </c>
      <c r="AC726" s="193" t="s">
        <v>1872</v>
      </c>
      <c r="AD726" s="193" t="s">
        <v>2013</v>
      </c>
      <c r="AE726" s="193" t="s">
        <v>2470</v>
      </c>
      <c r="AF726" s="193" t="s">
        <v>877</v>
      </c>
      <c r="AG726" s="193" t="s">
        <v>1432</v>
      </c>
      <c r="AH726" s="193" t="s">
        <v>877</v>
      </c>
      <c r="AI726" s="193" t="s">
        <v>877</v>
      </c>
      <c r="AJ726" s="193" t="s">
        <v>1431</v>
      </c>
      <c r="AK726" s="193" t="s">
        <v>1431</v>
      </c>
      <c r="AL726" s="193" t="s">
        <v>1431</v>
      </c>
    </row>
    <row r="727" spans="7:38">
      <c r="G727" s="193" t="s">
        <v>2471</v>
      </c>
      <c r="H727" s="193" t="s">
        <v>2472</v>
      </c>
      <c r="I727" s="193" t="s">
        <v>2473</v>
      </c>
      <c r="J727" s="193" t="s">
        <v>2473</v>
      </c>
      <c r="K727" s="193" t="s">
        <v>2474</v>
      </c>
      <c r="L727" s="193"/>
      <c r="M727" s="193"/>
      <c r="N727" s="193">
        <v>3.0006844626967832</v>
      </c>
      <c r="O727" s="193"/>
      <c r="P727" s="193">
        <v>65</v>
      </c>
      <c r="Q727" s="193">
        <v>40</v>
      </c>
      <c r="R727" s="193">
        <v>-25</v>
      </c>
      <c r="S727" s="193"/>
      <c r="T727" s="193"/>
      <c r="U727" s="193"/>
      <c r="V727" s="193"/>
      <c r="W727" s="193"/>
      <c r="X727" s="193"/>
      <c r="Y727" s="193"/>
      <c r="Z727" s="193">
        <v>31.220700000000036</v>
      </c>
      <c r="AA727" s="193">
        <v>40</v>
      </c>
      <c r="AB727" s="193" t="s">
        <v>1281</v>
      </c>
      <c r="AC727" s="193" t="s">
        <v>1428</v>
      </c>
      <c r="AD727" s="193" t="s">
        <v>1429</v>
      </c>
      <c r="AE727" s="193" t="s">
        <v>1430</v>
      </c>
      <c r="AF727" s="193" t="s">
        <v>997</v>
      </c>
      <c r="AG727" s="193" t="s">
        <v>1141</v>
      </c>
      <c r="AH727" s="193" t="s">
        <v>997</v>
      </c>
      <c r="AI727" s="193" t="s">
        <v>997</v>
      </c>
      <c r="AJ727" s="193" t="s">
        <v>1431</v>
      </c>
      <c r="AK727" s="193" t="s">
        <v>1431</v>
      </c>
      <c r="AL727" s="193" t="s">
        <v>1431</v>
      </c>
    </row>
    <row r="728" spans="7:38">
      <c r="G728" s="193" t="s">
        <v>2475</v>
      </c>
      <c r="H728" s="193" t="s">
        <v>2472</v>
      </c>
      <c r="I728" s="193" t="s">
        <v>2476</v>
      </c>
      <c r="J728" s="193" t="s">
        <v>2476</v>
      </c>
      <c r="K728" s="193" t="s">
        <v>2474</v>
      </c>
      <c r="L728" s="193"/>
      <c r="M728" s="193"/>
      <c r="N728" s="193">
        <v>3.0006844626967832</v>
      </c>
      <c r="O728" s="193"/>
      <c r="P728" s="193"/>
      <c r="Q728" s="193">
        <v>58</v>
      </c>
      <c r="R728" s="193"/>
      <c r="S728" s="193"/>
      <c r="T728" s="193"/>
      <c r="U728" s="193"/>
      <c r="V728" s="193"/>
      <c r="W728" s="193"/>
      <c r="X728" s="193"/>
      <c r="Y728" s="193"/>
      <c r="Z728" s="193" t="s">
        <v>1432</v>
      </c>
      <c r="AA728" s="193" t="s">
        <v>1432</v>
      </c>
      <c r="AB728" s="193" t="s">
        <v>1281</v>
      </c>
      <c r="AC728" s="193" t="s">
        <v>1428</v>
      </c>
      <c r="AD728" s="193" t="s">
        <v>1429</v>
      </c>
      <c r="AE728" s="193" t="s">
        <v>1430</v>
      </c>
      <c r="AF728" s="193" t="s">
        <v>997</v>
      </c>
      <c r="AG728" s="193" t="s">
        <v>1141</v>
      </c>
      <c r="AH728" s="193" t="s">
        <v>997</v>
      </c>
      <c r="AI728" s="193" t="s">
        <v>997</v>
      </c>
      <c r="AJ728" s="193" t="s">
        <v>1431</v>
      </c>
      <c r="AK728" s="193" t="s">
        <v>1431</v>
      </c>
      <c r="AL728" s="193" t="s">
        <v>1431</v>
      </c>
    </row>
    <row r="729" spans="7:38">
      <c r="G729" s="193" t="s">
        <v>2477</v>
      </c>
      <c r="H729" s="193" t="s">
        <v>2472</v>
      </c>
      <c r="I729" s="193" t="s">
        <v>2478</v>
      </c>
      <c r="J729" s="193" t="s">
        <v>2478</v>
      </c>
      <c r="K729" s="193" t="s">
        <v>2474</v>
      </c>
      <c r="L729" s="193"/>
      <c r="M729" s="193"/>
      <c r="N729" s="193">
        <v>4.9993155373032172</v>
      </c>
      <c r="O729" s="193"/>
      <c r="P729" s="193">
        <v>90</v>
      </c>
      <c r="Q729" s="193">
        <v>65</v>
      </c>
      <c r="R729" s="193">
        <v>-25</v>
      </c>
      <c r="S729" s="193"/>
      <c r="T729" s="193"/>
      <c r="U729" s="193"/>
      <c r="V729" s="193"/>
      <c r="W729" s="193"/>
      <c r="X729" s="193"/>
      <c r="Y729" s="193"/>
      <c r="Z729" s="193" t="s">
        <v>1432</v>
      </c>
      <c r="AA729" s="193" t="s">
        <v>1432</v>
      </c>
      <c r="AB729" s="193" t="s">
        <v>1281</v>
      </c>
      <c r="AC729" s="193" t="s">
        <v>1428</v>
      </c>
      <c r="AD729" s="193" t="s">
        <v>1429</v>
      </c>
      <c r="AE729" s="193" t="s">
        <v>1430</v>
      </c>
      <c r="AF729" s="193" t="s">
        <v>997</v>
      </c>
      <c r="AG729" s="193" t="s">
        <v>1141</v>
      </c>
      <c r="AH729" s="193" t="s">
        <v>997</v>
      </c>
      <c r="AI729" s="193" t="s">
        <v>997</v>
      </c>
      <c r="AJ729" s="193" t="s">
        <v>1431</v>
      </c>
      <c r="AK729" s="193" t="s">
        <v>1431</v>
      </c>
      <c r="AL729" s="193" t="s">
        <v>1431</v>
      </c>
    </row>
    <row r="730" spans="7:38">
      <c r="G730" s="193" t="s">
        <v>2479</v>
      </c>
      <c r="H730" s="193" t="s">
        <v>2480</v>
      </c>
      <c r="I730" s="193" t="s">
        <v>2481</v>
      </c>
      <c r="J730" s="193" t="s">
        <v>2481</v>
      </c>
      <c r="K730" s="193" t="s">
        <v>2482</v>
      </c>
      <c r="L730" s="193"/>
      <c r="M730" s="193"/>
      <c r="N730" s="193">
        <v>5.160848733744011</v>
      </c>
      <c r="O730" s="193"/>
      <c r="P730" s="193">
        <v>265</v>
      </c>
      <c r="Q730" s="193">
        <v>240</v>
      </c>
      <c r="R730" s="193">
        <v>-25</v>
      </c>
      <c r="S730" s="193"/>
      <c r="T730" s="193">
        <v>1100</v>
      </c>
      <c r="U730" s="193">
        <v>1100000000</v>
      </c>
      <c r="V730" s="193">
        <v>1550</v>
      </c>
      <c r="W730" s="193"/>
      <c r="X730" s="193">
        <v>0</v>
      </c>
      <c r="Y730" s="193">
        <v>-29.03</v>
      </c>
      <c r="Z730" s="193">
        <v>215.85989999999998</v>
      </c>
      <c r="AA730" s="193">
        <v>240</v>
      </c>
      <c r="AB730" s="193" t="s">
        <v>1281</v>
      </c>
      <c r="AC730" s="193" t="s">
        <v>1428</v>
      </c>
      <c r="AD730" s="193" t="s">
        <v>1897</v>
      </c>
      <c r="AE730" s="193" t="s">
        <v>1897</v>
      </c>
      <c r="AF730" s="193" t="s">
        <v>1432</v>
      </c>
      <c r="AG730" s="193" t="s">
        <v>969</v>
      </c>
      <c r="AH730" s="193" t="s">
        <v>877</v>
      </c>
      <c r="AI730" s="193" t="s">
        <v>877</v>
      </c>
      <c r="AJ730" s="193" t="s">
        <v>1431</v>
      </c>
      <c r="AK730" s="193" t="s">
        <v>1431</v>
      </c>
      <c r="AL730" s="193" t="s">
        <v>1431</v>
      </c>
    </row>
    <row r="731" spans="7:38">
      <c r="G731" s="193" t="s">
        <v>2483</v>
      </c>
      <c r="H731" s="193" t="s">
        <v>1944</v>
      </c>
      <c r="I731" s="193" t="s">
        <v>2484</v>
      </c>
      <c r="J731" s="193" t="s">
        <v>2484</v>
      </c>
      <c r="K731" s="193" t="s">
        <v>1945</v>
      </c>
      <c r="L731" s="193"/>
      <c r="M731" s="193"/>
      <c r="N731" s="193">
        <v>5.0020533880903493</v>
      </c>
      <c r="O731" s="193"/>
      <c r="P731" s="193">
        <v>115</v>
      </c>
      <c r="Q731" s="193">
        <v>95</v>
      </c>
      <c r="R731" s="193">
        <v>-20</v>
      </c>
      <c r="S731" s="193">
        <v>5</v>
      </c>
      <c r="T731" s="193">
        <v>1150</v>
      </c>
      <c r="U731" s="193">
        <v>1150000000</v>
      </c>
      <c r="V731" s="193">
        <v>1400</v>
      </c>
      <c r="W731" s="193"/>
      <c r="X731" s="193">
        <v>0</v>
      </c>
      <c r="Y731" s="193">
        <v>-17.86</v>
      </c>
      <c r="Z731" s="193">
        <v>74.698300000000017</v>
      </c>
      <c r="AA731" s="193">
        <v>95</v>
      </c>
      <c r="AB731" s="193" t="s">
        <v>1281</v>
      </c>
      <c r="AC731" s="193" t="s">
        <v>1428</v>
      </c>
      <c r="AD731" s="193" t="s">
        <v>1437</v>
      </c>
      <c r="AE731" s="193" t="s">
        <v>1896</v>
      </c>
      <c r="AF731" s="193" t="s">
        <v>953</v>
      </c>
      <c r="AG731" s="193" t="s">
        <v>939</v>
      </c>
      <c r="AH731" s="193" t="s">
        <v>1432</v>
      </c>
      <c r="AI731" s="193" t="s">
        <v>953</v>
      </c>
      <c r="AJ731" s="193" t="s">
        <v>1431</v>
      </c>
      <c r="AK731" s="193" t="s">
        <v>1431</v>
      </c>
      <c r="AL731" s="193" t="s">
        <v>1431</v>
      </c>
    </row>
    <row r="732" spans="7:38">
      <c r="G732" s="193" t="s">
        <v>2485</v>
      </c>
      <c r="H732" s="193" t="s">
        <v>2486</v>
      </c>
      <c r="I732" s="193" t="s">
        <v>2487</v>
      </c>
      <c r="J732" s="193" t="s">
        <v>2487</v>
      </c>
      <c r="K732" s="193" t="s">
        <v>2488</v>
      </c>
      <c r="L732" s="193"/>
      <c r="M732" s="193"/>
      <c r="N732" s="193">
        <v>4.9993155373032172</v>
      </c>
      <c r="O732" s="193"/>
      <c r="P732" s="193">
        <v>225</v>
      </c>
      <c r="Q732" s="193">
        <v>210</v>
      </c>
      <c r="R732" s="193">
        <v>-15</v>
      </c>
      <c r="S732" s="193">
        <v>15</v>
      </c>
      <c r="T732" s="193">
        <v>2600</v>
      </c>
      <c r="U732" s="193">
        <v>2600000000</v>
      </c>
      <c r="V732" s="193">
        <v>2750</v>
      </c>
      <c r="W732" s="193"/>
      <c r="X732" s="193">
        <v>0</v>
      </c>
      <c r="Y732" s="193">
        <v>-5.45</v>
      </c>
      <c r="Z732" s="193">
        <v>182.04390000000004</v>
      </c>
      <c r="AA732" s="193">
        <v>210</v>
      </c>
      <c r="AB732" s="193" t="s">
        <v>1281</v>
      </c>
      <c r="AC732" s="193" t="s">
        <v>1428</v>
      </c>
      <c r="AD732" s="193" t="s">
        <v>1864</v>
      </c>
      <c r="AE732" s="193" t="s">
        <v>1877</v>
      </c>
      <c r="AF732" s="193" t="s">
        <v>877</v>
      </c>
      <c r="AG732" s="193" t="s">
        <v>1432</v>
      </c>
      <c r="AH732" s="193" t="s">
        <v>877</v>
      </c>
      <c r="AI732" s="193" t="s">
        <v>877</v>
      </c>
      <c r="AJ732" s="193" t="s">
        <v>1431</v>
      </c>
      <c r="AK732" s="193" t="s">
        <v>1431</v>
      </c>
      <c r="AL732" s="193" t="s">
        <v>1431</v>
      </c>
    </row>
    <row r="733" spans="7:38">
      <c r="G733" s="193" t="s">
        <v>2489</v>
      </c>
      <c r="H733" s="193" t="s">
        <v>2490</v>
      </c>
      <c r="I733" s="193" t="s">
        <v>2491</v>
      </c>
      <c r="J733" s="193" t="s">
        <v>2491</v>
      </c>
      <c r="K733" s="193" t="s">
        <v>2492</v>
      </c>
      <c r="L733" s="193"/>
      <c r="M733" s="193"/>
      <c r="N733" s="193">
        <v>5.0020533880903493</v>
      </c>
      <c r="O733" s="193"/>
      <c r="P733" s="193">
        <v>250</v>
      </c>
      <c r="Q733" s="193">
        <v>220</v>
      </c>
      <c r="R733" s="193">
        <v>-30</v>
      </c>
      <c r="S733" s="193"/>
      <c r="T733" s="193">
        <v>2600</v>
      </c>
      <c r="U733" s="193">
        <v>2600000000</v>
      </c>
      <c r="V733" s="193">
        <v>3100</v>
      </c>
      <c r="W733" s="193"/>
      <c r="X733" s="193">
        <v>0</v>
      </c>
      <c r="Y733" s="193">
        <v>-16.13</v>
      </c>
      <c r="Z733" s="193">
        <v>149.77400000000003</v>
      </c>
      <c r="AA733" s="193">
        <v>220</v>
      </c>
      <c r="AB733" s="193" t="s">
        <v>1281</v>
      </c>
      <c r="AC733" s="193" t="s">
        <v>1428</v>
      </c>
      <c r="AD733" s="193" t="s">
        <v>1437</v>
      </c>
      <c r="AE733" s="193" t="s">
        <v>1934</v>
      </c>
      <c r="AF733" s="193" t="s">
        <v>1432</v>
      </c>
      <c r="AG733" s="193" t="s">
        <v>875</v>
      </c>
      <c r="AH733" s="193" t="s">
        <v>877</v>
      </c>
      <c r="AI733" s="193" t="s">
        <v>877</v>
      </c>
      <c r="AJ733" s="193" t="s">
        <v>1431</v>
      </c>
      <c r="AK733" s="193" t="s">
        <v>1431</v>
      </c>
      <c r="AL733" s="193" t="s">
        <v>1431</v>
      </c>
    </row>
    <row r="734" spans="7:38">
      <c r="G734" s="193" t="s">
        <v>2493</v>
      </c>
      <c r="H734" s="193" t="s">
        <v>2494</v>
      </c>
      <c r="I734" s="193" t="s">
        <v>2495</v>
      </c>
      <c r="J734" s="193" t="s">
        <v>2495</v>
      </c>
      <c r="K734" s="193" t="s">
        <v>1584</v>
      </c>
      <c r="L734" s="193"/>
      <c r="M734" s="193"/>
      <c r="N734" s="193">
        <v>10.028747433264886</v>
      </c>
      <c r="O734" s="193"/>
      <c r="P734" s="193">
        <v>117.5</v>
      </c>
      <c r="Q734" s="193">
        <v>92</v>
      </c>
      <c r="R734" s="193">
        <v>-26</v>
      </c>
      <c r="S734" s="193">
        <v>0</v>
      </c>
      <c r="T734" s="193">
        <v>1800</v>
      </c>
      <c r="U734" s="193">
        <v>1800000000</v>
      </c>
      <c r="V734" s="193">
        <v>3300</v>
      </c>
      <c r="W734" s="193"/>
      <c r="X734" s="193">
        <v>0</v>
      </c>
      <c r="Y734" s="193">
        <v>-45.45</v>
      </c>
      <c r="Z734" s="193">
        <v>68.917600000000064</v>
      </c>
      <c r="AA734" s="193">
        <v>92</v>
      </c>
      <c r="AB734" s="193" t="s">
        <v>1281</v>
      </c>
      <c r="AC734" s="193" t="s">
        <v>1441</v>
      </c>
      <c r="AD734" s="193" t="s">
        <v>1442</v>
      </c>
      <c r="AE734" s="193" t="s">
        <v>1443</v>
      </c>
      <c r="AF734" s="193" t="s">
        <v>876</v>
      </c>
      <c r="AG734" s="193" t="s">
        <v>874</v>
      </c>
      <c r="AH734" s="193" t="s">
        <v>1432</v>
      </c>
      <c r="AI734" s="193" t="s">
        <v>876</v>
      </c>
      <c r="AJ734" s="193" t="s">
        <v>1431</v>
      </c>
      <c r="AK734" s="193" t="s">
        <v>1431</v>
      </c>
      <c r="AL734" s="193" t="s">
        <v>1431</v>
      </c>
    </row>
    <row r="735" spans="7:38">
      <c r="G735" s="193" t="s">
        <v>2496</v>
      </c>
      <c r="H735" s="193" t="s">
        <v>2497</v>
      </c>
      <c r="I735" s="193" t="s">
        <v>2498</v>
      </c>
      <c r="J735" s="193" t="s">
        <v>2498</v>
      </c>
      <c r="K735" s="193" t="s">
        <v>1565</v>
      </c>
      <c r="L735" s="193"/>
      <c r="M735" s="193"/>
      <c r="N735" s="193">
        <v>3.0006844626967832</v>
      </c>
      <c r="O735" s="193"/>
      <c r="P735" s="193">
        <v>105</v>
      </c>
      <c r="Q735" s="193">
        <v>75</v>
      </c>
      <c r="R735" s="193">
        <v>-30</v>
      </c>
      <c r="S735" s="193">
        <v>0</v>
      </c>
      <c r="T735" s="193">
        <v>3700</v>
      </c>
      <c r="U735" s="193">
        <v>3700000000</v>
      </c>
      <c r="V735" s="193">
        <v>5100</v>
      </c>
      <c r="W735" s="193"/>
      <c r="X735" s="193">
        <v>0</v>
      </c>
      <c r="Y735" s="193">
        <v>-27.45</v>
      </c>
      <c r="Z735" s="193">
        <v>55.983299999999979</v>
      </c>
      <c r="AA735" s="193">
        <v>75</v>
      </c>
      <c r="AB735" s="193" t="s">
        <v>1281</v>
      </c>
      <c r="AC735" s="193" t="s">
        <v>1439</v>
      </c>
      <c r="AD735" s="193" t="s">
        <v>2081</v>
      </c>
      <c r="AE735" s="193" t="s">
        <v>2081</v>
      </c>
      <c r="AF735" s="193" t="s">
        <v>932</v>
      </c>
      <c r="AG735" s="193" t="s">
        <v>875</v>
      </c>
      <c r="AH735" s="193" t="s">
        <v>932</v>
      </c>
      <c r="AI735" s="193" t="s">
        <v>932</v>
      </c>
      <c r="AJ735" s="193" t="s">
        <v>1431</v>
      </c>
      <c r="AK735" s="193" t="s">
        <v>1431</v>
      </c>
      <c r="AL735" s="193" t="s">
        <v>1431</v>
      </c>
    </row>
    <row r="736" spans="7:38">
      <c r="G736" s="193" t="s">
        <v>2499</v>
      </c>
      <c r="H736" s="193" t="s">
        <v>2497</v>
      </c>
      <c r="I736" s="193" t="s">
        <v>2500</v>
      </c>
      <c r="J736" s="193" t="s">
        <v>2500</v>
      </c>
      <c r="K736" s="193" t="s">
        <v>1565</v>
      </c>
      <c r="L736" s="193"/>
      <c r="M736" s="193"/>
      <c r="N736" s="193">
        <v>4.9993155373032172</v>
      </c>
      <c r="O736" s="193"/>
      <c r="P736" s="193">
        <v>125</v>
      </c>
      <c r="Q736" s="193">
        <v>95</v>
      </c>
      <c r="R736" s="193">
        <v>-30</v>
      </c>
      <c r="S736" s="193">
        <v>0</v>
      </c>
      <c r="T736" s="193">
        <v>4600</v>
      </c>
      <c r="U736" s="193">
        <v>4600000000</v>
      </c>
      <c r="V736" s="193">
        <v>6200</v>
      </c>
      <c r="W736" s="193"/>
      <c r="X736" s="193">
        <v>0</v>
      </c>
      <c r="Y736" s="193">
        <v>-25.81</v>
      </c>
      <c r="Z736" s="193">
        <v>67.135999999999996</v>
      </c>
      <c r="AA736" s="193">
        <v>95</v>
      </c>
      <c r="AB736" s="193" t="s">
        <v>1281</v>
      </c>
      <c r="AC736" s="193" t="s">
        <v>1439</v>
      </c>
      <c r="AD736" s="193" t="s">
        <v>2081</v>
      </c>
      <c r="AE736" s="193" t="s">
        <v>2081</v>
      </c>
      <c r="AF736" s="193" t="s">
        <v>932</v>
      </c>
      <c r="AG736" s="193" t="s">
        <v>875</v>
      </c>
      <c r="AH736" s="193" t="s">
        <v>932</v>
      </c>
      <c r="AI736" s="193" t="s">
        <v>932</v>
      </c>
      <c r="AJ736" s="193" t="s">
        <v>1431</v>
      </c>
      <c r="AK736" s="193" t="s">
        <v>1431</v>
      </c>
      <c r="AL736" s="193" t="s">
        <v>1431</v>
      </c>
    </row>
    <row r="737" spans="7:38">
      <c r="G737" s="193" t="s">
        <v>2501</v>
      </c>
      <c r="H737" s="193" t="s">
        <v>2497</v>
      </c>
      <c r="I737" s="193" t="s">
        <v>2502</v>
      </c>
      <c r="J737" s="193" t="s">
        <v>2502</v>
      </c>
      <c r="K737" s="193" t="s">
        <v>1565</v>
      </c>
      <c r="L737" s="193"/>
      <c r="M737" s="193"/>
      <c r="N737" s="193">
        <v>7.0006844626967828</v>
      </c>
      <c r="O737" s="193"/>
      <c r="P737" s="193">
        <v>135</v>
      </c>
      <c r="Q737" s="193">
        <v>110</v>
      </c>
      <c r="R737" s="193">
        <v>-25</v>
      </c>
      <c r="S737" s="193">
        <v>5</v>
      </c>
      <c r="T737" s="193">
        <v>3100</v>
      </c>
      <c r="U737" s="193">
        <v>3100000000</v>
      </c>
      <c r="V737" s="193">
        <v>4250</v>
      </c>
      <c r="W737" s="193"/>
      <c r="X737" s="193">
        <v>0</v>
      </c>
      <c r="Y737" s="193">
        <v>-27.06</v>
      </c>
      <c r="Z737" s="193">
        <v>77.329999999999984</v>
      </c>
      <c r="AA737" s="193">
        <v>110</v>
      </c>
      <c r="AB737" s="193" t="s">
        <v>1281</v>
      </c>
      <c r="AC737" s="193" t="s">
        <v>1439</v>
      </c>
      <c r="AD737" s="193" t="s">
        <v>2081</v>
      </c>
      <c r="AE737" s="193" t="s">
        <v>2081</v>
      </c>
      <c r="AF737" s="193" t="s">
        <v>932</v>
      </c>
      <c r="AG737" s="193" t="s">
        <v>875</v>
      </c>
      <c r="AH737" s="193" t="s">
        <v>932</v>
      </c>
      <c r="AI737" s="193" t="s">
        <v>932</v>
      </c>
      <c r="AJ737" s="193" t="s">
        <v>1431</v>
      </c>
      <c r="AK737" s="193" t="s">
        <v>1431</v>
      </c>
      <c r="AL737" s="193" t="s">
        <v>1431</v>
      </c>
    </row>
    <row r="738" spans="7:38">
      <c r="G738" s="193" t="s">
        <v>2503</v>
      </c>
      <c r="H738" s="193" t="s">
        <v>2497</v>
      </c>
      <c r="I738" s="193" t="s">
        <v>2504</v>
      </c>
      <c r="J738" s="193" t="s">
        <v>2504</v>
      </c>
      <c r="K738" s="193" t="s">
        <v>1565</v>
      </c>
      <c r="L738" s="193"/>
      <c r="M738" s="193"/>
      <c r="N738" s="193">
        <v>9.9986310746064344</v>
      </c>
      <c r="O738" s="193"/>
      <c r="P738" s="193">
        <v>145</v>
      </c>
      <c r="Q738" s="193">
        <v>120</v>
      </c>
      <c r="R738" s="193">
        <v>-25</v>
      </c>
      <c r="S738" s="193">
        <v>5</v>
      </c>
      <c r="T738" s="193">
        <v>2650</v>
      </c>
      <c r="U738" s="193">
        <v>2650000000</v>
      </c>
      <c r="V738" s="193">
        <v>4800</v>
      </c>
      <c r="W738" s="193"/>
      <c r="X738" s="193">
        <v>0</v>
      </c>
      <c r="Y738" s="193">
        <v>-44.79</v>
      </c>
      <c r="Z738" s="193">
        <v>97.406500000000037</v>
      </c>
      <c r="AA738" s="193">
        <v>120</v>
      </c>
      <c r="AB738" s="193" t="s">
        <v>1281</v>
      </c>
      <c r="AC738" s="193" t="s">
        <v>1439</v>
      </c>
      <c r="AD738" s="193" t="s">
        <v>2081</v>
      </c>
      <c r="AE738" s="193" t="s">
        <v>2081</v>
      </c>
      <c r="AF738" s="193" t="s">
        <v>932</v>
      </c>
      <c r="AG738" s="193" t="s">
        <v>875</v>
      </c>
      <c r="AH738" s="193" t="s">
        <v>932</v>
      </c>
      <c r="AI738" s="193" t="s">
        <v>932</v>
      </c>
      <c r="AJ738" s="193" t="s">
        <v>1431</v>
      </c>
      <c r="AK738" s="193" t="s">
        <v>1431</v>
      </c>
      <c r="AL738" s="193" t="s">
        <v>1431</v>
      </c>
    </row>
    <row r="739" spans="7:38">
      <c r="G739" s="193" t="s">
        <v>2505</v>
      </c>
      <c r="H739" s="193" t="s">
        <v>2506</v>
      </c>
      <c r="I739" s="193" t="s">
        <v>2507</v>
      </c>
      <c r="J739" s="193" t="s">
        <v>2507</v>
      </c>
      <c r="K739" s="193" t="s">
        <v>1585</v>
      </c>
      <c r="L739" s="193"/>
      <c r="M739" s="193"/>
      <c r="N739" s="193">
        <v>2.9842573579739904</v>
      </c>
      <c r="O739" s="193"/>
      <c r="P739" s="193">
        <v>120</v>
      </c>
      <c r="Q739" s="193">
        <v>85</v>
      </c>
      <c r="R739" s="193">
        <v>-35</v>
      </c>
      <c r="S739" s="193">
        <v>0</v>
      </c>
      <c r="T739" s="193">
        <v>2300</v>
      </c>
      <c r="U739" s="193">
        <v>2300000000</v>
      </c>
      <c r="V739" s="193">
        <v>3600</v>
      </c>
      <c r="W739" s="193"/>
      <c r="X739" s="193">
        <v>0</v>
      </c>
      <c r="Y739" s="193">
        <v>-36.11</v>
      </c>
      <c r="Z739" s="193">
        <v>70.942399999999978</v>
      </c>
      <c r="AA739" s="193">
        <v>85</v>
      </c>
      <c r="AB739" s="193" t="s">
        <v>1281</v>
      </c>
      <c r="AC739" s="193" t="s">
        <v>1428</v>
      </c>
      <c r="AD739" s="193" t="s">
        <v>1436</v>
      </c>
      <c r="AE739" s="193" t="s">
        <v>1914</v>
      </c>
      <c r="AF739" s="193" t="s">
        <v>877</v>
      </c>
      <c r="AG739" s="193" t="s">
        <v>969</v>
      </c>
      <c r="AH739" s="193" t="s">
        <v>877</v>
      </c>
      <c r="AI739" s="193" t="s">
        <v>877</v>
      </c>
      <c r="AJ739" s="193" t="s">
        <v>1431</v>
      </c>
      <c r="AK739" s="193" t="s">
        <v>1431</v>
      </c>
      <c r="AL739" s="193" t="s">
        <v>1431</v>
      </c>
    </row>
    <row r="740" spans="7:38">
      <c r="G740" s="193" t="s">
        <v>2508</v>
      </c>
      <c r="H740" s="193" t="s">
        <v>2506</v>
      </c>
      <c r="I740" s="193" t="s">
        <v>2509</v>
      </c>
      <c r="J740" s="193" t="s">
        <v>2509</v>
      </c>
      <c r="K740" s="193" t="s">
        <v>1585</v>
      </c>
      <c r="L740" s="193"/>
      <c r="M740" s="193"/>
      <c r="N740" s="193">
        <v>9.982203969883642</v>
      </c>
      <c r="O740" s="193"/>
      <c r="P740" s="193">
        <v>170</v>
      </c>
      <c r="Q740" s="193">
        <v>140</v>
      </c>
      <c r="R740" s="193">
        <v>-30</v>
      </c>
      <c r="S740" s="193">
        <v>2.5</v>
      </c>
      <c r="T740" s="193">
        <v>2700</v>
      </c>
      <c r="U740" s="193">
        <v>2700000000</v>
      </c>
      <c r="V740" s="193">
        <v>4300</v>
      </c>
      <c r="W740" s="193"/>
      <c r="X740" s="193">
        <v>0</v>
      </c>
      <c r="Y740" s="193">
        <v>-37.21</v>
      </c>
      <c r="Z740" s="193">
        <v>122.187</v>
      </c>
      <c r="AA740" s="193">
        <v>140</v>
      </c>
      <c r="AB740" s="193" t="s">
        <v>1281</v>
      </c>
      <c r="AC740" s="193" t="s">
        <v>1428</v>
      </c>
      <c r="AD740" s="193" t="s">
        <v>1436</v>
      </c>
      <c r="AE740" s="193" t="s">
        <v>1914</v>
      </c>
      <c r="AF740" s="193" t="s">
        <v>877</v>
      </c>
      <c r="AG740" s="193" t="s">
        <v>969</v>
      </c>
      <c r="AH740" s="193" t="s">
        <v>877</v>
      </c>
      <c r="AI740" s="193" t="s">
        <v>877</v>
      </c>
      <c r="AJ740" s="193" t="s">
        <v>1431</v>
      </c>
      <c r="AK740" s="193" t="s">
        <v>1431</v>
      </c>
      <c r="AL740" s="193" t="s">
        <v>1431</v>
      </c>
    </row>
    <row r="741" spans="7:38">
      <c r="G741" s="193" t="s">
        <v>2510</v>
      </c>
      <c r="H741" s="193" t="s">
        <v>2511</v>
      </c>
      <c r="I741" s="193" t="s">
        <v>2512</v>
      </c>
      <c r="J741" s="193" t="s">
        <v>2512</v>
      </c>
      <c r="K741" s="193" t="s">
        <v>1648</v>
      </c>
      <c r="L741" s="193"/>
      <c r="M741" s="193"/>
      <c r="N741" s="193">
        <v>1.998631074606434</v>
      </c>
      <c r="O741" s="193"/>
      <c r="P741" s="193">
        <v>85</v>
      </c>
      <c r="Q741" s="193">
        <v>65</v>
      </c>
      <c r="R741" s="193">
        <v>-20</v>
      </c>
      <c r="S741" s="193">
        <v>5</v>
      </c>
      <c r="T741" s="193">
        <v>800</v>
      </c>
      <c r="U741" s="193">
        <v>800000000</v>
      </c>
      <c r="V741" s="193"/>
      <c r="W741" s="193"/>
      <c r="X741" s="193"/>
      <c r="Y741" s="193"/>
      <c r="Z741" s="193">
        <v>51.548300000000054</v>
      </c>
      <c r="AA741" s="193">
        <v>65</v>
      </c>
      <c r="AB741" s="193" t="s">
        <v>1281</v>
      </c>
      <c r="AC741" s="193" t="s">
        <v>1433</v>
      </c>
      <c r="AD741" s="193" t="s">
        <v>1434</v>
      </c>
      <c r="AE741" s="193" t="s">
        <v>1867</v>
      </c>
      <c r="AF741" s="193" t="s">
        <v>876</v>
      </c>
      <c r="AG741" s="193" t="s">
        <v>874</v>
      </c>
      <c r="AH741" s="193" t="s">
        <v>1432</v>
      </c>
      <c r="AI741" s="193" t="s">
        <v>876</v>
      </c>
      <c r="AJ741" s="193" t="s">
        <v>1431</v>
      </c>
      <c r="AK741" s="193" t="s">
        <v>1431</v>
      </c>
      <c r="AL741" s="193" t="s">
        <v>1431</v>
      </c>
    </row>
    <row r="742" spans="7:38">
      <c r="G742" s="193" t="s">
        <v>2513</v>
      </c>
      <c r="H742" s="193" t="s">
        <v>2511</v>
      </c>
      <c r="I742" s="193" t="s">
        <v>2514</v>
      </c>
      <c r="J742" s="193" t="s">
        <v>2514</v>
      </c>
      <c r="K742" s="193" t="s">
        <v>1648</v>
      </c>
      <c r="L742" s="193"/>
      <c r="M742" s="193"/>
      <c r="N742" s="193">
        <v>1.998631074606434</v>
      </c>
      <c r="O742" s="193"/>
      <c r="P742" s="193"/>
      <c r="Q742" s="193">
        <v>78</v>
      </c>
      <c r="R742" s="193"/>
      <c r="S742" s="193"/>
      <c r="T742" s="193">
        <v>800</v>
      </c>
      <c r="U742" s="193">
        <v>800000000</v>
      </c>
      <c r="V742" s="193"/>
      <c r="W742" s="193"/>
      <c r="X742" s="193"/>
      <c r="Y742" s="193"/>
      <c r="Z742" s="193" t="s">
        <v>1432</v>
      </c>
      <c r="AA742" s="193" t="s">
        <v>1432</v>
      </c>
      <c r="AB742" s="193" t="s">
        <v>1281</v>
      </c>
      <c r="AC742" s="193" t="s">
        <v>1433</v>
      </c>
      <c r="AD742" s="193" t="s">
        <v>1434</v>
      </c>
      <c r="AE742" s="193" t="s">
        <v>1867</v>
      </c>
      <c r="AF742" s="193" t="s">
        <v>876</v>
      </c>
      <c r="AG742" s="193" t="s">
        <v>874</v>
      </c>
      <c r="AH742" s="193" t="s">
        <v>1432</v>
      </c>
      <c r="AI742" s="193" t="s">
        <v>876</v>
      </c>
      <c r="AJ742" s="193" t="s">
        <v>1431</v>
      </c>
      <c r="AK742" s="193" t="s">
        <v>1431</v>
      </c>
      <c r="AL742" s="193" t="s">
        <v>1431</v>
      </c>
    </row>
    <row r="743" spans="7:38">
      <c r="G743" s="193" t="s">
        <v>2515</v>
      </c>
      <c r="H743" s="193" t="s">
        <v>2511</v>
      </c>
      <c r="I743" s="193" t="s">
        <v>2516</v>
      </c>
      <c r="J743" s="193" t="s">
        <v>2516</v>
      </c>
      <c r="K743" s="193" t="s">
        <v>1648</v>
      </c>
      <c r="L743" s="193"/>
      <c r="M743" s="193"/>
      <c r="N743" s="193">
        <v>2.9979466119096507</v>
      </c>
      <c r="O743" s="193"/>
      <c r="P743" s="193">
        <v>95</v>
      </c>
      <c r="Q743" s="193">
        <v>75</v>
      </c>
      <c r="R743" s="193">
        <v>-20</v>
      </c>
      <c r="S743" s="193">
        <v>5</v>
      </c>
      <c r="T743" s="193">
        <v>700</v>
      </c>
      <c r="U743" s="193">
        <v>700000000</v>
      </c>
      <c r="V743" s="193"/>
      <c r="W743" s="193"/>
      <c r="X743" s="193"/>
      <c r="Y743" s="193"/>
      <c r="Z743" s="193">
        <v>49.7652</v>
      </c>
      <c r="AA743" s="193">
        <v>75</v>
      </c>
      <c r="AB743" s="193" t="s">
        <v>1281</v>
      </c>
      <c r="AC743" s="193" t="s">
        <v>1433</v>
      </c>
      <c r="AD743" s="193" t="s">
        <v>1434</v>
      </c>
      <c r="AE743" s="193" t="s">
        <v>1867</v>
      </c>
      <c r="AF743" s="193" t="s">
        <v>876</v>
      </c>
      <c r="AG743" s="193" t="s">
        <v>874</v>
      </c>
      <c r="AH743" s="193" t="s">
        <v>1432</v>
      </c>
      <c r="AI743" s="193" t="s">
        <v>876</v>
      </c>
      <c r="AJ743" s="193" t="s">
        <v>1431</v>
      </c>
      <c r="AK743" s="193" t="s">
        <v>1431</v>
      </c>
      <c r="AL743" s="193" t="s">
        <v>1431</v>
      </c>
    </row>
    <row r="744" spans="7:38">
      <c r="G744" s="193" t="s">
        <v>2517</v>
      </c>
      <c r="H744" s="193" t="s">
        <v>2511</v>
      </c>
      <c r="I744" s="193" t="s">
        <v>2518</v>
      </c>
      <c r="J744" s="193" t="s">
        <v>2518</v>
      </c>
      <c r="K744" s="193" t="s">
        <v>1648</v>
      </c>
      <c r="L744" s="193"/>
      <c r="M744" s="193"/>
      <c r="N744" s="193">
        <v>2.9979466119096507</v>
      </c>
      <c r="O744" s="193"/>
      <c r="P744" s="193"/>
      <c r="Q744" s="193">
        <v>93</v>
      </c>
      <c r="R744" s="193"/>
      <c r="S744" s="193"/>
      <c r="T744" s="193">
        <v>450</v>
      </c>
      <c r="U744" s="193">
        <v>450000000</v>
      </c>
      <c r="V744" s="193"/>
      <c r="W744" s="193"/>
      <c r="X744" s="193"/>
      <c r="Y744" s="193"/>
      <c r="Z744" s="193" t="s">
        <v>1432</v>
      </c>
      <c r="AA744" s="193" t="s">
        <v>1432</v>
      </c>
      <c r="AB744" s="193" t="s">
        <v>1281</v>
      </c>
      <c r="AC744" s="193" t="s">
        <v>1433</v>
      </c>
      <c r="AD744" s="193" t="s">
        <v>1434</v>
      </c>
      <c r="AE744" s="193" t="s">
        <v>1867</v>
      </c>
      <c r="AF744" s="193" t="s">
        <v>876</v>
      </c>
      <c r="AG744" s="193" t="s">
        <v>874</v>
      </c>
      <c r="AH744" s="193" t="s">
        <v>1432</v>
      </c>
      <c r="AI744" s="193" t="s">
        <v>876</v>
      </c>
      <c r="AJ744" s="193" t="s">
        <v>1431</v>
      </c>
      <c r="AK744" s="193" t="s">
        <v>1431</v>
      </c>
      <c r="AL744" s="193" t="s">
        <v>1431</v>
      </c>
    </row>
    <row r="745" spans="7:38">
      <c r="G745" s="193" t="s">
        <v>2519</v>
      </c>
      <c r="H745" s="193" t="s">
        <v>2511</v>
      </c>
      <c r="I745" s="193" t="s">
        <v>2520</v>
      </c>
      <c r="J745" s="193" t="s">
        <v>2520</v>
      </c>
      <c r="K745" s="193" t="s">
        <v>1648</v>
      </c>
      <c r="L745" s="193"/>
      <c r="M745" s="193"/>
      <c r="N745" s="193">
        <v>4.9993155373032172</v>
      </c>
      <c r="O745" s="193"/>
      <c r="P745" s="193">
        <v>115</v>
      </c>
      <c r="Q745" s="193">
        <v>95</v>
      </c>
      <c r="R745" s="193">
        <v>-20</v>
      </c>
      <c r="S745" s="193">
        <v>5</v>
      </c>
      <c r="T745" s="193">
        <v>980</v>
      </c>
      <c r="U745" s="193">
        <v>980000000</v>
      </c>
      <c r="V745" s="193"/>
      <c r="W745" s="193"/>
      <c r="X745" s="193"/>
      <c r="Y745" s="193"/>
      <c r="Z745" s="193">
        <v>65.988100000000031</v>
      </c>
      <c r="AA745" s="193">
        <v>95</v>
      </c>
      <c r="AB745" s="193" t="s">
        <v>1281</v>
      </c>
      <c r="AC745" s="193" t="s">
        <v>1433</v>
      </c>
      <c r="AD745" s="193" t="s">
        <v>1434</v>
      </c>
      <c r="AE745" s="193" t="s">
        <v>1867</v>
      </c>
      <c r="AF745" s="193" t="s">
        <v>876</v>
      </c>
      <c r="AG745" s="193" t="s">
        <v>874</v>
      </c>
      <c r="AH745" s="193" t="s">
        <v>1432</v>
      </c>
      <c r="AI745" s="193" t="s">
        <v>876</v>
      </c>
      <c r="AJ745" s="193" t="s">
        <v>1431</v>
      </c>
      <c r="AK745" s="193" t="s">
        <v>1431</v>
      </c>
      <c r="AL745" s="193" t="s">
        <v>1431</v>
      </c>
    </row>
    <row r="746" spans="7:38">
      <c r="G746" s="193" t="s">
        <v>2521</v>
      </c>
      <c r="H746" s="193" t="s">
        <v>2511</v>
      </c>
      <c r="I746" s="193" t="s">
        <v>2522</v>
      </c>
      <c r="J746" s="193" t="s">
        <v>2522</v>
      </c>
      <c r="K746" s="193" t="s">
        <v>1648</v>
      </c>
      <c r="L746" s="193"/>
      <c r="M746" s="193"/>
      <c r="N746" s="193">
        <v>9.9986310746064344</v>
      </c>
      <c r="O746" s="193"/>
      <c r="P746" s="193">
        <v>135</v>
      </c>
      <c r="Q746" s="193">
        <v>115</v>
      </c>
      <c r="R746" s="193">
        <v>-20</v>
      </c>
      <c r="S746" s="193">
        <v>5</v>
      </c>
      <c r="T746" s="193">
        <v>500</v>
      </c>
      <c r="U746" s="193">
        <v>500000000</v>
      </c>
      <c r="V746" s="193"/>
      <c r="W746" s="193"/>
      <c r="X746" s="193"/>
      <c r="Y746" s="193"/>
      <c r="Z746" s="193">
        <v>82.985899999999987</v>
      </c>
      <c r="AA746" s="193">
        <v>115</v>
      </c>
      <c r="AB746" s="193" t="s">
        <v>1281</v>
      </c>
      <c r="AC746" s="193" t="s">
        <v>1433</v>
      </c>
      <c r="AD746" s="193" t="s">
        <v>1434</v>
      </c>
      <c r="AE746" s="193" t="s">
        <v>1867</v>
      </c>
      <c r="AF746" s="193" t="s">
        <v>876</v>
      </c>
      <c r="AG746" s="193" t="s">
        <v>874</v>
      </c>
      <c r="AH746" s="193" t="s">
        <v>1432</v>
      </c>
      <c r="AI746" s="193" t="s">
        <v>876</v>
      </c>
      <c r="AJ746" s="193" t="s">
        <v>1431</v>
      </c>
      <c r="AK746" s="193" t="s">
        <v>1431</v>
      </c>
      <c r="AL746" s="193" t="s">
        <v>1431</v>
      </c>
    </row>
    <row r="747" spans="7:38">
      <c r="G747" s="193" t="s">
        <v>2523</v>
      </c>
      <c r="H747" s="193" t="s">
        <v>2524</v>
      </c>
      <c r="I747" s="193" t="s">
        <v>2525</v>
      </c>
      <c r="J747" s="193" t="s">
        <v>2525</v>
      </c>
      <c r="K747" s="193" t="s">
        <v>2526</v>
      </c>
      <c r="L747" s="193"/>
      <c r="M747" s="193"/>
      <c r="N747" s="193">
        <v>7.0006844626967828</v>
      </c>
      <c r="O747" s="193"/>
      <c r="P747" s="193">
        <v>150</v>
      </c>
      <c r="Q747" s="193">
        <v>130</v>
      </c>
      <c r="R747" s="193">
        <v>-20</v>
      </c>
      <c r="S747" s="193">
        <v>5</v>
      </c>
      <c r="T747" s="193">
        <v>1000</v>
      </c>
      <c r="U747" s="193">
        <v>1000000000</v>
      </c>
      <c r="V747" s="193">
        <v>1400</v>
      </c>
      <c r="W747" s="193"/>
      <c r="X747" s="193">
        <v>0</v>
      </c>
      <c r="Y747" s="193">
        <v>-28.57</v>
      </c>
      <c r="Z747" s="193">
        <v>109.89659999999999</v>
      </c>
      <c r="AA747" s="193">
        <v>130</v>
      </c>
      <c r="AB747" s="193" t="s">
        <v>1281</v>
      </c>
      <c r="AC747" s="193" t="s">
        <v>1428</v>
      </c>
      <c r="AD747" s="193" t="s">
        <v>1437</v>
      </c>
      <c r="AE747" s="193" t="s">
        <v>1896</v>
      </c>
      <c r="AF747" s="193" t="s">
        <v>876</v>
      </c>
      <c r="AG747" s="193" t="s">
        <v>874</v>
      </c>
      <c r="AH747" s="193" t="s">
        <v>876</v>
      </c>
      <c r="AI747" s="193" t="s">
        <v>876</v>
      </c>
      <c r="AJ747" s="193" t="s">
        <v>1431</v>
      </c>
      <c r="AK747" s="193" t="s">
        <v>1431</v>
      </c>
      <c r="AL747" s="193" t="s">
        <v>1431</v>
      </c>
    </row>
    <row r="748" spans="7:38">
      <c r="G748" s="193" t="s">
        <v>2527</v>
      </c>
      <c r="H748" s="193" t="s">
        <v>2528</v>
      </c>
      <c r="I748" s="193" t="s">
        <v>2529</v>
      </c>
      <c r="J748" s="193" t="s">
        <v>2529</v>
      </c>
      <c r="K748" s="193" t="s">
        <v>2530</v>
      </c>
      <c r="L748" s="193"/>
      <c r="M748" s="193"/>
      <c r="N748" s="193">
        <v>29.998631074606433</v>
      </c>
      <c r="O748" s="193"/>
      <c r="P748" s="193">
        <v>145</v>
      </c>
      <c r="Q748" s="193">
        <v>145</v>
      </c>
      <c r="R748" s="193">
        <v>0</v>
      </c>
      <c r="S748" s="193">
        <v>2</v>
      </c>
      <c r="T748" s="193">
        <v>1900</v>
      </c>
      <c r="U748" s="193">
        <v>1900000000</v>
      </c>
      <c r="V748" s="193">
        <v>1900</v>
      </c>
      <c r="W748" s="193"/>
      <c r="X748" s="193">
        <v>0</v>
      </c>
      <c r="Y748" s="193">
        <v>0</v>
      </c>
      <c r="Z748" s="193">
        <v>113.4843</v>
      </c>
      <c r="AA748" s="193">
        <v>145</v>
      </c>
      <c r="AB748" s="193" t="s">
        <v>1281</v>
      </c>
      <c r="AC748" s="193" t="s">
        <v>1872</v>
      </c>
      <c r="AD748" s="193" t="s">
        <v>2013</v>
      </c>
      <c r="AE748" s="193" t="s">
        <v>2531</v>
      </c>
      <c r="AF748" s="193" t="s">
        <v>950</v>
      </c>
      <c r="AG748" s="193" t="s">
        <v>942</v>
      </c>
      <c r="AH748" s="193" t="s">
        <v>1432</v>
      </c>
      <c r="AI748" s="193" t="s">
        <v>950</v>
      </c>
      <c r="AJ748" s="193" t="s">
        <v>1431</v>
      </c>
      <c r="AK748" s="193" t="s">
        <v>1431</v>
      </c>
      <c r="AL748" s="193" t="s">
        <v>1431</v>
      </c>
    </row>
    <row r="749" spans="7:38">
      <c r="G749" s="193" t="s">
        <v>2532</v>
      </c>
      <c r="H749" s="193" t="s">
        <v>2533</v>
      </c>
      <c r="I749" s="193" t="s">
        <v>2534</v>
      </c>
      <c r="J749" s="193" t="s">
        <v>2534</v>
      </c>
      <c r="K749" s="193" t="s">
        <v>1623</v>
      </c>
      <c r="L749" s="193"/>
      <c r="M749" s="193"/>
      <c r="N749" s="193">
        <v>3.0006844626967832</v>
      </c>
      <c r="O749" s="193"/>
      <c r="P749" s="193">
        <v>165</v>
      </c>
      <c r="Q749" s="193">
        <v>135</v>
      </c>
      <c r="R749" s="193">
        <v>-30</v>
      </c>
      <c r="S749" s="193">
        <v>20</v>
      </c>
      <c r="T749" s="193"/>
      <c r="U749" s="193"/>
      <c r="V749" s="193"/>
      <c r="W749" s="193"/>
      <c r="X749" s="193"/>
      <c r="Y749" s="193"/>
      <c r="Z749" s="193">
        <v>96.086300000000023</v>
      </c>
      <c r="AA749" s="193">
        <v>135</v>
      </c>
      <c r="AB749" s="193" t="s">
        <v>1281</v>
      </c>
      <c r="AC749" s="193" t="s">
        <v>1433</v>
      </c>
      <c r="AD749" s="193" t="s">
        <v>1958</v>
      </c>
      <c r="AE749" s="193" t="s">
        <v>1959</v>
      </c>
      <c r="AF749" s="193" t="s">
        <v>932</v>
      </c>
      <c r="AG749" s="193" t="s">
        <v>933</v>
      </c>
      <c r="AH749" s="193" t="s">
        <v>1432</v>
      </c>
      <c r="AI749" s="193" t="s">
        <v>932</v>
      </c>
      <c r="AJ749" s="193" t="s">
        <v>1431</v>
      </c>
      <c r="AK749" s="193" t="s">
        <v>1431</v>
      </c>
      <c r="AL749" s="193" t="s">
        <v>1431</v>
      </c>
    </row>
    <row r="750" spans="7:38">
      <c r="G750" s="193" t="s">
        <v>2535</v>
      </c>
      <c r="H750" s="193" t="s">
        <v>2533</v>
      </c>
      <c r="I750" s="193" t="s">
        <v>2536</v>
      </c>
      <c r="J750" s="193" t="s">
        <v>2536</v>
      </c>
      <c r="K750" s="193" t="s">
        <v>1623</v>
      </c>
      <c r="L750" s="193"/>
      <c r="M750" s="193"/>
      <c r="N750" s="193">
        <v>4.9993155373032172</v>
      </c>
      <c r="O750" s="193"/>
      <c r="P750" s="193">
        <v>175</v>
      </c>
      <c r="Q750" s="193">
        <v>145</v>
      </c>
      <c r="R750" s="193">
        <v>-30</v>
      </c>
      <c r="S750" s="193">
        <v>20</v>
      </c>
      <c r="T750" s="193"/>
      <c r="U750" s="193"/>
      <c r="V750" s="193"/>
      <c r="W750" s="193"/>
      <c r="X750" s="193"/>
      <c r="Y750" s="193"/>
      <c r="Z750" s="193">
        <v>105.92629999999997</v>
      </c>
      <c r="AA750" s="193">
        <v>145</v>
      </c>
      <c r="AB750" s="193" t="s">
        <v>1281</v>
      </c>
      <c r="AC750" s="193" t="s">
        <v>1433</v>
      </c>
      <c r="AD750" s="193" t="s">
        <v>1958</v>
      </c>
      <c r="AE750" s="193" t="s">
        <v>1959</v>
      </c>
      <c r="AF750" s="193" t="s">
        <v>932</v>
      </c>
      <c r="AG750" s="193" t="s">
        <v>933</v>
      </c>
      <c r="AH750" s="193" t="s">
        <v>1432</v>
      </c>
      <c r="AI750" s="193" t="s">
        <v>932</v>
      </c>
      <c r="AJ750" s="193" t="s">
        <v>1431</v>
      </c>
      <c r="AK750" s="193" t="s">
        <v>1431</v>
      </c>
      <c r="AL750" s="193" t="s">
        <v>1431</v>
      </c>
    </row>
    <row r="751" spans="7:38">
      <c r="G751" s="193" t="s">
        <v>2537</v>
      </c>
      <c r="H751" s="193" t="s">
        <v>2533</v>
      </c>
      <c r="I751" s="193" t="s">
        <v>2538</v>
      </c>
      <c r="J751" s="193" t="s">
        <v>2538</v>
      </c>
      <c r="K751" s="193" t="s">
        <v>1623</v>
      </c>
      <c r="L751" s="193"/>
      <c r="M751" s="193"/>
      <c r="N751" s="193">
        <v>4.9993155373032172</v>
      </c>
      <c r="O751" s="193"/>
      <c r="P751" s="193"/>
      <c r="Q751" s="193">
        <v>170</v>
      </c>
      <c r="R751" s="193"/>
      <c r="S751" s="193"/>
      <c r="T751" s="193"/>
      <c r="U751" s="193"/>
      <c r="V751" s="193"/>
      <c r="W751" s="193"/>
      <c r="X751" s="193"/>
      <c r="Y751" s="193"/>
      <c r="Z751" s="193" t="s">
        <v>1432</v>
      </c>
      <c r="AA751" s="193" t="s">
        <v>1432</v>
      </c>
      <c r="AB751" s="193" t="s">
        <v>1281</v>
      </c>
      <c r="AC751" s="193" t="s">
        <v>1433</v>
      </c>
      <c r="AD751" s="193" t="s">
        <v>1958</v>
      </c>
      <c r="AE751" s="193" t="s">
        <v>1959</v>
      </c>
      <c r="AF751" s="193" t="s">
        <v>932</v>
      </c>
      <c r="AG751" s="193" t="s">
        <v>933</v>
      </c>
      <c r="AH751" s="193" t="s">
        <v>1432</v>
      </c>
      <c r="AI751" s="193" t="s">
        <v>932</v>
      </c>
      <c r="AJ751" s="193" t="s">
        <v>1431</v>
      </c>
      <c r="AK751" s="193" t="s">
        <v>1431</v>
      </c>
      <c r="AL751" s="193" t="s">
        <v>1431</v>
      </c>
    </row>
    <row r="752" spans="7:38">
      <c r="G752" s="193" t="s">
        <v>2539</v>
      </c>
      <c r="H752" s="193" t="s">
        <v>2533</v>
      </c>
      <c r="I752" s="193" t="s">
        <v>2540</v>
      </c>
      <c r="J752" s="193" t="s">
        <v>2540</v>
      </c>
      <c r="K752" s="193" t="s">
        <v>1623</v>
      </c>
      <c r="L752" s="193"/>
      <c r="M752" s="193"/>
      <c r="N752" s="193">
        <v>9.9986310746064344</v>
      </c>
      <c r="O752" s="193"/>
      <c r="P752" s="193">
        <v>205</v>
      </c>
      <c r="Q752" s="193">
        <v>170</v>
      </c>
      <c r="R752" s="193">
        <v>-35</v>
      </c>
      <c r="S752" s="193">
        <v>15</v>
      </c>
      <c r="T752" s="193"/>
      <c r="U752" s="193"/>
      <c r="V752" s="193"/>
      <c r="W752" s="193"/>
      <c r="X752" s="193"/>
      <c r="Y752" s="193"/>
      <c r="Z752" s="193">
        <v>126.60850000000003</v>
      </c>
      <c r="AA752" s="193">
        <v>170</v>
      </c>
      <c r="AB752" s="193" t="s">
        <v>1281</v>
      </c>
      <c r="AC752" s="193" t="s">
        <v>1433</v>
      </c>
      <c r="AD752" s="193" t="s">
        <v>1958</v>
      </c>
      <c r="AE752" s="193" t="s">
        <v>1959</v>
      </c>
      <c r="AF752" s="193" t="s">
        <v>932</v>
      </c>
      <c r="AG752" s="193" t="s">
        <v>933</v>
      </c>
      <c r="AH752" s="193" t="s">
        <v>1432</v>
      </c>
      <c r="AI752" s="193" t="s">
        <v>932</v>
      </c>
      <c r="AJ752" s="193" t="s">
        <v>1450</v>
      </c>
      <c r="AK752" s="193" t="s">
        <v>1431</v>
      </c>
      <c r="AL752" s="193" t="s">
        <v>1431</v>
      </c>
    </row>
    <row r="753" spans="7:38">
      <c r="G753" s="193" t="s">
        <v>2541</v>
      </c>
      <c r="H753" s="193" t="s">
        <v>2542</v>
      </c>
      <c r="I753" s="193" t="s">
        <v>2543</v>
      </c>
      <c r="J753" s="193" t="s">
        <v>2543</v>
      </c>
      <c r="K753" s="193" t="s">
        <v>1574</v>
      </c>
      <c r="L753" s="193"/>
      <c r="M753" s="193"/>
      <c r="N753" s="193">
        <v>30.833675564681723</v>
      </c>
      <c r="O753" s="193"/>
      <c r="P753" s="193">
        <v>6.9</v>
      </c>
      <c r="Q753" s="193">
        <v>244.1</v>
      </c>
      <c r="R753" s="193">
        <v>237</v>
      </c>
      <c r="S753" s="193"/>
      <c r="T753" s="193">
        <v>1550</v>
      </c>
      <c r="U753" s="193">
        <v>1550000000</v>
      </c>
      <c r="V753" s="193">
        <v>2550</v>
      </c>
      <c r="W753" s="193"/>
      <c r="X753" s="193">
        <v>0</v>
      </c>
      <c r="Y753" s="193">
        <v>-39.22</v>
      </c>
      <c r="Z753" s="193">
        <v>214.43069999999994</v>
      </c>
      <c r="AA753" s="193">
        <v>244.1</v>
      </c>
      <c r="AB753" s="193" t="s">
        <v>1281</v>
      </c>
      <c r="AC753" s="193" t="s">
        <v>1428</v>
      </c>
      <c r="AD753" s="193" t="s">
        <v>1864</v>
      </c>
      <c r="AE753" s="193" t="s">
        <v>1901</v>
      </c>
      <c r="AF753" s="193" t="s">
        <v>877</v>
      </c>
      <c r="AG753" s="193" t="s">
        <v>875</v>
      </c>
      <c r="AH753" s="193" t="s">
        <v>877</v>
      </c>
      <c r="AI753" s="193" t="s">
        <v>877</v>
      </c>
      <c r="AJ753" s="193" t="s">
        <v>1431</v>
      </c>
      <c r="AK753" s="193" t="s">
        <v>1431</v>
      </c>
      <c r="AL753" s="193" t="s">
        <v>1431</v>
      </c>
    </row>
    <row r="754" spans="7:38">
      <c r="G754" s="193" t="s">
        <v>2544</v>
      </c>
      <c r="H754" s="193" t="s">
        <v>2545</v>
      </c>
      <c r="I754" s="193" t="s">
        <v>2546</v>
      </c>
      <c r="J754" s="193" t="s">
        <v>2546</v>
      </c>
      <c r="K754" s="193" t="s">
        <v>1625</v>
      </c>
      <c r="L754" s="193"/>
      <c r="M754" s="193"/>
      <c r="N754" s="193">
        <v>7.1156741957563314</v>
      </c>
      <c r="O754" s="193"/>
      <c r="P754" s="193">
        <v>170</v>
      </c>
      <c r="Q754" s="193">
        <v>145</v>
      </c>
      <c r="R754" s="193">
        <v>-25</v>
      </c>
      <c r="S754" s="193">
        <v>0</v>
      </c>
      <c r="T754" s="193">
        <v>1900</v>
      </c>
      <c r="U754" s="193">
        <v>1900000000</v>
      </c>
      <c r="V754" s="193">
        <v>2000</v>
      </c>
      <c r="W754" s="193"/>
      <c r="X754" s="193">
        <v>0</v>
      </c>
      <c r="Y754" s="193">
        <v>-5</v>
      </c>
      <c r="Z754" s="193">
        <v>142.01410000000001</v>
      </c>
      <c r="AA754" s="193">
        <v>145</v>
      </c>
      <c r="AB754" s="193" t="s">
        <v>1281</v>
      </c>
      <c r="AC754" s="193" t="s">
        <v>1428</v>
      </c>
      <c r="AD754" s="193" t="s">
        <v>1436</v>
      </c>
      <c r="AE754" s="193" t="s">
        <v>1933</v>
      </c>
      <c r="AF754" s="193" t="s">
        <v>1432</v>
      </c>
      <c r="AG754" s="193" t="s">
        <v>969</v>
      </c>
      <c r="AH754" s="193" t="s">
        <v>932</v>
      </c>
      <c r="AI754" s="193" t="s">
        <v>877</v>
      </c>
      <c r="AJ754" s="193" t="s">
        <v>1431</v>
      </c>
      <c r="AK754" s="193" t="s">
        <v>1431</v>
      </c>
      <c r="AL754" s="193" t="s">
        <v>1431</v>
      </c>
    </row>
    <row r="755" spans="7:38">
      <c r="G755" s="193" t="s">
        <v>2547</v>
      </c>
      <c r="H755" s="193" t="s">
        <v>2548</v>
      </c>
      <c r="I755" s="193" t="s">
        <v>2549</v>
      </c>
      <c r="J755" s="193" t="s">
        <v>2549</v>
      </c>
      <c r="K755" s="193" t="s">
        <v>2550</v>
      </c>
      <c r="L755" s="193"/>
      <c r="M755" s="193"/>
      <c r="N755" s="193">
        <v>20.999315537303218</v>
      </c>
      <c r="O755" s="193"/>
      <c r="P755" s="193">
        <v>175</v>
      </c>
      <c r="Q755" s="193">
        <v>150</v>
      </c>
      <c r="R755" s="193">
        <v>-25</v>
      </c>
      <c r="S755" s="193"/>
      <c r="T755" s="193">
        <v>2300</v>
      </c>
      <c r="U755" s="193">
        <v>2300000000</v>
      </c>
      <c r="V755" s="193">
        <v>2900</v>
      </c>
      <c r="W755" s="193"/>
      <c r="X755" s="193">
        <v>0</v>
      </c>
      <c r="Y755" s="193">
        <v>-20.69</v>
      </c>
      <c r="Z755" s="193">
        <v>124.49940000000001</v>
      </c>
      <c r="AA755" s="193">
        <v>150</v>
      </c>
      <c r="AB755" s="193" t="s">
        <v>1281</v>
      </c>
      <c r="AC755" s="193" t="s">
        <v>1428</v>
      </c>
      <c r="AD755" s="193" t="s">
        <v>1437</v>
      </c>
      <c r="AE755" s="193" t="s">
        <v>1934</v>
      </c>
      <c r="AF755" s="193" t="s">
        <v>950</v>
      </c>
      <c r="AG755" s="193" t="s">
        <v>942</v>
      </c>
      <c r="AH755" s="193" t="s">
        <v>1432</v>
      </c>
      <c r="AI755" s="193" t="s">
        <v>950</v>
      </c>
      <c r="AJ755" s="193" t="s">
        <v>1431</v>
      </c>
      <c r="AK755" s="193" t="s">
        <v>1431</v>
      </c>
      <c r="AL755" s="193" t="s">
        <v>1431</v>
      </c>
    </row>
    <row r="756" spans="7:38">
      <c r="G756" s="193" t="s">
        <v>2551</v>
      </c>
      <c r="H756" s="193" t="s">
        <v>1930</v>
      </c>
      <c r="I756" s="193" t="s">
        <v>2552</v>
      </c>
      <c r="J756" s="193" t="s">
        <v>2552</v>
      </c>
      <c r="K756" s="193" t="s">
        <v>1646</v>
      </c>
      <c r="L756" s="193"/>
      <c r="M756" s="193"/>
      <c r="N756" s="193">
        <v>1.9931553730321698</v>
      </c>
      <c r="O756" s="193"/>
      <c r="P756" s="193">
        <v>110</v>
      </c>
      <c r="Q756" s="193">
        <v>85</v>
      </c>
      <c r="R756" s="193">
        <v>-25</v>
      </c>
      <c r="S756" s="193">
        <v>5</v>
      </c>
      <c r="T756" s="193">
        <v>2100</v>
      </c>
      <c r="U756" s="193">
        <v>2100000000</v>
      </c>
      <c r="V756" s="193">
        <v>2350</v>
      </c>
      <c r="W756" s="193"/>
      <c r="X756" s="193">
        <v>0</v>
      </c>
      <c r="Y756" s="193">
        <v>-10.64</v>
      </c>
      <c r="Z756" s="193">
        <v>70.728499999999968</v>
      </c>
      <c r="AA756" s="193">
        <v>85</v>
      </c>
      <c r="AB756" s="193" t="s">
        <v>1281</v>
      </c>
      <c r="AC756" s="193" t="s">
        <v>1433</v>
      </c>
      <c r="AD756" s="193" t="s">
        <v>1434</v>
      </c>
      <c r="AE756" s="193" t="s">
        <v>1867</v>
      </c>
      <c r="AF756" s="193" t="s">
        <v>938</v>
      </c>
      <c r="AG756" s="193" t="s">
        <v>942</v>
      </c>
      <c r="AH756" s="193" t="s">
        <v>938</v>
      </c>
      <c r="AI756" s="193" t="s">
        <v>938</v>
      </c>
      <c r="AJ756" s="193" t="s">
        <v>1431</v>
      </c>
      <c r="AK756" s="193" t="s">
        <v>1431</v>
      </c>
      <c r="AL756" s="193" t="s">
        <v>1431</v>
      </c>
    </row>
    <row r="757" spans="7:38">
      <c r="G757" s="193" t="s">
        <v>2553</v>
      </c>
      <c r="H757" s="193" t="s">
        <v>1930</v>
      </c>
      <c r="I757" s="193" t="s">
        <v>2554</v>
      </c>
      <c r="J757" s="193" t="s">
        <v>2554</v>
      </c>
      <c r="K757" s="193" t="s">
        <v>1646</v>
      </c>
      <c r="L757" s="193"/>
      <c r="M757" s="193"/>
      <c r="N757" s="193">
        <v>1.9931553730321698</v>
      </c>
      <c r="O757" s="193"/>
      <c r="P757" s="193"/>
      <c r="Q757" s="193"/>
      <c r="R757" s="193"/>
      <c r="S757" s="193"/>
      <c r="T757" s="193">
        <v>1900</v>
      </c>
      <c r="U757" s="193">
        <v>1900000000</v>
      </c>
      <c r="V757" s="193">
        <v>1950</v>
      </c>
      <c r="W757" s="193"/>
      <c r="X757" s="193">
        <v>0</v>
      </c>
      <c r="Y757" s="193">
        <v>-2.56</v>
      </c>
      <c r="Z757" s="193" t="s">
        <v>1432</v>
      </c>
      <c r="AA757" s="193" t="s">
        <v>1432</v>
      </c>
      <c r="AB757" s="193" t="s">
        <v>1281</v>
      </c>
      <c r="AC757" s="193" t="s">
        <v>1433</v>
      </c>
      <c r="AD757" s="193" t="s">
        <v>1434</v>
      </c>
      <c r="AE757" s="193" t="s">
        <v>1867</v>
      </c>
      <c r="AF757" s="193" t="s">
        <v>938</v>
      </c>
      <c r="AG757" s="193" t="s">
        <v>942</v>
      </c>
      <c r="AH757" s="193" t="s">
        <v>938</v>
      </c>
      <c r="AI757" s="193" t="s">
        <v>938</v>
      </c>
      <c r="AJ757" s="193" t="s">
        <v>1431</v>
      </c>
      <c r="AK757" s="193" t="s">
        <v>1431</v>
      </c>
      <c r="AL757" s="193" t="s">
        <v>1431</v>
      </c>
    </row>
    <row r="758" spans="7:38">
      <c r="G758" s="193" t="s">
        <v>2555</v>
      </c>
      <c r="H758" s="193" t="s">
        <v>1930</v>
      </c>
      <c r="I758" s="193" t="s">
        <v>2556</v>
      </c>
      <c r="J758" s="193" t="s">
        <v>2556</v>
      </c>
      <c r="K758" s="193" t="s">
        <v>1646</v>
      </c>
      <c r="L758" s="193"/>
      <c r="M758" s="193"/>
      <c r="N758" s="193">
        <v>4.9993155373032172</v>
      </c>
      <c r="O758" s="193"/>
      <c r="P758" s="193">
        <v>135</v>
      </c>
      <c r="Q758" s="193">
        <v>110</v>
      </c>
      <c r="R758" s="193">
        <v>-25</v>
      </c>
      <c r="S758" s="193">
        <v>5</v>
      </c>
      <c r="T758" s="193">
        <v>1800</v>
      </c>
      <c r="U758" s="193">
        <v>1800000000</v>
      </c>
      <c r="V758" s="193">
        <v>2400</v>
      </c>
      <c r="W758" s="193"/>
      <c r="X758" s="193">
        <v>0</v>
      </c>
      <c r="Y758" s="193">
        <v>-25</v>
      </c>
      <c r="Z758" s="193">
        <v>89.887799999999984</v>
      </c>
      <c r="AA758" s="193">
        <v>110</v>
      </c>
      <c r="AB758" s="193" t="s">
        <v>1281</v>
      </c>
      <c r="AC758" s="193" t="s">
        <v>1433</v>
      </c>
      <c r="AD758" s="193" t="s">
        <v>1434</v>
      </c>
      <c r="AE758" s="193" t="s">
        <v>1867</v>
      </c>
      <c r="AF758" s="193" t="s">
        <v>938</v>
      </c>
      <c r="AG758" s="193" t="s">
        <v>942</v>
      </c>
      <c r="AH758" s="193" t="s">
        <v>938</v>
      </c>
      <c r="AI758" s="193" t="s">
        <v>938</v>
      </c>
      <c r="AJ758" s="193" t="s">
        <v>1431</v>
      </c>
      <c r="AK758" s="193" t="s">
        <v>1431</v>
      </c>
      <c r="AL758" s="193" t="s">
        <v>1431</v>
      </c>
    </row>
    <row r="759" spans="7:38">
      <c r="G759" s="193" t="s">
        <v>2557</v>
      </c>
      <c r="H759" s="193" t="s">
        <v>1930</v>
      </c>
      <c r="I759" s="193" t="s">
        <v>2558</v>
      </c>
      <c r="J759" s="193" t="s">
        <v>2558</v>
      </c>
      <c r="K759" s="193" t="s">
        <v>1646</v>
      </c>
      <c r="L759" s="193"/>
      <c r="M759" s="193"/>
      <c r="N759" s="193">
        <v>4.9993155373032172</v>
      </c>
      <c r="O759" s="193"/>
      <c r="P759" s="193"/>
      <c r="Q759" s="193"/>
      <c r="R759" s="193"/>
      <c r="S759" s="193"/>
      <c r="T759" s="193">
        <v>2100</v>
      </c>
      <c r="U759" s="193">
        <v>2100000000</v>
      </c>
      <c r="V759" s="193">
        <v>2030</v>
      </c>
      <c r="W759" s="193"/>
      <c r="X759" s="193">
        <v>0</v>
      </c>
      <c r="Y759" s="193">
        <v>3.45</v>
      </c>
      <c r="Z759" s="193" t="s">
        <v>1432</v>
      </c>
      <c r="AA759" s="193" t="s">
        <v>1432</v>
      </c>
      <c r="AB759" s="193" t="s">
        <v>1281</v>
      </c>
      <c r="AC759" s="193" t="s">
        <v>1433</v>
      </c>
      <c r="AD759" s="193" t="s">
        <v>1434</v>
      </c>
      <c r="AE759" s="193" t="s">
        <v>1867</v>
      </c>
      <c r="AF759" s="193" t="s">
        <v>938</v>
      </c>
      <c r="AG759" s="193" t="s">
        <v>942</v>
      </c>
      <c r="AH759" s="193" t="s">
        <v>938</v>
      </c>
      <c r="AI759" s="193" t="s">
        <v>938</v>
      </c>
      <c r="AJ759" s="193" t="s">
        <v>1431</v>
      </c>
      <c r="AK759" s="193" t="s">
        <v>1431</v>
      </c>
      <c r="AL759" s="193" t="s">
        <v>1431</v>
      </c>
    </row>
    <row r="760" spans="7:38">
      <c r="G760" s="193" t="s">
        <v>2559</v>
      </c>
      <c r="H760" s="193" t="s">
        <v>1930</v>
      </c>
      <c r="I760" s="193" t="s">
        <v>2560</v>
      </c>
      <c r="J760" s="193" t="s">
        <v>2560</v>
      </c>
      <c r="K760" s="193" t="s">
        <v>1646</v>
      </c>
      <c r="L760" s="193"/>
      <c r="M760" s="193"/>
      <c r="N760" s="193">
        <v>7.0061601642710469</v>
      </c>
      <c r="O760" s="193"/>
      <c r="P760" s="193">
        <v>145</v>
      </c>
      <c r="Q760" s="193">
        <v>122</v>
      </c>
      <c r="R760" s="193">
        <v>-23</v>
      </c>
      <c r="S760" s="193">
        <v>7</v>
      </c>
      <c r="T760" s="193">
        <v>1100</v>
      </c>
      <c r="U760" s="193">
        <v>1100000000</v>
      </c>
      <c r="V760" s="193">
        <v>1800</v>
      </c>
      <c r="W760" s="193"/>
      <c r="X760" s="193">
        <v>0</v>
      </c>
      <c r="Y760" s="193">
        <v>-38.89</v>
      </c>
      <c r="Z760" s="193">
        <v>96.690900000000028</v>
      </c>
      <c r="AA760" s="193">
        <v>122</v>
      </c>
      <c r="AB760" s="193" t="s">
        <v>1281</v>
      </c>
      <c r="AC760" s="193" t="s">
        <v>1433</v>
      </c>
      <c r="AD760" s="193" t="s">
        <v>1434</v>
      </c>
      <c r="AE760" s="193" t="s">
        <v>1867</v>
      </c>
      <c r="AF760" s="193" t="s">
        <v>938</v>
      </c>
      <c r="AG760" s="193" t="s">
        <v>942</v>
      </c>
      <c r="AH760" s="193" t="s">
        <v>938</v>
      </c>
      <c r="AI760" s="193" t="s">
        <v>938</v>
      </c>
      <c r="AJ760" s="193" t="s">
        <v>1431</v>
      </c>
      <c r="AK760" s="193" t="s">
        <v>1431</v>
      </c>
      <c r="AL760" s="193" t="s">
        <v>1431</v>
      </c>
    </row>
    <row r="761" spans="7:38">
      <c r="G761" s="193" t="s">
        <v>2561</v>
      </c>
      <c r="H761" s="193" t="s">
        <v>2562</v>
      </c>
      <c r="I761" s="193" t="s">
        <v>2563</v>
      </c>
      <c r="J761" s="193" t="s">
        <v>2563</v>
      </c>
      <c r="K761" s="193" t="s">
        <v>2564</v>
      </c>
      <c r="L761" s="193"/>
      <c r="M761" s="193"/>
      <c r="N761" s="193">
        <v>4.9993155373032172</v>
      </c>
      <c r="O761" s="193"/>
      <c r="P761" s="193">
        <v>125</v>
      </c>
      <c r="Q761" s="193">
        <v>103</v>
      </c>
      <c r="R761" s="193">
        <v>-22</v>
      </c>
      <c r="S761" s="193">
        <v>3</v>
      </c>
      <c r="T761" s="193">
        <v>2700</v>
      </c>
      <c r="U761" s="193">
        <v>2700000000</v>
      </c>
      <c r="V761" s="193">
        <v>3200</v>
      </c>
      <c r="W761" s="193"/>
      <c r="X761" s="193">
        <v>0</v>
      </c>
      <c r="Y761" s="193">
        <v>-15.63</v>
      </c>
      <c r="Z761" s="193">
        <v>81.817000000000036</v>
      </c>
      <c r="AA761" s="193">
        <v>103</v>
      </c>
      <c r="AB761" s="193" t="s">
        <v>1281</v>
      </c>
      <c r="AC761" s="193" t="s">
        <v>1879</v>
      </c>
      <c r="AD761" s="193" t="s">
        <v>1917</v>
      </c>
      <c r="AE761" s="193" t="s">
        <v>1918</v>
      </c>
      <c r="AF761" s="193" t="s">
        <v>938</v>
      </c>
      <c r="AG761" s="193" t="s">
        <v>1432</v>
      </c>
      <c r="AH761" s="193" t="s">
        <v>950</v>
      </c>
      <c r="AI761" s="193" t="s">
        <v>950</v>
      </c>
      <c r="AJ761" s="193" t="s">
        <v>1431</v>
      </c>
      <c r="AK761" s="193" t="s">
        <v>1431</v>
      </c>
      <c r="AL761" s="193" t="s">
        <v>1431</v>
      </c>
    </row>
    <row r="762" spans="7:38">
      <c r="G762" s="193" t="s">
        <v>2565</v>
      </c>
      <c r="H762" s="193" t="s">
        <v>2566</v>
      </c>
      <c r="I762" s="193" t="s">
        <v>2567</v>
      </c>
      <c r="J762" s="193" t="s">
        <v>2567</v>
      </c>
      <c r="K762" s="193" t="s">
        <v>2568</v>
      </c>
      <c r="L762" s="193"/>
      <c r="M762" s="193"/>
      <c r="N762" s="193">
        <v>9.9986310746064344</v>
      </c>
      <c r="O762" s="193"/>
      <c r="P762" s="193">
        <v>135</v>
      </c>
      <c r="Q762" s="193">
        <v>105</v>
      </c>
      <c r="R762" s="193">
        <v>-30</v>
      </c>
      <c r="S762" s="193"/>
      <c r="T762" s="193">
        <v>4300</v>
      </c>
      <c r="U762" s="193">
        <v>4300000000</v>
      </c>
      <c r="V762" s="193">
        <v>4700</v>
      </c>
      <c r="W762" s="193"/>
      <c r="X762" s="193">
        <v>0</v>
      </c>
      <c r="Y762" s="193">
        <v>-8.51</v>
      </c>
      <c r="Z762" s="193">
        <v>85.312000000000054</v>
      </c>
      <c r="AA762" s="193">
        <v>105</v>
      </c>
      <c r="AB762" s="193" t="s">
        <v>1281</v>
      </c>
      <c r="AC762" s="193" t="s">
        <v>1433</v>
      </c>
      <c r="AD762" s="193" t="s">
        <v>2569</v>
      </c>
      <c r="AE762" s="193" t="s">
        <v>2570</v>
      </c>
      <c r="AF762" s="193" t="s">
        <v>950</v>
      </c>
      <c r="AG762" s="193" t="s">
        <v>933</v>
      </c>
      <c r="AH762" s="193" t="s">
        <v>1432</v>
      </c>
      <c r="AI762" s="193" t="s">
        <v>950</v>
      </c>
      <c r="AJ762" s="193" t="s">
        <v>1431</v>
      </c>
      <c r="AK762" s="193" t="s">
        <v>1431</v>
      </c>
      <c r="AL762" s="193" t="s">
        <v>1431</v>
      </c>
    </row>
    <row r="763" spans="7:38">
      <c r="G763" s="193" t="s">
        <v>2571</v>
      </c>
      <c r="H763" s="193" t="s">
        <v>2572</v>
      </c>
      <c r="I763" s="193" t="s">
        <v>2573</v>
      </c>
      <c r="J763" s="193" t="s">
        <v>2573</v>
      </c>
      <c r="K763" s="193" t="s">
        <v>1627</v>
      </c>
      <c r="L763" s="193"/>
      <c r="M763" s="193"/>
      <c r="N763" s="193">
        <v>4.9993155373032172</v>
      </c>
      <c r="O763" s="193"/>
      <c r="P763" s="193">
        <v>97.5</v>
      </c>
      <c r="Q763" s="193">
        <v>75</v>
      </c>
      <c r="R763" s="193">
        <v>-23</v>
      </c>
      <c r="S763" s="193">
        <v>5</v>
      </c>
      <c r="T763" s="193">
        <v>2300</v>
      </c>
      <c r="U763" s="193">
        <v>2300000000</v>
      </c>
      <c r="V763" s="193">
        <v>2600</v>
      </c>
      <c r="W763" s="193"/>
      <c r="X763" s="193">
        <v>0</v>
      </c>
      <c r="Y763" s="193">
        <v>-11.54</v>
      </c>
      <c r="Z763" s="193">
        <v>49.249600000000001</v>
      </c>
      <c r="AA763" s="193">
        <v>75</v>
      </c>
      <c r="AB763" s="193" t="s">
        <v>1281</v>
      </c>
      <c r="AC763" s="193" t="s">
        <v>1447</v>
      </c>
      <c r="AD763" s="193" t="s">
        <v>1448</v>
      </c>
      <c r="AE763" s="193" t="s">
        <v>1448</v>
      </c>
      <c r="AF763" s="193" t="s">
        <v>938</v>
      </c>
      <c r="AG763" s="193" t="s">
        <v>942</v>
      </c>
      <c r="AH763" s="193" t="s">
        <v>938</v>
      </c>
      <c r="AI763" s="193" t="s">
        <v>938</v>
      </c>
      <c r="AJ763" s="193" t="s">
        <v>1431</v>
      </c>
      <c r="AK763" s="193" t="s">
        <v>1431</v>
      </c>
      <c r="AL763" s="193" t="s">
        <v>1431</v>
      </c>
    </row>
    <row r="764" spans="7:38">
      <c r="G764" s="193" t="s">
        <v>2574</v>
      </c>
      <c r="H764" s="193" t="s">
        <v>2572</v>
      </c>
      <c r="I764" s="193" t="s">
        <v>2575</v>
      </c>
      <c r="J764" s="193" t="s">
        <v>2575</v>
      </c>
      <c r="K764" s="193" t="s">
        <v>1627</v>
      </c>
      <c r="L764" s="193"/>
      <c r="M764" s="193"/>
      <c r="N764" s="193">
        <v>9.9986310746064344</v>
      </c>
      <c r="O764" s="193"/>
      <c r="P764" s="193">
        <v>122.5</v>
      </c>
      <c r="Q764" s="193">
        <v>95</v>
      </c>
      <c r="R764" s="193">
        <v>-28</v>
      </c>
      <c r="S764" s="193">
        <v>0</v>
      </c>
      <c r="T764" s="193">
        <v>2800</v>
      </c>
      <c r="U764" s="193">
        <v>2800000000</v>
      </c>
      <c r="V764" s="193">
        <v>3400</v>
      </c>
      <c r="W764" s="193"/>
      <c r="X764" s="193">
        <v>0</v>
      </c>
      <c r="Y764" s="193">
        <v>-17.649999999999999</v>
      </c>
      <c r="Z764" s="193">
        <v>67.730300000000028</v>
      </c>
      <c r="AA764" s="193">
        <v>95</v>
      </c>
      <c r="AB764" s="193" t="s">
        <v>1281</v>
      </c>
      <c r="AC764" s="193" t="s">
        <v>1447</v>
      </c>
      <c r="AD764" s="193" t="s">
        <v>1448</v>
      </c>
      <c r="AE764" s="193" t="s">
        <v>1448</v>
      </c>
      <c r="AF764" s="193" t="s">
        <v>938</v>
      </c>
      <c r="AG764" s="193" t="s">
        <v>942</v>
      </c>
      <c r="AH764" s="193" t="s">
        <v>938</v>
      </c>
      <c r="AI764" s="193" t="s">
        <v>938</v>
      </c>
      <c r="AJ764" s="193" t="s">
        <v>1431</v>
      </c>
      <c r="AK764" s="193" t="s">
        <v>1431</v>
      </c>
      <c r="AL764" s="193" t="s">
        <v>1431</v>
      </c>
    </row>
    <row r="765" spans="7:38">
      <c r="G765" s="193" t="s">
        <v>2576</v>
      </c>
      <c r="H765" s="193" t="s">
        <v>2577</v>
      </c>
      <c r="I765" s="193" t="s">
        <v>2578</v>
      </c>
      <c r="J765" s="193" t="s">
        <v>2578</v>
      </c>
      <c r="K765" s="193" t="s">
        <v>2579</v>
      </c>
      <c r="L765" s="193"/>
      <c r="M765" s="193"/>
      <c r="N765" s="193">
        <v>3.0006844626967832</v>
      </c>
      <c r="O765" s="193"/>
      <c r="P765" s="193">
        <v>150</v>
      </c>
      <c r="Q765" s="193">
        <v>120</v>
      </c>
      <c r="R765" s="193">
        <v>-30</v>
      </c>
      <c r="S765" s="193">
        <v>-5</v>
      </c>
      <c r="T765" s="193">
        <v>1600</v>
      </c>
      <c r="U765" s="193">
        <v>1600000000</v>
      </c>
      <c r="V765" s="193">
        <v>2000</v>
      </c>
      <c r="W765" s="193"/>
      <c r="X765" s="193">
        <v>0</v>
      </c>
      <c r="Y765" s="193">
        <v>-20</v>
      </c>
      <c r="Z765" s="193">
        <v>92.198900000000037</v>
      </c>
      <c r="AA765" s="193">
        <v>120</v>
      </c>
      <c r="AB765" s="193" t="s">
        <v>1281</v>
      </c>
      <c r="AC765" s="193" t="s">
        <v>1428</v>
      </c>
      <c r="AD765" s="193" t="s">
        <v>1864</v>
      </c>
      <c r="AE765" s="193" t="s">
        <v>1901</v>
      </c>
      <c r="AF765" s="193" t="s">
        <v>877</v>
      </c>
      <c r="AG765" s="193" t="s">
        <v>969</v>
      </c>
      <c r="AH765" s="193" t="s">
        <v>955</v>
      </c>
      <c r="AI765" s="193" t="s">
        <v>955</v>
      </c>
      <c r="AJ765" s="193" t="s">
        <v>1431</v>
      </c>
      <c r="AK765" s="193" t="s">
        <v>1431</v>
      </c>
      <c r="AL765" s="193" t="s">
        <v>1431</v>
      </c>
    </row>
    <row r="766" spans="7:38">
      <c r="G766" s="193" t="s">
        <v>2580</v>
      </c>
      <c r="H766" s="193" t="s">
        <v>1915</v>
      </c>
      <c r="I766" s="193" t="s">
        <v>2581</v>
      </c>
      <c r="J766" s="193" t="s">
        <v>2581</v>
      </c>
      <c r="K766" s="193" t="s">
        <v>1916</v>
      </c>
      <c r="L766" s="193"/>
      <c r="M766" s="193"/>
      <c r="N766" s="193">
        <v>5.1745379876796713</v>
      </c>
      <c r="O766" s="193"/>
      <c r="P766" s="193">
        <v>165</v>
      </c>
      <c r="Q766" s="193">
        <v>138</v>
      </c>
      <c r="R766" s="193">
        <v>-27</v>
      </c>
      <c r="S766" s="193">
        <v>0</v>
      </c>
      <c r="T766" s="193">
        <v>3600</v>
      </c>
      <c r="U766" s="193">
        <v>3600000000</v>
      </c>
      <c r="V766" s="193">
        <v>4100</v>
      </c>
      <c r="W766" s="193"/>
      <c r="X766" s="193">
        <v>0</v>
      </c>
      <c r="Y766" s="193">
        <v>-12.2</v>
      </c>
      <c r="Z766" s="193">
        <v>102.08560000000003</v>
      </c>
      <c r="AA766" s="193">
        <v>138</v>
      </c>
      <c r="AB766" s="193" t="s">
        <v>1281</v>
      </c>
      <c r="AC766" s="193" t="s">
        <v>1428</v>
      </c>
      <c r="AD766" s="193" t="s">
        <v>1864</v>
      </c>
      <c r="AE766" s="193" t="s">
        <v>1901</v>
      </c>
      <c r="AF766" s="193" t="s">
        <v>877</v>
      </c>
      <c r="AG766" s="193" t="s">
        <v>875</v>
      </c>
      <c r="AH766" s="193" t="s">
        <v>932</v>
      </c>
      <c r="AI766" s="193" t="s">
        <v>877</v>
      </c>
      <c r="AJ766" s="193" t="s">
        <v>1431</v>
      </c>
      <c r="AK766" s="193" t="s">
        <v>1431</v>
      </c>
      <c r="AL766" s="193" t="s">
        <v>1431</v>
      </c>
    </row>
    <row r="767" spans="7:38">
      <c r="G767" s="193" t="s">
        <v>2582</v>
      </c>
      <c r="H767" s="193" t="s">
        <v>1874</v>
      </c>
      <c r="I767" s="193" t="s">
        <v>2583</v>
      </c>
      <c r="J767" s="193" t="s">
        <v>2583</v>
      </c>
      <c r="K767" s="193" t="s">
        <v>1554</v>
      </c>
      <c r="L767" s="193"/>
      <c r="M767" s="193"/>
      <c r="N767" s="193">
        <v>3.0006844626967832</v>
      </c>
      <c r="O767" s="193"/>
      <c r="P767" s="193">
        <v>87.5</v>
      </c>
      <c r="Q767" s="193">
        <v>68</v>
      </c>
      <c r="R767" s="193">
        <v>-20</v>
      </c>
      <c r="S767" s="193">
        <v>5</v>
      </c>
      <c r="T767" s="193">
        <v>1800</v>
      </c>
      <c r="U767" s="193">
        <v>1800000000</v>
      </c>
      <c r="V767" s="193">
        <v>1900</v>
      </c>
      <c r="W767" s="193"/>
      <c r="X767" s="193">
        <v>0</v>
      </c>
      <c r="Y767" s="193">
        <v>-5.26</v>
      </c>
      <c r="Z767" s="193">
        <v>45.780900000000017</v>
      </c>
      <c r="AA767" s="193">
        <v>68</v>
      </c>
      <c r="AB767" s="193" t="s">
        <v>1281</v>
      </c>
      <c r="AC767" s="193" t="s">
        <v>1428</v>
      </c>
      <c r="AD767" s="193" t="s">
        <v>1429</v>
      </c>
      <c r="AE767" s="193" t="s">
        <v>1430</v>
      </c>
      <c r="AF767" s="193" t="s">
        <v>876</v>
      </c>
      <c r="AG767" s="193" t="s">
        <v>939</v>
      </c>
      <c r="AH767" s="193" t="s">
        <v>997</v>
      </c>
      <c r="AI767" s="193" t="s">
        <v>953</v>
      </c>
      <c r="AJ767" s="193" t="s">
        <v>1431</v>
      </c>
      <c r="AK767" s="193" t="s">
        <v>1431</v>
      </c>
      <c r="AL767" s="193" t="s">
        <v>1431</v>
      </c>
    </row>
    <row r="768" spans="7:38">
      <c r="G768" s="193" t="s">
        <v>2584</v>
      </c>
      <c r="H768" s="193" t="s">
        <v>1874</v>
      </c>
      <c r="I768" s="193" t="s">
        <v>2585</v>
      </c>
      <c r="J768" s="193" t="s">
        <v>2585</v>
      </c>
      <c r="K768" s="193" t="s">
        <v>1554</v>
      </c>
      <c r="L768" s="193"/>
      <c r="M768" s="193"/>
      <c r="N768" s="193">
        <v>3.0006844626967832</v>
      </c>
      <c r="O768" s="193"/>
      <c r="P768" s="193"/>
      <c r="Q768" s="193"/>
      <c r="R768" s="193"/>
      <c r="S768" s="193"/>
      <c r="T768" s="193">
        <v>1100</v>
      </c>
      <c r="U768" s="193">
        <v>1100000000</v>
      </c>
      <c r="V768" s="193">
        <v>1250</v>
      </c>
      <c r="W768" s="193"/>
      <c r="X768" s="193">
        <v>0</v>
      </c>
      <c r="Y768" s="193">
        <v>-12</v>
      </c>
      <c r="Z768" s="193" t="s">
        <v>1432</v>
      </c>
      <c r="AA768" s="193" t="s">
        <v>1432</v>
      </c>
      <c r="AB768" s="193" t="s">
        <v>1281</v>
      </c>
      <c r="AC768" s="193" t="s">
        <v>1428</v>
      </c>
      <c r="AD768" s="193" t="s">
        <v>1429</v>
      </c>
      <c r="AE768" s="193" t="s">
        <v>1430</v>
      </c>
      <c r="AF768" s="193" t="s">
        <v>876</v>
      </c>
      <c r="AG768" s="193" t="s">
        <v>939</v>
      </c>
      <c r="AH768" s="193" t="s">
        <v>997</v>
      </c>
      <c r="AI768" s="193" t="s">
        <v>953</v>
      </c>
      <c r="AJ768" s="193" t="s">
        <v>1431</v>
      </c>
      <c r="AK768" s="193" t="s">
        <v>1431</v>
      </c>
      <c r="AL768" s="193" t="s">
        <v>1431</v>
      </c>
    </row>
    <row r="769" spans="7:38">
      <c r="G769" s="193" t="s">
        <v>2586</v>
      </c>
      <c r="H769" s="193" t="s">
        <v>1874</v>
      </c>
      <c r="I769" s="193" t="s">
        <v>2587</v>
      </c>
      <c r="J769" s="193" t="s">
        <v>2587</v>
      </c>
      <c r="K769" s="193" t="s">
        <v>1554</v>
      </c>
      <c r="L769" s="193"/>
      <c r="M769" s="193"/>
      <c r="N769" s="193">
        <v>6.0971937029431897</v>
      </c>
      <c r="O769" s="193"/>
      <c r="P769" s="193">
        <v>110</v>
      </c>
      <c r="Q769" s="193">
        <v>88</v>
      </c>
      <c r="R769" s="193">
        <v>-22</v>
      </c>
      <c r="S769" s="193">
        <v>3</v>
      </c>
      <c r="T769" s="193">
        <v>2200</v>
      </c>
      <c r="U769" s="193">
        <v>2200000000</v>
      </c>
      <c r="V769" s="193">
        <v>2800</v>
      </c>
      <c r="W769" s="193"/>
      <c r="X769" s="193">
        <v>0</v>
      </c>
      <c r="Y769" s="193">
        <v>-21.43</v>
      </c>
      <c r="Z769" s="193">
        <v>65.577799999999968</v>
      </c>
      <c r="AA769" s="193">
        <v>88</v>
      </c>
      <c r="AB769" s="193" t="s">
        <v>1281</v>
      </c>
      <c r="AC769" s="193" t="s">
        <v>1428</v>
      </c>
      <c r="AD769" s="193" t="s">
        <v>1429</v>
      </c>
      <c r="AE769" s="193" t="s">
        <v>1430</v>
      </c>
      <c r="AF769" s="193" t="s">
        <v>876</v>
      </c>
      <c r="AG769" s="193" t="s">
        <v>939</v>
      </c>
      <c r="AH769" s="193" t="s">
        <v>997</v>
      </c>
      <c r="AI769" s="193" t="s">
        <v>953</v>
      </c>
      <c r="AJ769" s="193" t="s">
        <v>1431</v>
      </c>
      <c r="AK769" s="193" t="s">
        <v>1431</v>
      </c>
      <c r="AL769" s="193" t="s">
        <v>1431</v>
      </c>
    </row>
    <row r="770" spans="7:38">
      <c r="G770" s="193" t="s">
        <v>2588</v>
      </c>
      <c r="H770" s="193" t="s">
        <v>1874</v>
      </c>
      <c r="I770" s="193" t="s">
        <v>2589</v>
      </c>
      <c r="J770" s="193" t="s">
        <v>2589</v>
      </c>
      <c r="K770" s="193" t="s">
        <v>1554</v>
      </c>
      <c r="L770" s="193"/>
      <c r="M770" s="193"/>
      <c r="N770" s="193">
        <v>6.0971937029431897</v>
      </c>
      <c r="O770" s="193"/>
      <c r="P770" s="193"/>
      <c r="Q770" s="193"/>
      <c r="R770" s="193"/>
      <c r="S770" s="193"/>
      <c r="T770" s="193">
        <v>980</v>
      </c>
      <c r="U770" s="193">
        <v>980000000</v>
      </c>
      <c r="V770" s="193">
        <v>1100</v>
      </c>
      <c r="W770" s="193"/>
      <c r="X770" s="193">
        <v>0</v>
      </c>
      <c r="Y770" s="193">
        <v>-10.91</v>
      </c>
      <c r="Z770" s="193" t="s">
        <v>1432</v>
      </c>
      <c r="AA770" s="193" t="s">
        <v>1432</v>
      </c>
      <c r="AB770" s="193" t="s">
        <v>1281</v>
      </c>
      <c r="AC770" s="193" t="s">
        <v>1428</v>
      </c>
      <c r="AD770" s="193" t="s">
        <v>1429</v>
      </c>
      <c r="AE770" s="193" t="s">
        <v>1430</v>
      </c>
      <c r="AF770" s="193" t="s">
        <v>876</v>
      </c>
      <c r="AG770" s="193" t="s">
        <v>939</v>
      </c>
      <c r="AH770" s="193" t="s">
        <v>997</v>
      </c>
      <c r="AI770" s="193" t="s">
        <v>953</v>
      </c>
      <c r="AJ770" s="193" t="s">
        <v>1431</v>
      </c>
      <c r="AK770" s="193" t="s">
        <v>1431</v>
      </c>
      <c r="AL770" s="193" t="s">
        <v>1431</v>
      </c>
    </row>
    <row r="771" spans="7:38">
      <c r="G771" s="193" t="s">
        <v>2590</v>
      </c>
      <c r="H771" s="193" t="s">
        <v>2591</v>
      </c>
      <c r="I771" s="193" t="s">
        <v>2592</v>
      </c>
      <c r="J771" s="193" t="s">
        <v>2592</v>
      </c>
      <c r="K771" s="193" t="s">
        <v>1546</v>
      </c>
      <c r="L771" s="193"/>
      <c r="M771" s="193"/>
      <c r="N771" s="193">
        <v>9.9986310746064344</v>
      </c>
      <c r="O771" s="193"/>
      <c r="P771" s="193">
        <v>122.5</v>
      </c>
      <c r="Q771" s="193">
        <v>95</v>
      </c>
      <c r="R771" s="193">
        <v>-28</v>
      </c>
      <c r="S771" s="193">
        <v>0</v>
      </c>
      <c r="T771" s="193">
        <v>6000</v>
      </c>
      <c r="U771" s="193">
        <v>6000000000</v>
      </c>
      <c r="V771" s="193">
        <v>8100</v>
      </c>
      <c r="W771" s="193"/>
      <c r="X771" s="193">
        <v>0</v>
      </c>
      <c r="Y771" s="193">
        <v>-25.93</v>
      </c>
      <c r="Z771" s="193">
        <v>87.357100000000003</v>
      </c>
      <c r="AA771" s="193">
        <v>95</v>
      </c>
      <c r="AB771" s="193" t="s">
        <v>1281</v>
      </c>
      <c r="AC771" s="193" t="s">
        <v>1490</v>
      </c>
      <c r="AD771" s="193" t="s">
        <v>1906</v>
      </c>
      <c r="AE771" s="193" t="s">
        <v>1924</v>
      </c>
      <c r="AF771" s="193" t="s">
        <v>950</v>
      </c>
      <c r="AG771" s="193" t="s">
        <v>933</v>
      </c>
      <c r="AH771" s="193" t="s">
        <v>938</v>
      </c>
      <c r="AI771" s="193" t="s">
        <v>950</v>
      </c>
      <c r="AJ771" s="193" t="s">
        <v>1431</v>
      </c>
      <c r="AK771" s="193" t="s">
        <v>1431</v>
      </c>
      <c r="AL771" s="193" t="s">
        <v>1431</v>
      </c>
    </row>
    <row r="772" spans="7:38">
      <c r="G772" s="193" t="s">
        <v>2593</v>
      </c>
      <c r="H772" s="193" t="s">
        <v>2594</v>
      </c>
      <c r="I772" s="193" t="s">
        <v>2595</v>
      </c>
      <c r="J772" s="193" t="s">
        <v>2595</v>
      </c>
      <c r="K772" s="193" t="s">
        <v>2596</v>
      </c>
      <c r="L772" s="193"/>
      <c r="M772" s="193"/>
      <c r="N772" s="193">
        <v>9.9986310746064344</v>
      </c>
      <c r="O772" s="193"/>
      <c r="P772" s="193">
        <v>230</v>
      </c>
      <c r="Q772" s="193">
        <v>200</v>
      </c>
      <c r="R772" s="193">
        <v>-30</v>
      </c>
      <c r="S772" s="193"/>
      <c r="T772" s="193">
        <v>3000</v>
      </c>
      <c r="U772" s="193">
        <v>3000000000</v>
      </c>
      <c r="V772" s="193">
        <v>4250</v>
      </c>
      <c r="W772" s="193"/>
      <c r="X772" s="193">
        <v>0</v>
      </c>
      <c r="Y772" s="193">
        <v>-29.41</v>
      </c>
      <c r="Z772" s="193">
        <v>187.56610000000001</v>
      </c>
      <c r="AA772" s="193">
        <v>200</v>
      </c>
      <c r="AB772" s="193" t="s">
        <v>1281</v>
      </c>
      <c r="AC772" s="193" t="s">
        <v>1488</v>
      </c>
      <c r="AD772" s="193" t="s">
        <v>1909</v>
      </c>
      <c r="AE772" s="193" t="s">
        <v>1910</v>
      </c>
      <c r="AF772" s="193" t="s">
        <v>877</v>
      </c>
      <c r="AG772" s="193" t="s">
        <v>875</v>
      </c>
      <c r="AH772" s="193" t="s">
        <v>877</v>
      </c>
      <c r="AI772" s="193" t="s">
        <v>877</v>
      </c>
      <c r="AJ772" s="193" t="s">
        <v>1431</v>
      </c>
      <c r="AK772" s="193" t="s">
        <v>1431</v>
      </c>
      <c r="AL772" s="193" t="s">
        <v>1431</v>
      </c>
    </row>
    <row r="773" spans="7:38">
      <c r="G773" s="193" t="s">
        <v>2597</v>
      </c>
      <c r="H773" s="193" t="s">
        <v>2598</v>
      </c>
      <c r="I773" s="193" t="s">
        <v>2599</v>
      </c>
      <c r="J773" s="193" t="s">
        <v>2599</v>
      </c>
      <c r="K773" s="193" t="s">
        <v>1576</v>
      </c>
      <c r="L773" s="193"/>
      <c r="M773" s="193"/>
      <c r="N773" s="193">
        <v>10.047912388774812</v>
      </c>
      <c r="O773" s="193"/>
      <c r="P773" s="193">
        <v>135</v>
      </c>
      <c r="Q773" s="193">
        <v>110</v>
      </c>
      <c r="R773" s="193">
        <v>-25</v>
      </c>
      <c r="S773" s="193">
        <v>2.5</v>
      </c>
      <c r="T773" s="193">
        <v>3600</v>
      </c>
      <c r="U773" s="193">
        <v>3600000000</v>
      </c>
      <c r="V773" s="193">
        <v>4000</v>
      </c>
      <c r="W773" s="193"/>
      <c r="X773" s="193">
        <v>0</v>
      </c>
      <c r="Y773" s="193">
        <v>-10</v>
      </c>
      <c r="Z773" s="193">
        <v>77.831400000000002</v>
      </c>
      <c r="AA773" s="193">
        <v>110</v>
      </c>
      <c r="AB773" s="193" t="s">
        <v>1281</v>
      </c>
      <c r="AC773" s="193" t="s">
        <v>1441</v>
      </c>
      <c r="AD773" s="193" t="s">
        <v>1442</v>
      </c>
      <c r="AE773" s="193" t="s">
        <v>1443</v>
      </c>
      <c r="AF773" s="193" t="s">
        <v>876</v>
      </c>
      <c r="AG773" s="193" t="s">
        <v>939</v>
      </c>
      <c r="AH773" s="193" t="s">
        <v>876</v>
      </c>
      <c r="AI773" s="193" t="s">
        <v>876</v>
      </c>
      <c r="AJ773" s="193" t="s">
        <v>1431</v>
      </c>
      <c r="AK773" s="193" t="s">
        <v>1431</v>
      </c>
      <c r="AL773" s="193" t="s">
        <v>1431</v>
      </c>
    </row>
    <row r="774" spans="7:38">
      <c r="G774" s="193" t="s">
        <v>2600</v>
      </c>
      <c r="H774" s="193" t="s">
        <v>2528</v>
      </c>
      <c r="I774" s="193" t="s">
        <v>2601</v>
      </c>
      <c r="J774" s="193" t="s">
        <v>2601</v>
      </c>
      <c r="K774" s="193" t="s">
        <v>2530</v>
      </c>
      <c r="L774" s="193"/>
      <c r="M774" s="193"/>
      <c r="N774" s="193">
        <v>1.5003422313483916</v>
      </c>
      <c r="O774" s="193"/>
      <c r="P774" s="193">
        <v>100</v>
      </c>
      <c r="Q774" s="193"/>
      <c r="R774" s="193"/>
      <c r="S774" s="193">
        <v>5</v>
      </c>
      <c r="T774" s="193">
        <v>1600</v>
      </c>
      <c r="U774" s="193">
        <v>1600000000</v>
      </c>
      <c r="V774" s="193">
        <v>1600</v>
      </c>
      <c r="W774" s="193"/>
      <c r="X774" s="193">
        <v>0</v>
      </c>
      <c r="Y774" s="193">
        <v>0</v>
      </c>
      <c r="Z774" s="193" t="s">
        <v>1432</v>
      </c>
      <c r="AA774" s="193" t="s">
        <v>1432</v>
      </c>
      <c r="AB774" s="193" t="s">
        <v>1281</v>
      </c>
      <c r="AC774" s="193" t="s">
        <v>1872</v>
      </c>
      <c r="AD774" s="193" t="s">
        <v>2013</v>
      </c>
      <c r="AE774" s="193" t="s">
        <v>2531</v>
      </c>
      <c r="AF774" s="193" t="s">
        <v>950</v>
      </c>
      <c r="AG774" s="193" t="s">
        <v>942</v>
      </c>
      <c r="AH774" s="193" t="s">
        <v>1432</v>
      </c>
      <c r="AI774" s="193" t="s">
        <v>950</v>
      </c>
      <c r="AJ774" s="193" t="s">
        <v>1431</v>
      </c>
      <c r="AK774" s="193" t="s">
        <v>1431</v>
      </c>
      <c r="AL774" s="193" t="s">
        <v>1431</v>
      </c>
    </row>
    <row r="775" spans="7:38">
      <c r="G775" s="193" t="s">
        <v>2602</v>
      </c>
      <c r="H775" s="193" t="s">
        <v>2528</v>
      </c>
      <c r="I775" s="193" t="s">
        <v>2603</v>
      </c>
      <c r="J775" s="193" t="s">
        <v>2603</v>
      </c>
      <c r="K775" s="193" t="s">
        <v>2530</v>
      </c>
      <c r="L775" s="193"/>
      <c r="M775" s="193"/>
      <c r="N775" s="193">
        <v>3.0006844626967832</v>
      </c>
      <c r="O775" s="193"/>
      <c r="P775" s="193">
        <v>115</v>
      </c>
      <c r="Q775" s="193">
        <v>90</v>
      </c>
      <c r="R775" s="193">
        <v>-25</v>
      </c>
      <c r="S775" s="193">
        <v>5</v>
      </c>
      <c r="T775" s="193">
        <v>2700</v>
      </c>
      <c r="U775" s="193">
        <v>2700000000</v>
      </c>
      <c r="V775" s="193">
        <v>3000</v>
      </c>
      <c r="W775" s="193"/>
      <c r="X775" s="193">
        <v>0</v>
      </c>
      <c r="Y775" s="193">
        <v>-10</v>
      </c>
      <c r="Z775" s="193">
        <v>65.467800000000011</v>
      </c>
      <c r="AA775" s="193">
        <v>90</v>
      </c>
      <c r="AB775" s="193" t="s">
        <v>1281</v>
      </c>
      <c r="AC775" s="193" t="s">
        <v>1872</v>
      </c>
      <c r="AD775" s="193" t="s">
        <v>2013</v>
      </c>
      <c r="AE775" s="193" t="s">
        <v>2531</v>
      </c>
      <c r="AF775" s="193" t="s">
        <v>950</v>
      </c>
      <c r="AG775" s="193" t="s">
        <v>942</v>
      </c>
      <c r="AH775" s="193" t="s">
        <v>1432</v>
      </c>
      <c r="AI775" s="193" t="s">
        <v>950</v>
      </c>
      <c r="AJ775" s="193" t="s">
        <v>1431</v>
      </c>
      <c r="AK775" s="193" t="s">
        <v>1431</v>
      </c>
      <c r="AL775" s="193" t="s">
        <v>1431</v>
      </c>
    </row>
    <row r="776" spans="7:38">
      <c r="G776" s="193" t="s">
        <v>2604</v>
      </c>
      <c r="H776" s="193" t="s">
        <v>2528</v>
      </c>
      <c r="I776" s="193" t="s">
        <v>2605</v>
      </c>
      <c r="J776" s="193" t="s">
        <v>2605</v>
      </c>
      <c r="K776" s="193" t="s">
        <v>2530</v>
      </c>
      <c r="L776" s="193"/>
      <c r="M776" s="193"/>
      <c r="N776" s="193">
        <v>4.9993155373032172</v>
      </c>
      <c r="O776" s="193"/>
      <c r="P776" s="193">
        <v>135</v>
      </c>
      <c r="Q776" s="193">
        <v>110</v>
      </c>
      <c r="R776" s="193">
        <v>-25</v>
      </c>
      <c r="S776" s="193">
        <v>5</v>
      </c>
      <c r="T776" s="193">
        <v>3900</v>
      </c>
      <c r="U776" s="193">
        <v>3900000000</v>
      </c>
      <c r="V776" s="193">
        <v>4000</v>
      </c>
      <c r="W776" s="193"/>
      <c r="X776" s="193">
        <v>0</v>
      </c>
      <c r="Y776" s="193">
        <v>-2.5</v>
      </c>
      <c r="Z776" s="193">
        <v>78.409399999999962</v>
      </c>
      <c r="AA776" s="193">
        <v>110</v>
      </c>
      <c r="AB776" s="193" t="s">
        <v>1281</v>
      </c>
      <c r="AC776" s="193" t="s">
        <v>1872</v>
      </c>
      <c r="AD776" s="193" t="s">
        <v>2013</v>
      </c>
      <c r="AE776" s="193" t="s">
        <v>2531</v>
      </c>
      <c r="AF776" s="193" t="s">
        <v>950</v>
      </c>
      <c r="AG776" s="193" t="s">
        <v>942</v>
      </c>
      <c r="AH776" s="193" t="s">
        <v>1432</v>
      </c>
      <c r="AI776" s="193" t="s">
        <v>950</v>
      </c>
      <c r="AJ776" s="193" t="s">
        <v>1431</v>
      </c>
      <c r="AK776" s="193" t="s">
        <v>1431</v>
      </c>
      <c r="AL776" s="193" t="s">
        <v>1431</v>
      </c>
    </row>
    <row r="777" spans="7:38">
      <c r="G777" s="193" t="s">
        <v>2606</v>
      </c>
      <c r="H777" s="193" t="s">
        <v>2528</v>
      </c>
      <c r="I777" s="193" t="s">
        <v>2607</v>
      </c>
      <c r="J777" s="193" t="s">
        <v>2607</v>
      </c>
      <c r="K777" s="193" t="s">
        <v>2530</v>
      </c>
      <c r="L777" s="193"/>
      <c r="M777" s="193"/>
      <c r="N777" s="193">
        <v>9.9986310746064344</v>
      </c>
      <c r="O777" s="193"/>
      <c r="P777" s="193">
        <v>160</v>
      </c>
      <c r="Q777" s="193">
        <v>135</v>
      </c>
      <c r="R777" s="193">
        <v>-25</v>
      </c>
      <c r="S777" s="193">
        <v>0</v>
      </c>
      <c r="T777" s="193">
        <v>4400</v>
      </c>
      <c r="U777" s="193">
        <v>4400000000</v>
      </c>
      <c r="V777" s="193">
        <v>5000</v>
      </c>
      <c r="W777" s="193"/>
      <c r="X777" s="193">
        <v>0</v>
      </c>
      <c r="Y777" s="193">
        <v>-12</v>
      </c>
      <c r="Z777" s="193">
        <v>107.48649999999999</v>
      </c>
      <c r="AA777" s="193">
        <v>135</v>
      </c>
      <c r="AB777" s="193" t="s">
        <v>1281</v>
      </c>
      <c r="AC777" s="193" t="s">
        <v>1872</v>
      </c>
      <c r="AD777" s="193" t="s">
        <v>2013</v>
      </c>
      <c r="AE777" s="193" t="s">
        <v>2531</v>
      </c>
      <c r="AF777" s="193" t="s">
        <v>950</v>
      </c>
      <c r="AG777" s="193" t="s">
        <v>942</v>
      </c>
      <c r="AH777" s="193" t="s">
        <v>1432</v>
      </c>
      <c r="AI777" s="193" t="s">
        <v>950</v>
      </c>
      <c r="AJ777" s="193" t="s">
        <v>1431</v>
      </c>
      <c r="AK777" s="193" t="s">
        <v>1431</v>
      </c>
      <c r="AL777" s="193" t="s">
        <v>1431</v>
      </c>
    </row>
    <row r="778" spans="7:38">
      <c r="G778" s="193" t="s">
        <v>2608</v>
      </c>
      <c r="H778" s="193" t="s">
        <v>2609</v>
      </c>
      <c r="I778" s="193" t="s">
        <v>2610</v>
      </c>
      <c r="J778" s="193" t="s">
        <v>2610</v>
      </c>
      <c r="K778" s="193" t="s">
        <v>1949</v>
      </c>
      <c r="L778" s="193"/>
      <c r="M778" s="193"/>
      <c r="N778" s="193">
        <v>4.9993155373032172</v>
      </c>
      <c r="O778" s="193"/>
      <c r="P778" s="193">
        <v>117.5</v>
      </c>
      <c r="Q778" s="193">
        <v>95</v>
      </c>
      <c r="R778" s="193">
        <v>-23</v>
      </c>
      <c r="S778" s="193">
        <v>0</v>
      </c>
      <c r="T778" s="193">
        <v>1500</v>
      </c>
      <c r="U778" s="193">
        <v>1500000000</v>
      </c>
      <c r="V778" s="193"/>
      <c r="W778" s="193"/>
      <c r="X778" s="193"/>
      <c r="Y778" s="193"/>
      <c r="Z778" s="193">
        <v>66.777299999999954</v>
      </c>
      <c r="AA778" s="193">
        <v>95</v>
      </c>
      <c r="AB778" s="193" t="s">
        <v>1281</v>
      </c>
      <c r="AC778" s="193" t="s">
        <v>1428</v>
      </c>
      <c r="AD778" s="193" t="s">
        <v>1437</v>
      </c>
      <c r="AE778" s="193" t="s">
        <v>1896</v>
      </c>
      <c r="AF778" s="193" t="s">
        <v>953</v>
      </c>
      <c r="AG778" s="193" t="s">
        <v>939</v>
      </c>
      <c r="AH778" s="193" t="s">
        <v>1432</v>
      </c>
      <c r="AI778" s="193" t="s">
        <v>953</v>
      </c>
      <c r="AJ778" s="193" t="s">
        <v>1431</v>
      </c>
      <c r="AK778" s="193" t="s">
        <v>1431</v>
      </c>
      <c r="AL778" s="193" t="s">
        <v>1431</v>
      </c>
    </row>
    <row r="779" spans="7:38">
      <c r="G779" s="193" t="s">
        <v>2611</v>
      </c>
      <c r="H779" s="193" t="s">
        <v>2612</v>
      </c>
      <c r="I779" s="193" t="s">
        <v>2613</v>
      </c>
      <c r="J779" s="193" t="s">
        <v>2613</v>
      </c>
      <c r="K779" s="193" t="s">
        <v>2614</v>
      </c>
      <c r="L779" s="193"/>
      <c r="M779" s="193"/>
      <c r="N779" s="193">
        <v>29.998631074606433</v>
      </c>
      <c r="O779" s="193"/>
      <c r="P779" s="193">
        <v>145</v>
      </c>
      <c r="Q779" s="193">
        <v>118</v>
      </c>
      <c r="R779" s="193">
        <v>-27</v>
      </c>
      <c r="S779" s="193">
        <v>0</v>
      </c>
      <c r="T779" s="193">
        <v>3100</v>
      </c>
      <c r="U779" s="193">
        <v>3100000000</v>
      </c>
      <c r="V779" s="193">
        <v>3400</v>
      </c>
      <c r="W779" s="193"/>
      <c r="X779" s="193">
        <v>0</v>
      </c>
      <c r="Y779" s="193">
        <v>-8.82</v>
      </c>
      <c r="Z779" s="193">
        <v>86.397499999999994</v>
      </c>
      <c r="AA779" s="193">
        <v>118</v>
      </c>
      <c r="AB779" s="193" t="s">
        <v>1281</v>
      </c>
      <c r="AC779" s="193" t="s">
        <v>1441</v>
      </c>
      <c r="AD779" s="193" t="s">
        <v>1442</v>
      </c>
      <c r="AE779" s="193" t="s">
        <v>1449</v>
      </c>
      <c r="AF779" s="193" t="s">
        <v>938</v>
      </c>
      <c r="AG779" s="193" t="s">
        <v>942</v>
      </c>
      <c r="AH779" s="193" t="s">
        <v>876</v>
      </c>
      <c r="AI779" s="193" t="s">
        <v>938</v>
      </c>
      <c r="AJ779" s="193" t="s">
        <v>1431</v>
      </c>
      <c r="AK779" s="193" t="s">
        <v>1431</v>
      </c>
      <c r="AL779" s="193" t="s">
        <v>1431</v>
      </c>
    </row>
    <row r="780" spans="7:38">
      <c r="G780" s="193" t="s">
        <v>2615</v>
      </c>
      <c r="H780" s="193" t="s">
        <v>1911</v>
      </c>
      <c r="I780" s="193" t="s">
        <v>2616</v>
      </c>
      <c r="J780" s="193" t="s">
        <v>2616</v>
      </c>
      <c r="K780" s="193" t="s">
        <v>1580</v>
      </c>
      <c r="L780" s="193"/>
      <c r="M780" s="193"/>
      <c r="N780" s="193">
        <v>3.9972621492128679</v>
      </c>
      <c r="O780" s="193"/>
      <c r="P780" s="193">
        <v>110</v>
      </c>
      <c r="Q780" s="193">
        <v>85</v>
      </c>
      <c r="R780" s="193">
        <v>-25</v>
      </c>
      <c r="S780" s="193">
        <v>5</v>
      </c>
      <c r="T780" s="193">
        <v>2450</v>
      </c>
      <c r="U780" s="193">
        <v>2450000000</v>
      </c>
      <c r="V780" s="193"/>
      <c r="W780" s="193"/>
      <c r="X780" s="193"/>
      <c r="Y780" s="193"/>
      <c r="Z780" s="193">
        <v>63.325800000000008</v>
      </c>
      <c r="AA780" s="193">
        <v>85</v>
      </c>
      <c r="AB780" s="193" t="s">
        <v>1281</v>
      </c>
      <c r="AC780" s="193" t="s">
        <v>1428</v>
      </c>
      <c r="AD780" s="193" t="s">
        <v>1429</v>
      </c>
      <c r="AE780" s="193" t="s">
        <v>1430</v>
      </c>
      <c r="AF780" s="193" t="s">
        <v>938</v>
      </c>
      <c r="AG780" s="193" t="s">
        <v>874</v>
      </c>
      <c r="AH780" s="193" t="s">
        <v>997</v>
      </c>
      <c r="AI780" s="193" t="s">
        <v>876</v>
      </c>
      <c r="AJ780" s="193" t="s">
        <v>1431</v>
      </c>
      <c r="AK780" s="193" t="s">
        <v>1431</v>
      </c>
      <c r="AL780" s="193" t="s">
        <v>1431</v>
      </c>
    </row>
    <row r="781" spans="7:38">
      <c r="G781" s="193" t="s">
        <v>2615</v>
      </c>
      <c r="H781" s="193" t="s">
        <v>1911</v>
      </c>
      <c r="I781" s="193" t="s">
        <v>2616</v>
      </c>
      <c r="J781" s="193" t="s">
        <v>2616</v>
      </c>
      <c r="K781" s="193" t="s">
        <v>1580</v>
      </c>
      <c r="L781" s="193"/>
      <c r="M781" s="193"/>
      <c r="N781" s="193">
        <v>3.9972621492128679</v>
      </c>
      <c r="O781" s="193"/>
      <c r="P781" s="193">
        <v>110</v>
      </c>
      <c r="Q781" s="193">
        <v>85</v>
      </c>
      <c r="R781" s="193">
        <v>-25</v>
      </c>
      <c r="S781" s="193"/>
      <c r="T781" s="193">
        <v>875</v>
      </c>
      <c r="U781" s="193">
        <v>875000000</v>
      </c>
      <c r="V781" s="193"/>
      <c r="W781" s="193"/>
      <c r="X781" s="193"/>
      <c r="Y781" s="193"/>
      <c r="Z781" s="193">
        <v>63.325800000000008</v>
      </c>
      <c r="AA781" s="193">
        <v>85</v>
      </c>
      <c r="AB781" s="193" t="s">
        <v>1281</v>
      </c>
      <c r="AC781" s="193" t="s">
        <v>1428</v>
      </c>
      <c r="AD781" s="193" t="s">
        <v>1429</v>
      </c>
      <c r="AE781" s="193" t="s">
        <v>1430</v>
      </c>
      <c r="AF781" s="193" t="s">
        <v>938</v>
      </c>
      <c r="AG781" s="193" t="s">
        <v>874</v>
      </c>
      <c r="AH781" s="193" t="s">
        <v>997</v>
      </c>
      <c r="AI781" s="193" t="s">
        <v>876</v>
      </c>
      <c r="AJ781" s="193" t="s">
        <v>1431</v>
      </c>
      <c r="AK781" s="193" t="s">
        <v>1431</v>
      </c>
      <c r="AL781" s="193" t="s">
        <v>1431</v>
      </c>
    </row>
    <row r="782" spans="7:38">
      <c r="G782" s="193" t="s">
        <v>2617</v>
      </c>
      <c r="H782" s="193" t="s">
        <v>2618</v>
      </c>
      <c r="I782" s="193" t="s">
        <v>2619</v>
      </c>
      <c r="J782" s="193" t="s">
        <v>2619</v>
      </c>
      <c r="K782" s="193" t="s">
        <v>1568</v>
      </c>
      <c r="L782" s="193"/>
      <c r="M782" s="193"/>
      <c r="N782" s="193">
        <v>7.1348391512662559</v>
      </c>
      <c r="O782" s="193"/>
      <c r="P782" s="193">
        <v>120</v>
      </c>
      <c r="Q782" s="193">
        <v>93</v>
      </c>
      <c r="R782" s="193">
        <v>-27</v>
      </c>
      <c r="S782" s="193">
        <v>-2</v>
      </c>
      <c r="T782" s="193">
        <v>5300</v>
      </c>
      <c r="U782" s="193">
        <v>5300000000</v>
      </c>
      <c r="V782" s="193">
        <v>6600</v>
      </c>
      <c r="W782" s="193"/>
      <c r="X782" s="193">
        <v>0</v>
      </c>
      <c r="Y782" s="193">
        <v>-19.7</v>
      </c>
      <c r="Z782" s="193">
        <v>73.128700000000009</v>
      </c>
      <c r="AA782" s="193">
        <v>93</v>
      </c>
      <c r="AB782" s="193" t="s">
        <v>1281</v>
      </c>
      <c r="AC782" s="193" t="s">
        <v>1490</v>
      </c>
      <c r="AD782" s="193" t="s">
        <v>1906</v>
      </c>
      <c r="AE782" s="193" t="s">
        <v>1919</v>
      </c>
      <c r="AF782" s="193" t="s">
        <v>932</v>
      </c>
      <c r="AG782" s="193" t="s">
        <v>875</v>
      </c>
      <c r="AH782" s="193" t="s">
        <v>950</v>
      </c>
      <c r="AI782" s="193" t="s">
        <v>932</v>
      </c>
      <c r="AJ782" s="193" t="s">
        <v>1431</v>
      </c>
      <c r="AK782" s="193" t="s">
        <v>1431</v>
      </c>
      <c r="AL782" s="193" t="s">
        <v>1431</v>
      </c>
    </row>
    <row r="783" spans="7:38">
      <c r="G783" s="193" t="s">
        <v>2620</v>
      </c>
      <c r="H783" s="193" t="s">
        <v>2618</v>
      </c>
      <c r="I783" s="193" t="s">
        <v>2621</v>
      </c>
      <c r="J783" s="193" t="s">
        <v>2621</v>
      </c>
      <c r="K783" s="193" t="s">
        <v>1568</v>
      </c>
      <c r="L783" s="193"/>
      <c r="M783" s="193"/>
      <c r="N783" s="193">
        <v>10.132785763175907</v>
      </c>
      <c r="O783" s="193"/>
      <c r="P783" s="193">
        <v>125</v>
      </c>
      <c r="Q783" s="193">
        <v>98</v>
      </c>
      <c r="R783" s="193">
        <v>-27</v>
      </c>
      <c r="S783" s="193">
        <v>-2</v>
      </c>
      <c r="T783" s="193">
        <v>3900</v>
      </c>
      <c r="U783" s="193">
        <v>3900000000</v>
      </c>
      <c r="V783" s="193">
        <v>5500</v>
      </c>
      <c r="W783" s="193"/>
      <c r="X783" s="193">
        <v>0</v>
      </c>
      <c r="Y783" s="193">
        <v>-29.09</v>
      </c>
      <c r="Z783" s="193">
        <v>90.484400000000065</v>
      </c>
      <c r="AA783" s="193">
        <v>98</v>
      </c>
      <c r="AB783" s="193" t="s">
        <v>1281</v>
      </c>
      <c r="AC783" s="193" t="s">
        <v>1490</v>
      </c>
      <c r="AD783" s="193" t="s">
        <v>1906</v>
      </c>
      <c r="AE783" s="193" t="s">
        <v>1919</v>
      </c>
      <c r="AF783" s="193" t="s">
        <v>932</v>
      </c>
      <c r="AG783" s="193" t="s">
        <v>875</v>
      </c>
      <c r="AH783" s="193" t="s">
        <v>950</v>
      </c>
      <c r="AI783" s="193" t="s">
        <v>932</v>
      </c>
      <c r="AJ783" s="193" t="s">
        <v>1431</v>
      </c>
      <c r="AK783" s="193" t="s">
        <v>1431</v>
      </c>
      <c r="AL783" s="193" t="s">
        <v>1431</v>
      </c>
    </row>
    <row r="784" spans="7:38">
      <c r="G784" s="193" t="s">
        <v>2622</v>
      </c>
      <c r="H784" s="193" t="s">
        <v>2618</v>
      </c>
      <c r="I784" s="193" t="s">
        <v>2623</v>
      </c>
      <c r="J784" s="193" t="s">
        <v>2623</v>
      </c>
      <c r="K784" s="193" t="s">
        <v>1568</v>
      </c>
      <c r="L784" s="193"/>
      <c r="M784" s="193"/>
      <c r="N784" s="193">
        <v>30.636550308008214</v>
      </c>
      <c r="O784" s="193"/>
      <c r="P784" s="193">
        <v>150</v>
      </c>
      <c r="Q784" s="193">
        <v>123</v>
      </c>
      <c r="R784" s="193">
        <v>-27</v>
      </c>
      <c r="S784" s="193">
        <v>-2</v>
      </c>
      <c r="T784" s="193">
        <v>6000</v>
      </c>
      <c r="U784" s="193">
        <v>6000000000</v>
      </c>
      <c r="V784" s="193">
        <v>7950</v>
      </c>
      <c r="W784" s="193"/>
      <c r="X784" s="193">
        <v>0</v>
      </c>
      <c r="Y784" s="193">
        <v>-24.53</v>
      </c>
      <c r="Z784" s="193">
        <v>101.04329999999999</v>
      </c>
      <c r="AA784" s="193">
        <v>123</v>
      </c>
      <c r="AB784" s="193" t="s">
        <v>1281</v>
      </c>
      <c r="AC784" s="193" t="s">
        <v>1490</v>
      </c>
      <c r="AD784" s="193" t="s">
        <v>1906</v>
      </c>
      <c r="AE784" s="193" t="s">
        <v>1919</v>
      </c>
      <c r="AF784" s="193" t="s">
        <v>932</v>
      </c>
      <c r="AG784" s="193" t="s">
        <v>875</v>
      </c>
      <c r="AH784" s="193" t="s">
        <v>950</v>
      </c>
      <c r="AI784" s="193" t="s">
        <v>932</v>
      </c>
      <c r="AJ784" s="193" t="s">
        <v>1431</v>
      </c>
      <c r="AK784" s="193" t="s">
        <v>1431</v>
      </c>
      <c r="AL784" s="193" t="s">
        <v>1431</v>
      </c>
    </row>
    <row r="785" spans="7:38">
      <c r="G785" s="193" t="s">
        <v>2624</v>
      </c>
      <c r="H785" s="193" t="s">
        <v>1902</v>
      </c>
      <c r="I785" s="193" t="s">
        <v>2625</v>
      </c>
      <c r="J785" s="193" t="s">
        <v>2625</v>
      </c>
      <c r="K785" s="193" t="s">
        <v>1903</v>
      </c>
      <c r="L785" s="193"/>
      <c r="M785" s="193"/>
      <c r="N785" s="193">
        <v>2.0561259411362083</v>
      </c>
      <c r="O785" s="193"/>
      <c r="P785" s="193">
        <v>115</v>
      </c>
      <c r="Q785" s="193">
        <v>85</v>
      </c>
      <c r="R785" s="193">
        <v>-30</v>
      </c>
      <c r="S785" s="193">
        <v>0</v>
      </c>
      <c r="T785" s="193">
        <v>2000</v>
      </c>
      <c r="U785" s="193">
        <v>2000000000</v>
      </c>
      <c r="V785" s="193">
        <v>2200</v>
      </c>
      <c r="W785" s="193"/>
      <c r="X785" s="193">
        <v>0</v>
      </c>
      <c r="Y785" s="193">
        <v>-9.09</v>
      </c>
      <c r="Z785" s="193">
        <v>79.570300000000046</v>
      </c>
      <c r="AA785" s="193">
        <v>85</v>
      </c>
      <c r="AB785" s="193" t="s">
        <v>1281</v>
      </c>
      <c r="AC785" s="193" t="s">
        <v>1428</v>
      </c>
      <c r="AD785" s="193" t="s">
        <v>1864</v>
      </c>
      <c r="AE785" s="193" t="s">
        <v>1901</v>
      </c>
      <c r="AF785" s="193" t="s">
        <v>877</v>
      </c>
      <c r="AG785" s="193" t="s">
        <v>875</v>
      </c>
      <c r="AH785" s="193" t="s">
        <v>1432</v>
      </c>
      <c r="AI785" s="193" t="s">
        <v>877</v>
      </c>
      <c r="AJ785" s="193" t="s">
        <v>1431</v>
      </c>
      <c r="AK785" s="193" t="s">
        <v>1431</v>
      </c>
      <c r="AL785" s="193" t="s">
        <v>1431</v>
      </c>
    </row>
    <row r="786" spans="7:38">
      <c r="G786" s="193" t="s">
        <v>2626</v>
      </c>
      <c r="H786" s="193" t="s">
        <v>1902</v>
      </c>
      <c r="I786" s="193" t="s">
        <v>2627</v>
      </c>
      <c r="J786" s="193" t="s">
        <v>2627</v>
      </c>
      <c r="K786" s="193" t="s">
        <v>1903</v>
      </c>
      <c r="L786" s="193"/>
      <c r="M786" s="193"/>
      <c r="N786" s="193">
        <v>5.0458590006844624</v>
      </c>
      <c r="O786" s="193"/>
      <c r="P786" s="193">
        <v>145</v>
      </c>
      <c r="Q786" s="193">
        <v>125</v>
      </c>
      <c r="R786" s="193">
        <v>-20</v>
      </c>
      <c r="S786" s="193">
        <v>3</v>
      </c>
      <c r="T786" s="193">
        <v>1700</v>
      </c>
      <c r="U786" s="193">
        <v>1700000000</v>
      </c>
      <c r="V786" s="193">
        <v>1700</v>
      </c>
      <c r="W786" s="193"/>
      <c r="X786" s="193">
        <v>0</v>
      </c>
      <c r="Y786" s="193">
        <v>0</v>
      </c>
      <c r="Z786" s="193">
        <v>100.10589999999996</v>
      </c>
      <c r="AA786" s="193">
        <v>125</v>
      </c>
      <c r="AB786" s="193" t="s">
        <v>1281</v>
      </c>
      <c r="AC786" s="193" t="s">
        <v>1428</v>
      </c>
      <c r="AD786" s="193" t="s">
        <v>1864</v>
      </c>
      <c r="AE786" s="193" t="s">
        <v>1901</v>
      </c>
      <c r="AF786" s="193" t="s">
        <v>877</v>
      </c>
      <c r="AG786" s="193" t="s">
        <v>875</v>
      </c>
      <c r="AH786" s="193" t="s">
        <v>1432</v>
      </c>
      <c r="AI786" s="193" t="s">
        <v>877</v>
      </c>
      <c r="AJ786" s="193" t="s">
        <v>1431</v>
      </c>
      <c r="AK786" s="193" t="s">
        <v>1431</v>
      </c>
      <c r="AL786" s="193" t="s">
        <v>1431</v>
      </c>
    </row>
    <row r="787" spans="7:38">
      <c r="G787" s="193" t="s">
        <v>2628</v>
      </c>
      <c r="H787" s="193" t="s">
        <v>2131</v>
      </c>
      <c r="I787" s="193" t="s">
        <v>2629</v>
      </c>
      <c r="J787" s="193" t="s">
        <v>2629</v>
      </c>
      <c r="K787" s="193" t="s">
        <v>1513</v>
      </c>
      <c r="L787" s="193"/>
      <c r="M787" s="193"/>
      <c r="N787" s="193">
        <v>11.000684462696784</v>
      </c>
      <c r="O787" s="193"/>
      <c r="P787" s="193">
        <v>125</v>
      </c>
      <c r="Q787" s="193">
        <v>110</v>
      </c>
      <c r="R787" s="193">
        <v>-15</v>
      </c>
      <c r="S787" s="193">
        <v>5</v>
      </c>
      <c r="T787" s="193">
        <v>5800</v>
      </c>
      <c r="U787" s="193">
        <v>5800000000</v>
      </c>
      <c r="V787" s="193"/>
      <c r="W787" s="193"/>
      <c r="X787" s="193"/>
      <c r="Y787" s="193"/>
      <c r="Z787" s="193">
        <v>92.601500000000044</v>
      </c>
      <c r="AA787" s="193">
        <v>110</v>
      </c>
      <c r="AB787" s="193" t="s">
        <v>1281</v>
      </c>
      <c r="AC787" s="193" t="s">
        <v>1428</v>
      </c>
      <c r="AD787" s="193" t="s">
        <v>1429</v>
      </c>
      <c r="AE787" s="193" t="s">
        <v>1460</v>
      </c>
      <c r="AF787" s="193" t="s">
        <v>950</v>
      </c>
      <c r="AG787" s="193" t="s">
        <v>942</v>
      </c>
      <c r="AH787" s="193" t="s">
        <v>876</v>
      </c>
      <c r="AI787" s="193" t="s">
        <v>938</v>
      </c>
      <c r="AJ787" s="193" t="s">
        <v>1431</v>
      </c>
      <c r="AK787" s="193" t="s">
        <v>1431</v>
      </c>
      <c r="AL787" s="193" t="s">
        <v>1431</v>
      </c>
    </row>
    <row r="788" spans="7:38">
      <c r="G788" s="193" t="s">
        <v>2630</v>
      </c>
      <c r="H788" s="193" t="s">
        <v>2631</v>
      </c>
      <c r="I788" s="193" t="s">
        <v>2632</v>
      </c>
      <c r="J788" s="193" t="s">
        <v>2632</v>
      </c>
      <c r="K788" s="193" t="s">
        <v>2633</v>
      </c>
      <c r="L788" s="193"/>
      <c r="M788" s="193"/>
      <c r="N788" s="193">
        <v>4.9993155373032172</v>
      </c>
      <c r="O788" s="193"/>
      <c r="P788" s="193">
        <v>130</v>
      </c>
      <c r="Q788" s="193">
        <v>103</v>
      </c>
      <c r="R788" s="193">
        <v>-27</v>
      </c>
      <c r="S788" s="193">
        <v>0</v>
      </c>
      <c r="T788" s="193">
        <v>1800</v>
      </c>
      <c r="U788" s="193">
        <v>1800000000</v>
      </c>
      <c r="V788" s="193">
        <v>2250</v>
      </c>
      <c r="W788" s="193"/>
      <c r="X788" s="193">
        <v>0</v>
      </c>
      <c r="Y788" s="193">
        <v>-20</v>
      </c>
      <c r="Z788" s="193">
        <v>83.182299999999998</v>
      </c>
      <c r="AA788" s="193">
        <v>103</v>
      </c>
      <c r="AB788" s="193" t="s">
        <v>1281</v>
      </c>
      <c r="AC788" s="193" t="s">
        <v>1447</v>
      </c>
      <c r="AD788" s="193" t="s">
        <v>1448</v>
      </c>
      <c r="AE788" s="193" t="s">
        <v>2634</v>
      </c>
      <c r="AF788" s="193" t="s">
        <v>932</v>
      </c>
      <c r="AG788" s="193" t="s">
        <v>1432</v>
      </c>
      <c r="AH788" s="193" t="s">
        <v>950</v>
      </c>
      <c r="AI788" s="193" t="s">
        <v>950</v>
      </c>
      <c r="AJ788" s="193" t="s">
        <v>1431</v>
      </c>
      <c r="AK788" s="193" t="s">
        <v>1431</v>
      </c>
      <c r="AL788" s="193" t="s">
        <v>1431</v>
      </c>
    </row>
    <row r="789" spans="7:38">
      <c r="G789" s="193" t="s">
        <v>1928</v>
      </c>
      <c r="H789" s="193" t="s">
        <v>1925</v>
      </c>
      <c r="I789" s="193" t="s">
        <v>1929</v>
      </c>
      <c r="J789" s="193" t="s">
        <v>1929</v>
      </c>
      <c r="K789" s="193" t="s">
        <v>1556</v>
      </c>
      <c r="L789" s="193"/>
      <c r="M789" s="193"/>
      <c r="N789" s="193">
        <v>30.012320328542096</v>
      </c>
      <c r="O789" s="193"/>
      <c r="P789" s="193">
        <v>160</v>
      </c>
      <c r="Q789" s="193">
        <v>130</v>
      </c>
      <c r="R789" s="193">
        <v>-30</v>
      </c>
      <c r="S789" s="193">
        <v>0</v>
      </c>
      <c r="T789" s="193">
        <v>5100</v>
      </c>
      <c r="U789" s="193">
        <v>5100000000</v>
      </c>
      <c r="V789" s="193">
        <v>6000</v>
      </c>
      <c r="W789" s="193"/>
      <c r="X789" s="193">
        <v>0</v>
      </c>
      <c r="Y789" s="193">
        <v>-15</v>
      </c>
      <c r="Z789" s="193">
        <v>100.71560000000002</v>
      </c>
      <c r="AA789" s="193">
        <v>130</v>
      </c>
      <c r="AB789" s="193" t="s">
        <v>1281</v>
      </c>
      <c r="AC789" s="193" t="s">
        <v>1441</v>
      </c>
      <c r="AD789" s="193" t="s">
        <v>1926</v>
      </c>
      <c r="AE789" s="193" t="s">
        <v>1927</v>
      </c>
      <c r="AF789" s="193" t="s">
        <v>950</v>
      </c>
      <c r="AG789" s="193" t="s">
        <v>875</v>
      </c>
      <c r="AH789" s="193" t="s">
        <v>932</v>
      </c>
      <c r="AI789" s="193" t="s">
        <v>932</v>
      </c>
      <c r="AJ789" s="193" t="s">
        <v>1431</v>
      </c>
      <c r="AK789" s="193" t="s">
        <v>1431</v>
      </c>
      <c r="AL789" s="193" t="s">
        <v>1431</v>
      </c>
    </row>
    <row r="790" spans="7:38">
      <c r="G790" s="193" t="s">
        <v>2635</v>
      </c>
      <c r="H790" s="193" t="s">
        <v>2636</v>
      </c>
      <c r="I790" s="193" t="s">
        <v>2637</v>
      </c>
      <c r="J790" s="193" t="s">
        <v>2637</v>
      </c>
      <c r="K790" s="193" t="s">
        <v>1588</v>
      </c>
      <c r="L790" s="193"/>
      <c r="M790" s="193"/>
      <c r="N790" s="193">
        <v>10.004106776180699</v>
      </c>
      <c r="O790" s="193"/>
      <c r="P790" s="193">
        <v>115</v>
      </c>
      <c r="Q790" s="193">
        <v>88</v>
      </c>
      <c r="R790" s="193">
        <v>-27</v>
      </c>
      <c r="S790" s="193">
        <v>4</v>
      </c>
      <c r="T790" s="193">
        <v>3300</v>
      </c>
      <c r="U790" s="193">
        <v>3300000000</v>
      </c>
      <c r="V790" s="193">
        <v>4000</v>
      </c>
      <c r="W790" s="193"/>
      <c r="X790" s="193">
        <v>0</v>
      </c>
      <c r="Y790" s="193">
        <v>-17.5</v>
      </c>
      <c r="Z790" s="193">
        <v>67.454100000000054</v>
      </c>
      <c r="AA790" s="193">
        <v>88</v>
      </c>
      <c r="AB790" s="193" t="s">
        <v>1281</v>
      </c>
      <c r="AC790" s="193" t="s">
        <v>1441</v>
      </c>
      <c r="AD790" s="193" t="s">
        <v>1442</v>
      </c>
      <c r="AE790" s="193" t="s">
        <v>1443</v>
      </c>
      <c r="AF790" s="193" t="s">
        <v>876</v>
      </c>
      <c r="AG790" s="193" t="s">
        <v>939</v>
      </c>
      <c r="AH790" s="193" t="s">
        <v>953</v>
      </c>
      <c r="AI790" s="193" t="s">
        <v>876</v>
      </c>
      <c r="AJ790" s="193" t="s">
        <v>1431</v>
      </c>
      <c r="AK790" s="193" t="s">
        <v>1431</v>
      </c>
      <c r="AL790" s="193" t="s">
        <v>1431</v>
      </c>
    </row>
    <row r="791" spans="7:38">
      <c r="G791" s="193" t="s">
        <v>2638</v>
      </c>
      <c r="H791" s="193" t="s">
        <v>1937</v>
      </c>
      <c r="I791" s="193" t="s">
        <v>2639</v>
      </c>
      <c r="J791" s="193" t="s">
        <v>2639</v>
      </c>
      <c r="K791" s="193" t="s">
        <v>1552</v>
      </c>
      <c r="L791" s="193"/>
      <c r="M791" s="193"/>
      <c r="N791" s="193">
        <v>10.056125941136209</v>
      </c>
      <c r="O791" s="193"/>
      <c r="P791" s="193">
        <v>105</v>
      </c>
      <c r="Q791" s="193">
        <v>80</v>
      </c>
      <c r="R791" s="193">
        <v>-25</v>
      </c>
      <c r="S791" s="193">
        <v>4</v>
      </c>
      <c r="T791" s="193">
        <v>3400</v>
      </c>
      <c r="U791" s="193">
        <v>3400000000</v>
      </c>
      <c r="V791" s="193">
        <v>3900</v>
      </c>
      <c r="W791" s="193"/>
      <c r="X791" s="193">
        <v>0</v>
      </c>
      <c r="Y791" s="193">
        <v>-12.82</v>
      </c>
      <c r="Z791" s="193">
        <v>69.177400000000063</v>
      </c>
      <c r="AA791" s="193">
        <v>80</v>
      </c>
      <c r="AB791" s="193" t="s">
        <v>1281</v>
      </c>
      <c r="AC791" s="193" t="s">
        <v>1433</v>
      </c>
      <c r="AD791" s="193" t="s">
        <v>1938</v>
      </c>
      <c r="AE791" s="193" t="s">
        <v>1939</v>
      </c>
      <c r="AF791" s="193" t="s">
        <v>876</v>
      </c>
      <c r="AG791" s="193" t="s">
        <v>874</v>
      </c>
      <c r="AH791" s="193" t="s">
        <v>876</v>
      </c>
      <c r="AI791" s="193" t="s">
        <v>876</v>
      </c>
      <c r="AJ791" s="193" t="s">
        <v>1431</v>
      </c>
      <c r="AK791" s="193" t="s">
        <v>1431</v>
      </c>
      <c r="AL791" s="193" t="s">
        <v>1431</v>
      </c>
    </row>
    <row r="792" spans="7:38">
      <c r="G792" s="193" t="s">
        <v>2640</v>
      </c>
      <c r="H792" s="193" t="s">
        <v>2641</v>
      </c>
      <c r="I792" s="193" t="s">
        <v>2642</v>
      </c>
      <c r="J792" s="193" t="s">
        <v>2642</v>
      </c>
      <c r="K792" s="193" t="s">
        <v>2643</v>
      </c>
      <c r="L792" s="193"/>
      <c r="M792" s="193"/>
      <c r="N792" s="193">
        <v>15.000684462696784</v>
      </c>
      <c r="O792" s="193"/>
      <c r="P792" s="193">
        <v>215</v>
      </c>
      <c r="Q792" s="193">
        <v>178</v>
      </c>
      <c r="R792" s="193">
        <v>-37</v>
      </c>
      <c r="S792" s="193">
        <v>2</v>
      </c>
      <c r="T792" s="193">
        <v>4500</v>
      </c>
      <c r="U792" s="193">
        <v>4500000000</v>
      </c>
      <c r="V792" s="193">
        <v>4600</v>
      </c>
      <c r="W792" s="193"/>
      <c r="X792" s="193">
        <v>0</v>
      </c>
      <c r="Y792" s="193">
        <v>-2.17</v>
      </c>
      <c r="Z792" s="193">
        <v>153.99560000000002</v>
      </c>
      <c r="AA792" s="193">
        <v>178</v>
      </c>
      <c r="AB792" s="193" t="s">
        <v>1281</v>
      </c>
      <c r="AC792" s="193" t="s">
        <v>1428</v>
      </c>
      <c r="AD792" s="193" t="s">
        <v>1429</v>
      </c>
      <c r="AE792" s="193" t="s">
        <v>1430</v>
      </c>
      <c r="AF792" s="193" t="s">
        <v>1432</v>
      </c>
      <c r="AG792" s="193" t="s">
        <v>969</v>
      </c>
      <c r="AH792" s="193" t="s">
        <v>1432</v>
      </c>
      <c r="AI792" s="193" t="s">
        <v>1004</v>
      </c>
      <c r="AJ792" s="193" t="s">
        <v>1431</v>
      </c>
      <c r="AK792" s="193" t="s">
        <v>1431</v>
      </c>
      <c r="AL792" s="193" t="s">
        <v>1431</v>
      </c>
    </row>
    <row r="793" spans="7:38">
      <c r="G793" s="193" t="s">
        <v>2644</v>
      </c>
      <c r="H793" s="193" t="s">
        <v>2645</v>
      </c>
      <c r="I793" s="193" t="s">
        <v>2646</v>
      </c>
      <c r="J793" s="193" t="s">
        <v>2646</v>
      </c>
      <c r="K793" s="193" t="s">
        <v>1607</v>
      </c>
      <c r="L793" s="193"/>
      <c r="M793" s="193"/>
      <c r="N793" s="193">
        <v>30.488706365503081</v>
      </c>
      <c r="O793" s="193"/>
      <c r="P793" s="193"/>
      <c r="Q793" s="193">
        <v>331.9</v>
      </c>
      <c r="R793" s="193"/>
      <c r="S793" s="193"/>
      <c r="T793" s="193">
        <v>2200</v>
      </c>
      <c r="U793" s="193">
        <v>2200000000</v>
      </c>
      <c r="V793" s="193">
        <v>3300</v>
      </c>
      <c r="W793" s="193"/>
      <c r="X793" s="193">
        <v>0</v>
      </c>
      <c r="Y793" s="193">
        <v>-33.33</v>
      </c>
      <c r="Z793" s="193">
        <v>270.34649999999993</v>
      </c>
      <c r="AA793" s="193">
        <v>331.9</v>
      </c>
      <c r="AB793" s="193" t="s">
        <v>1281</v>
      </c>
      <c r="AC793" s="193" t="s">
        <v>1441</v>
      </c>
      <c r="AD793" s="193" t="s">
        <v>1442</v>
      </c>
      <c r="AE793" s="193" t="s">
        <v>1443</v>
      </c>
      <c r="AF793" s="193" t="s">
        <v>955</v>
      </c>
      <c r="AG793" s="193" t="s">
        <v>969</v>
      </c>
      <c r="AH793" s="193" t="s">
        <v>1432</v>
      </c>
      <c r="AI793" s="193" t="s">
        <v>955</v>
      </c>
      <c r="AJ793" s="193" t="s">
        <v>1431</v>
      </c>
      <c r="AK793" s="193" t="s">
        <v>1431</v>
      </c>
      <c r="AL793" s="193" t="s">
        <v>1431</v>
      </c>
    </row>
    <row r="794" spans="7:38">
      <c r="G794" s="193" t="s">
        <v>2647</v>
      </c>
      <c r="H794" s="193" t="s">
        <v>2648</v>
      </c>
      <c r="I794" s="193" t="s">
        <v>2649</v>
      </c>
      <c r="J794" s="193" t="s">
        <v>2649</v>
      </c>
      <c r="K794" s="193" t="s">
        <v>1626</v>
      </c>
      <c r="L794" s="193"/>
      <c r="M794" s="193"/>
      <c r="N794" s="193">
        <v>3.0006844626967832</v>
      </c>
      <c r="O794" s="193"/>
      <c r="P794" s="193">
        <v>115</v>
      </c>
      <c r="Q794" s="193">
        <v>87</v>
      </c>
      <c r="R794" s="193">
        <v>-28</v>
      </c>
      <c r="S794" s="193">
        <v>2</v>
      </c>
      <c r="T794" s="193">
        <v>1800</v>
      </c>
      <c r="U794" s="193">
        <v>1800000000</v>
      </c>
      <c r="V794" s="193">
        <v>2000</v>
      </c>
      <c r="W794" s="193"/>
      <c r="X794" s="193">
        <v>0</v>
      </c>
      <c r="Y794" s="193">
        <v>-10</v>
      </c>
      <c r="Z794" s="193">
        <v>64.785199999999989</v>
      </c>
      <c r="AA794" s="193">
        <v>87</v>
      </c>
      <c r="AB794" s="193" t="s">
        <v>1281</v>
      </c>
      <c r="AC794" s="193" t="s">
        <v>1879</v>
      </c>
      <c r="AD794" s="193" t="s">
        <v>1891</v>
      </c>
      <c r="AE794" s="193" t="s">
        <v>1892</v>
      </c>
      <c r="AF794" s="193" t="s">
        <v>950</v>
      </c>
      <c r="AG794" s="193" t="s">
        <v>875</v>
      </c>
      <c r="AH794" s="193" t="s">
        <v>950</v>
      </c>
      <c r="AI794" s="193" t="s">
        <v>932</v>
      </c>
      <c r="AJ794" s="193" t="s">
        <v>1431</v>
      </c>
      <c r="AK794" s="193" t="s">
        <v>1431</v>
      </c>
      <c r="AL794" s="193" t="s">
        <v>1431</v>
      </c>
    </row>
    <row r="795" spans="7:38">
      <c r="G795" s="193" t="s">
        <v>2650</v>
      </c>
      <c r="H795" s="193" t="s">
        <v>2651</v>
      </c>
      <c r="I795" s="193" t="s">
        <v>2652</v>
      </c>
      <c r="J795" s="193" t="s">
        <v>2652</v>
      </c>
      <c r="K795" s="193" t="s">
        <v>2653</v>
      </c>
      <c r="L795" s="193"/>
      <c r="M795" s="193"/>
      <c r="N795" s="193">
        <v>3.0006844626967832</v>
      </c>
      <c r="O795" s="193"/>
      <c r="P795" s="193">
        <v>210</v>
      </c>
      <c r="Q795" s="193">
        <v>190</v>
      </c>
      <c r="R795" s="193">
        <v>-20</v>
      </c>
      <c r="S795" s="193">
        <v>3</v>
      </c>
      <c r="T795" s="193">
        <v>2600</v>
      </c>
      <c r="U795" s="193">
        <v>2600000000</v>
      </c>
      <c r="V795" s="193">
        <v>2750</v>
      </c>
      <c r="W795" s="193"/>
      <c r="X795" s="193">
        <v>0</v>
      </c>
      <c r="Y795" s="193">
        <v>-5.45</v>
      </c>
      <c r="Z795" s="193">
        <v>163.36910000000003</v>
      </c>
      <c r="AA795" s="193">
        <v>190</v>
      </c>
      <c r="AB795" s="193" t="s">
        <v>1281</v>
      </c>
      <c r="AC795" s="193" t="s">
        <v>1433</v>
      </c>
      <c r="AD795" s="193" t="s">
        <v>1434</v>
      </c>
      <c r="AE795" s="193" t="s">
        <v>1867</v>
      </c>
      <c r="AF795" s="193" t="s">
        <v>877</v>
      </c>
      <c r="AG795" s="193" t="s">
        <v>980</v>
      </c>
      <c r="AH795" s="193" t="s">
        <v>877</v>
      </c>
      <c r="AI795" s="193" t="s">
        <v>955</v>
      </c>
      <c r="AJ795" s="193" t="s">
        <v>1431</v>
      </c>
      <c r="AK795" s="193" t="s">
        <v>1431</v>
      </c>
      <c r="AL795" s="193" t="s">
        <v>1431</v>
      </c>
    </row>
    <row r="796" spans="7:38">
      <c r="G796" s="193" t="s">
        <v>2654</v>
      </c>
      <c r="H796" s="193" t="s">
        <v>2651</v>
      </c>
      <c r="I796" s="193" t="s">
        <v>2655</v>
      </c>
      <c r="J796" s="193" t="s">
        <v>2655</v>
      </c>
      <c r="K796" s="193" t="s">
        <v>2653</v>
      </c>
      <c r="L796" s="193"/>
      <c r="M796" s="193"/>
      <c r="N796" s="193">
        <v>3.0006844626967832</v>
      </c>
      <c r="O796" s="193"/>
      <c r="P796" s="193"/>
      <c r="Q796" s="193"/>
      <c r="R796" s="193"/>
      <c r="S796" s="193">
        <v>3</v>
      </c>
      <c r="T796" s="193">
        <v>925</v>
      </c>
      <c r="U796" s="193">
        <v>925000000</v>
      </c>
      <c r="V796" s="193">
        <v>950</v>
      </c>
      <c r="W796" s="193"/>
      <c r="X796" s="193">
        <v>0</v>
      </c>
      <c r="Y796" s="193">
        <v>-2.63</v>
      </c>
      <c r="Z796" s="193" t="s">
        <v>1432</v>
      </c>
      <c r="AA796" s="193" t="s">
        <v>1432</v>
      </c>
      <c r="AB796" s="193" t="s">
        <v>1281</v>
      </c>
      <c r="AC796" s="193" t="s">
        <v>1433</v>
      </c>
      <c r="AD796" s="193" t="s">
        <v>1434</v>
      </c>
      <c r="AE796" s="193" t="s">
        <v>1867</v>
      </c>
      <c r="AF796" s="193" t="s">
        <v>877</v>
      </c>
      <c r="AG796" s="193" t="s">
        <v>980</v>
      </c>
      <c r="AH796" s="193" t="s">
        <v>877</v>
      </c>
      <c r="AI796" s="193" t="s">
        <v>955</v>
      </c>
      <c r="AJ796" s="193" t="s">
        <v>1431</v>
      </c>
      <c r="AK796" s="193" t="s">
        <v>1431</v>
      </c>
      <c r="AL796" s="193" t="s">
        <v>1431</v>
      </c>
    </row>
    <row r="797" spans="7:38">
      <c r="G797" s="193" t="s">
        <v>2656</v>
      </c>
      <c r="H797" s="193" t="s">
        <v>2651</v>
      </c>
      <c r="I797" s="193" t="s">
        <v>2657</v>
      </c>
      <c r="J797" s="193" t="s">
        <v>2657</v>
      </c>
      <c r="K797" s="193" t="s">
        <v>2653</v>
      </c>
      <c r="L797" s="193"/>
      <c r="M797" s="193"/>
      <c r="N797" s="193">
        <v>6.9979466119096507</v>
      </c>
      <c r="O797" s="193"/>
      <c r="P797" s="193">
        <v>255</v>
      </c>
      <c r="Q797" s="193">
        <v>235</v>
      </c>
      <c r="R797" s="193">
        <v>-20</v>
      </c>
      <c r="S797" s="193">
        <v>6</v>
      </c>
      <c r="T797" s="193">
        <v>2400</v>
      </c>
      <c r="U797" s="193">
        <v>2400000000</v>
      </c>
      <c r="V797" s="193">
        <v>2500</v>
      </c>
      <c r="W797" s="193"/>
      <c r="X797" s="193">
        <v>0</v>
      </c>
      <c r="Y797" s="193">
        <v>-4</v>
      </c>
      <c r="Z797" s="193">
        <v>202.25850000000003</v>
      </c>
      <c r="AA797" s="193">
        <v>235</v>
      </c>
      <c r="AB797" s="193" t="s">
        <v>1281</v>
      </c>
      <c r="AC797" s="193" t="s">
        <v>1433</v>
      </c>
      <c r="AD797" s="193" t="s">
        <v>1434</v>
      </c>
      <c r="AE797" s="193" t="s">
        <v>1867</v>
      </c>
      <c r="AF797" s="193" t="s">
        <v>877</v>
      </c>
      <c r="AG797" s="193" t="s">
        <v>980</v>
      </c>
      <c r="AH797" s="193" t="s">
        <v>877</v>
      </c>
      <c r="AI797" s="193" t="s">
        <v>955</v>
      </c>
      <c r="AJ797" s="193" t="s">
        <v>1431</v>
      </c>
      <c r="AK797" s="193" t="s">
        <v>1431</v>
      </c>
      <c r="AL797" s="193" t="s">
        <v>1431</v>
      </c>
    </row>
    <row r="798" spans="7:38">
      <c r="G798" s="193" t="s">
        <v>2658</v>
      </c>
      <c r="H798" s="193" t="s">
        <v>2659</v>
      </c>
      <c r="I798" s="193" t="s">
        <v>2660</v>
      </c>
      <c r="J798" s="193" t="s">
        <v>2660</v>
      </c>
      <c r="K798" s="193" t="s">
        <v>1602</v>
      </c>
      <c r="L798" s="193"/>
      <c r="M798" s="193"/>
      <c r="N798" s="193">
        <v>4</v>
      </c>
      <c r="O798" s="193"/>
      <c r="P798" s="193">
        <v>110</v>
      </c>
      <c r="Q798" s="193">
        <v>85</v>
      </c>
      <c r="R798" s="193">
        <v>-25</v>
      </c>
      <c r="S798" s="193">
        <v>2</v>
      </c>
      <c r="T798" s="193">
        <v>2700</v>
      </c>
      <c r="U798" s="193">
        <v>2700000000</v>
      </c>
      <c r="V798" s="193">
        <v>3250</v>
      </c>
      <c r="W798" s="193"/>
      <c r="X798" s="193">
        <v>0</v>
      </c>
      <c r="Y798" s="193">
        <v>-16.920000000000002</v>
      </c>
      <c r="Z798" s="193">
        <v>68.118200000000016</v>
      </c>
      <c r="AA798" s="193">
        <v>85</v>
      </c>
      <c r="AB798" s="193" t="s">
        <v>1281</v>
      </c>
      <c r="AC798" s="193" t="s">
        <v>1428</v>
      </c>
      <c r="AD798" s="193" t="s">
        <v>1429</v>
      </c>
      <c r="AE798" s="193" t="s">
        <v>1430</v>
      </c>
      <c r="AF798" s="193" t="s">
        <v>938</v>
      </c>
      <c r="AG798" s="193" t="s">
        <v>933</v>
      </c>
      <c r="AH798" s="193" t="s">
        <v>953</v>
      </c>
      <c r="AI798" s="193" t="s">
        <v>938</v>
      </c>
      <c r="AJ798" s="193" t="s">
        <v>1431</v>
      </c>
      <c r="AK798" s="193" t="s">
        <v>1431</v>
      </c>
      <c r="AL798" s="193" t="s">
        <v>1431</v>
      </c>
    </row>
    <row r="799" spans="7:38">
      <c r="G799" s="193" t="s">
        <v>2661</v>
      </c>
      <c r="H799" s="193" t="s">
        <v>2659</v>
      </c>
      <c r="I799" s="193" t="s">
        <v>2662</v>
      </c>
      <c r="J799" s="193" t="s">
        <v>2662</v>
      </c>
      <c r="K799" s="193" t="s">
        <v>1602</v>
      </c>
      <c r="L799" s="193"/>
      <c r="M799" s="193"/>
      <c r="N799" s="193">
        <v>4</v>
      </c>
      <c r="O799" s="193"/>
      <c r="P799" s="193"/>
      <c r="Q799" s="193"/>
      <c r="R799" s="193"/>
      <c r="S799" s="193">
        <v>2</v>
      </c>
      <c r="T799" s="193">
        <v>2950</v>
      </c>
      <c r="U799" s="193">
        <v>2950000000</v>
      </c>
      <c r="V799" s="193">
        <v>3250</v>
      </c>
      <c r="W799" s="193"/>
      <c r="X799" s="193">
        <v>0</v>
      </c>
      <c r="Y799" s="193">
        <v>-9.23</v>
      </c>
      <c r="Z799" s="193" t="s">
        <v>1432</v>
      </c>
      <c r="AA799" s="193" t="s">
        <v>1432</v>
      </c>
      <c r="AB799" s="193" t="s">
        <v>1281</v>
      </c>
      <c r="AC799" s="193" t="s">
        <v>1428</v>
      </c>
      <c r="AD799" s="193" t="s">
        <v>1429</v>
      </c>
      <c r="AE799" s="193" t="s">
        <v>1430</v>
      </c>
      <c r="AF799" s="193" t="s">
        <v>938</v>
      </c>
      <c r="AG799" s="193" t="s">
        <v>933</v>
      </c>
      <c r="AH799" s="193" t="s">
        <v>953</v>
      </c>
      <c r="AI799" s="193" t="s">
        <v>938</v>
      </c>
      <c r="AJ799" s="193" t="s">
        <v>1431</v>
      </c>
      <c r="AK799" s="193" t="s">
        <v>1431</v>
      </c>
      <c r="AL799" s="193" t="s">
        <v>1431</v>
      </c>
    </row>
    <row r="800" spans="7:38">
      <c r="G800" s="193" t="s">
        <v>2663</v>
      </c>
      <c r="H800" s="193" t="s">
        <v>2659</v>
      </c>
      <c r="I800" s="193" t="s">
        <v>2664</v>
      </c>
      <c r="J800" s="193" t="s">
        <v>2664</v>
      </c>
      <c r="K800" s="193" t="s">
        <v>1602</v>
      </c>
      <c r="L800" s="193"/>
      <c r="M800" s="193"/>
      <c r="N800" s="193">
        <v>5.9986310746064335</v>
      </c>
      <c r="O800" s="193"/>
      <c r="P800" s="193">
        <v>125</v>
      </c>
      <c r="Q800" s="193">
        <v>100</v>
      </c>
      <c r="R800" s="193">
        <v>-25</v>
      </c>
      <c r="S800" s="193">
        <v>1</v>
      </c>
      <c r="T800" s="193">
        <v>3550</v>
      </c>
      <c r="U800" s="193">
        <v>3550000000</v>
      </c>
      <c r="V800" s="193">
        <v>4250</v>
      </c>
      <c r="W800" s="193"/>
      <c r="X800" s="193">
        <v>0</v>
      </c>
      <c r="Y800" s="193">
        <v>-16.47</v>
      </c>
      <c r="Z800" s="193">
        <v>75.220199999999963</v>
      </c>
      <c r="AA800" s="193">
        <v>100</v>
      </c>
      <c r="AB800" s="193" t="s">
        <v>1281</v>
      </c>
      <c r="AC800" s="193" t="s">
        <v>1428</v>
      </c>
      <c r="AD800" s="193" t="s">
        <v>1429</v>
      </c>
      <c r="AE800" s="193" t="s">
        <v>1430</v>
      </c>
      <c r="AF800" s="193" t="s">
        <v>938</v>
      </c>
      <c r="AG800" s="193" t="s">
        <v>933</v>
      </c>
      <c r="AH800" s="193" t="s">
        <v>953</v>
      </c>
      <c r="AI800" s="193" t="s">
        <v>938</v>
      </c>
      <c r="AJ800" s="193" t="s">
        <v>1431</v>
      </c>
      <c r="AK800" s="193" t="s">
        <v>1431</v>
      </c>
      <c r="AL800" s="193" t="s">
        <v>1431</v>
      </c>
    </row>
    <row r="801" spans="7:38">
      <c r="G801" s="193" t="s">
        <v>2665</v>
      </c>
      <c r="H801" s="193" t="s">
        <v>2659</v>
      </c>
      <c r="I801" s="193" t="s">
        <v>2666</v>
      </c>
      <c r="J801" s="193" t="s">
        <v>2666</v>
      </c>
      <c r="K801" s="193" t="s">
        <v>1602</v>
      </c>
      <c r="L801" s="193"/>
      <c r="M801" s="193"/>
      <c r="N801" s="193">
        <v>11.000684462696784</v>
      </c>
      <c r="O801" s="193"/>
      <c r="P801" s="193">
        <v>150</v>
      </c>
      <c r="Q801" s="193">
        <v>125</v>
      </c>
      <c r="R801" s="193">
        <v>-25</v>
      </c>
      <c r="S801" s="193">
        <v>1</v>
      </c>
      <c r="T801" s="193">
        <v>4900</v>
      </c>
      <c r="U801" s="193">
        <v>4900000000</v>
      </c>
      <c r="V801" s="193">
        <v>5800</v>
      </c>
      <c r="W801" s="193"/>
      <c r="X801" s="193">
        <v>0</v>
      </c>
      <c r="Y801" s="193">
        <v>-15.52</v>
      </c>
      <c r="Z801" s="193">
        <v>92.144100000000066</v>
      </c>
      <c r="AA801" s="193">
        <v>125</v>
      </c>
      <c r="AB801" s="193" t="s">
        <v>1281</v>
      </c>
      <c r="AC801" s="193" t="s">
        <v>1428</v>
      </c>
      <c r="AD801" s="193" t="s">
        <v>1429</v>
      </c>
      <c r="AE801" s="193" t="s">
        <v>1430</v>
      </c>
      <c r="AF801" s="193" t="s">
        <v>938</v>
      </c>
      <c r="AG801" s="193" t="s">
        <v>933</v>
      </c>
      <c r="AH801" s="193" t="s">
        <v>953</v>
      </c>
      <c r="AI801" s="193" t="s">
        <v>938</v>
      </c>
      <c r="AJ801" s="193" t="s">
        <v>1431</v>
      </c>
      <c r="AK801" s="193" t="s">
        <v>1431</v>
      </c>
      <c r="AL801" s="193" t="s">
        <v>1431</v>
      </c>
    </row>
    <row r="802" spans="7:38">
      <c r="G802" s="193" t="s">
        <v>2667</v>
      </c>
      <c r="H802" s="193" t="s">
        <v>2668</v>
      </c>
      <c r="I802" s="193" t="s">
        <v>2669</v>
      </c>
      <c r="J802" s="193" t="s">
        <v>2669</v>
      </c>
      <c r="K802" s="193" t="s">
        <v>2670</v>
      </c>
      <c r="L802" s="193"/>
      <c r="M802" s="193"/>
      <c r="N802" s="193">
        <v>4.9993155373032172</v>
      </c>
      <c r="O802" s="193"/>
      <c r="P802" s="193">
        <v>6.5</v>
      </c>
      <c r="Q802" s="193"/>
      <c r="R802" s="193"/>
      <c r="S802" s="193"/>
      <c r="T802" s="193">
        <v>975</v>
      </c>
      <c r="U802" s="193">
        <v>975000000</v>
      </c>
      <c r="V802" s="193">
        <v>1000</v>
      </c>
      <c r="W802" s="193"/>
      <c r="X802" s="193">
        <v>0</v>
      </c>
      <c r="Y802" s="193">
        <v>-2.5</v>
      </c>
      <c r="Z802" s="193">
        <v>187.60969999999998</v>
      </c>
      <c r="AA802" s="193" t="s">
        <v>1432</v>
      </c>
      <c r="AB802" s="193" t="s">
        <v>1281</v>
      </c>
      <c r="AC802" s="193" t="s">
        <v>1447</v>
      </c>
      <c r="AD802" s="193" t="s">
        <v>1448</v>
      </c>
      <c r="AE802" s="193" t="s">
        <v>1932</v>
      </c>
      <c r="AF802" s="193" t="s">
        <v>1432</v>
      </c>
      <c r="AG802" s="193" t="s">
        <v>969</v>
      </c>
      <c r="AH802" s="193" t="s">
        <v>877</v>
      </c>
      <c r="AI802" s="193" t="s">
        <v>877</v>
      </c>
      <c r="AJ802" s="193" t="s">
        <v>1431</v>
      </c>
      <c r="AK802" s="193" t="s">
        <v>1431</v>
      </c>
      <c r="AL802" s="193" t="s">
        <v>1431</v>
      </c>
    </row>
    <row r="803" spans="7:38">
      <c r="G803" s="193" t="s">
        <v>2671</v>
      </c>
      <c r="H803" s="193" t="s">
        <v>2672</v>
      </c>
      <c r="I803" s="193" t="s">
        <v>2673</v>
      </c>
      <c r="J803" s="193" t="s">
        <v>2673</v>
      </c>
      <c r="K803" s="193" t="s">
        <v>1551</v>
      </c>
      <c r="L803" s="193"/>
      <c r="M803" s="193"/>
      <c r="N803" s="193">
        <v>3.0006844626967832</v>
      </c>
      <c r="O803" s="193"/>
      <c r="P803" s="193">
        <v>105</v>
      </c>
      <c r="Q803" s="193">
        <v>78</v>
      </c>
      <c r="R803" s="193">
        <v>-27</v>
      </c>
      <c r="S803" s="193">
        <v>0</v>
      </c>
      <c r="T803" s="193">
        <v>2400</v>
      </c>
      <c r="U803" s="193">
        <v>2400000000</v>
      </c>
      <c r="V803" s="193">
        <v>2700</v>
      </c>
      <c r="W803" s="193"/>
      <c r="X803" s="193">
        <v>0</v>
      </c>
      <c r="Y803" s="193">
        <v>-11.11</v>
      </c>
      <c r="Z803" s="193">
        <v>41.45049999999997</v>
      </c>
      <c r="AA803" s="193">
        <v>78</v>
      </c>
      <c r="AB803" s="193" t="s">
        <v>1281</v>
      </c>
      <c r="AC803" s="193" t="s">
        <v>1428</v>
      </c>
      <c r="AD803" s="193" t="s">
        <v>1429</v>
      </c>
      <c r="AE803" s="193" t="s">
        <v>1460</v>
      </c>
      <c r="AF803" s="193" t="s">
        <v>876</v>
      </c>
      <c r="AG803" s="193" t="s">
        <v>939</v>
      </c>
      <c r="AH803" s="193" t="s">
        <v>997</v>
      </c>
      <c r="AI803" s="193" t="s">
        <v>953</v>
      </c>
      <c r="AJ803" s="193" t="s">
        <v>1431</v>
      </c>
      <c r="AK803" s="193" t="s">
        <v>1431</v>
      </c>
      <c r="AL803" s="193" t="s">
        <v>1431</v>
      </c>
    </row>
    <row r="804" spans="7:38">
      <c r="G804" s="193" t="s">
        <v>2674</v>
      </c>
      <c r="H804" s="193" t="s">
        <v>2672</v>
      </c>
      <c r="I804" s="193" t="s">
        <v>2675</v>
      </c>
      <c r="J804" s="193" t="s">
        <v>2675</v>
      </c>
      <c r="K804" s="193" t="s">
        <v>1551</v>
      </c>
      <c r="L804" s="193"/>
      <c r="M804" s="193"/>
      <c r="N804" s="193">
        <v>3.0006844626967832</v>
      </c>
      <c r="O804" s="193"/>
      <c r="P804" s="193"/>
      <c r="Q804" s="193"/>
      <c r="R804" s="193"/>
      <c r="S804" s="193">
        <v>0</v>
      </c>
      <c r="T804" s="193">
        <v>1600</v>
      </c>
      <c r="U804" s="193">
        <v>1600000000</v>
      </c>
      <c r="V804" s="193">
        <v>1650</v>
      </c>
      <c r="W804" s="193"/>
      <c r="X804" s="193">
        <v>0</v>
      </c>
      <c r="Y804" s="193">
        <v>-3.03</v>
      </c>
      <c r="Z804" s="193" t="s">
        <v>1432</v>
      </c>
      <c r="AA804" s="193" t="s">
        <v>1432</v>
      </c>
      <c r="AB804" s="193" t="s">
        <v>1281</v>
      </c>
      <c r="AC804" s="193" t="s">
        <v>1428</v>
      </c>
      <c r="AD804" s="193" t="s">
        <v>1429</v>
      </c>
      <c r="AE804" s="193" t="s">
        <v>1460</v>
      </c>
      <c r="AF804" s="193" t="s">
        <v>876</v>
      </c>
      <c r="AG804" s="193" t="s">
        <v>939</v>
      </c>
      <c r="AH804" s="193" t="s">
        <v>997</v>
      </c>
      <c r="AI804" s="193" t="s">
        <v>953</v>
      </c>
      <c r="AJ804" s="193" t="s">
        <v>1431</v>
      </c>
      <c r="AK804" s="193" t="s">
        <v>1431</v>
      </c>
      <c r="AL804" s="193" t="s">
        <v>1431</v>
      </c>
    </row>
    <row r="805" spans="7:38">
      <c r="G805" s="193" t="s">
        <v>2676</v>
      </c>
      <c r="H805" s="193" t="s">
        <v>2672</v>
      </c>
      <c r="I805" s="193" t="s">
        <v>2677</v>
      </c>
      <c r="J805" s="193" t="s">
        <v>2677</v>
      </c>
      <c r="K805" s="193" t="s">
        <v>1551</v>
      </c>
      <c r="L805" s="193"/>
      <c r="M805" s="193"/>
      <c r="N805" s="193">
        <v>4.9993155373032172</v>
      </c>
      <c r="O805" s="193"/>
      <c r="P805" s="193">
        <v>120</v>
      </c>
      <c r="Q805" s="193">
        <v>95</v>
      </c>
      <c r="R805" s="193">
        <v>-25</v>
      </c>
      <c r="S805" s="193">
        <v>0</v>
      </c>
      <c r="T805" s="193">
        <v>2400</v>
      </c>
      <c r="U805" s="193">
        <v>2400000000</v>
      </c>
      <c r="V805" s="193">
        <v>2750</v>
      </c>
      <c r="W805" s="193"/>
      <c r="X805" s="193">
        <v>0</v>
      </c>
      <c r="Y805" s="193">
        <v>-12.73</v>
      </c>
      <c r="Z805" s="193">
        <v>58.949099999999973</v>
      </c>
      <c r="AA805" s="193">
        <v>95</v>
      </c>
      <c r="AB805" s="193" t="s">
        <v>1281</v>
      </c>
      <c r="AC805" s="193" t="s">
        <v>1428</v>
      </c>
      <c r="AD805" s="193" t="s">
        <v>1429</v>
      </c>
      <c r="AE805" s="193" t="s">
        <v>1460</v>
      </c>
      <c r="AF805" s="193" t="s">
        <v>876</v>
      </c>
      <c r="AG805" s="193" t="s">
        <v>939</v>
      </c>
      <c r="AH805" s="193" t="s">
        <v>997</v>
      </c>
      <c r="AI805" s="193" t="s">
        <v>953</v>
      </c>
      <c r="AJ805" s="193" t="s">
        <v>1431</v>
      </c>
      <c r="AK805" s="193" t="s">
        <v>1431</v>
      </c>
      <c r="AL805" s="193" t="s">
        <v>1431</v>
      </c>
    </row>
    <row r="806" spans="7:38">
      <c r="G806" s="193" t="s">
        <v>2678</v>
      </c>
      <c r="H806" s="193" t="s">
        <v>2672</v>
      </c>
      <c r="I806" s="193" t="s">
        <v>2679</v>
      </c>
      <c r="J806" s="193" t="s">
        <v>2679</v>
      </c>
      <c r="K806" s="193" t="s">
        <v>1551</v>
      </c>
      <c r="L806" s="193"/>
      <c r="M806" s="193"/>
      <c r="N806" s="193">
        <v>4.9993155373032172</v>
      </c>
      <c r="O806" s="193"/>
      <c r="P806" s="193"/>
      <c r="Q806" s="193"/>
      <c r="R806" s="193"/>
      <c r="S806" s="193">
        <v>0</v>
      </c>
      <c r="T806" s="193">
        <v>1500</v>
      </c>
      <c r="U806" s="193">
        <v>1500000000</v>
      </c>
      <c r="V806" s="193">
        <v>1500</v>
      </c>
      <c r="W806" s="193"/>
      <c r="X806" s="193">
        <v>0</v>
      </c>
      <c r="Y806" s="193">
        <v>0</v>
      </c>
      <c r="Z806" s="193" t="s">
        <v>1432</v>
      </c>
      <c r="AA806" s="193" t="s">
        <v>1432</v>
      </c>
      <c r="AB806" s="193" t="s">
        <v>1281</v>
      </c>
      <c r="AC806" s="193" t="s">
        <v>1428</v>
      </c>
      <c r="AD806" s="193" t="s">
        <v>1429</v>
      </c>
      <c r="AE806" s="193" t="s">
        <v>1460</v>
      </c>
      <c r="AF806" s="193" t="s">
        <v>876</v>
      </c>
      <c r="AG806" s="193" t="s">
        <v>939</v>
      </c>
      <c r="AH806" s="193" t="s">
        <v>997</v>
      </c>
      <c r="AI806" s="193" t="s">
        <v>953</v>
      </c>
      <c r="AJ806" s="193" t="s">
        <v>1431</v>
      </c>
      <c r="AK806" s="193" t="s">
        <v>1431</v>
      </c>
      <c r="AL806" s="193" t="s">
        <v>1431</v>
      </c>
    </row>
    <row r="807" spans="7:38">
      <c r="G807" s="193" t="s">
        <v>2680</v>
      </c>
      <c r="H807" s="193" t="s">
        <v>2681</v>
      </c>
      <c r="I807" s="193" t="s">
        <v>2682</v>
      </c>
      <c r="J807" s="193" t="s">
        <v>2682</v>
      </c>
      <c r="K807" s="193" t="s">
        <v>1633</v>
      </c>
      <c r="L807" s="193"/>
      <c r="M807" s="193"/>
      <c r="N807" s="193">
        <v>5.0978781656399725</v>
      </c>
      <c r="O807" s="193"/>
      <c r="P807" s="193">
        <v>160</v>
      </c>
      <c r="Q807" s="193">
        <v>135</v>
      </c>
      <c r="R807" s="193">
        <v>-25</v>
      </c>
      <c r="S807" s="193">
        <v>1</v>
      </c>
      <c r="T807" s="193">
        <v>1200</v>
      </c>
      <c r="U807" s="193">
        <v>1200000000</v>
      </c>
      <c r="V807" s="193">
        <v>1450</v>
      </c>
      <c r="W807" s="193"/>
      <c r="X807" s="193">
        <v>0</v>
      </c>
      <c r="Y807" s="193">
        <v>-17.239999999999998</v>
      </c>
      <c r="Z807" s="193">
        <v>123.58770000000004</v>
      </c>
      <c r="AA807" s="193">
        <v>135</v>
      </c>
      <c r="AB807" s="193" t="s">
        <v>1281</v>
      </c>
      <c r="AC807" s="193" t="s">
        <v>1428</v>
      </c>
      <c r="AD807" s="193" t="s">
        <v>1436</v>
      </c>
      <c r="AE807" s="193" t="s">
        <v>1921</v>
      </c>
      <c r="AF807" s="193" t="s">
        <v>877</v>
      </c>
      <c r="AG807" s="193" t="s">
        <v>969</v>
      </c>
      <c r="AH807" s="193" t="s">
        <v>932</v>
      </c>
      <c r="AI807" s="193" t="s">
        <v>877</v>
      </c>
      <c r="AJ807" s="193" t="s">
        <v>1431</v>
      </c>
      <c r="AK807" s="193" t="s">
        <v>1431</v>
      </c>
      <c r="AL807" s="193" t="s">
        <v>1431</v>
      </c>
    </row>
    <row r="808" spans="7:38">
      <c r="G808" s="193" t="s">
        <v>2683</v>
      </c>
      <c r="H808" s="193" t="s">
        <v>2684</v>
      </c>
      <c r="I808" s="193" t="s">
        <v>2685</v>
      </c>
      <c r="J808" s="193" t="s">
        <v>2685</v>
      </c>
      <c r="K808" s="193" t="s">
        <v>2686</v>
      </c>
      <c r="L808" s="193"/>
      <c r="M808" s="193"/>
      <c r="N808" s="193">
        <v>1.9931553730321698</v>
      </c>
      <c r="O808" s="193"/>
      <c r="P808" s="193">
        <v>120</v>
      </c>
      <c r="Q808" s="193">
        <v>93</v>
      </c>
      <c r="R808" s="193">
        <v>-27</v>
      </c>
      <c r="S808" s="193">
        <v>2</v>
      </c>
      <c r="T808" s="193">
        <v>1400</v>
      </c>
      <c r="U808" s="193">
        <v>1400000000</v>
      </c>
      <c r="V808" s="193">
        <v>1500</v>
      </c>
      <c r="W808" s="193"/>
      <c r="X808" s="193">
        <v>0</v>
      </c>
      <c r="Y808" s="193">
        <v>-6.67</v>
      </c>
      <c r="Z808" s="193">
        <v>78.937499999999972</v>
      </c>
      <c r="AA808" s="193">
        <v>93</v>
      </c>
      <c r="AB808" s="193" t="s">
        <v>1281</v>
      </c>
      <c r="AC808" s="193" t="s">
        <v>1433</v>
      </c>
      <c r="AD808" s="193" t="s">
        <v>1434</v>
      </c>
      <c r="AE808" s="193" t="s">
        <v>1867</v>
      </c>
      <c r="AF808" s="193" t="s">
        <v>950</v>
      </c>
      <c r="AG808" s="193" t="s">
        <v>933</v>
      </c>
      <c r="AH808" s="193" t="s">
        <v>938</v>
      </c>
      <c r="AI808" s="193" t="s">
        <v>950</v>
      </c>
      <c r="AJ808" s="193" t="s">
        <v>1431</v>
      </c>
      <c r="AK808" s="193" t="s">
        <v>1431</v>
      </c>
      <c r="AL808" s="193" t="s">
        <v>1431</v>
      </c>
    </row>
    <row r="809" spans="7:38">
      <c r="G809" s="193" t="s">
        <v>2687</v>
      </c>
      <c r="H809" s="193" t="s">
        <v>2684</v>
      </c>
      <c r="I809" s="193" t="s">
        <v>2688</v>
      </c>
      <c r="J809" s="193" t="s">
        <v>2688</v>
      </c>
      <c r="K809" s="193" t="s">
        <v>2686</v>
      </c>
      <c r="L809" s="193"/>
      <c r="M809" s="193"/>
      <c r="N809" s="193">
        <v>1.9931553730321698</v>
      </c>
      <c r="O809" s="193"/>
      <c r="P809" s="193"/>
      <c r="Q809" s="193"/>
      <c r="R809" s="193"/>
      <c r="S809" s="193">
        <v>2</v>
      </c>
      <c r="T809" s="193">
        <v>750</v>
      </c>
      <c r="U809" s="193">
        <v>750000000</v>
      </c>
      <c r="V809" s="193">
        <v>950</v>
      </c>
      <c r="W809" s="193"/>
      <c r="X809" s="193">
        <v>0</v>
      </c>
      <c r="Y809" s="193">
        <v>-21.05</v>
      </c>
      <c r="Z809" s="193" t="s">
        <v>1432</v>
      </c>
      <c r="AA809" s="193" t="s">
        <v>1432</v>
      </c>
      <c r="AB809" s="193" t="s">
        <v>1281</v>
      </c>
      <c r="AC809" s="193" t="s">
        <v>1433</v>
      </c>
      <c r="AD809" s="193" t="s">
        <v>1434</v>
      </c>
      <c r="AE809" s="193" t="s">
        <v>1867</v>
      </c>
      <c r="AF809" s="193" t="s">
        <v>950</v>
      </c>
      <c r="AG809" s="193" t="s">
        <v>933</v>
      </c>
      <c r="AH809" s="193" t="s">
        <v>938</v>
      </c>
      <c r="AI809" s="193" t="s">
        <v>950</v>
      </c>
      <c r="AJ809" s="193" t="s">
        <v>1431</v>
      </c>
      <c r="AK809" s="193" t="s">
        <v>1431</v>
      </c>
      <c r="AL809" s="193" t="s">
        <v>1431</v>
      </c>
    </row>
    <row r="810" spans="7:38">
      <c r="G810" s="193" t="s">
        <v>2689</v>
      </c>
      <c r="H810" s="193" t="s">
        <v>2684</v>
      </c>
      <c r="I810" s="193" t="s">
        <v>2690</v>
      </c>
      <c r="J810" s="193" t="s">
        <v>2690</v>
      </c>
      <c r="K810" s="193" t="s">
        <v>2686</v>
      </c>
      <c r="L810" s="193"/>
      <c r="M810" s="193"/>
      <c r="N810" s="193">
        <v>3.0006844626967832</v>
      </c>
      <c r="O810" s="193"/>
      <c r="P810" s="193">
        <v>135</v>
      </c>
      <c r="Q810" s="193">
        <v>108</v>
      </c>
      <c r="R810" s="193">
        <v>-27</v>
      </c>
      <c r="S810" s="193">
        <v>3</v>
      </c>
      <c r="T810" s="193">
        <v>2350</v>
      </c>
      <c r="U810" s="193">
        <v>2350000000</v>
      </c>
      <c r="V810" s="193">
        <v>2750</v>
      </c>
      <c r="W810" s="193"/>
      <c r="X810" s="193">
        <v>0</v>
      </c>
      <c r="Y810" s="193">
        <v>-14.55</v>
      </c>
      <c r="Z810" s="193">
        <v>86.326300000000032</v>
      </c>
      <c r="AA810" s="193">
        <v>108</v>
      </c>
      <c r="AB810" s="193" t="s">
        <v>1281</v>
      </c>
      <c r="AC810" s="193" t="s">
        <v>1433</v>
      </c>
      <c r="AD810" s="193" t="s">
        <v>1434</v>
      </c>
      <c r="AE810" s="193" t="s">
        <v>1867</v>
      </c>
      <c r="AF810" s="193" t="s">
        <v>950</v>
      </c>
      <c r="AG810" s="193" t="s">
        <v>933</v>
      </c>
      <c r="AH810" s="193" t="s">
        <v>938</v>
      </c>
      <c r="AI810" s="193" t="s">
        <v>950</v>
      </c>
      <c r="AJ810" s="193" t="s">
        <v>1431</v>
      </c>
      <c r="AK810" s="193" t="s">
        <v>1431</v>
      </c>
      <c r="AL810" s="193" t="s">
        <v>1431</v>
      </c>
    </row>
    <row r="811" spans="7:38">
      <c r="G811" s="193" t="s">
        <v>2691</v>
      </c>
      <c r="H811" s="193" t="s">
        <v>2684</v>
      </c>
      <c r="I811" s="193" t="s">
        <v>2692</v>
      </c>
      <c r="J811" s="193" t="s">
        <v>2692</v>
      </c>
      <c r="K811" s="193" t="s">
        <v>2686</v>
      </c>
      <c r="L811" s="193"/>
      <c r="M811" s="193"/>
      <c r="N811" s="193">
        <v>4.9993155373032172</v>
      </c>
      <c r="O811" s="193"/>
      <c r="P811" s="193">
        <v>155</v>
      </c>
      <c r="Q811" s="193">
        <v>132</v>
      </c>
      <c r="R811" s="193">
        <v>-23</v>
      </c>
      <c r="S811" s="193">
        <v>4</v>
      </c>
      <c r="T811" s="193">
        <v>1500</v>
      </c>
      <c r="U811" s="193">
        <v>1500000000</v>
      </c>
      <c r="V811" s="193">
        <v>1800</v>
      </c>
      <c r="W811" s="193"/>
      <c r="X811" s="193">
        <v>0</v>
      </c>
      <c r="Y811" s="193">
        <v>-16.670000000000002</v>
      </c>
      <c r="Z811" s="193">
        <v>96.264500000000027</v>
      </c>
      <c r="AA811" s="193">
        <v>132</v>
      </c>
      <c r="AB811" s="193" t="s">
        <v>1281</v>
      </c>
      <c r="AC811" s="193" t="s">
        <v>1433</v>
      </c>
      <c r="AD811" s="193" t="s">
        <v>1434</v>
      </c>
      <c r="AE811" s="193" t="s">
        <v>1867</v>
      </c>
      <c r="AF811" s="193" t="s">
        <v>950</v>
      </c>
      <c r="AG811" s="193" t="s">
        <v>933</v>
      </c>
      <c r="AH811" s="193" t="s">
        <v>938</v>
      </c>
      <c r="AI811" s="193" t="s">
        <v>950</v>
      </c>
      <c r="AJ811" s="193" t="s">
        <v>1431</v>
      </c>
      <c r="AK811" s="193" t="s">
        <v>1431</v>
      </c>
      <c r="AL811" s="193" t="s">
        <v>1431</v>
      </c>
    </row>
    <row r="812" spans="7:38">
      <c r="G812" s="193" t="s">
        <v>2693</v>
      </c>
      <c r="H812" s="193" t="s">
        <v>2684</v>
      </c>
      <c r="I812" s="193" t="s">
        <v>2694</v>
      </c>
      <c r="J812" s="193" t="s">
        <v>2694</v>
      </c>
      <c r="K812" s="193" t="s">
        <v>2686</v>
      </c>
      <c r="L812" s="193"/>
      <c r="M812" s="193"/>
      <c r="N812" s="193">
        <v>6.9952087611225187</v>
      </c>
      <c r="O812" s="193"/>
      <c r="P812" s="193">
        <v>170</v>
      </c>
      <c r="Q812" s="193">
        <v>147</v>
      </c>
      <c r="R812" s="193">
        <v>-23</v>
      </c>
      <c r="S812" s="193">
        <v>4</v>
      </c>
      <c r="T812" s="193">
        <v>1550</v>
      </c>
      <c r="U812" s="193">
        <v>1550000000</v>
      </c>
      <c r="V812" s="193">
        <v>1750</v>
      </c>
      <c r="W812" s="193"/>
      <c r="X812" s="193">
        <v>0</v>
      </c>
      <c r="Y812" s="193">
        <v>-11.43</v>
      </c>
      <c r="Z812" s="193">
        <v>120.85679999999996</v>
      </c>
      <c r="AA812" s="193">
        <v>147</v>
      </c>
      <c r="AB812" s="193" t="s">
        <v>1281</v>
      </c>
      <c r="AC812" s="193" t="s">
        <v>1433</v>
      </c>
      <c r="AD812" s="193" t="s">
        <v>1434</v>
      </c>
      <c r="AE812" s="193" t="s">
        <v>1867</v>
      </c>
      <c r="AF812" s="193" t="s">
        <v>950</v>
      </c>
      <c r="AG812" s="193" t="s">
        <v>933</v>
      </c>
      <c r="AH812" s="193" t="s">
        <v>938</v>
      </c>
      <c r="AI812" s="193" t="s">
        <v>950</v>
      </c>
      <c r="AJ812" s="193" t="s">
        <v>1431</v>
      </c>
      <c r="AK812" s="193" t="s">
        <v>1431</v>
      </c>
      <c r="AL812" s="193" t="s">
        <v>1431</v>
      </c>
    </row>
    <row r="813" spans="7:38">
      <c r="G813" s="193" t="s">
        <v>2695</v>
      </c>
      <c r="H813" s="193" t="s">
        <v>2684</v>
      </c>
      <c r="I813" s="193" t="s">
        <v>2696</v>
      </c>
      <c r="J813" s="193" t="s">
        <v>2696</v>
      </c>
      <c r="K813" s="193" t="s">
        <v>2686</v>
      </c>
      <c r="L813" s="193"/>
      <c r="M813" s="193"/>
      <c r="N813" s="193">
        <v>9.9986310746064344</v>
      </c>
      <c r="O813" s="193"/>
      <c r="P813" s="193">
        <v>180</v>
      </c>
      <c r="Q813" s="193">
        <v>155</v>
      </c>
      <c r="R813" s="193">
        <v>-25</v>
      </c>
      <c r="S813" s="193">
        <v>4</v>
      </c>
      <c r="T813" s="193">
        <v>1950</v>
      </c>
      <c r="U813" s="193">
        <v>1950000000</v>
      </c>
      <c r="V813" s="193">
        <v>2450</v>
      </c>
      <c r="W813" s="193"/>
      <c r="X813" s="193">
        <v>0</v>
      </c>
      <c r="Y813" s="193">
        <v>-20.41</v>
      </c>
      <c r="Z813" s="193">
        <v>127.27060000000003</v>
      </c>
      <c r="AA813" s="193">
        <v>155</v>
      </c>
      <c r="AB813" s="193" t="s">
        <v>1281</v>
      </c>
      <c r="AC813" s="193" t="s">
        <v>1433</v>
      </c>
      <c r="AD813" s="193" t="s">
        <v>1434</v>
      </c>
      <c r="AE813" s="193" t="s">
        <v>1867</v>
      </c>
      <c r="AF813" s="193" t="s">
        <v>950</v>
      </c>
      <c r="AG813" s="193" t="s">
        <v>933</v>
      </c>
      <c r="AH813" s="193" t="s">
        <v>938</v>
      </c>
      <c r="AI813" s="193" t="s">
        <v>950</v>
      </c>
      <c r="AJ813" s="193" t="s">
        <v>1431</v>
      </c>
      <c r="AK813" s="193" t="s">
        <v>1431</v>
      </c>
      <c r="AL813" s="193" t="s">
        <v>1431</v>
      </c>
    </row>
    <row r="814" spans="7:38">
      <c r="G814" s="193" t="s">
        <v>2697</v>
      </c>
      <c r="H814" s="193" t="s">
        <v>2698</v>
      </c>
      <c r="I814" s="193" t="s">
        <v>2699</v>
      </c>
      <c r="J814" s="193" t="s">
        <v>2699</v>
      </c>
      <c r="K814" s="193" t="s">
        <v>1454</v>
      </c>
      <c r="L814" s="193"/>
      <c r="M814" s="193"/>
      <c r="N814" s="193">
        <v>3.0006844626967832</v>
      </c>
      <c r="O814" s="193"/>
      <c r="P814" s="193">
        <v>110</v>
      </c>
      <c r="Q814" s="193">
        <v>85</v>
      </c>
      <c r="R814" s="193">
        <v>-25</v>
      </c>
      <c r="S814" s="193">
        <v>2</v>
      </c>
      <c r="T814" s="193">
        <v>2000</v>
      </c>
      <c r="U814" s="193">
        <v>2000000000</v>
      </c>
      <c r="V814" s="193">
        <v>2100</v>
      </c>
      <c r="W814" s="193"/>
      <c r="X814" s="193">
        <v>0</v>
      </c>
      <c r="Y814" s="193">
        <v>-4.76</v>
      </c>
      <c r="Z814" s="193">
        <v>61.575099999999992</v>
      </c>
      <c r="AA814" s="193">
        <v>85</v>
      </c>
      <c r="AB814" s="193" t="s">
        <v>1281</v>
      </c>
      <c r="AC814" s="193" t="s">
        <v>1441</v>
      </c>
      <c r="AD814" s="193" t="s">
        <v>1442</v>
      </c>
      <c r="AE814" s="193" t="s">
        <v>1443</v>
      </c>
      <c r="AF814" s="193" t="s">
        <v>932</v>
      </c>
      <c r="AG814" s="193" t="s">
        <v>933</v>
      </c>
      <c r="AH814" s="193" t="s">
        <v>950</v>
      </c>
      <c r="AI814" s="193" t="s">
        <v>932</v>
      </c>
      <c r="AJ814" s="193" t="s">
        <v>1431</v>
      </c>
      <c r="AK814" s="193" t="s">
        <v>1431</v>
      </c>
      <c r="AL814" s="193" t="s">
        <v>1431</v>
      </c>
    </row>
    <row r="815" spans="7:38">
      <c r="G815" s="193" t="s">
        <v>2700</v>
      </c>
      <c r="H815" s="193" t="s">
        <v>2698</v>
      </c>
      <c r="I815" s="193" t="s">
        <v>2701</v>
      </c>
      <c r="J815" s="193" t="s">
        <v>2701</v>
      </c>
      <c r="K815" s="193" t="s">
        <v>1454</v>
      </c>
      <c r="L815" s="193"/>
      <c r="M815" s="193"/>
      <c r="N815" s="193">
        <v>10.067077344284737</v>
      </c>
      <c r="O815" s="193"/>
      <c r="P815" s="193">
        <v>160</v>
      </c>
      <c r="Q815" s="193">
        <v>135</v>
      </c>
      <c r="R815" s="193">
        <v>-25</v>
      </c>
      <c r="S815" s="193">
        <v>3</v>
      </c>
      <c r="T815" s="193">
        <v>3050</v>
      </c>
      <c r="U815" s="193">
        <v>3050000000</v>
      </c>
      <c r="V815" s="193">
        <v>3600</v>
      </c>
      <c r="W815" s="193"/>
      <c r="X815" s="193">
        <v>0</v>
      </c>
      <c r="Y815" s="193">
        <v>-15.28</v>
      </c>
      <c r="Z815" s="193">
        <v>101.92740000000002</v>
      </c>
      <c r="AA815" s="193">
        <v>135</v>
      </c>
      <c r="AB815" s="193" t="s">
        <v>1281</v>
      </c>
      <c r="AC815" s="193" t="s">
        <v>1441</v>
      </c>
      <c r="AD815" s="193" t="s">
        <v>1442</v>
      </c>
      <c r="AE815" s="193" t="s">
        <v>1443</v>
      </c>
      <c r="AF815" s="193" t="s">
        <v>932</v>
      </c>
      <c r="AG815" s="193" t="s">
        <v>933</v>
      </c>
      <c r="AH815" s="193" t="s">
        <v>950</v>
      </c>
      <c r="AI815" s="193" t="s">
        <v>932</v>
      </c>
      <c r="AJ815" s="193" t="s">
        <v>1431</v>
      </c>
      <c r="AK815" s="193" t="s">
        <v>1431</v>
      </c>
      <c r="AL815" s="193" t="s">
        <v>1431</v>
      </c>
    </row>
    <row r="816" spans="7:38">
      <c r="G816" s="193" t="s">
        <v>2702</v>
      </c>
      <c r="H816" s="193" t="s">
        <v>1866</v>
      </c>
      <c r="I816" s="193" t="s">
        <v>2703</v>
      </c>
      <c r="J816" s="193" t="s">
        <v>2703</v>
      </c>
      <c r="K816" s="193" t="s">
        <v>1647</v>
      </c>
      <c r="L816" s="193"/>
      <c r="M816" s="193"/>
      <c r="N816" s="193">
        <v>1.9931553730321698</v>
      </c>
      <c r="O816" s="193"/>
      <c r="P816" s="193">
        <v>90</v>
      </c>
      <c r="Q816" s="193">
        <v>65</v>
      </c>
      <c r="R816" s="193">
        <v>-25</v>
      </c>
      <c r="S816" s="193">
        <v>5</v>
      </c>
      <c r="T816" s="193">
        <v>1850</v>
      </c>
      <c r="U816" s="193">
        <v>1850000000</v>
      </c>
      <c r="V816" s="193">
        <v>1950</v>
      </c>
      <c r="W816" s="193"/>
      <c r="X816" s="193">
        <v>0</v>
      </c>
      <c r="Y816" s="193">
        <v>-5.13</v>
      </c>
      <c r="Z816" s="193">
        <v>45.594499999999982</v>
      </c>
      <c r="AA816" s="193">
        <v>65</v>
      </c>
      <c r="AB816" s="193" t="s">
        <v>1281</v>
      </c>
      <c r="AC816" s="193" t="s">
        <v>1433</v>
      </c>
      <c r="AD816" s="193" t="s">
        <v>1434</v>
      </c>
      <c r="AE816" s="193" t="s">
        <v>1867</v>
      </c>
      <c r="AF816" s="193" t="s">
        <v>876</v>
      </c>
      <c r="AG816" s="193" t="s">
        <v>874</v>
      </c>
      <c r="AH816" s="193" t="s">
        <v>1432</v>
      </c>
      <c r="AI816" s="193" t="s">
        <v>876</v>
      </c>
      <c r="AJ816" s="193" t="s">
        <v>1431</v>
      </c>
      <c r="AK816" s="193" t="s">
        <v>1431</v>
      </c>
      <c r="AL816" s="193" t="s">
        <v>1431</v>
      </c>
    </row>
    <row r="817" spans="7:38">
      <c r="G817" s="193" t="s">
        <v>2704</v>
      </c>
      <c r="H817" s="193" t="s">
        <v>1866</v>
      </c>
      <c r="I817" s="193" t="s">
        <v>2705</v>
      </c>
      <c r="J817" s="193" t="s">
        <v>2705</v>
      </c>
      <c r="K817" s="193" t="s">
        <v>1647</v>
      </c>
      <c r="L817" s="193"/>
      <c r="M817" s="193"/>
      <c r="N817" s="193">
        <v>1.9931553730321698</v>
      </c>
      <c r="O817" s="193"/>
      <c r="P817" s="193"/>
      <c r="Q817" s="193"/>
      <c r="R817" s="193"/>
      <c r="S817" s="193">
        <v>5</v>
      </c>
      <c r="T817" s="193">
        <v>1800</v>
      </c>
      <c r="U817" s="193">
        <v>1800000000</v>
      </c>
      <c r="V817" s="193">
        <v>1650</v>
      </c>
      <c r="W817" s="193"/>
      <c r="X817" s="193">
        <v>0</v>
      </c>
      <c r="Y817" s="193">
        <v>9.09</v>
      </c>
      <c r="Z817" s="193" t="s">
        <v>1432</v>
      </c>
      <c r="AA817" s="193" t="s">
        <v>1432</v>
      </c>
      <c r="AB817" s="193" t="s">
        <v>1281</v>
      </c>
      <c r="AC817" s="193" t="s">
        <v>1433</v>
      </c>
      <c r="AD817" s="193" t="s">
        <v>1434</v>
      </c>
      <c r="AE817" s="193" t="s">
        <v>1867</v>
      </c>
      <c r="AF817" s="193" t="s">
        <v>876</v>
      </c>
      <c r="AG817" s="193" t="s">
        <v>874</v>
      </c>
      <c r="AH817" s="193" t="s">
        <v>1432</v>
      </c>
      <c r="AI817" s="193" t="s">
        <v>876</v>
      </c>
      <c r="AJ817" s="193" t="s">
        <v>1431</v>
      </c>
      <c r="AK817" s="193" t="s">
        <v>1431</v>
      </c>
      <c r="AL817" s="193" t="s">
        <v>1431</v>
      </c>
    </row>
    <row r="818" spans="7:38">
      <c r="G818" s="193" t="s">
        <v>2706</v>
      </c>
      <c r="H818" s="193" t="s">
        <v>1866</v>
      </c>
      <c r="I818" s="193" t="s">
        <v>2707</v>
      </c>
      <c r="J818" s="193" t="s">
        <v>2707</v>
      </c>
      <c r="K818" s="193" t="s">
        <v>1647</v>
      </c>
      <c r="L818" s="193"/>
      <c r="M818" s="193"/>
      <c r="N818" s="193">
        <v>3.0006844626967832</v>
      </c>
      <c r="O818" s="193"/>
      <c r="P818" s="193">
        <v>100</v>
      </c>
      <c r="Q818" s="193">
        <v>75</v>
      </c>
      <c r="R818" s="193">
        <v>-25</v>
      </c>
      <c r="S818" s="193">
        <v>6</v>
      </c>
      <c r="T818" s="193">
        <v>1650</v>
      </c>
      <c r="U818" s="193">
        <v>1650000000</v>
      </c>
      <c r="V818" s="193">
        <v>1600</v>
      </c>
      <c r="W818" s="193"/>
      <c r="X818" s="193">
        <v>0</v>
      </c>
      <c r="Y818" s="193">
        <v>3.13</v>
      </c>
      <c r="Z818" s="193">
        <v>46.45360000000003</v>
      </c>
      <c r="AA818" s="193">
        <v>75</v>
      </c>
      <c r="AB818" s="193" t="s">
        <v>1281</v>
      </c>
      <c r="AC818" s="193" t="s">
        <v>1433</v>
      </c>
      <c r="AD818" s="193" t="s">
        <v>1434</v>
      </c>
      <c r="AE818" s="193" t="s">
        <v>1867</v>
      </c>
      <c r="AF818" s="193" t="s">
        <v>876</v>
      </c>
      <c r="AG818" s="193" t="s">
        <v>874</v>
      </c>
      <c r="AH818" s="193" t="s">
        <v>1432</v>
      </c>
      <c r="AI818" s="193" t="s">
        <v>876</v>
      </c>
      <c r="AJ818" s="193" t="s">
        <v>1431</v>
      </c>
      <c r="AK818" s="193" t="s">
        <v>1431</v>
      </c>
      <c r="AL818" s="193" t="s">
        <v>1431</v>
      </c>
    </row>
    <row r="819" spans="7:38">
      <c r="G819" s="193" t="s">
        <v>2708</v>
      </c>
      <c r="H819" s="193" t="s">
        <v>1866</v>
      </c>
      <c r="I819" s="193" t="s">
        <v>2709</v>
      </c>
      <c r="J819" s="193" t="s">
        <v>2709</v>
      </c>
      <c r="K819" s="193" t="s">
        <v>1647</v>
      </c>
      <c r="L819" s="193"/>
      <c r="M819" s="193"/>
      <c r="N819" s="193">
        <v>3.0006844626967832</v>
      </c>
      <c r="O819" s="193"/>
      <c r="P819" s="193"/>
      <c r="Q819" s="193"/>
      <c r="R819" s="193"/>
      <c r="S819" s="193">
        <v>6</v>
      </c>
      <c r="T819" s="193">
        <v>1450</v>
      </c>
      <c r="U819" s="193">
        <v>1450000000</v>
      </c>
      <c r="V819" s="193">
        <v>1400</v>
      </c>
      <c r="W819" s="193"/>
      <c r="X819" s="193">
        <v>0</v>
      </c>
      <c r="Y819" s="193">
        <v>3.57</v>
      </c>
      <c r="Z819" s="193" t="s">
        <v>1432</v>
      </c>
      <c r="AA819" s="193" t="s">
        <v>1432</v>
      </c>
      <c r="AB819" s="193" t="s">
        <v>1281</v>
      </c>
      <c r="AC819" s="193" t="s">
        <v>1433</v>
      </c>
      <c r="AD819" s="193" t="s">
        <v>1434</v>
      </c>
      <c r="AE819" s="193" t="s">
        <v>1867</v>
      </c>
      <c r="AF819" s="193" t="s">
        <v>876</v>
      </c>
      <c r="AG819" s="193" t="s">
        <v>874</v>
      </c>
      <c r="AH819" s="193" t="s">
        <v>1432</v>
      </c>
      <c r="AI819" s="193" t="s">
        <v>876</v>
      </c>
      <c r="AJ819" s="193" t="s">
        <v>1431</v>
      </c>
      <c r="AK819" s="193" t="s">
        <v>1431</v>
      </c>
      <c r="AL819" s="193" t="s">
        <v>1431</v>
      </c>
    </row>
    <row r="820" spans="7:38">
      <c r="G820" s="193" t="s">
        <v>2710</v>
      </c>
      <c r="H820" s="193" t="s">
        <v>1866</v>
      </c>
      <c r="I820" s="193" t="s">
        <v>2711</v>
      </c>
      <c r="J820" s="193" t="s">
        <v>2711</v>
      </c>
      <c r="K820" s="193" t="s">
        <v>1647</v>
      </c>
      <c r="L820" s="193"/>
      <c r="M820" s="193"/>
      <c r="N820" s="193">
        <v>4.9993155373032172</v>
      </c>
      <c r="O820" s="193"/>
      <c r="P820" s="193">
        <v>120</v>
      </c>
      <c r="Q820" s="193">
        <v>97</v>
      </c>
      <c r="R820" s="193">
        <v>-23</v>
      </c>
      <c r="S820" s="193">
        <v>8</v>
      </c>
      <c r="T820" s="193">
        <v>2250</v>
      </c>
      <c r="U820" s="193">
        <v>2250000000</v>
      </c>
      <c r="V820" s="193">
        <v>2550</v>
      </c>
      <c r="W820" s="193"/>
      <c r="X820" s="193">
        <v>0</v>
      </c>
      <c r="Y820" s="193">
        <v>-11.76</v>
      </c>
      <c r="Z820" s="193">
        <v>60.102799999999945</v>
      </c>
      <c r="AA820" s="193">
        <v>97</v>
      </c>
      <c r="AB820" s="193" t="s">
        <v>1281</v>
      </c>
      <c r="AC820" s="193" t="s">
        <v>1433</v>
      </c>
      <c r="AD820" s="193" t="s">
        <v>1434</v>
      </c>
      <c r="AE820" s="193" t="s">
        <v>1867</v>
      </c>
      <c r="AF820" s="193" t="s">
        <v>876</v>
      </c>
      <c r="AG820" s="193" t="s">
        <v>874</v>
      </c>
      <c r="AH820" s="193" t="s">
        <v>1432</v>
      </c>
      <c r="AI820" s="193" t="s">
        <v>876</v>
      </c>
      <c r="AJ820" s="193" t="s">
        <v>1431</v>
      </c>
      <c r="AK820" s="193" t="s">
        <v>1431</v>
      </c>
      <c r="AL820" s="193" t="s">
        <v>1431</v>
      </c>
    </row>
    <row r="821" spans="7:38">
      <c r="G821" s="193" t="s">
        <v>2712</v>
      </c>
      <c r="H821" s="193" t="s">
        <v>1866</v>
      </c>
      <c r="I821" s="193" t="s">
        <v>2713</v>
      </c>
      <c r="J821" s="193" t="s">
        <v>2713</v>
      </c>
      <c r="K821" s="193" t="s">
        <v>1647</v>
      </c>
      <c r="L821" s="193"/>
      <c r="M821" s="193"/>
      <c r="N821" s="193">
        <v>9.9986310746064344</v>
      </c>
      <c r="O821" s="193"/>
      <c r="P821" s="193">
        <v>135</v>
      </c>
      <c r="Q821" s="193">
        <v>115</v>
      </c>
      <c r="R821" s="193">
        <v>-20</v>
      </c>
      <c r="S821" s="193">
        <v>10</v>
      </c>
      <c r="T821" s="193">
        <v>1400</v>
      </c>
      <c r="U821" s="193">
        <v>1400000000</v>
      </c>
      <c r="V821" s="193">
        <v>1850</v>
      </c>
      <c r="W821" s="193"/>
      <c r="X821" s="193">
        <v>0</v>
      </c>
      <c r="Y821" s="193">
        <v>-24.32</v>
      </c>
      <c r="Z821" s="193">
        <v>80.953500000000034</v>
      </c>
      <c r="AA821" s="193">
        <v>115</v>
      </c>
      <c r="AB821" s="193" t="s">
        <v>1281</v>
      </c>
      <c r="AC821" s="193" t="s">
        <v>1433</v>
      </c>
      <c r="AD821" s="193" t="s">
        <v>1434</v>
      </c>
      <c r="AE821" s="193" t="s">
        <v>1867</v>
      </c>
      <c r="AF821" s="193" t="s">
        <v>876</v>
      </c>
      <c r="AG821" s="193" t="s">
        <v>874</v>
      </c>
      <c r="AH821" s="193" t="s">
        <v>1432</v>
      </c>
      <c r="AI821" s="193" t="s">
        <v>876</v>
      </c>
      <c r="AJ821" s="193" t="s">
        <v>1431</v>
      </c>
      <c r="AK821" s="193" t="s">
        <v>1431</v>
      </c>
      <c r="AL821" s="193" t="s">
        <v>1431</v>
      </c>
    </row>
    <row r="822" spans="7:38">
      <c r="G822" s="193" t="s">
        <v>2714</v>
      </c>
      <c r="H822" s="193" t="s">
        <v>2715</v>
      </c>
      <c r="I822" s="193" t="s">
        <v>2716</v>
      </c>
      <c r="J822" s="193" t="s">
        <v>2716</v>
      </c>
      <c r="K822" s="193" t="s">
        <v>1637</v>
      </c>
      <c r="L822" s="193"/>
      <c r="M822" s="193"/>
      <c r="N822" s="193">
        <v>3.0116358658453115</v>
      </c>
      <c r="O822" s="193"/>
      <c r="P822" s="193">
        <v>130</v>
      </c>
      <c r="Q822" s="193">
        <v>105</v>
      </c>
      <c r="R822" s="193">
        <v>-25</v>
      </c>
      <c r="S822" s="193">
        <v>9</v>
      </c>
      <c r="T822" s="193">
        <v>2200</v>
      </c>
      <c r="U822" s="193">
        <v>2200000000</v>
      </c>
      <c r="V822" s="193">
        <v>2300</v>
      </c>
      <c r="W822" s="193"/>
      <c r="X822" s="193">
        <v>0</v>
      </c>
      <c r="Y822" s="193">
        <v>-4.3499999999999996</v>
      </c>
      <c r="Z822" s="193">
        <v>73.164800000000028</v>
      </c>
      <c r="AA822" s="193">
        <v>105</v>
      </c>
      <c r="AB822" s="193" t="s">
        <v>1281</v>
      </c>
      <c r="AC822" s="193" t="s">
        <v>1433</v>
      </c>
      <c r="AD822" s="193" t="s">
        <v>2190</v>
      </c>
      <c r="AE822" s="193" t="s">
        <v>2717</v>
      </c>
      <c r="AF822" s="193" t="s">
        <v>877</v>
      </c>
      <c r="AG822" s="193" t="s">
        <v>969</v>
      </c>
      <c r="AH822" s="193" t="s">
        <v>877</v>
      </c>
      <c r="AI822" s="193" t="s">
        <v>877</v>
      </c>
      <c r="AJ822" s="193" t="s">
        <v>1431</v>
      </c>
      <c r="AK822" s="193" t="s">
        <v>1431</v>
      </c>
      <c r="AL822" s="193" t="s">
        <v>1431</v>
      </c>
    </row>
    <row r="823" spans="7:38">
      <c r="G823" s="193" t="s">
        <v>2718</v>
      </c>
      <c r="H823" s="193" t="s">
        <v>2715</v>
      </c>
      <c r="I823" s="193" t="s">
        <v>2719</v>
      </c>
      <c r="J823" s="193" t="s">
        <v>2719</v>
      </c>
      <c r="K823" s="193" t="s">
        <v>1637</v>
      </c>
      <c r="L823" s="193"/>
      <c r="M823" s="193"/>
      <c r="N823" s="193">
        <v>7.0116358658453111</v>
      </c>
      <c r="O823" s="193"/>
      <c r="P823" s="193">
        <v>175</v>
      </c>
      <c r="Q823" s="193">
        <v>155</v>
      </c>
      <c r="R823" s="193">
        <v>-20</v>
      </c>
      <c r="S823" s="193">
        <v>13</v>
      </c>
      <c r="T823" s="193">
        <v>2200</v>
      </c>
      <c r="U823" s="193">
        <v>2200000000</v>
      </c>
      <c r="V823" s="193">
        <v>2300</v>
      </c>
      <c r="W823" s="193"/>
      <c r="X823" s="193">
        <v>0</v>
      </c>
      <c r="Y823" s="193">
        <v>-4.3499999999999996</v>
      </c>
      <c r="Z823" s="193">
        <v>112.1054</v>
      </c>
      <c r="AA823" s="193">
        <v>155</v>
      </c>
      <c r="AB823" s="193" t="s">
        <v>1281</v>
      </c>
      <c r="AC823" s="193" t="s">
        <v>1433</v>
      </c>
      <c r="AD823" s="193" t="s">
        <v>2190</v>
      </c>
      <c r="AE823" s="193" t="s">
        <v>2717</v>
      </c>
      <c r="AF823" s="193" t="s">
        <v>877</v>
      </c>
      <c r="AG823" s="193" t="s">
        <v>969</v>
      </c>
      <c r="AH823" s="193" t="s">
        <v>877</v>
      </c>
      <c r="AI823" s="193" t="s">
        <v>877</v>
      </c>
      <c r="AJ823" s="193" t="s">
        <v>1431</v>
      </c>
      <c r="AK823" s="193" t="s">
        <v>1431</v>
      </c>
      <c r="AL823" s="193" t="s">
        <v>1431</v>
      </c>
    </row>
    <row r="824" spans="7:38">
      <c r="G824" s="193" t="s">
        <v>2720</v>
      </c>
      <c r="H824" s="193" t="s">
        <v>2721</v>
      </c>
      <c r="I824" s="193" t="s">
        <v>2722</v>
      </c>
      <c r="J824" s="193" t="s">
        <v>2722</v>
      </c>
      <c r="K824" s="193" t="s">
        <v>1619</v>
      </c>
      <c r="L824" s="193"/>
      <c r="M824" s="193"/>
      <c r="N824" s="193">
        <v>1.998631074606434</v>
      </c>
      <c r="O824" s="193"/>
      <c r="P824" s="193">
        <v>75</v>
      </c>
      <c r="Q824" s="193">
        <v>45</v>
      </c>
      <c r="R824" s="193">
        <v>-30</v>
      </c>
      <c r="S824" s="193">
        <v>1</v>
      </c>
      <c r="T824" s="193">
        <v>2300</v>
      </c>
      <c r="U824" s="193">
        <v>2300000000</v>
      </c>
      <c r="V824" s="193">
        <v>2750</v>
      </c>
      <c r="W824" s="193"/>
      <c r="X824" s="193">
        <v>0</v>
      </c>
      <c r="Y824" s="193">
        <v>-16.36</v>
      </c>
      <c r="Z824" s="193">
        <v>37.22960000000004</v>
      </c>
      <c r="AA824" s="193">
        <v>45</v>
      </c>
      <c r="AB824" s="193" t="s">
        <v>1281</v>
      </c>
      <c r="AC824" s="193" t="s">
        <v>1441</v>
      </c>
      <c r="AD824" s="193" t="s">
        <v>1442</v>
      </c>
      <c r="AE824" s="193" t="s">
        <v>1970</v>
      </c>
      <c r="AF824" s="193" t="s">
        <v>876</v>
      </c>
      <c r="AG824" s="193" t="s">
        <v>874</v>
      </c>
      <c r="AH824" s="193" t="s">
        <v>876</v>
      </c>
      <c r="AI824" s="193" t="s">
        <v>876</v>
      </c>
      <c r="AJ824" s="193" t="s">
        <v>1431</v>
      </c>
      <c r="AK824" s="193" t="s">
        <v>1431</v>
      </c>
      <c r="AL824" s="193" t="s">
        <v>1431</v>
      </c>
    </row>
    <row r="825" spans="7:38">
      <c r="G825" s="193" t="s">
        <v>2723</v>
      </c>
      <c r="H825" s="193" t="s">
        <v>2721</v>
      </c>
      <c r="I825" s="193" t="s">
        <v>2724</v>
      </c>
      <c r="J825" s="193" t="s">
        <v>2724</v>
      </c>
      <c r="K825" s="193" t="s">
        <v>1619</v>
      </c>
      <c r="L825" s="193"/>
      <c r="M825" s="193"/>
      <c r="N825" s="193">
        <v>10.031485284052019</v>
      </c>
      <c r="O825" s="193"/>
      <c r="P825" s="193">
        <v>130</v>
      </c>
      <c r="Q825" s="193">
        <v>105</v>
      </c>
      <c r="R825" s="193">
        <v>-25</v>
      </c>
      <c r="S825" s="193">
        <v>3</v>
      </c>
      <c r="T825" s="193">
        <v>3900</v>
      </c>
      <c r="U825" s="193">
        <v>3900000000</v>
      </c>
      <c r="V825" s="193">
        <v>4100</v>
      </c>
      <c r="W825" s="193"/>
      <c r="X825" s="193">
        <v>0</v>
      </c>
      <c r="Y825" s="193">
        <v>-4.88</v>
      </c>
      <c r="Z825" s="193">
        <v>70.863700000000037</v>
      </c>
      <c r="AA825" s="193">
        <v>105</v>
      </c>
      <c r="AB825" s="193" t="s">
        <v>1281</v>
      </c>
      <c r="AC825" s="193" t="s">
        <v>1441</v>
      </c>
      <c r="AD825" s="193" t="s">
        <v>1442</v>
      </c>
      <c r="AE825" s="193" t="s">
        <v>1970</v>
      </c>
      <c r="AF825" s="193" t="s">
        <v>876</v>
      </c>
      <c r="AG825" s="193" t="s">
        <v>874</v>
      </c>
      <c r="AH825" s="193" t="s">
        <v>876</v>
      </c>
      <c r="AI825" s="193" t="s">
        <v>876</v>
      </c>
      <c r="AJ825" s="193" t="s">
        <v>1431</v>
      </c>
      <c r="AK825" s="193" t="s">
        <v>1431</v>
      </c>
      <c r="AL825" s="193" t="s">
        <v>1431</v>
      </c>
    </row>
    <row r="826" spans="7:38">
      <c r="G826" s="193" t="s">
        <v>2725</v>
      </c>
      <c r="H826" s="193" t="s">
        <v>2721</v>
      </c>
      <c r="I826" s="193" t="s">
        <v>2726</v>
      </c>
      <c r="J826" s="193" t="s">
        <v>2726</v>
      </c>
      <c r="K826" s="193" t="s">
        <v>1619</v>
      </c>
      <c r="L826" s="193"/>
      <c r="M826" s="193"/>
      <c r="N826" s="193">
        <v>30.031485284052017</v>
      </c>
      <c r="O826" s="193"/>
      <c r="P826" s="193">
        <v>145</v>
      </c>
      <c r="Q826" s="193">
        <v>120</v>
      </c>
      <c r="R826" s="193">
        <v>-25</v>
      </c>
      <c r="S826" s="193">
        <v>3</v>
      </c>
      <c r="T826" s="193">
        <v>2500</v>
      </c>
      <c r="U826" s="193">
        <v>2500000000</v>
      </c>
      <c r="V826" s="193">
        <v>3400</v>
      </c>
      <c r="W826" s="193"/>
      <c r="X826" s="193">
        <v>0</v>
      </c>
      <c r="Y826" s="193">
        <v>-26.47</v>
      </c>
      <c r="Z826" s="193">
        <v>84.62269999999998</v>
      </c>
      <c r="AA826" s="193">
        <v>120</v>
      </c>
      <c r="AB826" s="193" t="s">
        <v>1281</v>
      </c>
      <c r="AC826" s="193" t="s">
        <v>1441</v>
      </c>
      <c r="AD826" s="193" t="s">
        <v>1442</v>
      </c>
      <c r="AE826" s="193" t="s">
        <v>1970</v>
      </c>
      <c r="AF826" s="193" t="s">
        <v>876</v>
      </c>
      <c r="AG826" s="193" t="s">
        <v>874</v>
      </c>
      <c r="AH826" s="193" t="s">
        <v>876</v>
      </c>
      <c r="AI826" s="193" t="s">
        <v>876</v>
      </c>
      <c r="AJ826" s="193" t="s">
        <v>1431</v>
      </c>
      <c r="AK826" s="193" t="s">
        <v>1431</v>
      </c>
      <c r="AL826" s="193" t="s">
        <v>1431</v>
      </c>
    </row>
    <row r="827" spans="7:38">
      <c r="G827" s="193" t="s">
        <v>2727</v>
      </c>
      <c r="H827" s="193" t="s">
        <v>2728</v>
      </c>
      <c r="I827" s="193" t="s">
        <v>2729</v>
      </c>
      <c r="J827" s="193" t="s">
        <v>2729</v>
      </c>
      <c r="K827" s="193" t="s">
        <v>1578</v>
      </c>
      <c r="L827" s="193"/>
      <c r="M827" s="193"/>
      <c r="N827" s="193">
        <v>4</v>
      </c>
      <c r="O827" s="193"/>
      <c r="P827" s="193">
        <v>165</v>
      </c>
      <c r="Q827" s="193">
        <v>145</v>
      </c>
      <c r="R827" s="193">
        <v>-20</v>
      </c>
      <c r="S827" s="193">
        <v>8</v>
      </c>
      <c r="T827" s="193">
        <v>1300</v>
      </c>
      <c r="U827" s="193">
        <v>1300000000</v>
      </c>
      <c r="V827" s="193">
        <v>1200</v>
      </c>
      <c r="W827" s="193"/>
      <c r="X827" s="193">
        <v>0</v>
      </c>
      <c r="Y827" s="193">
        <v>8.33</v>
      </c>
      <c r="Z827" s="193">
        <v>89.776399999999995</v>
      </c>
      <c r="AA827" s="193">
        <v>145</v>
      </c>
      <c r="AB827" s="193" t="s">
        <v>1281</v>
      </c>
      <c r="AC827" s="193" t="s">
        <v>1428</v>
      </c>
      <c r="AD827" s="193" t="s">
        <v>1429</v>
      </c>
      <c r="AE827" s="193" t="s">
        <v>1876</v>
      </c>
      <c r="AF827" s="193" t="s">
        <v>950</v>
      </c>
      <c r="AG827" s="193" t="s">
        <v>875</v>
      </c>
      <c r="AH827" s="193" t="s">
        <v>938</v>
      </c>
      <c r="AI827" s="193" t="s">
        <v>950</v>
      </c>
      <c r="AJ827" s="193" t="s">
        <v>1431</v>
      </c>
      <c r="AK827" s="193" t="s">
        <v>1431</v>
      </c>
      <c r="AL827" s="193" t="s">
        <v>1431</v>
      </c>
    </row>
    <row r="828" spans="7:38">
      <c r="G828" s="193" t="s">
        <v>2730</v>
      </c>
      <c r="H828" s="193" t="s">
        <v>2728</v>
      </c>
      <c r="I828" s="193" t="s">
        <v>2731</v>
      </c>
      <c r="J828" s="193" t="s">
        <v>2731</v>
      </c>
      <c r="K828" s="193" t="s">
        <v>1578</v>
      </c>
      <c r="L828" s="193"/>
      <c r="M828" s="193"/>
      <c r="N828" s="193">
        <v>4</v>
      </c>
      <c r="O828" s="193"/>
      <c r="P828" s="193"/>
      <c r="Q828" s="193"/>
      <c r="R828" s="193"/>
      <c r="S828" s="193">
        <v>8</v>
      </c>
      <c r="T828" s="193">
        <v>1900</v>
      </c>
      <c r="U828" s="193">
        <v>1900000000</v>
      </c>
      <c r="V828" s="193">
        <v>2000</v>
      </c>
      <c r="W828" s="193"/>
      <c r="X828" s="193">
        <v>0</v>
      </c>
      <c r="Y828" s="193">
        <v>-5</v>
      </c>
      <c r="Z828" s="193" t="s">
        <v>1432</v>
      </c>
      <c r="AA828" s="193" t="s">
        <v>1432</v>
      </c>
      <c r="AB828" s="193" t="s">
        <v>1281</v>
      </c>
      <c r="AC828" s="193" t="s">
        <v>1428</v>
      </c>
      <c r="AD828" s="193" t="s">
        <v>1429</v>
      </c>
      <c r="AE828" s="193" t="s">
        <v>1876</v>
      </c>
      <c r="AF828" s="193" t="s">
        <v>950</v>
      </c>
      <c r="AG828" s="193" t="s">
        <v>875</v>
      </c>
      <c r="AH828" s="193" t="s">
        <v>938</v>
      </c>
      <c r="AI828" s="193" t="s">
        <v>950</v>
      </c>
      <c r="AJ828" s="193" t="s">
        <v>1431</v>
      </c>
      <c r="AK828" s="193" t="s">
        <v>1431</v>
      </c>
      <c r="AL828" s="193" t="s">
        <v>1431</v>
      </c>
    </row>
    <row r="829" spans="7:38">
      <c r="G829" s="193" t="s">
        <v>2732</v>
      </c>
      <c r="H829" s="193" t="s">
        <v>2728</v>
      </c>
      <c r="I829" s="193" t="s">
        <v>2733</v>
      </c>
      <c r="J829" s="193" t="s">
        <v>2733</v>
      </c>
      <c r="K829" s="193" t="s">
        <v>1578</v>
      </c>
      <c r="L829" s="193"/>
      <c r="M829" s="193"/>
      <c r="N829" s="193">
        <v>5.9986310746064335</v>
      </c>
      <c r="O829" s="193"/>
      <c r="P829" s="193">
        <v>185</v>
      </c>
      <c r="Q829" s="193">
        <v>165</v>
      </c>
      <c r="R829" s="193">
        <v>-20</v>
      </c>
      <c r="S829" s="193">
        <v>10</v>
      </c>
      <c r="T829" s="193">
        <v>2100</v>
      </c>
      <c r="U829" s="193">
        <v>2100000000</v>
      </c>
      <c r="V829" s="193">
        <v>2300</v>
      </c>
      <c r="W829" s="193"/>
      <c r="X829" s="193">
        <v>0</v>
      </c>
      <c r="Y829" s="193">
        <v>-8.6999999999999993</v>
      </c>
      <c r="Z829" s="193">
        <v>105.39870000000002</v>
      </c>
      <c r="AA829" s="193">
        <v>165</v>
      </c>
      <c r="AB829" s="193" t="s">
        <v>1281</v>
      </c>
      <c r="AC829" s="193" t="s">
        <v>1428</v>
      </c>
      <c r="AD829" s="193" t="s">
        <v>1429</v>
      </c>
      <c r="AE829" s="193" t="s">
        <v>1876</v>
      </c>
      <c r="AF829" s="193" t="s">
        <v>950</v>
      </c>
      <c r="AG829" s="193" t="s">
        <v>875</v>
      </c>
      <c r="AH829" s="193" t="s">
        <v>938</v>
      </c>
      <c r="AI829" s="193" t="s">
        <v>950</v>
      </c>
      <c r="AJ829" s="193" t="s">
        <v>1431</v>
      </c>
      <c r="AK829" s="193" t="s">
        <v>1431</v>
      </c>
      <c r="AL829" s="193" t="s">
        <v>1431</v>
      </c>
    </row>
    <row r="830" spans="7:38">
      <c r="G830" s="193" t="s">
        <v>2734</v>
      </c>
      <c r="H830" s="193" t="s">
        <v>2735</v>
      </c>
      <c r="I830" s="193" t="s">
        <v>2736</v>
      </c>
      <c r="J830" s="193" t="s">
        <v>2736</v>
      </c>
      <c r="K830" s="193" t="s">
        <v>1589</v>
      </c>
      <c r="L830" s="193"/>
      <c r="M830" s="193"/>
      <c r="N830" s="193">
        <v>5.3086926762491444</v>
      </c>
      <c r="O830" s="193"/>
      <c r="P830" s="193">
        <v>100</v>
      </c>
      <c r="Q830" s="193">
        <v>73</v>
      </c>
      <c r="R830" s="193">
        <v>-27</v>
      </c>
      <c r="S830" s="193">
        <v>1</v>
      </c>
      <c r="T830" s="193">
        <v>2700</v>
      </c>
      <c r="U830" s="193">
        <v>2700000000</v>
      </c>
      <c r="V830" s="193">
        <v>4250</v>
      </c>
      <c r="W830" s="193"/>
      <c r="X830" s="193">
        <v>0</v>
      </c>
      <c r="Y830" s="193">
        <v>-36.47</v>
      </c>
      <c r="Z830" s="193">
        <v>42.302299999999974</v>
      </c>
      <c r="AA830" s="193">
        <v>73</v>
      </c>
      <c r="AB830" s="193" t="s">
        <v>1281</v>
      </c>
      <c r="AC830" s="193" t="s">
        <v>1879</v>
      </c>
      <c r="AD830" s="193" t="s">
        <v>1951</v>
      </c>
      <c r="AE830" s="193" t="s">
        <v>1952</v>
      </c>
      <c r="AF830" s="193" t="s">
        <v>938</v>
      </c>
      <c r="AG830" s="193" t="s">
        <v>942</v>
      </c>
      <c r="AH830" s="193" t="s">
        <v>938</v>
      </c>
      <c r="AI830" s="193" t="s">
        <v>938</v>
      </c>
      <c r="AJ830" s="193" t="s">
        <v>1431</v>
      </c>
      <c r="AK830" s="193" t="s">
        <v>1431</v>
      </c>
      <c r="AL830" s="193" t="s">
        <v>1431</v>
      </c>
    </row>
    <row r="831" spans="7:38">
      <c r="G831" s="193" t="s">
        <v>2737</v>
      </c>
      <c r="H831" s="193" t="s">
        <v>2735</v>
      </c>
      <c r="I831" s="193" t="s">
        <v>2738</v>
      </c>
      <c r="J831" s="193" t="s">
        <v>2738</v>
      </c>
      <c r="K831" s="193" t="s">
        <v>1589</v>
      </c>
      <c r="L831" s="193"/>
      <c r="M831" s="193"/>
      <c r="N831" s="193">
        <v>9.9739904175222449</v>
      </c>
      <c r="O831" s="193"/>
      <c r="P831" s="193">
        <v>120</v>
      </c>
      <c r="Q831" s="193">
        <v>93</v>
      </c>
      <c r="R831" s="193">
        <v>-27</v>
      </c>
      <c r="S831" s="193">
        <v>3</v>
      </c>
      <c r="T831" s="193">
        <v>2900</v>
      </c>
      <c r="U831" s="193">
        <v>2900000000</v>
      </c>
      <c r="V831" s="193">
        <v>4600</v>
      </c>
      <c r="W831" s="193"/>
      <c r="X831" s="193">
        <v>0</v>
      </c>
      <c r="Y831" s="193">
        <v>-36.96</v>
      </c>
      <c r="Z831" s="193">
        <v>59.230099999999993</v>
      </c>
      <c r="AA831" s="193">
        <v>93</v>
      </c>
      <c r="AB831" s="193" t="s">
        <v>1281</v>
      </c>
      <c r="AC831" s="193" t="s">
        <v>1879</v>
      </c>
      <c r="AD831" s="193" t="s">
        <v>1951</v>
      </c>
      <c r="AE831" s="193" t="s">
        <v>1952</v>
      </c>
      <c r="AF831" s="193" t="s">
        <v>938</v>
      </c>
      <c r="AG831" s="193" t="s">
        <v>942</v>
      </c>
      <c r="AH831" s="193" t="s">
        <v>938</v>
      </c>
      <c r="AI831" s="193" t="s">
        <v>938</v>
      </c>
      <c r="AJ831" s="193" t="s">
        <v>1431</v>
      </c>
      <c r="AK831" s="193" t="s">
        <v>1431</v>
      </c>
      <c r="AL831" s="193" t="s">
        <v>1431</v>
      </c>
    </row>
    <row r="832" spans="7:38">
      <c r="G832" s="193" t="s">
        <v>2739</v>
      </c>
      <c r="H832" s="193" t="s">
        <v>1453</v>
      </c>
      <c r="I832" s="193" t="s">
        <v>2740</v>
      </c>
      <c r="J832" s="193" t="s">
        <v>2740</v>
      </c>
      <c r="K832" s="193" t="s">
        <v>1454</v>
      </c>
      <c r="L832" s="193" t="s">
        <v>2741</v>
      </c>
      <c r="M832" s="193"/>
      <c r="N832" s="193">
        <v>10.11088295687885</v>
      </c>
      <c r="O832" s="193"/>
      <c r="P832" s="193">
        <v>135</v>
      </c>
      <c r="Q832" s="193">
        <v>105</v>
      </c>
      <c r="R832" s="193">
        <v>-30</v>
      </c>
      <c r="S832" s="193">
        <v>6</v>
      </c>
      <c r="T832" s="193">
        <v>1000</v>
      </c>
      <c r="U832" s="193">
        <v>1000000000</v>
      </c>
      <c r="V832" s="193">
        <v>1300</v>
      </c>
      <c r="W832" s="193"/>
      <c r="X832" s="193">
        <v>0</v>
      </c>
      <c r="Y832" s="193">
        <v>-23.08</v>
      </c>
      <c r="Z832" s="193">
        <v>80.980900000000048</v>
      </c>
      <c r="AA832" s="193">
        <v>105</v>
      </c>
      <c r="AB832" s="193" t="s">
        <v>1281</v>
      </c>
      <c r="AC832" s="193" t="s">
        <v>1441</v>
      </c>
      <c r="AD832" s="193" t="s">
        <v>1442</v>
      </c>
      <c r="AE832" s="193" t="s">
        <v>1443</v>
      </c>
      <c r="AF832" s="193" t="s">
        <v>876</v>
      </c>
      <c r="AG832" s="193" t="s">
        <v>939</v>
      </c>
      <c r="AH832" s="193" t="s">
        <v>953</v>
      </c>
      <c r="AI832" s="193" t="s">
        <v>876</v>
      </c>
      <c r="AJ832" s="193" t="s">
        <v>1431</v>
      </c>
      <c r="AK832" s="193" t="s">
        <v>1431</v>
      </c>
      <c r="AL832" s="193" t="s">
        <v>1431</v>
      </c>
    </row>
    <row r="833" spans="7:38">
      <c r="G833" s="193" t="s">
        <v>2742</v>
      </c>
      <c r="H833" s="193" t="s">
        <v>1453</v>
      </c>
      <c r="I833" s="193" t="s">
        <v>1455</v>
      </c>
      <c r="J833" s="193" t="s">
        <v>1455</v>
      </c>
      <c r="K833" s="193" t="s">
        <v>1454</v>
      </c>
      <c r="L833" s="193"/>
      <c r="M833" s="193"/>
      <c r="N833" s="193">
        <v>30.151950718685832</v>
      </c>
      <c r="O833" s="193"/>
      <c r="P833" s="193">
        <v>145</v>
      </c>
      <c r="Q833" s="193">
        <v>125</v>
      </c>
      <c r="R833" s="193">
        <v>-20</v>
      </c>
      <c r="S833" s="193">
        <v>9</v>
      </c>
      <c r="T833" s="193">
        <v>1750</v>
      </c>
      <c r="U833" s="193">
        <v>1750000000</v>
      </c>
      <c r="V833" s="193">
        <v>2000</v>
      </c>
      <c r="W833" s="193"/>
      <c r="X833" s="193">
        <v>0</v>
      </c>
      <c r="Y833" s="193">
        <v>-12.5</v>
      </c>
      <c r="Z833" s="193">
        <v>99.883599999999987</v>
      </c>
      <c r="AA833" s="193">
        <v>125</v>
      </c>
      <c r="AB833" s="193" t="s">
        <v>1281</v>
      </c>
      <c r="AC833" s="193" t="s">
        <v>1441</v>
      </c>
      <c r="AD833" s="193" t="s">
        <v>1442</v>
      </c>
      <c r="AE833" s="193" t="s">
        <v>1443</v>
      </c>
      <c r="AF833" s="193" t="s">
        <v>876</v>
      </c>
      <c r="AG833" s="193" t="s">
        <v>939</v>
      </c>
      <c r="AH833" s="193" t="s">
        <v>953</v>
      </c>
      <c r="AI833" s="193" t="s">
        <v>876</v>
      </c>
      <c r="AJ833" s="193" t="s">
        <v>1431</v>
      </c>
      <c r="AK833" s="193" t="s">
        <v>1431</v>
      </c>
      <c r="AL833" s="193" t="s">
        <v>1431</v>
      </c>
    </row>
    <row r="834" spans="7:38">
      <c r="G834" s="193" t="s">
        <v>2743</v>
      </c>
      <c r="H834" s="193" t="s">
        <v>2744</v>
      </c>
      <c r="I834" s="193" t="s">
        <v>2745</v>
      </c>
      <c r="J834" s="193" t="s">
        <v>2745</v>
      </c>
      <c r="K834" s="193" t="s">
        <v>2746</v>
      </c>
      <c r="L834" s="193"/>
      <c r="M834" s="193"/>
      <c r="N834" s="193">
        <v>3.0006844626967832</v>
      </c>
      <c r="O834" s="193"/>
      <c r="P834" s="193">
        <v>65</v>
      </c>
      <c r="Q834" s="193">
        <v>42</v>
      </c>
      <c r="R834" s="193">
        <v>-23</v>
      </c>
      <c r="S834" s="193">
        <v>0</v>
      </c>
      <c r="T834" s="193">
        <v>1400</v>
      </c>
      <c r="U834" s="193">
        <v>1400000000</v>
      </c>
      <c r="V834" s="193">
        <v>1700</v>
      </c>
      <c r="W834" s="193"/>
      <c r="X834" s="193">
        <v>0</v>
      </c>
      <c r="Y834" s="193">
        <v>-17.649999999999999</v>
      </c>
      <c r="Z834" s="193">
        <v>26.593299999999999</v>
      </c>
      <c r="AA834" s="193">
        <v>42</v>
      </c>
      <c r="AB834" s="193" t="s">
        <v>1281</v>
      </c>
      <c r="AC834" s="193" t="s">
        <v>1428</v>
      </c>
      <c r="AD834" s="193" t="s">
        <v>1429</v>
      </c>
      <c r="AE834" s="193" t="s">
        <v>1430</v>
      </c>
      <c r="AF834" s="193" t="s">
        <v>1432</v>
      </c>
      <c r="AG834" s="193" t="s">
        <v>1012</v>
      </c>
      <c r="AH834" s="193" t="s">
        <v>997</v>
      </c>
      <c r="AI834" s="193" t="s">
        <v>997</v>
      </c>
      <c r="AJ834" s="193" t="s">
        <v>1431</v>
      </c>
      <c r="AK834" s="193" t="s">
        <v>1431</v>
      </c>
      <c r="AL834" s="193" t="s">
        <v>1431</v>
      </c>
    </row>
    <row r="835" spans="7:38">
      <c r="G835" s="193" t="s">
        <v>2747</v>
      </c>
      <c r="H835" s="193" t="s">
        <v>2744</v>
      </c>
      <c r="I835" s="193" t="s">
        <v>2748</v>
      </c>
      <c r="J835" s="193" t="s">
        <v>2748</v>
      </c>
      <c r="K835" s="193" t="s">
        <v>2746</v>
      </c>
      <c r="L835" s="193"/>
      <c r="M835" s="193"/>
      <c r="N835" s="193">
        <v>3.0006844626967832</v>
      </c>
      <c r="O835" s="193"/>
      <c r="P835" s="193"/>
      <c r="Q835" s="193"/>
      <c r="R835" s="193"/>
      <c r="S835" s="193"/>
      <c r="T835" s="193">
        <v>3000</v>
      </c>
      <c r="U835" s="193">
        <v>3000000000</v>
      </c>
      <c r="V835" s="193">
        <v>3500</v>
      </c>
      <c r="W835" s="193"/>
      <c r="X835" s="193">
        <v>0</v>
      </c>
      <c r="Y835" s="193">
        <v>-14.29</v>
      </c>
      <c r="Z835" s="193" t="s">
        <v>1432</v>
      </c>
      <c r="AA835" s="193" t="s">
        <v>1432</v>
      </c>
      <c r="AB835" s="193" t="s">
        <v>1281</v>
      </c>
      <c r="AC835" s="193" t="s">
        <v>1428</v>
      </c>
      <c r="AD835" s="193" t="s">
        <v>1429</v>
      </c>
      <c r="AE835" s="193" t="s">
        <v>1430</v>
      </c>
      <c r="AF835" s="193" t="s">
        <v>1432</v>
      </c>
      <c r="AG835" s="193" t="s">
        <v>1012</v>
      </c>
      <c r="AH835" s="193" t="s">
        <v>997</v>
      </c>
      <c r="AI835" s="193" t="s">
        <v>997</v>
      </c>
      <c r="AJ835" s="193" t="s">
        <v>1431</v>
      </c>
      <c r="AK835" s="193" t="s">
        <v>1431</v>
      </c>
      <c r="AL835" s="193" t="s">
        <v>1431</v>
      </c>
    </row>
    <row r="836" spans="7:38">
      <c r="G836" s="193" t="s">
        <v>2749</v>
      </c>
      <c r="H836" s="193" t="s">
        <v>2744</v>
      </c>
      <c r="I836" s="193" t="s">
        <v>2750</v>
      </c>
      <c r="J836" s="193" t="s">
        <v>2750</v>
      </c>
      <c r="K836" s="193" t="s">
        <v>2746</v>
      </c>
      <c r="L836" s="193"/>
      <c r="M836" s="193"/>
      <c r="N836" s="193">
        <v>4.9993155373032172</v>
      </c>
      <c r="O836" s="193"/>
      <c r="P836" s="193">
        <v>95</v>
      </c>
      <c r="Q836" s="193">
        <v>65</v>
      </c>
      <c r="R836" s="193">
        <v>-30</v>
      </c>
      <c r="S836" s="193"/>
      <c r="T836" s="193">
        <v>3000</v>
      </c>
      <c r="U836" s="193">
        <v>3000000000</v>
      </c>
      <c r="V836" s="193">
        <v>3600</v>
      </c>
      <c r="W836" s="193"/>
      <c r="X836" s="193">
        <v>0</v>
      </c>
      <c r="Y836" s="193">
        <v>-16.670000000000002</v>
      </c>
      <c r="Z836" s="193" t="s">
        <v>1432</v>
      </c>
      <c r="AA836" s="193" t="s">
        <v>1432</v>
      </c>
      <c r="AB836" s="193" t="s">
        <v>1281</v>
      </c>
      <c r="AC836" s="193" t="s">
        <v>1428</v>
      </c>
      <c r="AD836" s="193" t="s">
        <v>1429</v>
      </c>
      <c r="AE836" s="193" t="s">
        <v>1430</v>
      </c>
      <c r="AF836" s="193" t="s">
        <v>1432</v>
      </c>
      <c r="AG836" s="193" t="s">
        <v>1012</v>
      </c>
      <c r="AH836" s="193" t="s">
        <v>997</v>
      </c>
      <c r="AI836" s="193" t="s">
        <v>997</v>
      </c>
      <c r="AJ836" s="193" t="s">
        <v>1431</v>
      </c>
      <c r="AK836" s="193" t="s">
        <v>1431</v>
      </c>
      <c r="AL836" s="193" t="s">
        <v>1431</v>
      </c>
    </row>
    <row r="837" spans="7:38">
      <c r="G837" s="193" t="s">
        <v>2751</v>
      </c>
      <c r="H837" s="193" t="s">
        <v>2752</v>
      </c>
      <c r="I837" s="193" t="s">
        <v>2753</v>
      </c>
      <c r="J837" s="193" t="s">
        <v>2753</v>
      </c>
      <c r="K837" s="193" t="s">
        <v>1645</v>
      </c>
      <c r="L837" s="193"/>
      <c r="M837" s="193"/>
      <c r="N837" s="193">
        <v>4.9993155373032172</v>
      </c>
      <c r="O837" s="193"/>
      <c r="P837" s="193">
        <v>120</v>
      </c>
      <c r="Q837" s="193">
        <v>100</v>
      </c>
      <c r="R837" s="193">
        <v>-20</v>
      </c>
      <c r="S837" s="193">
        <v>5</v>
      </c>
      <c r="T837" s="193">
        <v>1000</v>
      </c>
      <c r="U837" s="193">
        <v>1000000000</v>
      </c>
      <c r="V837" s="193">
        <v>1300</v>
      </c>
      <c r="W837" s="193"/>
      <c r="X837" s="193">
        <v>0</v>
      </c>
      <c r="Y837" s="193">
        <v>-23.08</v>
      </c>
      <c r="Z837" s="193">
        <v>72.003399999999999</v>
      </c>
      <c r="AA837" s="193">
        <v>100</v>
      </c>
      <c r="AB837" s="193" t="s">
        <v>1281</v>
      </c>
      <c r="AC837" s="193" t="s">
        <v>1439</v>
      </c>
      <c r="AD837" s="193" t="s">
        <v>2081</v>
      </c>
      <c r="AE837" s="193" t="s">
        <v>2754</v>
      </c>
      <c r="AF837" s="193" t="s">
        <v>950</v>
      </c>
      <c r="AG837" s="193" t="s">
        <v>942</v>
      </c>
      <c r="AH837" s="193" t="s">
        <v>1432</v>
      </c>
      <c r="AI837" s="193" t="s">
        <v>950</v>
      </c>
      <c r="AJ837" s="193" t="s">
        <v>1431</v>
      </c>
      <c r="AK837" s="193" t="s">
        <v>1431</v>
      </c>
      <c r="AL837" s="193" t="s">
        <v>1431</v>
      </c>
    </row>
    <row r="838" spans="7:38">
      <c r="G838" s="193" t="s">
        <v>2920</v>
      </c>
      <c r="H838" s="193" t="s">
        <v>2755</v>
      </c>
      <c r="I838" s="193" t="s">
        <v>2756</v>
      </c>
      <c r="J838" s="193" t="s">
        <v>2756</v>
      </c>
      <c r="K838" s="193" t="s">
        <v>1949</v>
      </c>
      <c r="L838" s="193"/>
      <c r="M838" s="193"/>
      <c r="N838" s="193">
        <v>30.004106776180699</v>
      </c>
      <c r="O838" s="193"/>
      <c r="P838" s="193"/>
      <c r="Q838" s="193">
        <v>6.7</v>
      </c>
      <c r="R838" s="193">
        <v>-30</v>
      </c>
      <c r="S838" s="193"/>
      <c r="T838" s="193">
        <v>1200</v>
      </c>
      <c r="U838" s="193">
        <v>1200000000</v>
      </c>
      <c r="V838" s="193">
        <v>1700</v>
      </c>
      <c r="W838" s="193"/>
      <c r="X838" s="193">
        <v>0</v>
      </c>
      <c r="Y838" s="193">
        <v>-29.41</v>
      </c>
      <c r="Z838" s="193">
        <v>208.3595</v>
      </c>
      <c r="AA838" s="193">
        <v>239</v>
      </c>
      <c r="AB838" s="193">
        <v>-31</v>
      </c>
      <c r="AC838" s="193" t="s">
        <v>1428</v>
      </c>
      <c r="AD838" s="193" t="s">
        <v>1437</v>
      </c>
      <c r="AE838" s="193" t="s">
        <v>1896</v>
      </c>
      <c r="AF838" s="193" t="s">
        <v>932</v>
      </c>
      <c r="AG838" s="193" t="s">
        <v>875</v>
      </c>
      <c r="AH838" s="193" t="s">
        <v>1432</v>
      </c>
      <c r="AI838" s="193" t="s">
        <v>932</v>
      </c>
      <c r="AJ838" s="193" t="s">
        <v>1431</v>
      </c>
      <c r="AK838" s="193" t="s">
        <v>1431</v>
      </c>
      <c r="AL838" s="193" t="s">
        <v>1431</v>
      </c>
    </row>
    <row r="839" spans="7:38">
      <c r="G839" s="193" t="s">
        <v>2757</v>
      </c>
      <c r="H839" s="193" t="s">
        <v>2758</v>
      </c>
      <c r="I839" s="193" t="s">
        <v>2759</v>
      </c>
      <c r="J839" s="193" t="s">
        <v>2759</v>
      </c>
      <c r="K839" s="193" t="s">
        <v>1553</v>
      </c>
      <c r="L839" s="193"/>
      <c r="M839" s="193"/>
      <c r="N839" s="193">
        <v>4.9938398357289531</v>
      </c>
      <c r="O839" s="193"/>
      <c r="P839" s="193">
        <v>145</v>
      </c>
      <c r="Q839" s="193">
        <v>118</v>
      </c>
      <c r="R839" s="193">
        <v>-27</v>
      </c>
      <c r="S839" s="193">
        <v>3</v>
      </c>
      <c r="T839" s="193">
        <v>3450</v>
      </c>
      <c r="U839" s="193">
        <v>3450000000</v>
      </c>
      <c r="V839" s="193">
        <v>4200</v>
      </c>
      <c r="W839" s="193"/>
      <c r="X839" s="193">
        <v>0</v>
      </c>
      <c r="Y839" s="193">
        <v>-17.86</v>
      </c>
      <c r="Z839" s="193">
        <v>92.971200000000039</v>
      </c>
      <c r="AA839" s="193">
        <v>118</v>
      </c>
      <c r="AB839" s="193" t="s">
        <v>1281</v>
      </c>
      <c r="AC839" s="193" t="s">
        <v>1441</v>
      </c>
      <c r="AD839" s="193" t="s">
        <v>1442</v>
      </c>
      <c r="AE839" s="193" t="s">
        <v>1443</v>
      </c>
      <c r="AF839" s="193" t="s">
        <v>938</v>
      </c>
      <c r="AG839" s="193" t="s">
        <v>874</v>
      </c>
      <c r="AH839" s="193" t="s">
        <v>2760</v>
      </c>
      <c r="AI839" s="193" t="s">
        <v>938</v>
      </c>
      <c r="AJ839" s="193" t="s">
        <v>1431</v>
      </c>
      <c r="AK839" s="193" t="s">
        <v>1431</v>
      </c>
      <c r="AL839" s="193" t="s">
        <v>1431</v>
      </c>
    </row>
    <row r="840" spans="7:38">
      <c r="G840" s="193" t="s">
        <v>2761</v>
      </c>
      <c r="H840" s="193" t="s">
        <v>2758</v>
      </c>
      <c r="I840" s="193" t="s">
        <v>2762</v>
      </c>
      <c r="J840" s="193" t="s">
        <v>2762</v>
      </c>
      <c r="K840" s="193" t="s">
        <v>1553</v>
      </c>
      <c r="L840" s="193"/>
      <c r="M840" s="193"/>
      <c r="N840" s="193">
        <v>30.496919917864478</v>
      </c>
      <c r="O840" s="193"/>
      <c r="P840" s="193">
        <v>185</v>
      </c>
      <c r="Q840" s="193">
        <v>160</v>
      </c>
      <c r="R840" s="193">
        <v>-25</v>
      </c>
      <c r="S840" s="193">
        <v>5</v>
      </c>
      <c r="T840" s="193">
        <v>3800</v>
      </c>
      <c r="U840" s="193">
        <v>3800000000</v>
      </c>
      <c r="V840" s="193">
        <v>4900</v>
      </c>
      <c r="W840" s="193"/>
      <c r="X840" s="193">
        <v>0</v>
      </c>
      <c r="Y840" s="193">
        <v>-22.45</v>
      </c>
      <c r="Z840" s="193">
        <v>128.15849999999998</v>
      </c>
      <c r="AA840" s="193">
        <v>160</v>
      </c>
      <c r="AB840" s="193" t="s">
        <v>1281</v>
      </c>
      <c r="AC840" s="193" t="s">
        <v>1441</v>
      </c>
      <c r="AD840" s="193" t="s">
        <v>1442</v>
      </c>
      <c r="AE840" s="193" t="s">
        <v>1443</v>
      </c>
      <c r="AF840" s="193" t="s">
        <v>938</v>
      </c>
      <c r="AG840" s="193" t="s">
        <v>874</v>
      </c>
      <c r="AH840" s="193" t="s">
        <v>2760</v>
      </c>
      <c r="AI840" s="193" t="s">
        <v>938</v>
      </c>
      <c r="AJ840" s="193" t="s">
        <v>1431</v>
      </c>
      <c r="AK840" s="193" t="s">
        <v>1431</v>
      </c>
      <c r="AL840" s="193" t="s">
        <v>1431</v>
      </c>
    </row>
    <row r="841" spans="7:38">
      <c r="G841" s="193" t="s">
        <v>2763</v>
      </c>
      <c r="H841" s="193" t="s">
        <v>2764</v>
      </c>
      <c r="I841" s="193" t="s">
        <v>2765</v>
      </c>
      <c r="J841" s="193" t="s">
        <v>2765</v>
      </c>
      <c r="K841" s="193" t="s">
        <v>2766</v>
      </c>
      <c r="L841" s="193"/>
      <c r="M841" s="193"/>
      <c r="N841" s="193">
        <v>4.9993155373032172</v>
      </c>
      <c r="O841" s="193"/>
      <c r="P841" s="193">
        <v>115</v>
      </c>
      <c r="Q841" s="193">
        <v>100</v>
      </c>
      <c r="R841" s="193">
        <v>-15</v>
      </c>
      <c r="S841" s="193"/>
      <c r="T841" s="193">
        <v>775</v>
      </c>
      <c r="U841" s="193">
        <v>775000000</v>
      </c>
      <c r="V841" s="193">
        <v>825</v>
      </c>
      <c r="W841" s="193"/>
      <c r="X841" s="193">
        <v>0</v>
      </c>
      <c r="Y841" s="193">
        <v>-6.06</v>
      </c>
      <c r="Z841" s="193">
        <v>75.128099999999961</v>
      </c>
      <c r="AA841" s="193">
        <v>100</v>
      </c>
      <c r="AB841" s="193" t="s">
        <v>1281</v>
      </c>
      <c r="AC841" s="193" t="s">
        <v>1441</v>
      </c>
      <c r="AD841" s="193" t="s">
        <v>1442</v>
      </c>
      <c r="AE841" s="193" t="s">
        <v>1443</v>
      </c>
      <c r="AF841" s="193" t="s">
        <v>938</v>
      </c>
      <c r="AG841" s="193" t="s">
        <v>942</v>
      </c>
      <c r="AH841" s="193" t="s">
        <v>1432</v>
      </c>
      <c r="AI841" s="193" t="s">
        <v>938</v>
      </c>
      <c r="AJ841" s="193" t="s">
        <v>1431</v>
      </c>
      <c r="AK841" s="193" t="s">
        <v>1431</v>
      </c>
      <c r="AL841" s="193" t="s">
        <v>1431</v>
      </c>
    </row>
    <row r="842" spans="7:38">
      <c r="G842" s="193" t="s">
        <v>2767</v>
      </c>
      <c r="H842" s="193" t="s">
        <v>2768</v>
      </c>
      <c r="I842" s="193" t="s">
        <v>2769</v>
      </c>
      <c r="J842" s="193" t="s">
        <v>2769</v>
      </c>
      <c r="K842" s="193" t="s">
        <v>1639</v>
      </c>
      <c r="L842" s="193"/>
      <c r="M842" s="193"/>
      <c r="N842" s="193">
        <v>6.9869952087611225</v>
      </c>
      <c r="O842" s="193"/>
      <c r="P842" s="193">
        <v>175</v>
      </c>
      <c r="Q842" s="193">
        <v>160</v>
      </c>
      <c r="R842" s="193">
        <v>-15</v>
      </c>
      <c r="S842" s="193">
        <v>10</v>
      </c>
      <c r="T842" s="193">
        <v>1300</v>
      </c>
      <c r="U842" s="193">
        <v>1300000000</v>
      </c>
      <c r="V842" s="193">
        <v>1900</v>
      </c>
      <c r="W842" s="193"/>
      <c r="X842" s="193">
        <v>0</v>
      </c>
      <c r="Y842" s="193">
        <v>-31.58</v>
      </c>
      <c r="Z842" s="193">
        <v>129.32210000000001</v>
      </c>
      <c r="AA842" s="193">
        <v>160</v>
      </c>
      <c r="AB842" s="193" t="s">
        <v>1281</v>
      </c>
      <c r="AC842" s="193" t="s">
        <v>1441</v>
      </c>
      <c r="AD842" s="193" t="s">
        <v>1442</v>
      </c>
      <c r="AE842" s="193" t="s">
        <v>1443</v>
      </c>
      <c r="AF842" s="193" t="s">
        <v>877</v>
      </c>
      <c r="AG842" s="193" t="s">
        <v>969</v>
      </c>
      <c r="AH842" s="193" t="s">
        <v>877</v>
      </c>
      <c r="AI842" s="193" t="s">
        <v>877</v>
      </c>
      <c r="AJ842" s="193" t="s">
        <v>1431</v>
      </c>
      <c r="AK842" s="193" t="s">
        <v>1431</v>
      </c>
      <c r="AL842" s="193" t="s">
        <v>1431</v>
      </c>
    </row>
    <row r="843" spans="7:38">
      <c r="G843" s="193" t="s">
        <v>2770</v>
      </c>
      <c r="H843" s="193" t="s">
        <v>2771</v>
      </c>
      <c r="I843" s="193" t="s">
        <v>2772</v>
      </c>
      <c r="J843" s="193" t="s">
        <v>2772</v>
      </c>
      <c r="K843" s="193" t="s">
        <v>1612</v>
      </c>
      <c r="L843" s="193"/>
      <c r="M843" s="193"/>
      <c r="N843" s="193">
        <v>5.0349075975359341</v>
      </c>
      <c r="O843" s="193"/>
      <c r="P843" s="193">
        <v>100</v>
      </c>
      <c r="Q843" s="193">
        <v>75</v>
      </c>
      <c r="R843" s="193">
        <v>-25</v>
      </c>
      <c r="S843" s="193">
        <v>3</v>
      </c>
      <c r="T843" s="193">
        <v>1950</v>
      </c>
      <c r="U843" s="193">
        <v>1950000000</v>
      </c>
      <c r="V843" s="193">
        <v>2600</v>
      </c>
      <c r="W843" s="193"/>
      <c r="X843" s="193">
        <v>0</v>
      </c>
      <c r="Y843" s="193">
        <v>-25</v>
      </c>
      <c r="Z843" s="193">
        <v>48.238999999999962</v>
      </c>
      <c r="AA843" s="193">
        <v>75</v>
      </c>
      <c r="AB843" s="193" t="s">
        <v>1281</v>
      </c>
      <c r="AC843" s="193" t="s">
        <v>1879</v>
      </c>
      <c r="AD843" s="193" t="s">
        <v>1947</v>
      </c>
      <c r="AE843" s="193" t="s">
        <v>1948</v>
      </c>
      <c r="AF843" s="193" t="s">
        <v>950</v>
      </c>
      <c r="AG843" s="193" t="s">
        <v>933</v>
      </c>
      <c r="AH843" s="193" t="s">
        <v>1432</v>
      </c>
      <c r="AI843" s="193" t="s">
        <v>950</v>
      </c>
      <c r="AJ843" s="193" t="s">
        <v>1431</v>
      </c>
      <c r="AK843" s="193" t="s">
        <v>1431</v>
      </c>
      <c r="AL843" s="193" t="s">
        <v>1431</v>
      </c>
    </row>
    <row r="844" spans="7:38">
      <c r="G844" s="193" t="s">
        <v>2773</v>
      </c>
      <c r="H844" s="193" t="s">
        <v>2771</v>
      </c>
      <c r="I844" s="193" t="s">
        <v>2774</v>
      </c>
      <c r="J844" s="193" t="s">
        <v>2774</v>
      </c>
      <c r="K844" s="193" t="s">
        <v>1612</v>
      </c>
      <c r="L844" s="193"/>
      <c r="M844" s="193"/>
      <c r="N844" s="193">
        <v>10.03422313483915</v>
      </c>
      <c r="O844" s="193"/>
      <c r="P844" s="193">
        <v>120</v>
      </c>
      <c r="Q844" s="193">
        <v>95</v>
      </c>
      <c r="R844" s="193">
        <v>-25</v>
      </c>
      <c r="S844" s="193">
        <v>0</v>
      </c>
      <c r="T844" s="193">
        <v>2100</v>
      </c>
      <c r="U844" s="193">
        <v>2100000000</v>
      </c>
      <c r="V844" s="193">
        <v>2900</v>
      </c>
      <c r="W844" s="193"/>
      <c r="X844" s="193">
        <v>0</v>
      </c>
      <c r="Y844" s="193">
        <v>-27.59</v>
      </c>
      <c r="Z844" s="193">
        <v>67.215900000000062</v>
      </c>
      <c r="AA844" s="193">
        <v>95</v>
      </c>
      <c r="AB844" s="193" t="s">
        <v>1281</v>
      </c>
      <c r="AC844" s="193" t="s">
        <v>1879</v>
      </c>
      <c r="AD844" s="193" t="s">
        <v>1947</v>
      </c>
      <c r="AE844" s="193" t="s">
        <v>1948</v>
      </c>
      <c r="AF844" s="193" t="s">
        <v>950</v>
      </c>
      <c r="AG844" s="193" t="s">
        <v>933</v>
      </c>
      <c r="AH844" s="193" t="s">
        <v>1432</v>
      </c>
      <c r="AI844" s="193" t="s">
        <v>950</v>
      </c>
      <c r="AJ844" s="193" t="s">
        <v>1431</v>
      </c>
      <c r="AK844" s="193" t="s">
        <v>1431</v>
      </c>
      <c r="AL844" s="193" t="s">
        <v>1431</v>
      </c>
    </row>
    <row r="845" spans="7:38">
      <c r="G845" s="193" t="s">
        <v>2775</v>
      </c>
      <c r="H845" s="193" t="s">
        <v>2776</v>
      </c>
      <c r="I845" s="193" t="s">
        <v>2777</v>
      </c>
      <c r="J845" s="193" t="s">
        <v>2777</v>
      </c>
      <c r="K845" s="193" t="s">
        <v>1638</v>
      </c>
      <c r="L845" s="193"/>
      <c r="M845" s="193"/>
      <c r="N845" s="193">
        <v>2.9979466119096507</v>
      </c>
      <c r="O845" s="193"/>
      <c r="P845" s="193">
        <v>175</v>
      </c>
      <c r="Q845" s="193">
        <v>140</v>
      </c>
      <c r="R845" s="193">
        <v>-35</v>
      </c>
      <c r="S845" s="193">
        <v>30</v>
      </c>
      <c r="T845" s="193">
        <v>4700</v>
      </c>
      <c r="U845" s="193">
        <v>4700000000</v>
      </c>
      <c r="V845" s="193">
        <v>4750</v>
      </c>
      <c r="W845" s="193"/>
      <c r="X845" s="193">
        <v>0</v>
      </c>
      <c r="Y845" s="193">
        <v>-1.05</v>
      </c>
      <c r="Z845" s="193">
        <v>128.29640000000003</v>
      </c>
      <c r="AA845" s="193">
        <v>140</v>
      </c>
      <c r="AB845" s="193" t="s">
        <v>1281</v>
      </c>
      <c r="AC845" s="193" t="s">
        <v>1433</v>
      </c>
      <c r="AD845" s="193" t="s">
        <v>1434</v>
      </c>
      <c r="AE845" s="193" t="s">
        <v>1867</v>
      </c>
      <c r="AF845" s="193" t="s">
        <v>932</v>
      </c>
      <c r="AG845" s="193" t="s">
        <v>875</v>
      </c>
      <c r="AH845" s="193" t="s">
        <v>1432</v>
      </c>
      <c r="AI845" s="193" t="s">
        <v>932</v>
      </c>
      <c r="AJ845" s="193" t="s">
        <v>1431</v>
      </c>
      <c r="AK845" s="193" t="s">
        <v>1431</v>
      </c>
      <c r="AL845" s="193" t="s">
        <v>1431</v>
      </c>
    </row>
    <row r="846" spans="7:38">
      <c r="G846" s="193" t="s">
        <v>2778</v>
      </c>
      <c r="H846" s="193" t="s">
        <v>2776</v>
      </c>
      <c r="I846" s="193" t="s">
        <v>2779</v>
      </c>
      <c r="J846" s="193" t="s">
        <v>2779</v>
      </c>
      <c r="K846" s="193" t="s">
        <v>1638</v>
      </c>
      <c r="L846" s="193"/>
      <c r="M846" s="193"/>
      <c r="N846" s="193">
        <v>4.9993155373032172</v>
      </c>
      <c r="O846" s="193"/>
      <c r="P846" s="193">
        <v>200</v>
      </c>
      <c r="Q846" s="193">
        <v>170</v>
      </c>
      <c r="R846" s="193">
        <v>-30</v>
      </c>
      <c r="S846" s="193">
        <v>20</v>
      </c>
      <c r="T846" s="193">
        <v>3700</v>
      </c>
      <c r="U846" s="193">
        <v>3700000000</v>
      </c>
      <c r="V846" s="193">
        <v>4300</v>
      </c>
      <c r="W846" s="193"/>
      <c r="X846" s="193">
        <v>0</v>
      </c>
      <c r="Y846" s="193">
        <v>-13.95</v>
      </c>
      <c r="Z846" s="193">
        <v>172.98249999999999</v>
      </c>
      <c r="AA846" s="193">
        <v>170</v>
      </c>
      <c r="AB846" s="193" t="s">
        <v>1281</v>
      </c>
      <c r="AC846" s="193" t="s">
        <v>1433</v>
      </c>
      <c r="AD846" s="193" t="s">
        <v>1434</v>
      </c>
      <c r="AE846" s="193" t="s">
        <v>1867</v>
      </c>
      <c r="AF846" s="193" t="s">
        <v>932</v>
      </c>
      <c r="AG846" s="193" t="s">
        <v>875</v>
      </c>
      <c r="AH846" s="193" t="s">
        <v>1432</v>
      </c>
      <c r="AI846" s="193" t="s">
        <v>932</v>
      </c>
      <c r="AJ846" s="193" t="s">
        <v>1431</v>
      </c>
      <c r="AK846" s="193" t="s">
        <v>1431</v>
      </c>
      <c r="AL846" s="193" t="s">
        <v>1431</v>
      </c>
    </row>
    <row r="847" spans="7:38">
      <c r="G847" s="193" t="s">
        <v>2780</v>
      </c>
      <c r="H847" s="193" t="s">
        <v>2776</v>
      </c>
      <c r="I847" s="193" t="s">
        <v>2781</v>
      </c>
      <c r="J847" s="193" t="s">
        <v>2781</v>
      </c>
      <c r="K847" s="193" t="s">
        <v>1638</v>
      </c>
      <c r="L847" s="193"/>
      <c r="M847" s="193"/>
      <c r="N847" s="193">
        <v>9.9986310746064344</v>
      </c>
      <c r="O847" s="193"/>
      <c r="P847" s="193">
        <v>240</v>
      </c>
      <c r="Q847" s="193">
        <v>215</v>
      </c>
      <c r="R847" s="193">
        <v>-25</v>
      </c>
      <c r="S847" s="193">
        <v>20</v>
      </c>
      <c r="T847" s="193">
        <v>4500</v>
      </c>
      <c r="U847" s="193">
        <v>4500000000</v>
      </c>
      <c r="V847" s="193">
        <v>5100</v>
      </c>
      <c r="W847" s="193"/>
      <c r="X847" s="193">
        <v>0</v>
      </c>
      <c r="Y847" s="193">
        <v>-11.76</v>
      </c>
      <c r="Z847" s="193">
        <v>206.59970000000004</v>
      </c>
      <c r="AA847" s="193">
        <v>215</v>
      </c>
      <c r="AB847" s="193" t="s">
        <v>1281</v>
      </c>
      <c r="AC847" s="193" t="s">
        <v>1433</v>
      </c>
      <c r="AD847" s="193" t="s">
        <v>1434</v>
      </c>
      <c r="AE847" s="193" t="s">
        <v>1867</v>
      </c>
      <c r="AF847" s="193" t="s">
        <v>932</v>
      </c>
      <c r="AG847" s="193" t="s">
        <v>875</v>
      </c>
      <c r="AH847" s="193" t="s">
        <v>1432</v>
      </c>
      <c r="AI847" s="193" t="s">
        <v>932</v>
      </c>
      <c r="AJ847" s="193" t="s">
        <v>1431</v>
      </c>
      <c r="AK847" s="193" t="s">
        <v>1431</v>
      </c>
      <c r="AL847" s="193" t="s">
        <v>1431</v>
      </c>
    </row>
    <row r="848" spans="7:38">
      <c r="G848" s="193" t="s">
        <v>2782</v>
      </c>
      <c r="H848" s="193" t="s">
        <v>2783</v>
      </c>
      <c r="I848" s="193" t="s">
        <v>2784</v>
      </c>
      <c r="J848" s="193" t="s">
        <v>2784</v>
      </c>
      <c r="K848" s="193" t="s">
        <v>2785</v>
      </c>
      <c r="L848" s="193"/>
      <c r="M848" s="193"/>
      <c r="N848" s="193">
        <v>20.038329911019851</v>
      </c>
      <c r="O848" s="193"/>
      <c r="P848" s="193"/>
      <c r="Q848" s="193">
        <v>7.5</v>
      </c>
      <c r="R848" s="193">
        <v>-38</v>
      </c>
      <c r="S848" s="193"/>
      <c r="T848" s="193">
        <v>1450</v>
      </c>
      <c r="U848" s="193">
        <v>1450000000</v>
      </c>
      <c r="V848" s="193">
        <v>1650</v>
      </c>
      <c r="W848" s="193"/>
      <c r="X848" s="193">
        <v>0</v>
      </c>
      <c r="Y848" s="193">
        <v>-12.12</v>
      </c>
      <c r="Z848" s="193">
        <v>261.23330000000004</v>
      </c>
      <c r="AA848" s="193">
        <v>318.60000000000002</v>
      </c>
      <c r="AB848" s="193">
        <v>-57</v>
      </c>
      <c r="AC848" s="193" t="s">
        <v>1428</v>
      </c>
      <c r="AD848" s="193" t="s">
        <v>1437</v>
      </c>
      <c r="AE848" s="193" t="s">
        <v>1457</v>
      </c>
      <c r="AF848" s="193" t="s">
        <v>877</v>
      </c>
      <c r="AG848" s="193" t="s">
        <v>1432</v>
      </c>
      <c r="AH848" s="193" t="s">
        <v>877</v>
      </c>
      <c r="AI848" s="193" t="s">
        <v>877</v>
      </c>
      <c r="AJ848" s="193" t="s">
        <v>1431</v>
      </c>
      <c r="AK848" s="193" t="s">
        <v>1431</v>
      </c>
      <c r="AL848" s="193" t="s">
        <v>1431</v>
      </c>
    </row>
    <row r="849" spans="7:38">
      <c r="G849" s="193" t="s">
        <v>2786</v>
      </c>
      <c r="H849" s="193" t="s">
        <v>2787</v>
      </c>
      <c r="I849" s="193" t="s">
        <v>2788</v>
      </c>
      <c r="J849" s="193" t="s">
        <v>2788</v>
      </c>
      <c r="K849" s="193" t="s">
        <v>1640</v>
      </c>
      <c r="L849" s="193"/>
      <c r="M849" s="193"/>
      <c r="N849" s="193">
        <v>3.0006844626967832</v>
      </c>
      <c r="O849" s="193"/>
      <c r="P849" s="193">
        <v>110</v>
      </c>
      <c r="Q849" s="193">
        <v>83</v>
      </c>
      <c r="R849" s="193">
        <v>-27</v>
      </c>
      <c r="S849" s="193">
        <v>3</v>
      </c>
      <c r="T849" s="193">
        <v>2700</v>
      </c>
      <c r="U849" s="193">
        <v>2700000000</v>
      </c>
      <c r="V849" s="193">
        <v>3000</v>
      </c>
      <c r="W849" s="193"/>
      <c r="X849" s="193">
        <v>0</v>
      </c>
      <c r="Y849" s="193">
        <v>-10</v>
      </c>
      <c r="Z849" s="193">
        <v>71.02260000000004</v>
      </c>
      <c r="AA849" s="193">
        <v>83</v>
      </c>
      <c r="AB849" s="193" t="s">
        <v>1281</v>
      </c>
      <c r="AC849" s="193" t="s">
        <v>1879</v>
      </c>
      <c r="AD849" s="193" t="s">
        <v>2789</v>
      </c>
      <c r="AE849" s="193" t="s">
        <v>2790</v>
      </c>
      <c r="AF849" s="193" t="s">
        <v>932</v>
      </c>
      <c r="AG849" s="193" t="s">
        <v>875</v>
      </c>
      <c r="AH849" s="193" t="s">
        <v>950</v>
      </c>
      <c r="AI849" s="193" t="s">
        <v>1004</v>
      </c>
      <c r="AJ849" s="193" t="s">
        <v>1431</v>
      </c>
      <c r="AK849" s="193" t="s">
        <v>1431</v>
      </c>
      <c r="AL849" s="193" t="s">
        <v>1431</v>
      </c>
    </row>
    <row r="850" spans="7:38">
      <c r="G850" s="193" t="s">
        <v>2791</v>
      </c>
      <c r="H850" s="193" t="s">
        <v>2787</v>
      </c>
      <c r="I850" s="193" t="s">
        <v>2792</v>
      </c>
      <c r="J850" s="193" t="s">
        <v>2792</v>
      </c>
      <c r="K850" s="193" t="s">
        <v>1640</v>
      </c>
      <c r="L850" s="193"/>
      <c r="M850" s="193"/>
      <c r="N850" s="193">
        <v>4.9993155373032172</v>
      </c>
      <c r="O850" s="193"/>
      <c r="P850" s="193">
        <v>130</v>
      </c>
      <c r="Q850" s="193">
        <v>103</v>
      </c>
      <c r="R850" s="193">
        <v>-27</v>
      </c>
      <c r="S850" s="193">
        <v>3</v>
      </c>
      <c r="T850" s="193">
        <v>2500</v>
      </c>
      <c r="U850" s="193">
        <v>2500000000</v>
      </c>
      <c r="V850" s="193">
        <v>3800</v>
      </c>
      <c r="W850" s="193"/>
      <c r="X850" s="193">
        <v>0</v>
      </c>
      <c r="Y850" s="193">
        <v>-34.21</v>
      </c>
      <c r="Z850" s="193">
        <v>81.5702</v>
      </c>
      <c r="AA850" s="193">
        <v>103</v>
      </c>
      <c r="AB850" s="193" t="s">
        <v>1281</v>
      </c>
      <c r="AC850" s="193" t="s">
        <v>1879</v>
      </c>
      <c r="AD850" s="193" t="s">
        <v>2789</v>
      </c>
      <c r="AE850" s="193" t="s">
        <v>2790</v>
      </c>
      <c r="AF850" s="193" t="s">
        <v>932</v>
      </c>
      <c r="AG850" s="193" t="s">
        <v>875</v>
      </c>
      <c r="AH850" s="193" t="s">
        <v>950</v>
      </c>
      <c r="AI850" s="193" t="s">
        <v>932</v>
      </c>
      <c r="AJ850" s="193" t="s">
        <v>1431</v>
      </c>
      <c r="AK850" s="193" t="s">
        <v>1431</v>
      </c>
      <c r="AL850" s="193" t="s">
        <v>1431</v>
      </c>
    </row>
    <row r="851" spans="7:38">
      <c r="G851" s="193" t="s">
        <v>2793</v>
      </c>
      <c r="H851" s="193" t="s">
        <v>2787</v>
      </c>
      <c r="I851" s="193" t="s">
        <v>2794</v>
      </c>
      <c r="J851" s="193" t="s">
        <v>2794</v>
      </c>
      <c r="K851" s="193" t="s">
        <v>1640</v>
      </c>
      <c r="L851" s="193"/>
      <c r="M851" s="193"/>
      <c r="N851" s="193">
        <v>9.9986310746064344</v>
      </c>
      <c r="O851" s="193"/>
      <c r="P851" s="193">
        <v>150</v>
      </c>
      <c r="Q851" s="193">
        <v>125</v>
      </c>
      <c r="R851" s="193">
        <v>-25</v>
      </c>
      <c r="S851" s="193">
        <v>10</v>
      </c>
      <c r="T851" s="193">
        <v>2800</v>
      </c>
      <c r="U851" s="193">
        <v>2800000000</v>
      </c>
      <c r="V851" s="193">
        <v>3300</v>
      </c>
      <c r="W851" s="193"/>
      <c r="X851" s="193">
        <v>0</v>
      </c>
      <c r="Y851" s="193">
        <v>-15.15</v>
      </c>
      <c r="Z851" s="193">
        <v>91.333399999999983</v>
      </c>
      <c r="AA851" s="193">
        <v>125</v>
      </c>
      <c r="AB851" s="193" t="s">
        <v>1281</v>
      </c>
      <c r="AC851" s="193" t="s">
        <v>1879</v>
      </c>
      <c r="AD851" s="193" t="s">
        <v>2789</v>
      </c>
      <c r="AE851" s="193" t="s">
        <v>2790</v>
      </c>
      <c r="AF851" s="193" t="s">
        <v>932</v>
      </c>
      <c r="AG851" s="193" t="s">
        <v>875</v>
      </c>
      <c r="AH851" s="193" t="s">
        <v>950</v>
      </c>
      <c r="AI851" s="193" t="s">
        <v>1004</v>
      </c>
      <c r="AJ851" s="193" t="s">
        <v>1431</v>
      </c>
      <c r="AK851" s="193" t="s">
        <v>1431</v>
      </c>
      <c r="AL851" s="193" t="s">
        <v>1431</v>
      </c>
    </row>
    <row r="852" spans="7:38">
      <c r="G852" s="193" t="s">
        <v>2795</v>
      </c>
      <c r="H852" s="193" t="s">
        <v>2796</v>
      </c>
      <c r="I852" s="193" t="s">
        <v>2797</v>
      </c>
      <c r="J852" s="193" t="s">
        <v>2797</v>
      </c>
      <c r="K852" s="193" t="s">
        <v>1642</v>
      </c>
      <c r="L852" s="193"/>
      <c r="M852" s="193"/>
      <c r="N852" s="193">
        <v>30.494182067077343</v>
      </c>
      <c r="O852" s="193"/>
      <c r="P852" s="193"/>
      <c r="Q852" s="193">
        <v>7</v>
      </c>
      <c r="R852" s="193">
        <v>-25</v>
      </c>
      <c r="S852" s="193"/>
      <c r="T852" s="193">
        <v>650</v>
      </c>
      <c r="U852" s="193">
        <v>650000000</v>
      </c>
      <c r="V852" s="193"/>
      <c r="W852" s="193"/>
      <c r="X852" s="193"/>
      <c r="Y852" s="193"/>
      <c r="Z852" s="193">
        <v>252.68920000000003</v>
      </c>
      <c r="AA852" s="193">
        <v>270.10000000000002</v>
      </c>
      <c r="AB852" s="193">
        <v>-17</v>
      </c>
      <c r="AC852" s="193" t="s">
        <v>1441</v>
      </c>
      <c r="AD852" s="193" t="s">
        <v>1926</v>
      </c>
      <c r="AE852" s="193" t="s">
        <v>1927</v>
      </c>
      <c r="AF852" s="193" t="s">
        <v>932</v>
      </c>
      <c r="AG852" s="193" t="s">
        <v>1432</v>
      </c>
      <c r="AH852" s="193" t="s">
        <v>1432</v>
      </c>
      <c r="AI852" s="193" t="s">
        <v>1004</v>
      </c>
      <c r="AJ852" s="193" t="s">
        <v>1431</v>
      </c>
      <c r="AK852" s="193" t="s">
        <v>1431</v>
      </c>
      <c r="AL852" s="193" t="s">
        <v>1431</v>
      </c>
    </row>
    <row r="853" spans="7:38">
      <c r="G853" s="193" t="s">
        <v>2798</v>
      </c>
      <c r="H853" s="193" t="s">
        <v>2799</v>
      </c>
      <c r="I853" s="193" t="s">
        <v>2800</v>
      </c>
      <c r="J853" s="193" t="s">
        <v>2800</v>
      </c>
      <c r="K853" s="193" t="s">
        <v>2801</v>
      </c>
      <c r="L853" s="193"/>
      <c r="M853" s="193"/>
      <c r="N853" s="193">
        <v>7.0006844626967828</v>
      </c>
      <c r="O853" s="193"/>
      <c r="P853" s="193">
        <v>155</v>
      </c>
      <c r="Q853" s="193">
        <v>130</v>
      </c>
      <c r="R853" s="193">
        <v>-25</v>
      </c>
      <c r="S853" s="193">
        <v>15</v>
      </c>
      <c r="T853" s="193">
        <v>2300</v>
      </c>
      <c r="U853" s="193">
        <v>2300000000</v>
      </c>
      <c r="V853" s="193">
        <v>2600</v>
      </c>
      <c r="W853" s="193"/>
      <c r="X853" s="193">
        <v>0</v>
      </c>
      <c r="Y853" s="193">
        <v>-11.54</v>
      </c>
      <c r="Z853" s="193">
        <v>88.939799999999991</v>
      </c>
      <c r="AA853" s="193">
        <v>130</v>
      </c>
      <c r="AB853" s="193" t="s">
        <v>1281</v>
      </c>
      <c r="AC853" s="193" t="s">
        <v>1439</v>
      </c>
      <c r="AD853" s="193" t="s">
        <v>2081</v>
      </c>
      <c r="AE853" s="193" t="s">
        <v>2802</v>
      </c>
      <c r="AF853" s="193" t="s">
        <v>950</v>
      </c>
      <c r="AG853" s="193" t="s">
        <v>875</v>
      </c>
      <c r="AH853" s="193" t="s">
        <v>1432</v>
      </c>
      <c r="AI853" s="193" t="s">
        <v>932</v>
      </c>
      <c r="AJ853" s="193" t="s">
        <v>1431</v>
      </c>
      <c r="AK853" s="193" t="s">
        <v>1431</v>
      </c>
      <c r="AL853" s="193" t="s">
        <v>1431</v>
      </c>
    </row>
    <row r="854" spans="7:38">
      <c r="G854" s="193" t="s">
        <v>2803</v>
      </c>
      <c r="H854" s="193" t="s">
        <v>2799</v>
      </c>
      <c r="I854" s="193" t="s">
        <v>2804</v>
      </c>
      <c r="J854" s="193" t="s">
        <v>2804</v>
      </c>
      <c r="K854" s="193" t="s">
        <v>2801</v>
      </c>
      <c r="L854" s="193"/>
      <c r="M854" s="193"/>
      <c r="N854" s="193">
        <v>9.9986310746064344</v>
      </c>
      <c r="O854" s="193"/>
      <c r="P854" s="193">
        <v>165</v>
      </c>
      <c r="Q854" s="193">
        <v>140</v>
      </c>
      <c r="R854" s="193">
        <v>-25</v>
      </c>
      <c r="S854" s="193">
        <v>15</v>
      </c>
      <c r="T854" s="193">
        <v>2200</v>
      </c>
      <c r="U854" s="193">
        <v>2200000000</v>
      </c>
      <c r="V854" s="193">
        <v>2800</v>
      </c>
      <c r="W854" s="193"/>
      <c r="X854" s="193">
        <v>0</v>
      </c>
      <c r="Y854" s="193">
        <v>-21.43</v>
      </c>
      <c r="Z854" s="193">
        <v>102.85470000000005</v>
      </c>
      <c r="AA854" s="193">
        <v>140</v>
      </c>
      <c r="AB854" s="193" t="s">
        <v>1281</v>
      </c>
      <c r="AC854" s="193" t="s">
        <v>1439</v>
      </c>
      <c r="AD854" s="193" t="s">
        <v>2081</v>
      </c>
      <c r="AE854" s="193" t="s">
        <v>2802</v>
      </c>
      <c r="AF854" s="193" t="s">
        <v>950</v>
      </c>
      <c r="AG854" s="193" t="s">
        <v>875</v>
      </c>
      <c r="AH854" s="193" t="s">
        <v>1432</v>
      </c>
      <c r="AI854" s="193" t="s">
        <v>932</v>
      </c>
      <c r="AJ854" s="193" t="s">
        <v>1431</v>
      </c>
      <c r="AK854" s="193" t="s">
        <v>1431</v>
      </c>
      <c r="AL854" s="193" t="s">
        <v>1431</v>
      </c>
    </row>
    <row r="855" spans="7:38">
      <c r="G855" s="193" t="s">
        <v>2805</v>
      </c>
      <c r="H855" s="193" t="s">
        <v>2806</v>
      </c>
      <c r="I855" s="193" t="s">
        <v>2807</v>
      </c>
      <c r="J855" s="193" t="s">
        <v>2807</v>
      </c>
      <c r="K855" s="193" t="s">
        <v>1639</v>
      </c>
      <c r="L855" s="193"/>
      <c r="M855" s="193"/>
      <c r="N855" s="193">
        <v>7.0006844626967828</v>
      </c>
      <c r="O855" s="193"/>
      <c r="P855" s="193">
        <v>240</v>
      </c>
      <c r="Q855" s="193">
        <v>210</v>
      </c>
      <c r="R855" s="193">
        <v>-30</v>
      </c>
      <c r="S855" s="193">
        <v>10</v>
      </c>
      <c r="T855" s="193">
        <v>1500</v>
      </c>
      <c r="U855" s="193">
        <v>1500000000</v>
      </c>
      <c r="V855" s="193">
        <v>1800</v>
      </c>
      <c r="W855" s="193"/>
      <c r="X855" s="193">
        <v>0</v>
      </c>
      <c r="Y855" s="193">
        <v>-16.670000000000002</v>
      </c>
      <c r="Z855" s="193">
        <v>160.86540000000005</v>
      </c>
      <c r="AA855" s="193">
        <v>210</v>
      </c>
      <c r="AB855" s="193" t="s">
        <v>1281</v>
      </c>
      <c r="AC855" s="193" t="s">
        <v>1441</v>
      </c>
      <c r="AD855" s="193" t="s">
        <v>1442</v>
      </c>
      <c r="AE855" s="193" t="s">
        <v>1955</v>
      </c>
      <c r="AF855" s="193" t="s">
        <v>877</v>
      </c>
      <c r="AG855" s="193" t="s">
        <v>969</v>
      </c>
      <c r="AH855" s="193" t="s">
        <v>877</v>
      </c>
      <c r="AI855" s="193" t="s">
        <v>877</v>
      </c>
      <c r="AJ855" s="193" t="s">
        <v>1431</v>
      </c>
      <c r="AK855" s="193" t="s">
        <v>1431</v>
      </c>
      <c r="AL855" s="193" t="s">
        <v>1431</v>
      </c>
    </row>
    <row r="856" spans="7:38">
      <c r="G856" s="193" t="s">
        <v>2808</v>
      </c>
      <c r="H856" s="193" t="s">
        <v>2809</v>
      </c>
      <c r="I856" s="193" t="s">
        <v>2810</v>
      </c>
      <c r="J856" s="193" t="s">
        <v>2810</v>
      </c>
      <c r="K856" s="193" t="s">
        <v>1558</v>
      </c>
      <c r="L856" s="193"/>
      <c r="M856" s="193"/>
      <c r="N856" s="193">
        <v>1.9931553730321698</v>
      </c>
      <c r="O856" s="193"/>
      <c r="P856" s="193">
        <v>80</v>
      </c>
      <c r="Q856" s="193">
        <v>50</v>
      </c>
      <c r="R856" s="193">
        <v>-30</v>
      </c>
      <c r="S856" s="193">
        <v>12.5</v>
      </c>
      <c r="T856" s="193">
        <v>3400</v>
      </c>
      <c r="U856" s="193">
        <v>3400000000</v>
      </c>
      <c r="V856" s="193">
        <v>4000</v>
      </c>
      <c r="W856" s="193"/>
      <c r="X856" s="193">
        <v>0</v>
      </c>
      <c r="Y856" s="193">
        <v>-15</v>
      </c>
      <c r="Z856" s="193">
        <v>32.34060000000003</v>
      </c>
      <c r="AA856" s="193">
        <v>50</v>
      </c>
      <c r="AB856" s="193" t="s">
        <v>1281</v>
      </c>
      <c r="AC856" s="193" t="s">
        <v>1872</v>
      </c>
      <c r="AD856" s="193" t="s">
        <v>2013</v>
      </c>
      <c r="AE856" s="193" t="s">
        <v>2531</v>
      </c>
      <c r="AF856" s="193" t="s">
        <v>876</v>
      </c>
      <c r="AG856" s="193" t="s">
        <v>939</v>
      </c>
      <c r="AH856" s="193" t="s">
        <v>876</v>
      </c>
      <c r="AI856" s="193" t="s">
        <v>876</v>
      </c>
      <c r="AJ856" s="193" t="s">
        <v>1431</v>
      </c>
      <c r="AK856" s="193" t="s">
        <v>1431</v>
      </c>
      <c r="AL856" s="193" t="s">
        <v>1431</v>
      </c>
    </row>
    <row r="857" spans="7:38">
      <c r="G857" s="193" t="s">
        <v>2811</v>
      </c>
      <c r="H857" s="193" t="s">
        <v>2809</v>
      </c>
      <c r="I857" s="193" t="s">
        <v>2812</v>
      </c>
      <c r="J857" s="193" t="s">
        <v>2812</v>
      </c>
      <c r="K857" s="193" t="s">
        <v>1558</v>
      </c>
      <c r="L857" s="193"/>
      <c r="M857" s="193"/>
      <c r="N857" s="193">
        <v>3.0006844626967832</v>
      </c>
      <c r="O857" s="193"/>
      <c r="P857" s="193">
        <v>90</v>
      </c>
      <c r="Q857" s="193">
        <v>65</v>
      </c>
      <c r="R857" s="193">
        <v>-25</v>
      </c>
      <c r="S857" s="193">
        <v>15</v>
      </c>
      <c r="T857" s="193">
        <v>4100</v>
      </c>
      <c r="U857" s="193">
        <v>4100000000</v>
      </c>
      <c r="V857" s="193">
        <v>4500</v>
      </c>
      <c r="W857" s="193"/>
      <c r="X857" s="193">
        <v>0</v>
      </c>
      <c r="Y857" s="193">
        <v>-8.89</v>
      </c>
      <c r="Z857" s="193">
        <v>43.464999999999996</v>
      </c>
      <c r="AA857" s="193">
        <v>65</v>
      </c>
      <c r="AB857" s="193" t="s">
        <v>1281</v>
      </c>
      <c r="AC857" s="193" t="s">
        <v>1872</v>
      </c>
      <c r="AD857" s="193" t="s">
        <v>2013</v>
      </c>
      <c r="AE857" s="193" t="s">
        <v>2531</v>
      </c>
      <c r="AF857" s="193" t="s">
        <v>876</v>
      </c>
      <c r="AG857" s="193" t="s">
        <v>939</v>
      </c>
      <c r="AH857" s="193" t="s">
        <v>876</v>
      </c>
      <c r="AI857" s="193" t="s">
        <v>876</v>
      </c>
      <c r="AJ857" s="193" t="s">
        <v>1431</v>
      </c>
      <c r="AK857" s="193" t="s">
        <v>1431</v>
      </c>
      <c r="AL857" s="193" t="s">
        <v>1431</v>
      </c>
    </row>
    <row r="858" spans="7:38">
      <c r="G858" s="193" t="s">
        <v>2813</v>
      </c>
      <c r="H858" s="193" t="s">
        <v>2809</v>
      </c>
      <c r="I858" s="193" t="s">
        <v>2814</v>
      </c>
      <c r="J858" s="193" t="s">
        <v>2814</v>
      </c>
      <c r="K858" s="193" t="s">
        <v>1558</v>
      </c>
      <c r="L858" s="193"/>
      <c r="M858" s="193"/>
      <c r="N858" s="193">
        <v>3.0006844626967832</v>
      </c>
      <c r="O858" s="193"/>
      <c r="P858" s="193"/>
      <c r="Q858" s="193">
        <v>84</v>
      </c>
      <c r="R858" s="193"/>
      <c r="S858" s="193"/>
      <c r="T858" s="193">
        <v>2100</v>
      </c>
      <c r="U858" s="193">
        <v>2100000000</v>
      </c>
      <c r="V858" s="193">
        <v>2250</v>
      </c>
      <c r="W858" s="193"/>
      <c r="X858" s="193">
        <v>0</v>
      </c>
      <c r="Y858" s="193">
        <v>-6.67</v>
      </c>
      <c r="Z858" s="193" t="s">
        <v>1432</v>
      </c>
      <c r="AA858" s="193" t="s">
        <v>1432</v>
      </c>
      <c r="AB858" s="193" t="s">
        <v>1281</v>
      </c>
      <c r="AC858" s="193" t="s">
        <v>1872</v>
      </c>
      <c r="AD858" s="193" t="s">
        <v>2013</v>
      </c>
      <c r="AE858" s="193" t="s">
        <v>2531</v>
      </c>
      <c r="AF858" s="193" t="s">
        <v>876</v>
      </c>
      <c r="AG858" s="193" t="s">
        <v>939</v>
      </c>
      <c r="AH858" s="193" t="s">
        <v>876</v>
      </c>
      <c r="AI858" s="193" t="s">
        <v>876</v>
      </c>
      <c r="AJ858" s="193" t="s">
        <v>1431</v>
      </c>
      <c r="AK858" s="193" t="s">
        <v>1431</v>
      </c>
      <c r="AL858" s="193" t="s">
        <v>1431</v>
      </c>
    </row>
    <row r="859" spans="7:38">
      <c r="G859" s="193" t="s">
        <v>2815</v>
      </c>
      <c r="H859" s="193" t="s">
        <v>2809</v>
      </c>
      <c r="I859" s="193" t="s">
        <v>2816</v>
      </c>
      <c r="J859" s="193" t="s">
        <v>2816</v>
      </c>
      <c r="K859" s="193" t="s">
        <v>1558</v>
      </c>
      <c r="L859" s="193"/>
      <c r="M859" s="193"/>
      <c r="N859" s="193">
        <v>4.9993155373032172</v>
      </c>
      <c r="O859" s="193"/>
      <c r="P859" s="193">
        <v>110</v>
      </c>
      <c r="Q859" s="193">
        <v>85</v>
      </c>
      <c r="R859" s="193">
        <v>-25</v>
      </c>
      <c r="S859" s="193">
        <v>15</v>
      </c>
      <c r="T859" s="193">
        <v>5750</v>
      </c>
      <c r="U859" s="193">
        <v>5750000000</v>
      </c>
      <c r="V859" s="193">
        <v>5900</v>
      </c>
      <c r="W859" s="193"/>
      <c r="X859" s="193">
        <v>0</v>
      </c>
      <c r="Y859" s="193">
        <v>-2.54</v>
      </c>
      <c r="Z859" s="193">
        <v>52.761700000000019</v>
      </c>
      <c r="AA859" s="193">
        <v>85</v>
      </c>
      <c r="AB859" s="193" t="s">
        <v>1281</v>
      </c>
      <c r="AC859" s="193" t="s">
        <v>1872</v>
      </c>
      <c r="AD859" s="193" t="s">
        <v>2013</v>
      </c>
      <c r="AE859" s="193" t="s">
        <v>2531</v>
      </c>
      <c r="AF859" s="193" t="s">
        <v>876</v>
      </c>
      <c r="AG859" s="193" t="s">
        <v>939</v>
      </c>
      <c r="AH859" s="193" t="s">
        <v>876</v>
      </c>
      <c r="AI859" s="193" t="s">
        <v>876</v>
      </c>
      <c r="AJ859" s="193" t="s">
        <v>1431</v>
      </c>
      <c r="AK859" s="193" t="s">
        <v>1431</v>
      </c>
      <c r="AL859" s="193" t="s">
        <v>1431</v>
      </c>
    </row>
    <row r="860" spans="7:38">
      <c r="G860" s="193" t="s">
        <v>2817</v>
      </c>
      <c r="H860" s="193" t="s">
        <v>2809</v>
      </c>
      <c r="I860" s="193" t="s">
        <v>2818</v>
      </c>
      <c r="J860" s="193" t="s">
        <v>2818</v>
      </c>
      <c r="K860" s="193" t="s">
        <v>1558</v>
      </c>
      <c r="L860" s="193"/>
      <c r="M860" s="193"/>
      <c r="N860" s="193">
        <v>7.0006844626967828</v>
      </c>
      <c r="O860" s="193"/>
      <c r="P860" s="193">
        <v>120</v>
      </c>
      <c r="Q860" s="193">
        <v>95</v>
      </c>
      <c r="R860" s="193">
        <v>-25</v>
      </c>
      <c r="S860" s="193">
        <v>15</v>
      </c>
      <c r="T860" s="193">
        <v>5400</v>
      </c>
      <c r="U860" s="193">
        <v>5400000000</v>
      </c>
      <c r="V860" s="193">
        <v>5800</v>
      </c>
      <c r="W860" s="193"/>
      <c r="X860" s="193">
        <v>0</v>
      </c>
      <c r="Y860" s="193">
        <v>-6.9</v>
      </c>
      <c r="Z860" s="193">
        <v>57.864399999999975</v>
      </c>
      <c r="AA860" s="193">
        <v>95</v>
      </c>
      <c r="AB860" s="193" t="s">
        <v>1281</v>
      </c>
      <c r="AC860" s="193" t="s">
        <v>1872</v>
      </c>
      <c r="AD860" s="193" t="s">
        <v>2013</v>
      </c>
      <c r="AE860" s="193" t="s">
        <v>2531</v>
      </c>
      <c r="AF860" s="193" t="s">
        <v>876</v>
      </c>
      <c r="AG860" s="193" t="s">
        <v>939</v>
      </c>
      <c r="AH860" s="193" t="s">
        <v>876</v>
      </c>
      <c r="AI860" s="193" t="s">
        <v>876</v>
      </c>
      <c r="AJ860" s="193" t="s">
        <v>1431</v>
      </c>
      <c r="AK860" s="193" t="s">
        <v>1431</v>
      </c>
      <c r="AL860" s="193" t="s">
        <v>1431</v>
      </c>
    </row>
    <row r="861" spans="7:38">
      <c r="G861" s="193" t="s">
        <v>2819</v>
      </c>
      <c r="H861" s="193" t="s">
        <v>2809</v>
      </c>
      <c r="I861" s="193" t="s">
        <v>2820</v>
      </c>
      <c r="J861" s="193" t="s">
        <v>2820</v>
      </c>
      <c r="K861" s="193" t="s">
        <v>1558</v>
      </c>
      <c r="L861" s="193"/>
      <c r="M861" s="193"/>
      <c r="N861" s="193">
        <v>9.9986310746064344</v>
      </c>
      <c r="O861" s="193"/>
      <c r="P861" s="193">
        <v>130</v>
      </c>
      <c r="Q861" s="193">
        <v>105</v>
      </c>
      <c r="R861" s="193">
        <v>-25</v>
      </c>
      <c r="S861" s="193">
        <v>15</v>
      </c>
      <c r="T861" s="193">
        <v>8300</v>
      </c>
      <c r="U861" s="193">
        <v>8300000000</v>
      </c>
      <c r="V861" s="193">
        <v>8600</v>
      </c>
      <c r="W861" s="193"/>
      <c r="X861" s="193">
        <v>0</v>
      </c>
      <c r="Y861" s="193">
        <v>-3.49</v>
      </c>
      <c r="Z861" s="193">
        <v>73.042700000000053</v>
      </c>
      <c r="AA861" s="193">
        <v>105</v>
      </c>
      <c r="AB861" s="193" t="s">
        <v>1281</v>
      </c>
      <c r="AC861" s="193" t="s">
        <v>1872</v>
      </c>
      <c r="AD861" s="193" t="s">
        <v>2013</v>
      </c>
      <c r="AE861" s="193" t="s">
        <v>2531</v>
      </c>
      <c r="AF861" s="193" t="s">
        <v>876</v>
      </c>
      <c r="AG861" s="193" t="s">
        <v>939</v>
      </c>
      <c r="AH861" s="193" t="s">
        <v>876</v>
      </c>
      <c r="AI861" s="193" t="s">
        <v>876</v>
      </c>
      <c r="AJ861" s="193" t="s">
        <v>1431</v>
      </c>
      <c r="AK861" s="193" t="s">
        <v>1431</v>
      </c>
      <c r="AL861" s="193" t="s">
        <v>1431</v>
      </c>
    </row>
    <row r="862" spans="7:38">
      <c r="G862" s="193" t="s">
        <v>2821</v>
      </c>
      <c r="H862" s="193" t="s">
        <v>2809</v>
      </c>
      <c r="I862" s="193" t="s">
        <v>2822</v>
      </c>
      <c r="J862" s="193" t="s">
        <v>2822</v>
      </c>
      <c r="K862" s="193" t="s">
        <v>1558</v>
      </c>
      <c r="L862" s="193"/>
      <c r="M862" s="193"/>
      <c r="N862" s="193">
        <v>29.998631074606433</v>
      </c>
      <c r="O862" s="193"/>
      <c r="P862" s="193">
        <v>150</v>
      </c>
      <c r="Q862" s="193">
        <v>123</v>
      </c>
      <c r="R862" s="193">
        <v>-27</v>
      </c>
      <c r="S862" s="193">
        <v>13</v>
      </c>
      <c r="T862" s="193">
        <v>11200</v>
      </c>
      <c r="U862" s="193">
        <v>11200000000</v>
      </c>
      <c r="V862" s="193">
        <v>11200</v>
      </c>
      <c r="W862" s="193"/>
      <c r="X862" s="193">
        <v>0</v>
      </c>
      <c r="Y862" s="193">
        <v>0</v>
      </c>
      <c r="Z862" s="193">
        <v>79.211600000000004</v>
      </c>
      <c r="AA862" s="193">
        <v>123</v>
      </c>
      <c r="AB862" s="193" t="s">
        <v>1281</v>
      </c>
      <c r="AC862" s="193" t="s">
        <v>1872</v>
      </c>
      <c r="AD862" s="193" t="s">
        <v>2013</v>
      </c>
      <c r="AE862" s="193" t="s">
        <v>2531</v>
      </c>
      <c r="AF862" s="193" t="s">
        <v>876</v>
      </c>
      <c r="AG862" s="193" t="s">
        <v>939</v>
      </c>
      <c r="AH862" s="193" t="s">
        <v>876</v>
      </c>
      <c r="AI862" s="193" t="s">
        <v>876</v>
      </c>
      <c r="AJ862" s="193" t="s">
        <v>1431</v>
      </c>
      <c r="AK862" s="193" t="s">
        <v>1431</v>
      </c>
      <c r="AL862" s="193" t="s">
        <v>1431</v>
      </c>
    </row>
    <row r="863" spans="7:38">
      <c r="G863" s="193" t="s">
        <v>2823</v>
      </c>
      <c r="H863" s="193" t="s">
        <v>2809</v>
      </c>
      <c r="I863" s="193" t="s">
        <v>2824</v>
      </c>
      <c r="J863" s="193" t="s">
        <v>2824</v>
      </c>
      <c r="K863" s="193" t="s">
        <v>1558</v>
      </c>
      <c r="L863" s="193"/>
      <c r="M863" s="193"/>
      <c r="N863" s="193">
        <v>40</v>
      </c>
      <c r="O863" s="193"/>
      <c r="P863" s="193">
        <v>162.5</v>
      </c>
      <c r="Q863" s="193">
        <v>133</v>
      </c>
      <c r="R863" s="193">
        <v>-30</v>
      </c>
      <c r="S863" s="193">
        <v>10.5</v>
      </c>
      <c r="T863" s="193">
        <v>7800</v>
      </c>
      <c r="U863" s="193">
        <v>7800000000</v>
      </c>
      <c r="V863" s="193">
        <v>8100</v>
      </c>
      <c r="W863" s="193"/>
      <c r="X863" s="193">
        <v>0</v>
      </c>
      <c r="Y863" s="193">
        <v>-3.7</v>
      </c>
      <c r="Z863" s="193">
        <v>88.320799999999977</v>
      </c>
      <c r="AA863" s="193">
        <v>133</v>
      </c>
      <c r="AB863" s="193" t="s">
        <v>1281</v>
      </c>
      <c r="AC863" s="193" t="s">
        <v>1872</v>
      </c>
      <c r="AD863" s="193" t="s">
        <v>2013</v>
      </c>
      <c r="AE863" s="193" t="s">
        <v>2531</v>
      </c>
      <c r="AF863" s="193" t="s">
        <v>876</v>
      </c>
      <c r="AG863" s="193" t="s">
        <v>939</v>
      </c>
      <c r="AH863" s="193" t="s">
        <v>876</v>
      </c>
      <c r="AI863" s="193" t="s">
        <v>876</v>
      </c>
      <c r="AJ863" s="193" t="s">
        <v>1431</v>
      </c>
      <c r="AK863" s="193" t="s">
        <v>1431</v>
      </c>
      <c r="AL863" s="193" t="s">
        <v>1431</v>
      </c>
    </row>
    <row r="864" spans="7:38">
      <c r="G864" s="193" t="s">
        <v>2825</v>
      </c>
      <c r="H864" s="193" t="s">
        <v>2826</v>
      </c>
      <c r="I864" s="193" t="s">
        <v>2827</v>
      </c>
      <c r="J864" s="193" t="s">
        <v>2827</v>
      </c>
      <c r="K864" s="193" t="s">
        <v>1566</v>
      </c>
      <c r="L864" s="193"/>
      <c r="M864" s="193"/>
      <c r="N864" s="193">
        <v>7.4250513347022586</v>
      </c>
      <c r="O864" s="193"/>
      <c r="P864" s="193">
        <v>140</v>
      </c>
      <c r="Q864" s="193">
        <v>120</v>
      </c>
      <c r="R864" s="193">
        <v>-20</v>
      </c>
      <c r="S864" s="193">
        <v>10</v>
      </c>
      <c r="T864" s="193">
        <v>1850</v>
      </c>
      <c r="U864" s="193">
        <v>1850000000</v>
      </c>
      <c r="V864" s="193">
        <v>2600</v>
      </c>
      <c r="W864" s="193"/>
      <c r="X864" s="193">
        <v>0</v>
      </c>
      <c r="Y864" s="193">
        <v>-28.85</v>
      </c>
      <c r="Z864" s="193">
        <v>87.202399999999969</v>
      </c>
      <c r="AA864" s="193">
        <v>120</v>
      </c>
      <c r="AB864" s="193" t="s">
        <v>1281</v>
      </c>
      <c r="AC864" s="193" t="s">
        <v>1447</v>
      </c>
      <c r="AD864" s="193" t="s">
        <v>1458</v>
      </c>
      <c r="AE864" s="193" t="s">
        <v>1459</v>
      </c>
      <c r="AF864" s="193" t="s">
        <v>950</v>
      </c>
      <c r="AG864" s="193" t="s">
        <v>933</v>
      </c>
      <c r="AH864" s="193" t="s">
        <v>950</v>
      </c>
      <c r="AI864" s="193" t="s">
        <v>950</v>
      </c>
      <c r="AJ864" s="193" t="s">
        <v>1431</v>
      </c>
      <c r="AK864" s="193" t="s">
        <v>1431</v>
      </c>
      <c r="AL864" s="193" t="s">
        <v>1431</v>
      </c>
    </row>
    <row r="865" spans="7:38">
      <c r="G865" s="193" t="s">
        <v>2828</v>
      </c>
      <c r="H865" s="193" t="s">
        <v>2826</v>
      </c>
      <c r="I865" s="193" t="s">
        <v>2829</v>
      </c>
      <c r="J865" s="193" t="s">
        <v>2829</v>
      </c>
      <c r="K865" s="193" t="s">
        <v>1566</v>
      </c>
      <c r="L865" s="193"/>
      <c r="M865" s="193"/>
      <c r="N865" s="193">
        <v>10.422997946611909</v>
      </c>
      <c r="O865" s="193"/>
      <c r="P865" s="193">
        <v>155</v>
      </c>
      <c r="Q865" s="193">
        <v>135</v>
      </c>
      <c r="R865" s="193">
        <v>-20</v>
      </c>
      <c r="S865" s="193">
        <v>10</v>
      </c>
      <c r="T865" s="193">
        <v>2200</v>
      </c>
      <c r="U865" s="193">
        <v>2200000000</v>
      </c>
      <c r="V865" s="193">
        <v>3000</v>
      </c>
      <c r="W865" s="193"/>
      <c r="X865" s="193">
        <v>0</v>
      </c>
      <c r="Y865" s="193">
        <v>-26.67</v>
      </c>
      <c r="Z865" s="193">
        <v>102.57060000000004</v>
      </c>
      <c r="AA865" s="193">
        <v>135</v>
      </c>
      <c r="AB865" s="193" t="s">
        <v>1281</v>
      </c>
      <c r="AC865" s="193" t="s">
        <v>1447</v>
      </c>
      <c r="AD865" s="193" t="s">
        <v>1458</v>
      </c>
      <c r="AE865" s="193" t="s">
        <v>1459</v>
      </c>
      <c r="AF865" s="193" t="s">
        <v>950</v>
      </c>
      <c r="AG865" s="193" t="s">
        <v>933</v>
      </c>
      <c r="AH865" s="193" t="s">
        <v>950</v>
      </c>
      <c r="AI865" s="193" t="s">
        <v>950</v>
      </c>
      <c r="AJ865" s="193" t="s">
        <v>1431</v>
      </c>
      <c r="AK865" s="193" t="s">
        <v>1431</v>
      </c>
      <c r="AL865" s="193" t="s">
        <v>1431</v>
      </c>
    </row>
    <row r="866" spans="7:38">
      <c r="G866" s="193" t="s">
        <v>2830</v>
      </c>
      <c r="H866" s="193" t="s">
        <v>2826</v>
      </c>
      <c r="I866" s="193" t="s">
        <v>2831</v>
      </c>
      <c r="J866" s="193" t="s">
        <v>2831</v>
      </c>
      <c r="K866" s="193" t="s">
        <v>1566</v>
      </c>
      <c r="L866" s="193"/>
      <c r="M866" s="193"/>
      <c r="N866" s="193">
        <v>30.422997946611911</v>
      </c>
      <c r="O866" s="193"/>
      <c r="P866" s="193">
        <v>195</v>
      </c>
      <c r="Q866" s="193">
        <v>168</v>
      </c>
      <c r="R866" s="193">
        <v>-27</v>
      </c>
      <c r="S866" s="193">
        <v>3</v>
      </c>
      <c r="T866" s="193">
        <v>1550</v>
      </c>
      <c r="U866" s="193">
        <v>1550000000</v>
      </c>
      <c r="V866" s="193">
        <v>4000</v>
      </c>
      <c r="W866" s="193"/>
      <c r="X866" s="193">
        <v>-1</v>
      </c>
      <c r="Y866" s="193">
        <v>-61.25</v>
      </c>
      <c r="Z866" s="193">
        <v>121.88369999999998</v>
      </c>
      <c r="AA866" s="193">
        <v>168</v>
      </c>
      <c r="AB866" s="193" t="s">
        <v>1281</v>
      </c>
      <c r="AC866" s="193" t="s">
        <v>1447</v>
      </c>
      <c r="AD866" s="193" t="s">
        <v>1458</v>
      </c>
      <c r="AE866" s="193" t="s">
        <v>1459</v>
      </c>
      <c r="AF866" s="193" t="s">
        <v>950</v>
      </c>
      <c r="AG866" s="193" t="s">
        <v>933</v>
      </c>
      <c r="AH866" s="193" t="s">
        <v>950</v>
      </c>
      <c r="AI866" s="193" t="s">
        <v>950</v>
      </c>
      <c r="AJ866" s="193" t="s">
        <v>1431</v>
      </c>
      <c r="AK866" s="193" t="s">
        <v>1431</v>
      </c>
      <c r="AL866" s="193" t="s">
        <v>1431</v>
      </c>
    </row>
    <row r="867" spans="7:38">
      <c r="G867" s="193" t="s">
        <v>2832</v>
      </c>
      <c r="H867" s="193" t="s">
        <v>2833</v>
      </c>
      <c r="I867" s="193" t="s">
        <v>2834</v>
      </c>
      <c r="J867" s="193" t="s">
        <v>2834</v>
      </c>
      <c r="K867" s="193" t="s">
        <v>1618</v>
      </c>
      <c r="L867" s="193"/>
      <c r="M867" s="193"/>
      <c r="N867" s="193">
        <v>5.0047912388774813</v>
      </c>
      <c r="O867" s="193"/>
      <c r="P867" s="193">
        <v>120</v>
      </c>
      <c r="Q867" s="193">
        <v>95</v>
      </c>
      <c r="R867" s="193">
        <v>-25</v>
      </c>
      <c r="S867" s="193"/>
      <c r="T867" s="193">
        <v>1650</v>
      </c>
      <c r="U867" s="193">
        <v>1650000000</v>
      </c>
      <c r="V867" s="193">
        <v>2100</v>
      </c>
      <c r="W867" s="193"/>
      <c r="X867" s="193">
        <v>0</v>
      </c>
      <c r="Y867" s="193">
        <v>-21.43</v>
      </c>
      <c r="Z867" s="193">
        <v>60.308000000000028</v>
      </c>
      <c r="AA867" s="193">
        <v>95</v>
      </c>
      <c r="AB867" s="193" t="s">
        <v>1281</v>
      </c>
      <c r="AC867" s="193" t="s">
        <v>1879</v>
      </c>
      <c r="AD867" s="193" t="s">
        <v>1947</v>
      </c>
      <c r="AE867" s="193" t="s">
        <v>2835</v>
      </c>
      <c r="AF867" s="193" t="s">
        <v>950</v>
      </c>
      <c r="AG867" s="193" t="s">
        <v>933</v>
      </c>
      <c r="AH867" s="193" t="s">
        <v>1432</v>
      </c>
      <c r="AI867" s="193" t="s">
        <v>950</v>
      </c>
      <c r="AJ867" s="193" t="s">
        <v>1431</v>
      </c>
      <c r="AK867" s="193" t="s">
        <v>1431</v>
      </c>
      <c r="AL867" s="193" t="s">
        <v>1431</v>
      </c>
    </row>
    <row r="868" spans="7:38">
      <c r="G868" s="193" t="s">
        <v>2836</v>
      </c>
      <c r="H868" s="193" t="s">
        <v>2837</v>
      </c>
      <c r="I868" s="193" t="s">
        <v>2838</v>
      </c>
      <c r="J868" s="193" t="s">
        <v>2838</v>
      </c>
      <c r="K868" s="193" t="s">
        <v>1587</v>
      </c>
      <c r="L868" s="193"/>
      <c r="M868" s="193"/>
      <c r="N868" s="193">
        <v>10.086242299794661</v>
      </c>
      <c r="O868" s="193"/>
      <c r="P868" s="193">
        <v>190</v>
      </c>
      <c r="Q868" s="193">
        <v>168</v>
      </c>
      <c r="R868" s="193">
        <v>-22</v>
      </c>
      <c r="S868" s="193">
        <v>3</v>
      </c>
      <c r="T868" s="193">
        <v>2300</v>
      </c>
      <c r="U868" s="193">
        <v>2300000000</v>
      </c>
      <c r="V868" s="193">
        <v>3000</v>
      </c>
      <c r="W868" s="193"/>
      <c r="X868" s="193">
        <v>0</v>
      </c>
      <c r="Y868" s="193">
        <v>-23.33</v>
      </c>
      <c r="Z868" s="193">
        <v>127.3288</v>
      </c>
      <c r="AA868" s="193">
        <v>168</v>
      </c>
      <c r="AB868" s="193" t="s">
        <v>1281</v>
      </c>
      <c r="AC868" s="193" t="s">
        <v>1439</v>
      </c>
      <c r="AD868" s="193" t="s">
        <v>2081</v>
      </c>
      <c r="AE868" s="193" t="s">
        <v>2754</v>
      </c>
      <c r="AF868" s="193" t="s">
        <v>877</v>
      </c>
      <c r="AG868" s="193" t="s">
        <v>969</v>
      </c>
      <c r="AH868" s="193" t="s">
        <v>1432</v>
      </c>
      <c r="AI868" s="193" t="s">
        <v>877</v>
      </c>
      <c r="AJ868" s="193" t="s">
        <v>1431</v>
      </c>
      <c r="AK868" s="193" t="s">
        <v>1431</v>
      </c>
      <c r="AL868" s="193" t="s">
        <v>1431</v>
      </c>
    </row>
    <row r="869" spans="7:38">
      <c r="G869" s="193" t="s">
        <v>2839</v>
      </c>
      <c r="H869" s="193" t="s">
        <v>2840</v>
      </c>
      <c r="I869" s="193" t="s">
        <v>2841</v>
      </c>
      <c r="J869" s="193" t="s">
        <v>2841</v>
      </c>
      <c r="K869" s="193" t="s">
        <v>2842</v>
      </c>
      <c r="L869" s="193"/>
      <c r="M869" s="193"/>
      <c r="N869" s="193">
        <v>3.0006844626967832</v>
      </c>
      <c r="O869" s="193"/>
      <c r="P869" s="193">
        <v>72.5</v>
      </c>
      <c r="Q869" s="193">
        <v>50</v>
      </c>
      <c r="R869" s="193">
        <v>-23</v>
      </c>
      <c r="S869" s="193">
        <v>5</v>
      </c>
      <c r="T869" s="193">
        <v>1150</v>
      </c>
      <c r="U869" s="193">
        <v>1150000000</v>
      </c>
      <c r="V869" s="193">
        <v>1700</v>
      </c>
      <c r="W869" s="193"/>
      <c r="X869" s="193">
        <v>0</v>
      </c>
      <c r="Y869" s="193">
        <v>-32.35</v>
      </c>
      <c r="Z869" s="193">
        <v>32.143300000000032</v>
      </c>
      <c r="AA869" s="193">
        <v>50</v>
      </c>
      <c r="AB869" s="193" t="s">
        <v>1281</v>
      </c>
      <c r="AC869" s="193" t="s">
        <v>1428</v>
      </c>
      <c r="AD869" s="193" t="s">
        <v>1429</v>
      </c>
      <c r="AE869" s="193" t="s">
        <v>1430</v>
      </c>
      <c r="AF869" s="193" t="s">
        <v>997</v>
      </c>
      <c r="AG869" s="193" t="s">
        <v>998</v>
      </c>
      <c r="AH869" s="193" t="s">
        <v>1011</v>
      </c>
      <c r="AI869" s="193" t="s">
        <v>997</v>
      </c>
      <c r="AJ869" s="193" t="s">
        <v>1431</v>
      </c>
      <c r="AK869" s="193" t="s">
        <v>1431</v>
      </c>
      <c r="AL869" s="193" t="s">
        <v>1431</v>
      </c>
    </row>
    <row r="870" spans="7:38">
      <c r="G870" s="193" t="s">
        <v>2843</v>
      </c>
      <c r="H870" s="193" t="s">
        <v>2840</v>
      </c>
      <c r="I870" s="193" t="s">
        <v>2844</v>
      </c>
      <c r="J870" s="193" t="s">
        <v>2844</v>
      </c>
      <c r="K870" s="193" t="s">
        <v>2842</v>
      </c>
      <c r="L870" s="193"/>
      <c r="M870" s="193"/>
      <c r="N870" s="193">
        <v>3.0006844626967832</v>
      </c>
      <c r="O870" s="193"/>
      <c r="P870" s="193"/>
      <c r="Q870" s="193">
        <v>70</v>
      </c>
      <c r="R870" s="193"/>
      <c r="S870" s="193"/>
      <c r="T870" s="193">
        <v>1000</v>
      </c>
      <c r="U870" s="193">
        <v>1000000000</v>
      </c>
      <c r="V870" s="193">
        <v>1100</v>
      </c>
      <c r="W870" s="193"/>
      <c r="X870" s="193">
        <v>0</v>
      </c>
      <c r="Y870" s="193">
        <v>-9.09</v>
      </c>
      <c r="Z870" s="193" t="s">
        <v>1432</v>
      </c>
      <c r="AA870" s="193" t="s">
        <v>1432</v>
      </c>
      <c r="AB870" s="193" t="s">
        <v>1281</v>
      </c>
      <c r="AC870" s="193" t="s">
        <v>1428</v>
      </c>
      <c r="AD870" s="193" t="s">
        <v>1429</v>
      </c>
      <c r="AE870" s="193" t="s">
        <v>1430</v>
      </c>
      <c r="AF870" s="193" t="s">
        <v>997</v>
      </c>
      <c r="AG870" s="193" t="s">
        <v>998</v>
      </c>
      <c r="AH870" s="193" t="s">
        <v>1011</v>
      </c>
      <c r="AI870" s="193" t="s">
        <v>997</v>
      </c>
      <c r="AJ870" s="193" t="s">
        <v>1431</v>
      </c>
      <c r="AK870" s="193" t="s">
        <v>1431</v>
      </c>
      <c r="AL870" s="193" t="s">
        <v>1431</v>
      </c>
    </row>
    <row r="871" spans="7:38">
      <c r="G871" s="193" t="s">
        <v>2845</v>
      </c>
      <c r="H871" s="193" t="s">
        <v>2846</v>
      </c>
      <c r="I871" s="193" t="s">
        <v>2847</v>
      </c>
      <c r="J871" s="193" t="s">
        <v>2847</v>
      </c>
      <c r="K871" s="193" t="s">
        <v>1605</v>
      </c>
      <c r="L871" s="193"/>
      <c r="M871" s="193"/>
      <c r="N871" s="193">
        <v>5.0020533880903493</v>
      </c>
      <c r="O871" s="193"/>
      <c r="P871" s="193">
        <v>115</v>
      </c>
      <c r="Q871" s="193">
        <v>90</v>
      </c>
      <c r="R871" s="193">
        <v>-25</v>
      </c>
      <c r="S871" s="193">
        <v>0</v>
      </c>
      <c r="T871" s="193">
        <v>1200</v>
      </c>
      <c r="U871" s="193">
        <v>1200000000</v>
      </c>
      <c r="V871" s="193">
        <v>2500</v>
      </c>
      <c r="W871" s="193"/>
      <c r="X871" s="193">
        <v>-1</v>
      </c>
      <c r="Y871" s="193">
        <v>-52</v>
      </c>
      <c r="Z871" s="193">
        <v>67.346199999999982</v>
      </c>
      <c r="AA871" s="193">
        <v>90</v>
      </c>
      <c r="AB871" s="193" t="s">
        <v>1281</v>
      </c>
      <c r="AC871" s="193" t="s">
        <v>1428</v>
      </c>
      <c r="AD871" s="193" t="s">
        <v>1436</v>
      </c>
      <c r="AE871" s="193" t="s">
        <v>1914</v>
      </c>
      <c r="AF871" s="193" t="s">
        <v>950</v>
      </c>
      <c r="AG871" s="193" t="s">
        <v>969</v>
      </c>
      <c r="AH871" s="193" t="s">
        <v>950</v>
      </c>
      <c r="AI871" s="193" t="s">
        <v>932</v>
      </c>
      <c r="AJ871" s="193" t="s">
        <v>1431</v>
      </c>
      <c r="AK871" s="193" t="s">
        <v>1431</v>
      </c>
      <c r="AL871" s="193" t="s">
        <v>1431</v>
      </c>
    </row>
    <row r="872" spans="7:38">
      <c r="G872" s="193" t="s">
        <v>2848</v>
      </c>
      <c r="H872" s="193" t="s">
        <v>2846</v>
      </c>
      <c r="I872" s="193" t="s">
        <v>2849</v>
      </c>
      <c r="J872" s="193" t="s">
        <v>2849</v>
      </c>
      <c r="K872" s="193" t="s">
        <v>1605</v>
      </c>
      <c r="L872" s="193"/>
      <c r="M872" s="193"/>
      <c r="N872" s="193">
        <v>10.001368925393566</v>
      </c>
      <c r="O872" s="193"/>
      <c r="P872" s="193">
        <v>135</v>
      </c>
      <c r="Q872" s="193">
        <v>110</v>
      </c>
      <c r="R872" s="193">
        <v>-25</v>
      </c>
      <c r="S872" s="193">
        <v>0</v>
      </c>
      <c r="T872" s="193">
        <v>630</v>
      </c>
      <c r="U872" s="193">
        <v>630000000</v>
      </c>
      <c r="V872" s="193">
        <v>1900</v>
      </c>
      <c r="W872" s="193"/>
      <c r="X872" s="193">
        <v>-1</v>
      </c>
      <c r="Y872" s="193">
        <v>-66.84</v>
      </c>
      <c r="Z872" s="193">
        <v>74.309800000000067</v>
      </c>
      <c r="AA872" s="193">
        <v>110</v>
      </c>
      <c r="AB872" s="193" t="s">
        <v>1281</v>
      </c>
      <c r="AC872" s="193" t="s">
        <v>1428</v>
      </c>
      <c r="AD872" s="193" t="s">
        <v>1436</v>
      </c>
      <c r="AE872" s="193" t="s">
        <v>1914</v>
      </c>
      <c r="AF872" s="193" t="s">
        <v>950</v>
      </c>
      <c r="AG872" s="193" t="s">
        <v>969</v>
      </c>
      <c r="AH872" s="193" t="s">
        <v>950</v>
      </c>
      <c r="AI872" s="193" t="s">
        <v>932</v>
      </c>
      <c r="AJ872" s="193" t="s">
        <v>1431</v>
      </c>
      <c r="AK872" s="193" t="s">
        <v>1431</v>
      </c>
      <c r="AL872" s="193" t="s">
        <v>1431</v>
      </c>
    </row>
    <row r="873" spans="7:38">
      <c r="G873" s="193" t="s">
        <v>2850</v>
      </c>
      <c r="H873" s="193" t="s">
        <v>2851</v>
      </c>
      <c r="I873" s="193" t="s">
        <v>2852</v>
      </c>
      <c r="J873" s="193" t="s">
        <v>2852</v>
      </c>
      <c r="K873" s="193" t="s">
        <v>1629</v>
      </c>
      <c r="L873" s="193"/>
      <c r="M873" s="193"/>
      <c r="N873" s="193">
        <v>1.9958932238193019</v>
      </c>
      <c r="O873" s="193"/>
      <c r="P873" s="193">
        <v>90</v>
      </c>
      <c r="Q873" s="193">
        <v>60</v>
      </c>
      <c r="R873" s="193">
        <v>-30</v>
      </c>
      <c r="S873" s="193">
        <v>0</v>
      </c>
      <c r="T873" s="193">
        <v>1300</v>
      </c>
      <c r="U873" s="193">
        <v>1300000000</v>
      </c>
      <c r="V873" s="193">
        <v>2150</v>
      </c>
      <c r="W873" s="193"/>
      <c r="X873" s="193">
        <v>0</v>
      </c>
      <c r="Y873" s="193">
        <v>-39.53</v>
      </c>
      <c r="Z873" s="193">
        <v>52.611900000000048</v>
      </c>
      <c r="AA873" s="193">
        <v>60</v>
      </c>
      <c r="AB873" s="193" t="s">
        <v>1281</v>
      </c>
      <c r="AC873" s="193" t="s">
        <v>1872</v>
      </c>
      <c r="AD873" s="193" t="s">
        <v>1873</v>
      </c>
      <c r="AE873" s="193" t="s">
        <v>1978</v>
      </c>
      <c r="AF873" s="193" t="s">
        <v>932</v>
      </c>
      <c r="AG873" s="193" t="s">
        <v>875</v>
      </c>
      <c r="AH873" s="193" t="s">
        <v>1432</v>
      </c>
      <c r="AI873" s="193" t="s">
        <v>932</v>
      </c>
      <c r="AJ873" s="193" t="s">
        <v>1431</v>
      </c>
      <c r="AK873" s="193" t="s">
        <v>1431</v>
      </c>
      <c r="AL873" s="193" t="s">
        <v>1431</v>
      </c>
    </row>
    <row r="874" spans="7:38">
      <c r="G874" s="193" t="s">
        <v>2853</v>
      </c>
      <c r="H874" s="193" t="s">
        <v>2851</v>
      </c>
      <c r="I874" s="193" t="s">
        <v>2854</v>
      </c>
      <c r="J874" s="193" t="s">
        <v>2854</v>
      </c>
      <c r="K874" s="193" t="s">
        <v>1629</v>
      </c>
      <c r="L874" s="193"/>
      <c r="M874" s="193"/>
      <c r="N874" s="193">
        <v>6.9979466119096507</v>
      </c>
      <c r="O874" s="193"/>
      <c r="P874" s="193">
        <v>135</v>
      </c>
      <c r="Q874" s="193">
        <v>115</v>
      </c>
      <c r="R874" s="193">
        <v>-20</v>
      </c>
      <c r="S874" s="193">
        <v>15</v>
      </c>
      <c r="T874" s="193">
        <v>1300</v>
      </c>
      <c r="U874" s="193">
        <v>1300000000</v>
      </c>
      <c r="V874" s="193">
        <v>1550</v>
      </c>
      <c r="W874" s="193"/>
      <c r="X874" s="193">
        <v>0</v>
      </c>
      <c r="Y874" s="193">
        <v>-16.13</v>
      </c>
      <c r="Z874" s="193">
        <v>77.306399999999968</v>
      </c>
      <c r="AA874" s="193">
        <v>115</v>
      </c>
      <c r="AB874" s="193" t="s">
        <v>1281</v>
      </c>
      <c r="AC874" s="193" t="s">
        <v>1872</v>
      </c>
      <c r="AD874" s="193" t="s">
        <v>1873</v>
      </c>
      <c r="AE874" s="193" t="s">
        <v>1978</v>
      </c>
      <c r="AF874" s="193" t="s">
        <v>932</v>
      </c>
      <c r="AG874" s="193" t="s">
        <v>875</v>
      </c>
      <c r="AH874" s="193" t="s">
        <v>1432</v>
      </c>
      <c r="AI874" s="193" t="s">
        <v>932</v>
      </c>
      <c r="AJ874" s="193" t="s">
        <v>1431</v>
      </c>
      <c r="AK874" s="193" t="s">
        <v>1431</v>
      </c>
      <c r="AL874" s="193" t="s">
        <v>1431</v>
      </c>
    </row>
    <row r="875" spans="7:38">
      <c r="G875" s="193" t="s">
        <v>2855</v>
      </c>
      <c r="H875" s="193" t="s">
        <v>2856</v>
      </c>
      <c r="I875" s="193" t="s">
        <v>2857</v>
      </c>
      <c r="J875" s="193" t="s">
        <v>2857</v>
      </c>
      <c r="K875" s="193" t="s">
        <v>1643</v>
      </c>
      <c r="L875" s="193"/>
      <c r="M875" s="193"/>
      <c r="N875" s="193">
        <v>9.9986310746064344</v>
      </c>
      <c r="O875" s="193"/>
      <c r="P875" s="193">
        <v>120</v>
      </c>
      <c r="Q875" s="193">
        <v>95</v>
      </c>
      <c r="R875" s="193">
        <v>-25</v>
      </c>
      <c r="S875" s="193">
        <v>5</v>
      </c>
      <c r="T875" s="193">
        <v>1900</v>
      </c>
      <c r="U875" s="193">
        <v>1900000000</v>
      </c>
      <c r="V875" s="193">
        <v>2300</v>
      </c>
      <c r="W875" s="193"/>
      <c r="X875" s="193">
        <v>0</v>
      </c>
      <c r="Y875" s="193">
        <v>-17.39</v>
      </c>
      <c r="Z875" s="193">
        <v>69.702700000000021</v>
      </c>
      <c r="AA875" s="193">
        <v>95</v>
      </c>
      <c r="AB875" s="193" t="s">
        <v>1281</v>
      </c>
      <c r="AC875" s="193" t="s">
        <v>1428</v>
      </c>
      <c r="AD875" s="193" t="s">
        <v>1437</v>
      </c>
      <c r="AE875" s="193" t="s">
        <v>1896</v>
      </c>
      <c r="AF875" s="193" t="s">
        <v>876</v>
      </c>
      <c r="AG875" s="193" t="s">
        <v>942</v>
      </c>
      <c r="AH875" s="193" t="s">
        <v>938</v>
      </c>
      <c r="AI875" s="193" t="s">
        <v>938</v>
      </c>
      <c r="AJ875" s="193" t="s">
        <v>1431</v>
      </c>
      <c r="AK875" s="193" t="s">
        <v>1431</v>
      </c>
      <c r="AL875" s="193" t="s">
        <v>1431</v>
      </c>
    </row>
    <row r="876" spans="7:38">
      <c r="G876" s="193" t="s">
        <v>2858</v>
      </c>
      <c r="H876" s="193" t="s">
        <v>2859</v>
      </c>
      <c r="I876" s="193" t="s">
        <v>2860</v>
      </c>
      <c r="J876" s="193" t="s">
        <v>2860</v>
      </c>
      <c r="K876" s="193" t="s">
        <v>1553</v>
      </c>
      <c r="L876" s="193"/>
      <c r="M876" s="193"/>
      <c r="N876" s="193">
        <v>5.0020533880903493</v>
      </c>
      <c r="O876" s="193"/>
      <c r="P876" s="193">
        <v>275</v>
      </c>
      <c r="Q876" s="193">
        <v>250</v>
      </c>
      <c r="R876" s="193">
        <v>-25</v>
      </c>
      <c r="S876" s="193">
        <v>20</v>
      </c>
      <c r="T876" s="193">
        <v>4750</v>
      </c>
      <c r="U876" s="193">
        <v>4750000000</v>
      </c>
      <c r="V876" s="193">
        <v>4950</v>
      </c>
      <c r="W876" s="193"/>
      <c r="X876" s="193">
        <v>0</v>
      </c>
      <c r="Y876" s="193">
        <v>-4.04</v>
      </c>
      <c r="Z876" s="193">
        <v>148.94499999999996</v>
      </c>
      <c r="AA876" s="193">
        <v>250</v>
      </c>
      <c r="AB876" s="193" t="s">
        <v>1281</v>
      </c>
      <c r="AC876" s="193" t="s">
        <v>1441</v>
      </c>
      <c r="AD876" s="193" t="s">
        <v>1442</v>
      </c>
      <c r="AE876" s="193" t="s">
        <v>1443</v>
      </c>
      <c r="AF876" s="193" t="s">
        <v>877</v>
      </c>
      <c r="AG876" s="193" t="s">
        <v>875</v>
      </c>
      <c r="AH876" s="193" t="s">
        <v>2861</v>
      </c>
      <c r="AI876" s="193" t="s">
        <v>877</v>
      </c>
      <c r="AJ876" s="193" t="s">
        <v>1431</v>
      </c>
      <c r="AK876" s="193" t="s">
        <v>1431</v>
      </c>
      <c r="AL876" s="193" t="s">
        <v>1431</v>
      </c>
    </row>
    <row r="877" spans="7:38">
      <c r="G877" s="193" t="s">
        <v>2921</v>
      </c>
      <c r="H877" s="193" t="s">
        <v>2862</v>
      </c>
      <c r="I877" s="193" t="s">
        <v>2863</v>
      </c>
      <c r="J877" s="193" t="s">
        <v>2863</v>
      </c>
      <c r="K877" s="193" t="s">
        <v>1579</v>
      </c>
      <c r="L877" s="193"/>
      <c r="M877" s="193"/>
      <c r="N877" s="193">
        <v>30.004106776180699</v>
      </c>
      <c r="O877" s="193"/>
      <c r="P877" s="193"/>
      <c r="Q877" s="193">
        <v>6.35</v>
      </c>
      <c r="R877" s="193">
        <v>-40</v>
      </c>
      <c r="S877" s="193">
        <v>10</v>
      </c>
      <c r="T877" s="193">
        <v>4000</v>
      </c>
      <c r="U877" s="193">
        <v>4000000000</v>
      </c>
      <c r="V877" s="193">
        <v>4900</v>
      </c>
      <c r="W877" s="193"/>
      <c r="X877" s="193">
        <v>0</v>
      </c>
      <c r="Y877" s="193">
        <v>-18.37</v>
      </c>
      <c r="Z877" s="193">
        <v>149.34840000000005</v>
      </c>
      <c r="AA877" s="193" t="s">
        <v>1432</v>
      </c>
      <c r="AB877" s="193" t="s">
        <v>1281</v>
      </c>
      <c r="AC877" s="193" t="s">
        <v>1428</v>
      </c>
      <c r="AD877" s="193" t="s">
        <v>1437</v>
      </c>
      <c r="AE877" s="193" t="s">
        <v>1438</v>
      </c>
      <c r="AF877" s="193" t="s">
        <v>932</v>
      </c>
      <c r="AG877" s="193" t="s">
        <v>933</v>
      </c>
      <c r="AH877" s="193" t="s">
        <v>932</v>
      </c>
      <c r="AI877" s="193" t="s">
        <v>932</v>
      </c>
      <c r="AJ877" s="193" t="s">
        <v>1431</v>
      </c>
      <c r="AK877" s="193" t="s">
        <v>1431</v>
      </c>
      <c r="AL877" s="193" t="s">
        <v>1431</v>
      </c>
    </row>
    <row r="878" spans="7:38">
      <c r="G878" s="193" t="s">
        <v>2864</v>
      </c>
      <c r="H878" s="193" t="s">
        <v>2865</v>
      </c>
      <c r="I878" s="193" t="s">
        <v>2866</v>
      </c>
      <c r="J878" s="193" t="s">
        <v>2866</v>
      </c>
      <c r="K878" s="193" t="s">
        <v>1611</v>
      </c>
      <c r="L878" s="193"/>
      <c r="M878" s="193"/>
      <c r="N878" s="193">
        <v>30.088980150581794</v>
      </c>
      <c r="O878" s="193"/>
      <c r="P878" s="193">
        <v>145</v>
      </c>
      <c r="Q878" s="193">
        <v>125</v>
      </c>
      <c r="R878" s="193">
        <v>-20</v>
      </c>
      <c r="S878" s="193">
        <v>8</v>
      </c>
      <c r="T878" s="193">
        <v>2500</v>
      </c>
      <c r="U878" s="193">
        <v>2500000000</v>
      </c>
      <c r="V878" s="193">
        <v>2900</v>
      </c>
      <c r="W878" s="193"/>
      <c r="X878" s="193">
        <v>0</v>
      </c>
      <c r="Y878" s="193">
        <v>-13.79</v>
      </c>
      <c r="Z878" s="193">
        <v>86.911399999999972</v>
      </c>
      <c r="AA878" s="193">
        <v>125</v>
      </c>
      <c r="AB878" s="193" t="s">
        <v>1281</v>
      </c>
      <c r="AC878" s="193" t="s">
        <v>1441</v>
      </c>
      <c r="AD878" s="193" t="s">
        <v>1442</v>
      </c>
      <c r="AE878" s="193" t="s">
        <v>1443</v>
      </c>
      <c r="AF878" s="193" t="s">
        <v>876</v>
      </c>
      <c r="AG878" s="193" t="s">
        <v>874</v>
      </c>
      <c r="AH878" s="193" t="s">
        <v>1432</v>
      </c>
      <c r="AI878" s="193" t="s">
        <v>876</v>
      </c>
      <c r="AJ878" s="193" t="s">
        <v>1431</v>
      </c>
      <c r="AK878" s="193" t="s">
        <v>1431</v>
      </c>
      <c r="AL878" s="193" t="s">
        <v>1431</v>
      </c>
    </row>
    <row r="879" spans="7:38">
      <c r="G879" s="193" t="s">
        <v>2867</v>
      </c>
      <c r="H879" s="193" t="s">
        <v>2868</v>
      </c>
      <c r="I879" s="193" t="s">
        <v>2869</v>
      </c>
      <c r="J879" s="193" t="s">
        <v>2869</v>
      </c>
      <c r="K879" s="193" t="s">
        <v>1644</v>
      </c>
      <c r="L879" s="193"/>
      <c r="M879" s="193"/>
      <c r="N879" s="193">
        <v>10.004106776180699</v>
      </c>
      <c r="O879" s="193"/>
      <c r="P879" s="193">
        <v>165</v>
      </c>
      <c r="Q879" s="193">
        <v>150</v>
      </c>
      <c r="R879" s="193">
        <v>-15</v>
      </c>
      <c r="S879" s="193">
        <v>10</v>
      </c>
      <c r="T879" s="193">
        <v>1600</v>
      </c>
      <c r="U879" s="193">
        <v>1600000000</v>
      </c>
      <c r="V879" s="193">
        <v>2050</v>
      </c>
      <c r="W879" s="193"/>
      <c r="X879" s="193">
        <v>0</v>
      </c>
      <c r="Y879" s="193">
        <v>-21.95</v>
      </c>
      <c r="Z879" s="193">
        <v>128.35930000000008</v>
      </c>
      <c r="AA879" s="193">
        <v>150</v>
      </c>
      <c r="AB879" s="193" t="s">
        <v>1281</v>
      </c>
      <c r="AC879" s="193" t="s">
        <v>1441</v>
      </c>
      <c r="AD879" s="193" t="s">
        <v>1442</v>
      </c>
      <c r="AE879" s="193" t="s">
        <v>1443</v>
      </c>
      <c r="AF879" s="193" t="s">
        <v>877</v>
      </c>
      <c r="AG879" s="193" t="s">
        <v>969</v>
      </c>
      <c r="AH879" s="193" t="s">
        <v>932</v>
      </c>
      <c r="AI879" s="193" t="s">
        <v>877</v>
      </c>
      <c r="AJ879" s="193" t="s">
        <v>1431</v>
      </c>
      <c r="AK879" s="193" t="s">
        <v>1431</v>
      </c>
      <c r="AL879" s="193" t="s">
        <v>1431</v>
      </c>
    </row>
    <row r="880" spans="7:38">
      <c r="G880" s="193" t="s">
        <v>2870</v>
      </c>
      <c r="H880" s="193" t="s">
        <v>2871</v>
      </c>
      <c r="I880" s="193" t="s">
        <v>2872</v>
      </c>
      <c r="J880" s="193" t="s">
        <v>2872</v>
      </c>
      <c r="K880" s="193" t="s">
        <v>1606</v>
      </c>
      <c r="L880" s="193"/>
      <c r="M880" s="193"/>
      <c r="N880" s="193">
        <v>30.004106776180699</v>
      </c>
      <c r="O880" s="193"/>
      <c r="P880" s="193">
        <v>140</v>
      </c>
      <c r="Q880" s="193">
        <v>120</v>
      </c>
      <c r="R880" s="193">
        <v>-20</v>
      </c>
      <c r="S880" s="193">
        <v>8</v>
      </c>
      <c r="T880" s="193">
        <v>1350</v>
      </c>
      <c r="U880" s="193">
        <v>1350000000</v>
      </c>
      <c r="V880" s="193">
        <v>1800</v>
      </c>
      <c r="W880" s="193"/>
      <c r="X880" s="193">
        <v>0</v>
      </c>
      <c r="Y880" s="193">
        <v>-25</v>
      </c>
      <c r="Z880" s="193">
        <v>82.647400000000019</v>
      </c>
      <c r="AA880" s="193">
        <v>120</v>
      </c>
      <c r="AB880" s="193" t="s">
        <v>1281</v>
      </c>
      <c r="AC880" s="193" t="s">
        <v>1441</v>
      </c>
      <c r="AD880" s="193" t="s">
        <v>1442</v>
      </c>
      <c r="AE880" s="193" t="s">
        <v>1443</v>
      </c>
      <c r="AF880" s="193" t="s">
        <v>938</v>
      </c>
      <c r="AG880" s="193" t="s">
        <v>874</v>
      </c>
      <c r="AH880" s="193" t="s">
        <v>1432</v>
      </c>
      <c r="AI880" s="193" t="s">
        <v>938</v>
      </c>
      <c r="AJ880" s="193" t="s">
        <v>1431</v>
      </c>
      <c r="AK880" s="193" t="s">
        <v>1431</v>
      </c>
      <c r="AL880" s="193" t="s">
        <v>1431</v>
      </c>
    </row>
    <row r="881" spans="7:38">
      <c r="G881" s="193" t="s">
        <v>2873</v>
      </c>
      <c r="H881" s="193" t="s">
        <v>2874</v>
      </c>
      <c r="I881" s="193" t="s">
        <v>2875</v>
      </c>
      <c r="J881" s="193" t="s">
        <v>2875</v>
      </c>
      <c r="K881" s="193" t="s">
        <v>2876</v>
      </c>
      <c r="L881" s="193"/>
      <c r="M881" s="193"/>
      <c r="N881" s="193">
        <v>1.5030800821355237</v>
      </c>
      <c r="O881" s="193"/>
      <c r="P881" s="193">
        <v>55</v>
      </c>
      <c r="Q881" s="193">
        <v>30</v>
      </c>
      <c r="R881" s="193">
        <v>-25</v>
      </c>
      <c r="S881" s="193">
        <v>0</v>
      </c>
      <c r="T881" s="193">
        <v>1600</v>
      </c>
      <c r="U881" s="193">
        <v>1600000000</v>
      </c>
      <c r="V881" s="193">
        <v>2250</v>
      </c>
      <c r="W881" s="193"/>
      <c r="X881" s="193">
        <v>0</v>
      </c>
      <c r="Y881" s="193">
        <v>-28.89</v>
      </c>
      <c r="Z881" s="193">
        <v>33.806000000000004</v>
      </c>
      <c r="AA881" s="193">
        <v>30</v>
      </c>
      <c r="AB881" s="193" t="s">
        <v>1281</v>
      </c>
      <c r="AC881" s="193" t="s">
        <v>1439</v>
      </c>
      <c r="AD881" s="193" t="s">
        <v>1912</v>
      </c>
      <c r="AE881" s="193" t="s">
        <v>1913</v>
      </c>
      <c r="AF881" s="193" t="s">
        <v>876</v>
      </c>
      <c r="AG881" s="193" t="s">
        <v>874</v>
      </c>
      <c r="AH881" s="193" t="s">
        <v>1432</v>
      </c>
      <c r="AI881" s="193" t="s">
        <v>876</v>
      </c>
      <c r="AJ881" s="193" t="s">
        <v>1431</v>
      </c>
      <c r="AK881" s="193" t="s">
        <v>1431</v>
      </c>
      <c r="AL881" s="193" t="s">
        <v>1431</v>
      </c>
    </row>
    <row r="882" spans="7:38">
      <c r="G882" s="193" t="s">
        <v>2877</v>
      </c>
      <c r="H882" s="193" t="s">
        <v>2874</v>
      </c>
      <c r="I882" s="193" t="s">
        <v>2878</v>
      </c>
      <c r="J882" s="193" t="s">
        <v>2878</v>
      </c>
      <c r="K882" s="193" t="s">
        <v>2876</v>
      </c>
      <c r="L882" s="193"/>
      <c r="M882" s="193"/>
      <c r="N882" s="193">
        <v>3.0006844626967832</v>
      </c>
      <c r="O882" s="193"/>
      <c r="P882" s="193">
        <v>65</v>
      </c>
      <c r="Q882" s="193">
        <v>40</v>
      </c>
      <c r="R882" s="193">
        <v>-25</v>
      </c>
      <c r="S882" s="193">
        <v>0</v>
      </c>
      <c r="T882" s="193">
        <v>1200</v>
      </c>
      <c r="U882" s="193">
        <v>1200000000</v>
      </c>
      <c r="V882" s="193">
        <v>2000</v>
      </c>
      <c r="W882" s="193"/>
      <c r="X882" s="193">
        <v>0</v>
      </c>
      <c r="Y882" s="193">
        <v>-40</v>
      </c>
      <c r="Z882" s="193">
        <v>30.950899999999983</v>
      </c>
      <c r="AA882" s="193">
        <v>40</v>
      </c>
      <c r="AB882" s="193" t="s">
        <v>1281</v>
      </c>
      <c r="AC882" s="193" t="s">
        <v>1439</v>
      </c>
      <c r="AD882" s="193" t="s">
        <v>1912</v>
      </c>
      <c r="AE882" s="193" t="s">
        <v>1913</v>
      </c>
      <c r="AF882" s="193" t="s">
        <v>876</v>
      </c>
      <c r="AG882" s="193" t="s">
        <v>874</v>
      </c>
      <c r="AH882" s="193" t="s">
        <v>1432</v>
      </c>
      <c r="AI882" s="193" t="s">
        <v>876</v>
      </c>
      <c r="AJ882" s="193" t="s">
        <v>1431</v>
      </c>
      <c r="AK882" s="193" t="s">
        <v>1431</v>
      </c>
      <c r="AL882" s="193" t="s">
        <v>1431</v>
      </c>
    </row>
    <row r="883" spans="7:38">
      <c r="G883" s="193" t="s">
        <v>2879</v>
      </c>
      <c r="H883" s="193" t="s">
        <v>2880</v>
      </c>
      <c r="I883" s="193" t="s">
        <v>2881</v>
      </c>
      <c r="J883" s="193" t="s">
        <v>2881</v>
      </c>
      <c r="K883" s="193" t="s">
        <v>1599</v>
      </c>
      <c r="L883" s="193"/>
      <c r="M883" s="193"/>
      <c r="N883" s="193">
        <v>10.173853524982889</v>
      </c>
      <c r="O883" s="193"/>
      <c r="P883" s="193">
        <v>140</v>
      </c>
      <c r="Q883" s="193">
        <v>115</v>
      </c>
      <c r="R883" s="193">
        <v>-25</v>
      </c>
      <c r="S883" s="193">
        <v>10</v>
      </c>
      <c r="T883" s="193">
        <v>2500</v>
      </c>
      <c r="U883" s="193">
        <v>2500000000</v>
      </c>
      <c r="V883" s="193">
        <v>3800</v>
      </c>
      <c r="W883" s="193"/>
      <c r="X883" s="193">
        <v>0</v>
      </c>
      <c r="Y883" s="193">
        <v>-34.21</v>
      </c>
      <c r="Z883" s="193">
        <v>83.573099999999997</v>
      </c>
      <c r="AA883" s="193">
        <v>115</v>
      </c>
      <c r="AB883" s="193" t="s">
        <v>1281</v>
      </c>
      <c r="AC883" s="193" t="s">
        <v>1872</v>
      </c>
      <c r="AD883" s="193" t="s">
        <v>1942</v>
      </c>
      <c r="AE883" s="193" t="s">
        <v>1943</v>
      </c>
      <c r="AF883" s="193" t="s">
        <v>932</v>
      </c>
      <c r="AG883" s="193" t="s">
        <v>875</v>
      </c>
      <c r="AH883" s="193" t="s">
        <v>950</v>
      </c>
      <c r="AI883" s="193" t="s">
        <v>932</v>
      </c>
      <c r="AJ883" s="193" t="s">
        <v>1431</v>
      </c>
      <c r="AK883" s="193" t="s">
        <v>1431</v>
      </c>
      <c r="AL883" s="193" t="s">
        <v>1431</v>
      </c>
    </row>
    <row r="884" spans="7:38">
      <c r="G884" s="193" t="s">
        <v>2882</v>
      </c>
      <c r="H884" s="193" t="s">
        <v>2880</v>
      </c>
      <c r="I884" s="193" t="s">
        <v>2883</v>
      </c>
      <c r="J884" s="193" t="s">
        <v>2883</v>
      </c>
      <c r="K884" s="193" t="s">
        <v>1599</v>
      </c>
      <c r="L884" s="193"/>
      <c r="M884" s="193"/>
      <c r="N884" s="193">
        <v>30.173853524982889</v>
      </c>
      <c r="O884" s="193"/>
      <c r="P884" s="193">
        <v>165</v>
      </c>
      <c r="Q884" s="193">
        <v>140</v>
      </c>
      <c r="R884" s="193">
        <v>-25</v>
      </c>
      <c r="S884" s="193">
        <v>10</v>
      </c>
      <c r="T884" s="193">
        <v>2250</v>
      </c>
      <c r="U884" s="193">
        <v>2250000000</v>
      </c>
      <c r="V884" s="193">
        <v>3600</v>
      </c>
      <c r="W884" s="193"/>
      <c r="X884" s="193">
        <v>0</v>
      </c>
      <c r="Y884" s="193">
        <v>-37.5</v>
      </c>
      <c r="Z884" s="193">
        <v>94.952099999999987</v>
      </c>
      <c r="AA884" s="193">
        <v>140</v>
      </c>
      <c r="AB884" s="193" t="s">
        <v>1281</v>
      </c>
      <c r="AC884" s="193" t="s">
        <v>1872</v>
      </c>
      <c r="AD884" s="193" t="s">
        <v>1942</v>
      </c>
      <c r="AE884" s="193" t="s">
        <v>1943</v>
      </c>
      <c r="AF884" s="193" t="s">
        <v>932</v>
      </c>
      <c r="AG884" s="193" t="s">
        <v>875</v>
      </c>
      <c r="AH884" s="193" t="s">
        <v>950</v>
      </c>
      <c r="AI884" s="193" t="s">
        <v>932</v>
      </c>
      <c r="AJ884" s="193" t="s">
        <v>1431</v>
      </c>
      <c r="AK884" s="193" t="s">
        <v>1431</v>
      </c>
      <c r="AL884" s="193" t="s">
        <v>1431</v>
      </c>
    </row>
    <row r="885" spans="7:38">
      <c r="G885" s="193" t="s">
        <v>2884</v>
      </c>
      <c r="H885" s="193" t="s">
        <v>1868</v>
      </c>
      <c r="I885" s="193" t="s">
        <v>2885</v>
      </c>
      <c r="J885" s="193" t="s">
        <v>2885</v>
      </c>
      <c r="K885" s="193" t="s">
        <v>1570</v>
      </c>
      <c r="L885" s="193"/>
      <c r="M885" s="193"/>
      <c r="N885" s="193">
        <v>10.239561943874058</v>
      </c>
      <c r="O885" s="193"/>
      <c r="P885" s="193">
        <v>135</v>
      </c>
      <c r="Q885" s="193">
        <v>120</v>
      </c>
      <c r="R885" s="193">
        <v>-15</v>
      </c>
      <c r="S885" s="193">
        <v>12</v>
      </c>
      <c r="T885" s="193">
        <v>1150</v>
      </c>
      <c r="U885" s="193">
        <v>1150000000</v>
      </c>
      <c r="V885" s="193">
        <v>1300</v>
      </c>
      <c r="W885" s="193"/>
      <c r="X885" s="193">
        <v>0</v>
      </c>
      <c r="Y885" s="193">
        <v>-11.54</v>
      </c>
      <c r="Z885" s="193">
        <v>102.21290000000005</v>
      </c>
      <c r="AA885" s="193">
        <v>120</v>
      </c>
      <c r="AB885" s="193" t="s">
        <v>1281</v>
      </c>
      <c r="AC885" s="193" t="s">
        <v>1428</v>
      </c>
      <c r="AD885" s="193" t="s">
        <v>1436</v>
      </c>
      <c r="AE885" s="193" t="s">
        <v>1869</v>
      </c>
      <c r="AF885" s="193" t="s">
        <v>950</v>
      </c>
      <c r="AG885" s="193" t="s">
        <v>875</v>
      </c>
      <c r="AH885" s="193" t="s">
        <v>1432</v>
      </c>
      <c r="AI885" s="193" t="s">
        <v>932</v>
      </c>
      <c r="AJ885" s="193" t="s">
        <v>1431</v>
      </c>
      <c r="AK885" s="193" t="s">
        <v>1431</v>
      </c>
      <c r="AL885" s="193" t="s">
        <v>1431</v>
      </c>
    </row>
    <row r="886" spans="7:38">
      <c r="G886" s="193"/>
      <c r="H886" s="193"/>
      <c r="I886" s="193"/>
      <c r="J886" s="193"/>
      <c r="K886" s="193"/>
      <c r="L886" s="193"/>
      <c r="M886" s="193"/>
      <c r="N886" s="193"/>
      <c r="O886" s="193"/>
      <c r="P886" s="193"/>
      <c r="Q886" s="193"/>
      <c r="R886" s="193"/>
      <c r="S886" s="193"/>
      <c r="T886" s="193"/>
      <c r="U886" s="193"/>
      <c r="V886" s="193"/>
      <c r="W886" s="193"/>
      <c r="X886" s="193"/>
      <c r="Y886" s="193"/>
      <c r="Z886" s="193"/>
      <c r="AA886" s="193"/>
      <c r="AB886" s="193"/>
      <c r="AC886" s="193"/>
      <c r="AD886" s="193"/>
      <c r="AE886" s="193"/>
      <c r="AF886" s="193"/>
      <c r="AG886" s="193"/>
      <c r="AH886" s="193"/>
      <c r="AI886" s="193"/>
      <c r="AJ886" s="193"/>
      <c r="AK886" s="193"/>
      <c r="AL886" s="193"/>
    </row>
    <row r="887" spans="7:38">
      <c r="G887" s="193"/>
      <c r="H887" s="193"/>
      <c r="I887" s="193"/>
      <c r="J887" s="193"/>
      <c r="K887" s="193"/>
      <c r="L887" s="193"/>
      <c r="M887" s="193"/>
      <c r="N887" s="193"/>
      <c r="O887" s="193"/>
      <c r="P887" s="193"/>
      <c r="Q887" s="193"/>
      <c r="R887" s="193"/>
      <c r="S887" s="193"/>
      <c r="T887" s="193"/>
      <c r="U887" s="193"/>
      <c r="V887" s="193"/>
      <c r="W887" s="193"/>
      <c r="X887" s="193"/>
      <c r="Y887" s="193"/>
      <c r="Z887" s="193"/>
      <c r="AA887" s="193"/>
      <c r="AB887" s="193"/>
      <c r="AC887" s="193"/>
      <c r="AD887" s="193"/>
      <c r="AE887" s="193"/>
      <c r="AF887" s="193"/>
      <c r="AG887" s="193"/>
      <c r="AH887" s="193"/>
      <c r="AI887" s="193"/>
      <c r="AJ887" s="193"/>
      <c r="AK887" s="193"/>
      <c r="AL887" s="193"/>
    </row>
    <row r="888" spans="7:38">
      <c r="G888" s="193"/>
      <c r="H888" s="193"/>
      <c r="I888" s="193"/>
      <c r="J888" s="193"/>
      <c r="K888" s="193"/>
      <c r="L888" s="193"/>
      <c r="M888" s="193"/>
      <c r="N888" s="193"/>
      <c r="O888" s="193"/>
      <c r="P888" s="193"/>
      <c r="Q888" s="193"/>
      <c r="R888" s="193"/>
      <c r="S888" s="193"/>
      <c r="T888" s="193"/>
      <c r="U888" s="193"/>
      <c r="V888" s="193"/>
      <c r="W888" s="193"/>
      <c r="X888" s="193"/>
      <c r="Y888" s="193"/>
      <c r="Z888" s="193"/>
      <c r="AA888" s="193"/>
      <c r="AB888" s="193"/>
      <c r="AC888" s="193"/>
      <c r="AD888" s="193"/>
      <c r="AE888" s="193"/>
      <c r="AF888" s="193"/>
      <c r="AG888" s="193"/>
      <c r="AH888" s="193"/>
      <c r="AI888" s="193"/>
      <c r="AJ888" s="193"/>
      <c r="AK888" s="193"/>
      <c r="AL888" s="193"/>
    </row>
    <row r="889" spans="7:38">
      <c r="G889" s="193"/>
      <c r="H889" s="193"/>
      <c r="I889" s="193"/>
      <c r="J889" s="193"/>
      <c r="K889" s="193"/>
      <c r="L889" s="193"/>
      <c r="M889" s="193"/>
      <c r="N889" s="193"/>
      <c r="O889" s="193"/>
      <c r="P889" s="193"/>
      <c r="Q889" s="193"/>
      <c r="R889" s="193"/>
      <c r="S889" s="193"/>
      <c r="T889" s="193"/>
      <c r="U889" s="193"/>
      <c r="V889" s="193"/>
      <c r="W889" s="193"/>
      <c r="X889" s="193"/>
      <c r="Y889" s="193"/>
      <c r="Z889" s="193"/>
      <c r="AA889" s="193"/>
      <c r="AB889" s="193"/>
      <c r="AC889" s="193"/>
      <c r="AD889" s="193"/>
      <c r="AE889" s="193"/>
      <c r="AF889" s="193"/>
      <c r="AG889" s="193"/>
      <c r="AH889" s="193"/>
      <c r="AI889" s="193"/>
      <c r="AJ889" s="193"/>
      <c r="AK889" s="193"/>
      <c r="AL889" s="193"/>
    </row>
    <row r="890" spans="7:38">
      <c r="G890" s="193"/>
      <c r="H890" s="193"/>
      <c r="I890" s="193"/>
      <c r="J890" s="193"/>
      <c r="K890" s="193"/>
      <c r="L890" s="193"/>
      <c r="M890" s="193"/>
      <c r="N890" s="193"/>
      <c r="O890" s="193"/>
      <c r="P890" s="193"/>
      <c r="Q890" s="193"/>
      <c r="R890" s="193"/>
      <c r="S890" s="193"/>
      <c r="T890" s="193"/>
      <c r="U890" s="193"/>
      <c r="V890" s="193"/>
      <c r="W890" s="193"/>
      <c r="X890" s="193"/>
      <c r="Y890" s="193"/>
      <c r="Z890" s="193"/>
      <c r="AA890" s="193"/>
      <c r="AB890" s="193"/>
      <c r="AC890" s="193"/>
      <c r="AD890" s="193"/>
      <c r="AE890" s="193"/>
      <c r="AF890" s="193"/>
      <c r="AG890" s="193"/>
      <c r="AH890" s="193"/>
      <c r="AI890" s="193"/>
      <c r="AJ890" s="193"/>
      <c r="AK890" s="193"/>
      <c r="AL890" s="193"/>
    </row>
    <row r="891" spans="7:38">
      <c r="G891" s="193"/>
      <c r="H891" s="193"/>
      <c r="I891" s="193"/>
      <c r="J891" s="193"/>
      <c r="K891" s="193"/>
      <c r="L891" s="193"/>
      <c r="M891" s="193"/>
      <c r="N891" s="193"/>
      <c r="O891" s="193"/>
      <c r="P891" s="193"/>
      <c r="Q891" s="193"/>
      <c r="R891" s="193"/>
      <c r="S891" s="193"/>
      <c r="T891" s="193"/>
      <c r="U891" s="193"/>
      <c r="V891" s="193"/>
      <c r="W891" s="193"/>
      <c r="X891" s="193"/>
      <c r="Y891" s="193"/>
      <c r="Z891" s="193"/>
      <c r="AA891" s="193"/>
      <c r="AB891" s="193"/>
      <c r="AC891" s="193"/>
      <c r="AD891" s="193"/>
      <c r="AE891" s="193"/>
      <c r="AF891" s="193"/>
      <c r="AG891" s="193"/>
      <c r="AH891" s="193"/>
      <c r="AI891" s="193"/>
      <c r="AJ891" s="193"/>
      <c r="AK891" s="193"/>
      <c r="AL891" s="193"/>
    </row>
    <row r="892" spans="7:38">
      <c r="G892" s="193"/>
      <c r="H892" s="193"/>
      <c r="I892" s="193"/>
      <c r="J892" s="193"/>
      <c r="K892" s="193"/>
      <c r="L892" s="193"/>
      <c r="M892" s="193"/>
      <c r="N892" s="193"/>
      <c r="O892" s="193"/>
      <c r="P892" s="193"/>
      <c r="Q892" s="193"/>
      <c r="R892" s="193"/>
      <c r="S892" s="193"/>
      <c r="T892" s="193"/>
      <c r="U892" s="193"/>
      <c r="V892" s="193"/>
      <c r="W892" s="193"/>
      <c r="X892" s="193"/>
      <c r="Y892" s="193"/>
      <c r="Z892" s="193"/>
      <c r="AA892" s="193"/>
      <c r="AB892" s="193"/>
      <c r="AC892" s="193"/>
      <c r="AD892" s="193"/>
      <c r="AE892" s="193"/>
      <c r="AF892" s="193"/>
      <c r="AG892" s="193"/>
      <c r="AH892" s="193"/>
      <c r="AI892" s="193"/>
      <c r="AJ892" s="193"/>
      <c r="AK892" s="193"/>
      <c r="AL892" s="193"/>
    </row>
    <row r="893" spans="7:38">
      <c r="G893" s="193"/>
      <c r="H893" s="193"/>
      <c r="I893" s="193"/>
      <c r="J893" s="193"/>
      <c r="K893" s="193"/>
      <c r="L893" s="193"/>
      <c r="M893" s="193"/>
      <c r="N893" s="193"/>
      <c r="O893" s="193"/>
      <c r="P893" s="193"/>
      <c r="Q893" s="193"/>
      <c r="R893" s="193"/>
      <c r="S893" s="193"/>
      <c r="T893" s="193"/>
      <c r="U893" s="193"/>
      <c r="V893" s="193"/>
      <c r="W893" s="193"/>
      <c r="X893" s="193"/>
      <c r="Y893" s="193"/>
      <c r="Z893" s="193"/>
      <c r="AA893" s="193"/>
      <c r="AB893" s="193"/>
      <c r="AC893" s="193"/>
      <c r="AD893" s="193"/>
      <c r="AE893" s="193"/>
      <c r="AF893" s="193"/>
      <c r="AG893" s="193"/>
      <c r="AH893" s="193"/>
      <c r="AI893" s="193"/>
      <c r="AJ893" s="193"/>
      <c r="AK893" s="193"/>
      <c r="AL893" s="193"/>
    </row>
    <row r="894" spans="7:38">
      <c r="G894" s="193"/>
      <c r="H894" s="193"/>
      <c r="I894" s="193"/>
      <c r="J894" s="193"/>
      <c r="K894" s="193"/>
      <c r="L894" s="193"/>
      <c r="M894" s="193"/>
      <c r="N894" s="193"/>
      <c r="O894" s="193"/>
      <c r="P894" s="193"/>
      <c r="Q894" s="193"/>
      <c r="R894" s="193"/>
      <c r="S894" s="193"/>
      <c r="T894" s="193"/>
      <c r="U894" s="193"/>
      <c r="V894" s="193"/>
      <c r="W894" s="193"/>
      <c r="X894" s="193"/>
      <c r="Y894" s="193"/>
      <c r="Z894" s="193"/>
      <c r="AA894" s="193"/>
      <c r="AB894" s="193"/>
      <c r="AC894" s="193"/>
      <c r="AD894" s="193"/>
      <c r="AE894" s="193"/>
      <c r="AF894" s="193"/>
      <c r="AG894" s="193"/>
      <c r="AH894" s="193"/>
      <c r="AI894" s="193"/>
      <c r="AJ894" s="193"/>
      <c r="AK894" s="193"/>
      <c r="AL894" s="193"/>
    </row>
    <row r="895" spans="7:38">
      <c r="G895" s="193"/>
      <c r="H895" s="193"/>
      <c r="I895" s="193"/>
      <c r="J895" s="193"/>
      <c r="K895" s="193"/>
      <c r="L895" s="193"/>
      <c r="M895" s="193"/>
      <c r="N895" s="193"/>
      <c r="O895" s="193"/>
      <c r="P895" s="193"/>
      <c r="Q895" s="193"/>
      <c r="R895" s="193"/>
      <c r="S895" s="193"/>
      <c r="T895" s="193"/>
      <c r="U895" s="193"/>
      <c r="V895" s="193"/>
      <c r="W895" s="193"/>
      <c r="X895" s="193"/>
      <c r="Y895" s="193"/>
      <c r="Z895" s="193"/>
      <c r="AA895" s="193"/>
      <c r="AB895" s="193"/>
      <c r="AC895" s="193"/>
      <c r="AD895" s="193"/>
      <c r="AE895" s="193"/>
      <c r="AF895" s="193"/>
      <c r="AG895" s="193"/>
      <c r="AH895" s="193"/>
      <c r="AI895" s="193"/>
      <c r="AJ895" s="193"/>
      <c r="AK895" s="193"/>
      <c r="AL895" s="193"/>
    </row>
    <row r="896" spans="7:38">
      <c r="G896" s="193"/>
      <c r="H896" s="193"/>
      <c r="I896" s="193"/>
      <c r="J896" s="193"/>
      <c r="K896" s="193"/>
      <c r="L896" s="193"/>
      <c r="M896" s="193"/>
      <c r="N896" s="193"/>
      <c r="O896" s="193"/>
      <c r="P896" s="193"/>
      <c r="Q896" s="193"/>
      <c r="R896" s="193"/>
      <c r="S896" s="193"/>
      <c r="T896" s="193"/>
      <c r="U896" s="193"/>
      <c r="V896" s="193"/>
      <c r="W896" s="193"/>
      <c r="X896" s="193"/>
      <c r="Y896" s="193"/>
      <c r="Z896" s="193"/>
      <c r="AA896" s="193"/>
      <c r="AB896" s="193"/>
      <c r="AC896" s="193"/>
      <c r="AD896" s="193"/>
      <c r="AE896" s="193"/>
      <c r="AF896" s="193"/>
      <c r="AG896" s="193"/>
      <c r="AH896" s="193"/>
      <c r="AI896" s="193"/>
      <c r="AJ896" s="193"/>
      <c r="AK896" s="193"/>
      <c r="AL896" s="193"/>
    </row>
    <row r="897" spans="7:38">
      <c r="G897" s="193"/>
      <c r="H897" s="193"/>
      <c r="I897" s="193"/>
      <c r="J897" s="193"/>
      <c r="K897" s="193"/>
      <c r="L897" s="193"/>
      <c r="M897" s="193"/>
      <c r="N897" s="193"/>
      <c r="O897" s="193"/>
      <c r="P897" s="193"/>
      <c r="Q897" s="193"/>
      <c r="R897" s="193"/>
      <c r="S897" s="193"/>
      <c r="T897" s="193"/>
      <c r="U897" s="193"/>
      <c r="V897" s="193"/>
      <c r="W897" s="193"/>
      <c r="X897" s="193"/>
      <c r="Y897" s="193"/>
      <c r="Z897" s="193"/>
      <c r="AA897" s="193"/>
      <c r="AB897" s="193"/>
      <c r="AC897" s="193"/>
      <c r="AD897" s="193"/>
      <c r="AE897" s="193"/>
      <c r="AF897" s="193"/>
      <c r="AG897" s="193"/>
      <c r="AH897" s="193"/>
      <c r="AI897" s="193"/>
      <c r="AJ897" s="193"/>
      <c r="AK897" s="193"/>
      <c r="AL897" s="193"/>
    </row>
    <row r="898" spans="7:38">
      <c r="G898" s="193"/>
      <c r="H898" s="193"/>
      <c r="I898" s="193"/>
      <c r="J898" s="193"/>
      <c r="K898" s="193"/>
      <c r="L898" s="193"/>
      <c r="M898" s="193"/>
      <c r="N898" s="193"/>
      <c r="O898" s="193"/>
      <c r="P898" s="193"/>
      <c r="Q898" s="193"/>
      <c r="R898" s="193"/>
      <c r="S898" s="193"/>
      <c r="T898" s="193"/>
      <c r="U898" s="193"/>
      <c r="V898" s="193"/>
      <c r="W898" s="193"/>
      <c r="X898" s="193"/>
      <c r="Y898" s="193"/>
      <c r="Z898" s="193"/>
      <c r="AA898" s="193"/>
      <c r="AB898" s="193"/>
      <c r="AC898" s="193"/>
      <c r="AD898" s="193"/>
      <c r="AE898" s="193"/>
      <c r="AF898" s="193"/>
      <c r="AG898" s="193"/>
      <c r="AH898" s="193"/>
      <c r="AI898" s="193"/>
      <c r="AJ898" s="193"/>
      <c r="AK898" s="193"/>
      <c r="AL898" s="193"/>
    </row>
    <row r="899" spans="7:38">
      <c r="G899" s="193"/>
      <c r="H899" s="193"/>
      <c r="I899" s="193"/>
      <c r="J899" s="193"/>
      <c r="K899" s="193"/>
      <c r="L899" s="193"/>
      <c r="M899" s="193"/>
      <c r="N899" s="193"/>
      <c r="O899" s="193"/>
      <c r="P899" s="193"/>
      <c r="Q899" s="193"/>
      <c r="R899" s="193"/>
      <c r="S899" s="193"/>
      <c r="T899" s="193"/>
      <c r="U899" s="193"/>
      <c r="V899" s="193"/>
      <c r="W899" s="193"/>
      <c r="X899" s="193"/>
      <c r="Y899" s="193"/>
      <c r="Z899" s="193"/>
      <c r="AA899" s="193"/>
      <c r="AB899" s="193"/>
      <c r="AC899" s="193"/>
      <c r="AD899" s="193"/>
      <c r="AE899" s="193"/>
      <c r="AF899" s="193"/>
      <c r="AG899" s="193"/>
      <c r="AH899" s="193"/>
      <c r="AI899" s="193"/>
      <c r="AJ899" s="193"/>
      <c r="AK899" s="193"/>
      <c r="AL899" s="193"/>
    </row>
    <row r="900" spans="7:38">
      <c r="G900" s="193"/>
      <c r="H900" s="193"/>
      <c r="I900" s="193"/>
      <c r="J900" s="193"/>
      <c r="K900" s="193"/>
      <c r="L900" s="193"/>
      <c r="M900" s="193"/>
      <c r="N900" s="193"/>
      <c r="O900" s="193"/>
      <c r="P900" s="193"/>
      <c r="Q900" s="193"/>
      <c r="R900" s="193"/>
      <c r="S900" s="193"/>
      <c r="T900" s="193"/>
      <c r="U900" s="193"/>
      <c r="V900" s="193"/>
      <c r="W900" s="193"/>
      <c r="X900" s="193"/>
      <c r="Y900" s="193"/>
      <c r="Z900" s="193"/>
      <c r="AA900" s="193"/>
      <c r="AB900" s="193"/>
      <c r="AC900" s="193"/>
      <c r="AD900" s="193"/>
      <c r="AE900" s="193"/>
      <c r="AF900" s="193"/>
      <c r="AG900" s="193"/>
      <c r="AH900" s="193"/>
      <c r="AI900" s="193"/>
      <c r="AJ900" s="193"/>
      <c r="AK900" s="193"/>
      <c r="AL900" s="193"/>
    </row>
    <row r="901" spans="7:38">
      <c r="G901" s="193"/>
      <c r="H901" s="193"/>
      <c r="I901" s="193"/>
      <c r="J901" s="193"/>
      <c r="K901" s="193"/>
      <c r="L901" s="193"/>
      <c r="M901" s="193"/>
      <c r="N901" s="193"/>
      <c r="O901" s="193"/>
      <c r="P901" s="193"/>
      <c r="Q901" s="193"/>
      <c r="R901" s="193"/>
      <c r="S901" s="193"/>
      <c r="T901" s="193"/>
      <c r="U901" s="193"/>
      <c r="V901" s="193"/>
      <c r="W901" s="193"/>
      <c r="X901" s="193"/>
      <c r="Y901" s="193"/>
      <c r="Z901" s="193"/>
      <c r="AA901" s="193"/>
      <c r="AB901" s="193"/>
      <c r="AC901" s="193"/>
      <c r="AD901" s="193"/>
      <c r="AE901" s="193"/>
      <c r="AF901" s="193"/>
      <c r="AG901" s="193"/>
      <c r="AH901" s="193"/>
      <c r="AI901" s="193"/>
      <c r="AJ901" s="193"/>
      <c r="AK901" s="193"/>
      <c r="AL901" s="193"/>
    </row>
    <row r="902" spans="7:38">
      <c r="G902" s="193"/>
      <c r="H902" s="193"/>
      <c r="I902" s="193"/>
      <c r="J902" s="193"/>
      <c r="K902" s="193"/>
      <c r="L902" s="193"/>
      <c r="M902" s="193"/>
      <c r="N902" s="193"/>
      <c r="O902" s="193"/>
      <c r="P902" s="193"/>
      <c r="Q902" s="193"/>
      <c r="R902" s="193"/>
      <c r="S902" s="193"/>
      <c r="T902" s="193"/>
      <c r="U902" s="193"/>
      <c r="V902" s="193"/>
      <c r="W902" s="193"/>
      <c r="X902" s="193"/>
      <c r="Y902" s="193"/>
      <c r="Z902" s="193"/>
      <c r="AA902" s="193"/>
      <c r="AB902" s="193"/>
      <c r="AC902" s="193"/>
      <c r="AD902" s="193"/>
      <c r="AE902" s="193"/>
      <c r="AF902" s="193"/>
      <c r="AG902" s="193"/>
      <c r="AH902" s="193"/>
      <c r="AI902" s="193"/>
      <c r="AJ902" s="193"/>
      <c r="AK902" s="193"/>
      <c r="AL902" s="193"/>
    </row>
    <row r="903" spans="7:38">
      <c r="G903" s="193"/>
      <c r="H903" s="193"/>
      <c r="I903" s="193"/>
      <c r="J903" s="193"/>
      <c r="K903" s="193"/>
      <c r="L903" s="193"/>
      <c r="M903" s="193"/>
      <c r="N903" s="193"/>
      <c r="O903" s="193"/>
      <c r="P903" s="193"/>
      <c r="Q903" s="193"/>
      <c r="R903" s="193"/>
      <c r="S903" s="193"/>
      <c r="T903" s="193"/>
      <c r="U903" s="193"/>
      <c r="V903" s="193"/>
      <c r="W903" s="193"/>
      <c r="X903" s="193"/>
      <c r="Y903" s="193"/>
      <c r="Z903" s="193"/>
      <c r="AA903" s="193"/>
      <c r="AB903" s="193"/>
      <c r="AC903" s="193"/>
      <c r="AD903" s="193"/>
      <c r="AE903" s="193"/>
      <c r="AF903" s="193"/>
      <c r="AG903" s="193"/>
      <c r="AH903" s="193"/>
      <c r="AI903" s="193"/>
      <c r="AJ903" s="193"/>
      <c r="AK903" s="193"/>
      <c r="AL903" s="193"/>
    </row>
    <row r="904" spans="7:38">
      <c r="G904" s="193"/>
      <c r="H904" s="193"/>
      <c r="I904" s="193"/>
      <c r="J904" s="193"/>
      <c r="K904" s="193"/>
      <c r="L904" s="193"/>
      <c r="M904" s="193"/>
      <c r="N904" s="193"/>
      <c r="O904" s="193"/>
      <c r="P904" s="193"/>
      <c r="Q904" s="193"/>
      <c r="R904" s="193"/>
      <c r="S904" s="193"/>
      <c r="T904" s="193"/>
      <c r="U904" s="193"/>
      <c r="V904" s="193"/>
      <c r="W904" s="193"/>
      <c r="X904" s="193"/>
      <c r="Y904" s="193"/>
      <c r="Z904" s="193"/>
      <c r="AA904" s="193"/>
      <c r="AB904" s="193"/>
      <c r="AC904" s="193"/>
      <c r="AD904" s="193"/>
      <c r="AE904" s="193"/>
      <c r="AF904" s="193"/>
      <c r="AG904" s="193"/>
      <c r="AH904" s="193"/>
      <c r="AI904" s="193"/>
      <c r="AJ904" s="193"/>
      <c r="AK904" s="193"/>
      <c r="AL904" s="193"/>
    </row>
    <row r="905" spans="7:38">
      <c r="G905" s="193"/>
      <c r="H905" s="193"/>
      <c r="I905" s="193"/>
      <c r="J905" s="193"/>
      <c r="K905" s="193"/>
      <c r="L905" s="193"/>
      <c r="M905" s="193"/>
      <c r="N905" s="193"/>
      <c r="O905" s="193"/>
      <c r="P905" s="193"/>
      <c r="Q905" s="193"/>
      <c r="R905" s="193"/>
      <c r="S905" s="193"/>
      <c r="T905" s="193"/>
      <c r="U905" s="193"/>
      <c r="V905" s="193"/>
      <c r="W905" s="193"/>
      <c r="X905" s="193"/>
      <c r="Y905" s="193"/>
      <c r="Z905" s="193"/>
      <c r="AA905" s="193"/>
      <c r="AB905" s="193"/>
      <c r="AC905" s="193"/>
      <c r="AD905" s="193"/>
      <c r="AE905" s="193"/>
      <c r="AF905" s="193"/>
      <c r="AG905" s="193"/>
      <c r="AH905" s="193"/>
      <c r="AI905" s="193"/>
      <c r="AJ905" s="193"/>
      <c r="AK905" s="193"/>
      <c r="AL905" s="193"/>
    </row>
    <row r="906" spans="7:38">
      <c r="G906" s="193"/>
      <c r="H906" s="193"/>
      <c r="I906" s="193"/>
      <c r="J906" s="193"/>
      <c r="K906" s="193"/>
      <c r="L906" s="193"/>
      <c r="M906" s="193"/>
      <c r="N906" s="193"/>
      <c r="O906" s="193"/>
      <c r="P906" s="193"/>
      <c r="Q906" s="193"/>
      <c r="R906" s="193"/>
      <c r="S906" s="193"/>
      <c r="T906" s="193"/>
      <c r="U906" s="193"/>
      <c r="V906" s="193"/>
      <c r="W906" s="193"/>
      <c r="X906" s="193"/>
      <c r="Y906" s="193"/>
      <c r="Z906" s="193"/>
      <c r="AA906" s="193"/>
      <c r="AB906" s="193"/>
      <c r="AC906" s="193"/>
      <c r="AD906" s="193"/>
      <c r="AE906" s="193"/>
      <c r="AF906" s="193"/>
      <c r="AG906" s="193"/>
      <c r="AH906" s="193"/>
      <c r="AI906" s="193"/>
      <c r="AJ906" s="193"/>
      <c r="AK906" s="193"/>
      <c r="AL906" s="193"/>
    </row>
    <row r="907" spans="7:38">
      <c r="G907" s="193"/>
      <c r="H907" s="193"/>
      <c r="I907" s="193"/>
      <c r="J907" s="193"/>
      <c r="K907" s="193"/>
      <c r="L907" s="193"/>
      <c r="M907" s="193"/>
      <c r="N907" s="193"/>
      <c r="O907" s="193"/>
      <c r="P907" s="193"/>
      <c r="Q907" s="193"/>
      <c r="R907" s="193"/>
      <c r="S907" s="193"/>
      <c r="T907" s="193"/>
      <c r="U907" s="193"/>
      <c r="V907" s="193"/>
      <c r="W907" s="193"/>
      <c r="X907" s="193"/>
      <c r="Y907" s="193"/>
      <c r="Z907" s="193"/>
      <c r="AA907" s="193"/>
      <c r="AB907" s="193"/>
      <c r="AC907" s="193"/>
      <c r="AD907" s="193"/>
      <c r="AE907" s="193"/>
      <c r="AF907" s="193"/>
      <c r="AG907" s="193"/>
      <c r="AH907" s="193"/>
      <c r="AI907" s="193"/>
      <c r="AJ907" s="193"/>
      <c r="AK907" s="193"/>
      <c r="AL907" s="193"/>
    </row>
    <row r="908" spans="7:38">
      <c r="G908" s="193"/>
      <c r="H908" s="193"/>
      <c r="I908" s="193"/>
      <c r="J908" s="193"/>
      <c r="K908" s="193"/>
      <c r="L908" s="193"/>
      <c r="M908" s="193"/>
      <c r="N908" s="193"/>
      <c r="O908" s="193"/>
      <c r="P908" s="193"/>
      <c r="Q908" s="193"/>
      <c r="R908" s="193"/>
      <c r="S908" s="193"/>
      <c r="T908" s="193"/>
      <c r="U908" s="193"/>
      <c r="V908" s="193"/>
      <c r="W908" s="193"/>
      <c r="X908" s="193"/>
      <c r="Y908" s="193"/>
      <c r="Z908" s="193"/>
      <c r="AA908" s="193"/>
      <c r="AB908" s="193"/>
      <c r="AC908" s="193"/>
      <c r="AD908" s="193"/>
      <c r="AE908" s="193"/>
      <c r="AF908" s="193"/>
      <c r="AG908" s="193"/>
      <c r="AH908" s="193"/>
      <c r="AI908" s="193"/>
      <c r="AJ908" s="193"/>
      <c r="AK908" s="193"/>
      <c r="AL908" s="193"/>
    </row>
    <row r="909" spans="7:38">
      <c r="G909" s="193"/>
      <c r="H909" s="193"/>
      <c r="I909" s="193"/>
      <c r="J909" s="193"/>
      <c r="K909" s="193"/>
      <c r="L909" s="193"/>
      <c r="M909" s="193"/>
      <c r="N909" s="193"/>
      <c r="O909" s="193"/>
      <c r="P909" s="193"/>
      <c r="Q909" s="193"/>
      <c r="R909" s="193"/>
      <c r="S909" s="193"/>
      <c r="T909" s="193"/>
      <c r="U909" s="193"/>
      <c r="V909" s="193"/>
      <c r="W909" s="193"/>
      <c r="X909" s="193"/>
      <c r="Y909" s="193"/>
      <c r="Z909" s="193"/>
      <c r="AA909" s="193"/>
      <c r="AB909" s="193"/>
      <c r="AC909" s="193"/>
      <c r="AD909" s="193"/>
      <c r="AE909" s="193"/>
      <c r="AF909" s="193"/>
      <c r="AG909" s="193"/>
      <c r="AH909" s="193"/>
      <c r="AI909" s="193"/>
      <c r="AJ909" s="193"/>
      <c r="AK909" s="193"/>
      <c r="AL909" s="193"/>
    </row>
    <row r="910" spans="7:38">
      <c r="G910" s="193"/>
      <c r="H910" s="193"/>
      <c r="I910" s="193"/>
      <c r="J910" s="193"/>
      <c r="K910" s="193"/>
      <c r="L910" s="193"/>
      <c r="M910" s="193"/>
      <c r="N910" s="193"/>
      <c r="O910" s="193"/>
      <c r="P910" s="193"/>
      <c r="Q910" s="193"/>
      <c r="R910" s="193"/>
      <c r="S910" s="193"/>
      <c r="T910" s="193"/>
      <c r="U910" s="193"/>
      <c r="V910" s="193"/>
      <c r="W910" s="193"/>
      <c r="X910" s="193"/>
      <c r="Y910" s="193"/>
      <c r="Z910" s="193"/>
      <c r="AA910" s="193"/>
      <c r="AB910" s="193"/>
      <c r="AC910" s="193"/>
      <c r="AD910" s="193"/>
      <c r="AE910" s="193"/>
      <c r="AF910" s="193"/>
      <c r="AG910" s="193"/>
      <c r="AH910" s="193"/>
      <c r="AI910" s="193"/>
      <c r="AJ910" s="193"/>
      <c r="AK910" s="193"/>
      <c r="AL910" s="193"/>
    </row>
    <row r="911" spans="7:38">
      <c r="G911" s="193"/>
      <c r="H911" s="193"/>
      <c r="I911" s="193"/>
      <c r="J911" s="193"/>
      <c r="K911" s="193"/>
      <c r="L911" s="193"/>
      <c r="M911" s="193"/>
      <c r="N911" s="193"/>
      <c r="O911" s="193"/>
      <c r="P911" s="193"/>
      <c r="Q911" s="193"/>
      <c r="R911" s="193"/>
      <c r="S911" s="193"/>
      <c r="T911" s="193"/>
      <c r="U911" s="193"/>
      <c r="V911" s="193"/>
      <c r="W911" s="193"/>
      <c r="X911" s="193"/>
      <c r="Y911" s="193"/>
      <c r="Z911" s="193"/>
      <c r="AA911" s="193"/>
      <c r="AB911" s="193"/>
      <c r="AC911" s="193"/>
      <c r="AD911" s="193"/>
      <c r="AE911" s="193"/>
      <c r="AF911" s="193"/>
      <c r="AG911" s="193"/>
      <c r="AH911" s="193"/>
      <c r="AI911" s="193"/>
      <c r="AJ911" s="193"/>
      <c r="AK911" s="193"/>
      <c r="AL911" s="193"/>
    </row>
    <row r="912" spans="7:38">
      <c r="G912" s="193"/>
      <c r="H912" s="193"/>
      <c r="I912" s="193"/>
      <c r="J912" s="193"/>
      <c r="K912" s="193"/>
      <c r="L912" s="193"/>
      <c r="M912" s="193"/>
      <c r="N912" s="193"/>
      <c r="O912" s="193"/>
      <c r="P912" s="193"/>
      <c r="Q912" s="193"/>
      <c r="R912" s="193"/>
      <c r="S912" s="193"/>
      <c r="T912" s="193"/>
      <c r="U912" s="193"/>
      <c r="V912" s="193"/>
      <c r="W912" s="193"/>
      <c r="X912" s="193"/>
      <c r="Y912" s="193"/>
      <c r="Z912" s="193"/>
      <c r="AA912" s="193"/>
      <c r="AB912" s="193"/>
      <c r="AC912" s="193"/>
      <c r="AD912" s="193"/>
      <c r="AE912" s="193"/>
      <c r="AF912" s="193"/>
      <c r="AG912" s="193"/>
      <c r="AH912" s="193"/>
      <c r="AI912" s="193"/>
      <c r="AJ912" s="193"/>
      <c r="AK912" s="193"/>
      <c r="AL912" s="193"/>
    </row>
    <row r="913" spans="7:38">
      <c r="G913" s="193"/>
      <c r="H913" s="193"/>
      <c r="I913" s="193"/>
      <c r="J913" s="193"/>
      <c r="K913" s="193"/>
      <c r="L913" s="193"/>
      <c r="M913" s="193"/>
      <c r="N913" s="193"/>
      <c r="O913" s="193"/>
      <c r="P913" s="193"/>
      <c r="Q913" s="193"/>
      <c r="R913" s="193"/>
      <c r="S913" s="193"/>
      <c r="T913" s="193"/>
      <c r="U913" s="193"/>
      <c r="V913" s="193"/>
      <c r="W913" s="193"/>
      <c r="X913" s="193"/>
      <c r="Y913" s="193"/>
      <c r="Z913" s="193"/>
      <c r="AA913" s="193"/>
      <c r="AB913" s="193"/>
      <c r="AC913" s="193"/>
      <c r="AD913" s="193"/>
      <c r="AE913" s="193"/>
      <c r="AF913" s="193"/>
      <c r="AG913" s="193"/>
      <c r="AH913" s="193"/>
      <c r="AI913" s="193"/>
      <c r="AJ913" s="193"/>
      <c r="AK913" s="193"/>
      <c r="AL913" s="193"/>
    </row>
    <row r="914" spans="7:38">
      <c r="G914" s="193"/>
      <c r="H914" s="193"/>
      <c r="I914" s="193"/>
      <c r="J914" s="193"/>
      <c r="K914" s="193"/>
      <c r="L914" s="193"/>
      <c r="M914" s="193"/>
      <c r="N914" s="193"/>
      <c r="O914" s="193"/>
      <c r="P914" s="193"/>
      <c r="Q914" s="193"/>
      <c r="R914" s="193"/>
      <c r="S914" s="193"/>
      <c r="T914" s="193"/>
      <c r="U914" s="193"/>
      <c r="V914" s="193"/>
      <c r="W914" s="193"/>
      <c r="X914" s="193"/>
      <c r="Y914" s="193"/>
      <c r="Z914" s="193"/>
      <c r="AA914" s="193"/>
      <c r="AB914" s="193"/>
      <c r="AC914" s="193"/>
      <c r="AD914" s="193"/>
      <c r="AE914" s="193"/>
      <c r="AF914" s="193"/>
      <c r="AG914" s="193"/>
      <c r="AH914" s="193"/>
      <c r="AI914" s="193"/>
      <c r="AJ914" s="193"/>
      <c r="AK914" s="193"/>
      <c r="AL914" s="193"/>
    </row>
    <row r="915" spans="7:38">
      <c r="G915" s="193"/>
      <c r="H915" s="193"/>
      <c r="I915" s="193"/>
      <c r="J915" s="193"/>
      <c r="K915" s="193"/>
      <c r="L915" s="193"/>
      <c r="M915" s="193"/>
      <c r="N915" s="193"/>
      <c r="O915" s="193"/>
      <c r="P915" s="193"/>
      <c r="Q915" s="193"/>
      <c r="R915" s="193"/>
      <c r="S915" s="193"/>
      <c r="T915" s="193"/>
      <c r="U915" s="193"/>
      <c r="V915" s="193"/>
      <c r="W915" s="193"/>
      <c r="X915" s="193"/>
      <c r="Y915" s="193"/>
      <c r="Z915" s="193"/>
      <c r="AA915" s="193"/>
      <c r="AB915" s="193"/>
      <c r="AC915" s="193"/>
      <c r="AD915" s="193"/>
      <c r="AE915" s="193"/>
      <c r="AF915" s="193"/>
      <c r="AG915" s="193"/>
      <c r="AH915" s="193"/>
      <c r="AI915" s="193"/>
      <c r="AJ915" s="193"/>
      <c r="AK915" s="193"/>
      <c r="AL915" s="193"/>
    </row>
    <row r="916" spans="7:38">
      <c r="G916" s="193"/>
      <c r="H916" s="193"/>
      <c r="I916" s="193"/>
      <c r="J916" s="193"/>
      <c r="K916" s="193"/>
      <c r="L916" s="193"/>
      <c r="M916" s="193"/>
      <c r="N916" s="193"/>
      <c r="O916" s="193"/>
      <c r="P916" s="193"/>
      <c r="Q916" s="193"/>
      <c r="R916" s="193"/>
      <c r="S916" s="193"/>
      <c r="T916" s="193"/>
      <c r="U916" s="193"/>
      <c r="V916" s="193"/>
      <c r="W916" s="193"/>
      <c r="X916" s="193"/>
      <c r="Y916" s="193"/>
      <c r="Z916" s="193"/>
      <c r="AA916" s="193"/>
      <c r="AB916" s="193"/>
      <c r="AC916" s="193"/>
      <c r="AD916" s="193"/>
      <c r="AE916" s="193"/>
      <c r="AF916" s="193"/>
      <c r="AG916" s="193"/>
      <c r="AH916" s="193"/>
      <c r="AI916" s="193"/>
      <c r="AJ916" s="193"/>
      <c r="AK916" s="193"/>
      <c r="AL916" s="193"/>
    </row>
    <row r="917" spans="7:38">
      <c r="G917" s="193"/>
      <c r="H917" s="193"/>
      <c r="I917" s="193"/>
      <c r="J917" s="193"/>
      <c r="K917" s="193"/>
      <c r="L917" s="193"/>
      <c r="M917" s="193"/>
      <c r="N917" s="193"/>
      <c r="O917" s="193"/>
      <c r="P917" s="193"/>
      <c r="Q917" s="193"/>
      <c r="R917" s="193"/>
      <c r="S917" s="193"/>
      <c r="T917" s="193"/>
      <c r="U917" s="193"/>
      <c r="V917" s="193"/>
      <c r="W917" s="193"/>
      <c r="X917" s="193"/>
      <c r="Y917" s="193"/>
      <c r="Z917" s="193"/>
      <c r="AA917" s="193"/>
      <c r="AB917" s="193"/>
      <c r="AC917" s="193"/>
      <c r="AD917" s="193"/>
      <c r="AE917" s="193"/>
      <c r="AF917" s="193"/>
      <c r="AG917" s="193"/>
      <c r="AH917" s="193"/>
      <c r="AI917" s="193"/>
      <c r="AJ917" s="193"/>
      <c r="AK917" s="193"/>
      <c r="AL917" s="193"/>
    </row>
    <row r="918" spans="7:38">
      <c r="G918" s="193"/>
      <c r="H918" s="193"/>
      <c r="I918" s="193"/>
      <c r="J918" s="193"/>
      <c r="K918" s="193"/>
      <c r="L918" s="193"/>
      <c r="M918" s="193"/>
      <c r="N918" s="193"/>
      <c r="O918" s="193"/>
      <c r="P918" s="193"/>
      <c r="Q918" s="193"/>
      <c r="R918" s="193"/>
      <c r="S918" s="193"/>
      <c r="T918" s="193"/>
      <c r="U918" s="193"/>
      <c r="V918" s="193"/>
      <c r="W918" s="193"/>
      <c r="X918" s="193"/>
      <c r="Y918" s="193"/>
      <c r="Z918" s="193"/>
      <c r="AA918" s="193"/>
      <c r="AB918" s="193"/>
      <c r="AC918" s="193"/>
      <c r="AD918" s="193"/>
      <c r="AE918" s="193"/>
      <c r="AF918" s="193"/>
      <c r="AG918" s="193"/>
      <c r="AH918" s="193"/>
      <c r="AI918" s="193"/>
      <c r="AJ918" s="193"/>
      <c r="AK918" s="193"/>
      <c r="AL918" s="193"/>
    </row>
    <row r="919" spans="7:38">
      <c r="G919" s="193"/>
      <c r="H919" s="193"/>
      <c r="I919" s="193"/>
      <c r="J919" s="193"/>
      <c r="K919" s="193"/>
      <c r="L919" s="193"/>
      <c r="M919" s="193"/>
      <c r="N919" s="193"/>
      <c r="O919" s="193"/>
      <c r="P919" s="193"/>
      <c r="Q919" s="193"/>
      <c r="R919" s="193"/>
      <c r="S919" s="193"/>
      <c r="T919" s="193"/>
      <c r="U919" s="193"/>
      <c r="V919" s="193"/>
      <c r="W919" s="193"/>
      <c r="X919" s="193"/>
      <c r="Y919" s="193"/>
      <c r="Z919" s="193"/>
      <c r="AA919" s="193"/>
      <c r="AB919" s="193"/>
      <c r="AC919" s="193"/>
      <c r="AD919" s="193"/>
      <c r="AE919" s="193"/>
      <c r="AF919" s="193"/>
      <c r="AG919" s="193"/>
      <c r="AH919" s="193"/>
      <c r="AI919" s="193"/>
      <c r="AJ919" s="193"/>
      <c r="AK919" s="193"/>
      <c r="AL919" s="193"/>
    </row>
    <row r="920" spans="7:38">
      <c r="G920" s="193"/>
      <c r="H920" s="193"/>
      <c r="I920" s="193"/>
      <c r="J920" s="193"/>
      <c r="K920" s="193"/>
      <c r="L920" s="193"/>
      <c r="M920" s="193"/>
      <c r="N920" s="193"/>
      <c r="O920" s="193"/>
      <c r="P920" s="193"/>
      <c r="Q920" s="193"/>
      <c r="R920" s="193"/>
      <c r="S920" s="193"/>
      <c r="T920" s="193"/>
      <c r="U920" s="193"/>
      <c r="V920" s="193"/>
      <c r="W920" s="193"/>
      <c r="X920" s="193"/>
      <c r="Y920" s="193"/>
      <c r="Z920" s="193"/>
      <c r="AA920" s="193"/>
      <c r="AB920" s="193"/>
      <c r="AC920" s="193"/>
      <c r="AD920" s="193"/>
      <c r="AE920" s="193"/>
      <c r="AF920" s="193"/>
      <c r="AG920" s="193"/>
      <c r="AH920" s="193"/>
      <c r="AI920" s="193"/>
      <c r="AJ920" s="193"/>
      <c r="AK920" s="193"/>
      <c r="AL920" s="193"/>
    </row>
    <row r="921" spans="7:38">
      <c r="G921" s="193"/>
      <c r="H921" s="193"/>
      <c r="I921" s="193"/>
      <c r="J921" s="193"/>
      <c r="K921" s="193"/>
      <c r="L921" s="193"/>
      <c r="M921" s="193"/>
      <c r="N921" s="193"/>
      <c r="O921" s="193"/>
      <c r="P921" s="193"/>
      <c r="Q921" s="193"/>
      <c r="R921" s="193"/>
      <c r="S921" s="193"/>
      <c r="T921" s="193"/>
      <c r="U921" s="193"/>
      <c r="V921" s="193"/>
      <c r="W921" s="193"/>
      <c r="X921" s="193"/>
      <c r="Y921" s="193"/>
      <c r="Z921" s="193"/>
      <c r="AA921" s="193"/>
      <c r="AB921" s="193"/>
      <c r="AC921" s="193"/>
      <c r="AD921" s="193"/>
      <c r="AE921" s="193"/>
      <c r="AF921" s="193"/>
      <c r="AG921" s="193"/>
      <c r="AH921" s="193"/>
      <c r="AI921" s="193"/>
      <c r="AJ921" s="193"/>
      <c r="AK921" s="193"/>
      <c r="AL921" s="193"/>
    </row>
    <row r="922" spans="7:38">
      <c r="G922" s="193"/>
      <c r="H922" s="193"/>
      <c r="I922" s="193"/>
      <c r="J922" s="193"/>
      <c r="K922" s="193"/>
      <c r="L922" s="193"/>
      <c r="M922" s="193"/>
      <c r="N922" s="193"/>
      <c r="O922" s="193"/>
      <c r="P922" s="193"/>
      <c r="Q922" s="193"/>
      <c r="R922" s="193"/>
      <c r="S922" s="193"/>
      <c r="T922" s="193"/>
      <c r="U922" s="193"/>
      <c r="V922" s="193"/>
      <c r="W922" s="193"/>
      <c r="X922" s="193"/>
      <c r="Y922" s="193"/>
      <c r="Z922" s="193"/>
      <c r="AA922" s="193"/>
      <c r="AB922" s="193"/>
      <c r="AC922" s="193"/>
      <c r="AD922" s="193"/>
      <c r="AE922" s="193"/>
      <c r="AF922" s="193"/>
      <c r="AG922" s="193"/>
      <c r="AH922" s="193"/>
      <c r="AI922" s="193"/>
      <c r="AJ922" s="193"/>
      <c r="AK922" s="193"/>
      <c r="AL922" s="193"/>
    </row>
    <row r="923" spans="7:38">
      <c r="G923" s="193"/>
      <c r="H923" s="193"/>
      <c r="I923" s="193"/>
      <c r="J923" s="193"/>
      <c r="K923" s="193"/>
      <c r="L923" s="193"/>
      <c r="M923" s="193"/>
      <c r="N923" s="193"/>
      <c r="O923" s="193"/>
      <c r="P923" s="193"/>
      <c r="Q923" s="193"/>
      <c r="R923" s="193"/>
      <c r="S923" s="193"/>
      <c r="T923" s="193"/>
      <c r="U923" s="193"/>
      <c r="V923" s="193"/>
      <c r="W923" s="193"/>
      <c r="X923" s="193"/>
      <c r="Y923" s="193"/>
      <c r="Z923" s="193"/>
      <c r="AA923" s="193"/>
      <c r="AB923" s="193"/>
      <c r="AC923" s="193"/>
      <c r="AD923" s="193"/>
      <c r="AE923" s="193"/>
      <c r="AF923" s="193"/>
      <c r="AG923" s="193"/>
      <c r="AH923" s="193"/>
      <c r="AI923" s="193"/>
      <c r="AJ923" s="193"/>
      <c r="AK923" s="193"/>
      <c r="AL923" s="193"/>
    </row>
    <row r="924" spans="7:38">
      <c r="G924" s="193"/>
      <c r="H924" s="193"/>
      <c r="I924" s="193"/>
      <c r="J924" s="193"/>
      <c r="K924" s="193"/>
      <c r="L924" s="193"/>
      <c r="M924" s="193"/>
      <c r="N924" s="193"/>
      <c r="O924" s="193"/>
      <c r="P924" s="193"/>
      <c r="Q924" s="193"/>
      <c r="R924" s="193"/>
      <c r="S924" s="193"/>
      <c r="T924" s="193"/>
      <c r="U924" s="193"/>
      <c r="V924" s="193"/>
      <c r="W924" s="193"/>
      <c r="X924" s="193"/>
      <c r="Y924" s="193"/>
      <c r="Z924" s="193"/>
      <c r="AA924" s="193"/>
      <c r="AB924" s="193"/>
      <c r="AC924" s="193"/>
      <c r="AD924" s="193"/>
      <c r="AE924" s="193"/>
      <c r="AF924" s="193"/>
      <c r="AG924" s="193"/>
      <c r="AH924" s="193"/>
      <c r="AI924" s="193"/>
      <c r="AJ924" s="193"/>
      <c r="AK924" s="193"/>
      <c r="AL924" s="193"/>
    </row>
    <row r="925" spans="7:38">
      <c r="G925" s="193"/>
      <c r="H925" s="193"/>
      <c r="I925" s="193"/>
      <c r="J925" s="193"/>
      <c r="K925" s="193"/>
      <c r="L925" s="193"/>
      <c r="M925" s="193"/>
      <c r="N925" s="193"/>
      <c r="O925" s="193"/>
      <c r="P925" s="193"/>
      <c r="Q925" s="193"/>
      <c r="R925" s="193"/>
      <c r="S925" s="193"/>
      <c r="T925" s="193"/>
      <c r="U925" s="193"/>
      <c r="V925" s="193"/>
      <c r="W925" s="193"/>
      <c r="X925" s="193"/>
      <c r="Y925" s="193"/>
      <c r="Z925" s="193"/>
      <c r="AA925" s="193"/>
      <c r="AB925" s="193"/>
      <c r="AC925" s="193"/>
      <c r="AD925" s="193"/>
      <c r="AE925" s="193"/>
      <c r="AF925" s="193"/>
      <c r="AG925" s="193"/>
      <c r="AH925" s="193"/>
      <c r="AI925" s="193"/>
      <c r="AJ925" s="193"/>
      <c r="AK925" s="193"/>
      <c r="AL925" s="193"/>
    </row>
    <row r="926" spans="7:38">
      <c r="G926" s="193"/>
      <c r="H926" s="193"/>
      <c r="I926" s="193"/>
      <c r="J926" s="193"/>
      <c r="K926" s="193"/>
      <c r="L926" s="193"/>
      <c r="M926" s="193"/>
      <c r="N926" s="193"/>
      <c r="O926" s="193"/>
      <c r="P926" s="193"/>
      <c r="Q926" s="193"/>
      <c r="R926" s="193"/>
      <c r="S926" s="193"/>
      <c r="T926" s="193"/>
      <c r="U926" s="193"/>
      <c r="V926" s="193"/>
      <c r="W926" s="193"/>
      <c r="X926" s="193"/>
      <c r="Y926" s="193"/>
      <c r="Z926" s="193"/>
      <c r="AA926" s="193"/>
      <c r="AB926" s="193"/>
      <c r="AC926" s="193"/>
      <c r="AD926" s="193"/>
      <c r="AE926" s="193"/>
      <c r="AF926" s="193"/>
      <c r="AG926" s="193"/>
      <c r="AH926" s="193"/>
      <c r="AI926" s="193"/>
      <c r="AJ926" s="193"/>
      <c r="AK926" s="193"/>
      <c r="AL926" s="193"/>
    </row>
    <row r="927" spans="7:38">
      <c r="G927" s="193"/>
      <c r="H927" s="193"/>
      <c r="I927" s="193"/>
      <c r="J927" s="193"/>
      <c r="K927" s="193"/>
      <c r="L927" s="193"/>
      <c r="M927" s="193"/>
      <c r="N927" s="193"/>
      <c r="O927" s="193"/>
      <c r="P927" s="193"/>
      <c r="Q927" s="193"/>
      <c r="R927" s="193"/>
      <c r="S927" s="193"/>
      <c r="T927" s="193"/>
      <c r="U927" s="193"/>
      <c r="V927" s="193"/>
      <c r="W927" s="193"/>
      <c r="X927" s="193"/>
      <c r="Y927" s="193"/>
      <c r="Z927" s="193"/>
      <c r="AA927" s="193"/>
      <c r="AB927" s="193"/>
      <c r="AC927" s="193"/>
      <c r="AD927" s="193"/>
      <c r="AE927" s="193"/>
      <c r="AF927" s="193"/>
      <c r="AG927" s="193"/>
      <c r="AH927" s="193"/>
      <c r="AI927" s="193"/>
      <c r="AJ927" s="193"/>
      <c r="AK927" s="193"/>
      <c r="AL927" s="193"/>
    </row>
    <row r="928" spans="7:38">
      <c r="G928" s="193"/>
      <c r="H928" s="193"/>
      <c r="I928" s="193"/>
      <c r="J928" s="193"/>
      <c r="K928" s="193"/>
      <c r="L928" s="193"/>
      <c r="M928" s="193"/>
      <c r="N928" s="193"/>
      <c r="O928" s="193"/>
      <c r="P928" s="193"/>
      <c r="Q928" s="193"/>
      <c r="R928" s="193"/>
      <c r="S928" s="193"/>
      <c r="T928" s="193"/>
      <c r="U928" s="193"/>
      <c r="V928" s="193"/>
      <c r="W928" s="193"/>
      <c r="X928" s="193"/>
      <c r="Y928" s="193"/>
      <c r="Z928" s="193"/>
      <c r="AA928" s="193"/>
      <c r="AB928" s="193"/>
      <c r="AC928" s="193"/>
      <c r="AD928" s="193"/>
      <c r="AE928" s="193"/>
      <c r="AF928" s="193"/>
      <c r="AG928" s="193"/>
      <c r="AH928" s="193"/>
      <c r="AI928" s="193"/>
      <c r="AJ928" s="193"/>
      <c r="AK928" s="193"/>
      <c r="AL928" s="193"/>
    </row>
    <row r="929" spans="7:38">
      <c r="G929" s="193"/>
      <c r="H929" s="193"/>
      <c r="I929" s="193"/>
      <c r="J929" s="193"/>
      <c r="K929" s="193"/>
      <c r="L929" s="193"/>
      <c r="M929" s="193"/>
      <c r="N929" s="193"/>
      <c r="O929" s="193"/>
      <c r="P929" s="193"/>
      <c r="Q929" s="193"/>
      <c r="R929" s="193"/>
      <c r="S929" s="193"/>
      <c r="T929" s="193"/>
      <c r="U929" s="193"/>
      <c r="V929" s="193"/>
      <c r="W929" s="193"/>
      <c r="X929" s="193"/>
      <c r="Y929" s="193"/>
      <c r="Z929" s="193"/>
      <c r="AA929" s="193"/>
      <c r="AB929" s="193"/>
      <c r="AC929" s="193"/>
      <c r="AD929" s="193"/>
      <c r="AE929" s="193"/>
      <c r="AF929" s="193"/>
      <c r="AG929" s="193"/>
      <c r="AH929" s="193"/>
      <c r="AI929" s="193"/>
      <c r="AJ929" s="193"/>
      <c r="AK929" s="193"/>
      <c r="AL929" s="193"/>
    </row>
    <row r="930" spans="7:38">
      <c r="G930" s="193"/>
      <c r="H930" s="193"/>
      <c r="I930" s="193"/>
      <c r="J930" s="193"/>
      <c r="K930" s="193"/>
      <c r="L930" s="193"/>
      <c r="M930" s="193"/>
      <c r="N930" s="193"/>
      <c r="O930" s="193"/>
      <c r="P930" s="193"/>
      <c r="Q930" s="193"/>
      <c r="R930" s="193"/>
      <c r="S930" s="193"/>
      <c r="T930" s="193"/>
      <c r="U930" s="193"/>
      <c r="V930" s="193"/>
      <c r="W930" s="193"/>
      <c r="X930" s="193"/>
      <c r="Y930" s="193"/>
      <c r="Z930" s="193"/>
      <c r="AA930" s="193"/>
      <c r="AB930" s="193"/>
      <c r="AC930" s="193"/>
      <c r="AD930" s="193"/>
      <c r="AE930" s="193"/>
      <c r="AF930" s="193"/>
      <c r="AG930" s="193"/>
      <c r="AH930" s="193"/>
      <c r="AI930" s="193"/>
      <c r="AJ930" s="193"/>
      <c r="AK930" s="193"/>
      <c r="AL930" s="193"/>
    </row>
    <row r="931" spans="7:38">
      <c r="G931" s="193"/>
      <c r="H931" s="193"/>
      <c r="I931" s="193"/>
      <c r="J931" s="193"/>
      <c r="K931" s="193"/>
      <c r="L931" s="193"/>
      <c r="M931" s="193"/>
      <c r="N931" s="193"/>
      <c r="O931" s="193"/>
      <c r="P931" s="193"/>
      <c r="Q931" s="193"/>
      <c r="R931" s="193"/>
      <c r="S931" s="193"/>
      <c r="T931" s="193"/>
      <c r="U931" s="193"/>
      <c r="V931" s="193"/>
      <c r="W931" s="193"/>
      <c r="X931" s="193"/>
      <c r="Y931" s="193"/>
      <c r="Z931" s="193"/>
      <c r="AA931" s="193"/>
      <c r="AB931" s="193"/>
      <c r="AC931" s="193"/>
      <c r="AD931" s="193"/>
      <c r="AE931" s="193"/>
      <c r="AF931" s="193"/>
      <c r="AG931" s="193"/>
      <c r="AH931" s="193"/>
      <c r="AI931" s="193"/>
      <c r="AJ931" s="193"/>
      <c r="AK931" s="193"/>
      <c r="AL931" s="193"/>
    </row>
    <row r="932" spans="7:38">
      <c r="G932" s="193"/>
      <c r="H932" s="193"/>
      <c r="I932" s="193"/>
      <c r="J932" s="193"/>
      <c r="K932" s="193"/>
      <c r="L932" s="193"/>
      <c r="M932" s="193"/>
      <c r="N932" s="193"/>
      <c r="O932" s="193"/>
      <c r="P932" s="193"/>
      <c r="Q932" s="193"/>
      <c r="R932" s="193"/>
      <c r="S932" s="193"/>
      <c r="T932" s="193"/>
      <c r="U932" s="193"/>
      <c r="V932" s="193"/>
      <c r="W932" s="193"/>
      <c r="X932" s="193"/>
      <c r="Y932" s="193"/>
      <c r="Z932" s="193"/>
      <c r="AA932" s="193"/>
      <c r="AB932" s="193"/>
      <c r="AC932" s="193"/>
      <c r="AD932" s="193"/>
      <c r="AE932" s="193"/>
      <c r="AF932" s="193"/>
      <c r="AG932" s="193"/>
      <c r="AH932" s="193"/>
      <c r="AI932" s="193"/>
      <c r="AJ932" s="193"/>
      <c r="AK932" s="193"/>
      <c r="AL932" s="193"/>
    </row>
    <row r="933" spans="7:38">
      <c r="G933" s="193"/>
      <c r="H933" s="193"/>
      <c r="I933" s="193"/>
      <c r="J933" s="193"/>
      <c r="K933" s="193"/>
      <c r="L933" s="193"/>
      <c r="M933" s="193"/>
      <c r="N933" s="193"/>
      <c r="O933" s="193"/>
      <c r="P933" s="193"/>
      <c r="Q933" s="193"/>
      <c r="R933" s="193"/>
      <c r="S933" s="193"/>
      <c r="T933" s="193"/>
      <c r="U933" s="193"/>
      <c r="V933" s="193"/>
      <c r="W933" s="193"/>
      <c r="X933" s="193"/>
      <c r="Y933" s="193"/>
      <c r="Z933" s="193"/>
      <c r="AA933" s="193"/>
      <c r="AB933" s="193"/>
      <c r="AC933" s="193"/>
      <c r="AD933" s="193"/>
      <c r="AE933" s="193"/>
      <c r="AF933" s="193"/>
      <c r="AG933" s="193"/>
      <c r="AH933" s="193"/>
      <c r="AI933" s="193"/>
      <c r="AJ933" s="193"/>
      <c r="AK933" s="193"/>
      <c r="AL933" s="193"/>
    </row>
    <row r="934" spans="7:38">
      <c r="G934" s="193"/>
      <c r="H934" s="193"/>
      <c r="I934" s="193"/>
      <c r="J934" s="193"/>
      <c r="K934" s="193"/>
      <c r="L934" s="193"/>
      <c r="M934" s="193"/>
      <c r="N934" s="193"/>
      <c r="O934" s="193"/>
      <c r="P934" s="193"/>
      <c r="Q934" s="193"/>
      <c r="R934" s="193"/>
      <c r="S934" s="193"/>
      <c r="T934" s="193"/>
      <c r="U934" s="193"/>
      <c r="V934" s="193"/>
      <c r="W934" s="193"/>
      <c r="X934" s="193"/>
      <c r="Y934" s="193"/>
      <c r="Z934" s="193"/>
      <c r="AA934" s="193"/>
      <c r="AB934" s="193"/>
      <c r="AC934" s="193"/>
      <c r="AD934" s="193"/>
      <c r="AE934" s="193"/>
      <c r="AF934" s="193"/>
      <c r="AG934" s="193"/>
      <c r="AH934" s="193"/>
      <c r="AI934" s="193"/>
      <c r="AJ934" s="193"/>
      <c r="AK934" s="193"/>
      <c r="AL934" s="193"/>
    </row>
    <row r="935" spans="7:38">
      <c r="G935" s="193"/>
      <c r="H935" s="193"/>
      <c r="I935" s="193"/>
      <c r="J935" s="193"/>
      <c r="K935" s="193"/>
      <c r="L935" s="193"/>
      <c r="M935" s="193"/>
      <c r="N935" s="193"/>
      <c r="O935" s="193"/>
      <c r="P935" s="193"/>
      <c r="Q935" s="193"/>
      <c r="R935" s="193"/>
      <c r="S935" s="193"/>
      <c r="T935" s="193"/>
      <c r="U935" s="193"/>
      <c r="V935" s="193"/>
      <c r="W935" s="193"/>
      <c r="X935" s="193"/>
      <c r="Y935" s="193"/>
      <c r="Z935" s="193"/>
      <c r="AA935" s="193"/>
      <c r="AB935" s="193"/>
      <c r="AC935" s="193"/>
      <c r="AD935" s="193"/>
      <c r="AE935" s="193"/>
      <c r="AF935" s="193"/>
      <c r="AG935" s="193"/>
      <c r="AH935" s="193"/>
      <c r="AI935" s="193"/>
      <c r="AJ935" s="193"/>
      <c r="AK935" s="193"/>
      <c r="AL935" s="193"/>
    </row>
    <row r="936" spans="7:38">
      <c r="G936" s="193"/>
      <c r="H936" s="193"/>
      <c r="I936" s="193"/>
      <c r="J936" s="193"/>
      <c r="K936" s="193"/>
      <c r="L936" s="193"/>
      <c r="M936" s="193"/>
      <c r="N936" s="193"/>
      <c r="O936" s="193"/>
      <c r="P936" s="193"/>
      <c r="Q936" s="193"/>
      <c r="R936" s="193"/>
      <c r="S936" s="193"/>
      <c r="T936" s="193"/>
      <c r="U936" s="193"/>
      <c r="V936" s="193"/>
      <c r="W936" s="193"/>
      <c r="X936" s="193"/>
      <c r="Y936" s="193"/>
      <c r="Z936" s="193"/>
      <c r="AA936" s="193"/>
      <c r="AB936" s="193"/>
      <c r="AC936" s="193"/>
      <c r="AD936" s="193"/>
      <c r="AE936" s="193"/>
      <c r="AF936" s="193"/>
      <c r="AG936" s="193"/>
      <c r="AH936" s="193"/>
      <c r="AI936" s="193"/>
      <c r="AJ936" s="193"/>
      <c r="AK936" s="193"/>
      <c r="AL936" s="193"/>
    </row>
    <row r="937" spans="7:38">
      <c r="G937" s="193"/>
      <c r="H937" s="193"/>
      <c r="I937" s="193"/>
      <c r="J937" s="193"/>
      <c r="K937" s="193"/>
      <c r="L937" s="193"/>
      <c r="M937" s="193"/>
      <c r="N937" s="193"/>
      <c r="O937" s="193"/>
      <c r="P937" s="193"/>
      <c r="Q937" s="193"/>
      <c r="R937" s="193"/>
      <c r="S937" s="193"/>
      <c r="T937" s="193"/>
      <c r="U937" s="193"/>
      <c r="V937" s="193"/>
      <c r="W937" s="193"/>
      <c r="X937" s="193"/>
      <c r="Y937" s="193"/>
      <c r="Z937" s="193"/>
      <c r="AA937" s="193"/>
      <c r="AB937" s="193"/>
      <c r="AC937" s="193"/>
      <c r="AD937" s="193"/>
      <c r="AE937" s="193"/>
      <c r="AF937" s="193"/>
      <c r="AG937" s="193"/>
      <c r="AH937" s="193"/>
      <c r="AI937" s="193"/>
      <c r="AJ937" s="193"/>
      <c r="AK937" s="193"/>
      <c r="AL937" s="193"/>
    </row>
    <row r="938" spans="7:38">
      <c r="G938" s="193"/>
      <c r="H938" s="193"/>
      <c r="I938" s="193"/>
      <c r="J938" s="193"/>
      <c r="K938" s="193"/>
      <c r="L938" s="193"/>
      <c r="M938" s="193"/>
      <c r="N938" s="193"/>
      <c r="O938" s="193"/>
      <c r="P938" s="193"/>
      <c r="Q938" s="193"/>
      <c r="R938" s="193"/>
      <c r="S938" s="193"/>
      <c r="T938" s="193"/>
      <c r="U938" s="193"/>
      <c r="V938" s="193"/>
      <c r="W938" s="193"/>
      <c r="X938" s="193"/>
      <c r="Y938" s="193"/>
      <c r="Z938" s="193"/>
      <c r="AA938" s="193"/>
      <c r="AB938" s="193"/>
      <c r="AC938" s="193"/>
      <c r="AD938" s="193"/>
      <c r="AE938" s="193"/>
      <c r="AF938" s="193"/>
      <c r="AG938" s="193"/>
      <c r="AH938" s="193"/>
      <c r="AI938" s="193"/>
      <c r="AJ938" s="193"/>
      <c r="AK938" s="193"/>
      <c r="AL938" s="193"/>
    </row>
    <row r="939" spans="7:38">
      <c r="G939" s="193"/>
      <c r="H939" s="193"/>
      <c r="I939" s="193"/>
      <c r="J939" s="193"/>
      <c r="K939" s="193"/>
      <c r="L939" s="193"/>
      <c r="M939" s="193"/>
      <c r="N939" s="193"/>
      <c r="O939" s="193"/>
      <c r="P939" s="193"/>
      <c r="Q939" s="193"/>
      <c r="R939" s="193"/>
      <c r="S939" s="193"/>
      <c r="T939" s="193"/>
      <c r="U939" s="193"/>
      <c r="V939" s="193"/>
      <c r="W939" s="193"/>
      <c r="X939" s="193"/>
      <c r="Y939" s="193"/>
      <c r="Z939" s="193"/>
      <c r="AA939" s="193"/>
      <c r="AB939" s="193"/>
      <c r="AC939" s="193"/>
      <c r="AD939" s="193"/>
      <c r="AE939" s="193"/>
      <c r="AF939" s="193"/>
      <c r="AG939" s="193"/>
      <c r="AH939" s="193"/>
      <c r="AI939" s="193"/>
      <c r="AJ939" s="193"/>
      <c r="AK939" s="193"/>
      <c r="AL939" s="193"/>
    </row>
    <row r="940" spans="7:38">
      <c r="G940" s="193"/>
      <c r="H940" s="193"/>
      <c r="I940" s="193"/>
      <c r="J940" s="193"/>
      <c r="K940" s="193"/>
      <c r="L940" s="193"/>
      <c r="M940" s="193"/>
      <c r="N940" s="193"/>
      <c r="O940" s="193"/>
      <c r="P940" s="193"/>
      <c r="Q940" s="193"/>
      <c r="R940" s="193"/>
      <c r="S940" s="193"/>
      <c r="T940" s="193"/>
      <c r="U940" s="193"/>
      <c r="V940" s="193"/>
      <c r="W940" s="193"/>
      <c r="X940" s="193"/>
      <c r="Y940" s="193"/>
      <c r="Z940" s="193"/>
      <c r="AA940" s="193"/>
      <c r="AB940" s="193"/>
      <c r="AC940" s="193"/>
      <c r="AD940" s="193"/>
      <c r="AE940" s="193"/>
      <c r="AF940" s="193"/>
      <c r="AG940" s="193"/>
      <c r="AH940" s="193"/>
      <c r="AI940" s="193"/>
      <c r="AJ940" s="193"/>
      <c r="AK940" s="193"/>
      <c r="AL940" s="193"/>
    </row>
    <row r="941" spans="7:38">
      <c r="G941" s="193"/>
      <c r="H941" s="193"/>
      <c r="I941" s="193"/>
      <c r="J941" s="193"/>
      <c r="K941" s="193"/>
      <c r="L941" s="193"/>
      <c r="M941" s="193"/>
      <c r="N941" s="193"/>
      <c r="O941" s="193"/>
      <c r="P941" s="193"/>
      <c r="Q941" s="193"/>
      <c r="R941" s="193"/>
      <c r="S941" s="193"/>
      <c r="T941" s="193"/>
      <c r="U941" s="193"/>
      <c r="V941" s="193"/>
      <c r="W941" s="193"/>
      <c r="X941" s="193"/>
      <c r="Y941" s="193"/>
      <c r="Z941" s="193"/>
      <c r="AA941" s="193"/>
      <c r="AB941" s="193"/>
      <c r="AC941" s="193"/>
      <c r="AD941" s="193"/>
      <c r="AE941" s="193"/>
      <c r="AF941" s="193"/>
      <c r="AG941" s="193"/>
      <c r="AH941" s="193"/>
      <c r="AI941" s="193"/>
      <c r="AJ941" s="193"/>
      <c r="AK941" s="193"/>
      <c r="AL941" s="193"/>
    </row>
    <row r="942" spans="7:38">
      <c r="G942" s="193"/>
      <c r="H942" s="193"/>
      <c r="I942" s="193"/>
      <c r="J942" s="193"/>
      <c r="K942" s="193"/>
      <c r="L942" s="193"/>
      <c r="M942" s="193"/>
      <c r="N942" s="193"/>
      <c r="O942" s="193"/>
      <c r="P942" s="193"/>
      <c r="Q942" s="193"/>
      <c r="R942" s="193"/>
      <c r="S942" s="193"/>
      <c r="T942" s="193"/>
      <c r="U942" s="193"/>
      <c r="V942" s="193"/>
      <c r="W942" s="193"/>
      <c r="X942" s="193"/>
      <c r="Y942" s="193"/>
      <c r="Z942" s="193"/>
      <c r="AA942" s="193"/>
      <c r="AB942" s="193"/>
      <c r="AC942" s="193"/>
      <c r="AD942" s="193"/>
      <c r="AE942" s="193"/>
      <c r="AF942" s="193"/>
      <c r="AG942" s="193"/>
      <c r="AH942" s="193"/>
      <c r="AI942" s="193"/>
      <c r="AJ942" s="193"/>
      <c r="AK942" s="193"/>
      <c r="AL942" s="193"/>
    </row>
    <row r="943" spans="7:38">
      <c r="G943" s="193"/>
      <c r="H943" s="193"/>
      <c r="I943" s="193"/>
      <c r="J943" s="193"/>
      <c r="K943" s="193"/>
      <c r="L943" s="193"/>
      <c r="M943" s="193"/>
      <c r="N943" s="193"/>
      <c r="O943" s="193"/>
      <c r="P943" s="193"/>
      <c r="Q943" s="193"/>
      <c r="R943" s="193"/>
      <c r="S943" s="193"/>
      <c r="T943" s="193"/>
      <c r="U943" s="193"/>
      <c r="V943" s="193"/>
      <c r="W943" s="193"/>
      <c r="X943" s="193"/>
      <c r="Y943" s="193"/>
      <c r="Z943" s="193"/>
      <c r="AA943" s="193"/>
      <c r="AB943" s="193"/>
      <c r="AC943" s="193"/>
      <c r="AD943" s="193"/>
      <c r="AE943" s="193"/>
      <c r="AF943" s="193"/>
      <c r="AG943" s="193"/>
      <c r="AH943" s="193"/>
      <c r="AI943" s="193"/>
      <c r="AJ943" s="193"/>
      <c r="AK943" s="193"/>
      <c r="AL943" s="193"/>
    </row>
    <row r="944" spans="7:38">
      <c r="G944" s="193"/>
      <c r="H944" s="193"/>
      <c r="I944" s="193"/>
      <c r="J944" s="193"/>
      <c r="K944" s="193"/>
      <c r="L944" s="193"/>
      <c r="M944" s="193"/>
      <c r="N944" s="193"/>
      <c r="O944" s="193"/>
      <c r="P944" s="193"/>
      <c r="Q944" s="193"/>
      <c r="R944" s="193"/>
      <c r="S944" s="193"/>
      <c r="T944" s="193"/>
      <c r="U944" s="193"/>
      <c r="V944" s="193"/>
      <c r="W944" s="193"/>
      <c r="X944" s="193"/>
      <c r="Y944" s="193"/>
      <c r="Z944" s="193"/>
      <c r="AA944" s="193"/>
      <c r="AB944" s="193"/>
      <c r="AC944" s="193"/>
      <c r="AD944" s="193"/>
      <c r="AE944" s="193"/>
      <c r="AF944" s="193"/>
      <c r="AG944" s="193"/>
      <c r="AH944" s="193"/>
      <c r="AI944" s="193"/>
      <c r="AJ944" s="193"/>
      <c r="AK944" s="193"/>
      <c r="AL944" s="193"/>
    </row>
    <row r="945" spans="7:38">
      <c r="G945" s="193"/>
      <c r="H945" s="193"/>
      <c r="I945" s="193"/>
      <c r="J945" s="193"/>
      <c r="K945" s="193"/>
      <c r="L945" s="193"/>
      <c r="M945" s="193"/>
      <c r="N945" s="193"/>
      <c r="O945" s="193"/>
      <c r="P945" s="193"/>
      <c r="Q945" s="193"/>
      <c r="R945" s="193"/>
      <c r="S945" s="193"/>
      <c r="T945" s="193"/>
      <c r="U945" s="193"/>
      <c r="V945" s="193"/>
      <c r="W945" s="193"/>
      <c r="X945" s="193"/>
      <c r="Y945" s="193"/>
      <c r="Z945" s="193"/>
      <c r="AA945" s="193"/>
      <c r="AB945" s="193"/>
      <c r="AC945" s="193"/>
      <c r="AD945" s="193"/>
      <c r="AE945" s="193"/>
      <c r="AF945" s="193"/>
      <c r="AG945" s="193"/>
      <c r="AH945" s="193"/>
      <c r="AI945" s="193"/>
      <c r="AJ945" s="193"/>
      <c r="AK945" s="193"/>
      <c r="AL945" s="193"/>
    </row>
    <row r="946" spans="7:38">
      <c r="G946" s="193"/>
      <c r="H946" s="193"/>
      <c r="I946" s="193"/>
      <c r="J946" s="193"/>
      <c r="K946" s="193"/>
      <c r="L946" s="193"/>
      <c r="M946" s="193"/>
      <c r="N946" s="193"/>
      <c r="O946" s="193"/>
      <c r="P946" s="193"/>
      <c r="Q946" s="193"/>
      <c r="R946" s="193"/>
      <c r="S946" s="193"/>
      <c r="T946" s="193"/>
      <c r="U946" s="193"/>
      <c r="V946" s="193"/>
      <c r="W946" s="193"/>
      <c r="X946" s="193"/>
      <c r="Y946" s="193"/>
      <c r="Z946" s="193"/>
      <c r="AA946" s="193"/>
      <c r="AB946" s="193"/>
      <c r="AC946" s="193"/>
      <c r="AD946" s="193"/>
      <c r="AE946" s="193"/>
      <c r="AF946" s="193"/>
      <c r="AG946" s="193"/>
      <c r="AH946" s="193"/>
      <c r="AI946" s="193"/>
      <c r="AJ946" s="193"/>
      <c r="AK946" s="193"/>
      <c r="AL946" s="193"/>
    </row>
    <row r="947" spans="7:38">
      <c r="G947" s="193"/>
      <c r="H947" s="193"/>
      <c r="I947" s="193"/>
      <c r="J947" s="193"/>
      <c r="K947" s="193"/>
      <c r="L947" s="193"/>
      <c r="M947" s="193"/>
      <c r="N947" s="193"/>
      <c r="O947" s="193"/>
      <c r="P947" s="193"/>
      <c r="Q947" s="193"/>
      <c r="R947" s="193"/>
      <c r="S947" s="193"/>
      <c r="T947" s="193"/>
      <c r="U947" s="193"/>
      <c r="V947" s="193"/>
      <c r="W947" s="193"/>
      <c r="X947" s="193"/>
      <c r="Y947" s="193"/>
      <c r="Z947" s="193"/>
      <c r="AA947" s="193"/>
      <c r="AB947" s="193"/>
      <c r="AC947" s="193"/>
      <c r="AD947" s="193"/>
      <c r="AE947" s="193"/>
      <c r="AF947" s="193"/>
      <c r="AG947" s="193"/>
      <c r="AH947" s="193"/>
      <c r="AI947" s="193"/>
      <c r="AJ947" s="193"/>
      <c r="AK947" s="193"/>
      <c r="AL947" s="193"/>
    </row>
    <row r="948" spans="7:38">
      <c r="G948" s="193"/>
      <c r="H948" s="193"/>
      <c r="I948" s="193"/>
      <c r="J948" s="193"/>
      <c r="K948" s="193"/>
      <c r="L948" s="193"/>
      <c r="M948" s="193"/>
      <c r="N948" s="193"/>
      <c r="O948" s="193"/>
      <c r="P948" s="193"/>
      <c r="Q948" s="193"/>
      <c r="R948" s="193"/>
      <c r="S948" s="193"/>
      <c r="T948" s="193"/>
      <c r="U948" s="193"/>
      <c r="V948" s="193"/>
      <c r="W948" s="193"/>
      <c r="X948" s="193"/>
      <c r="Y948" s="193"/>
      <c r="Z948" s="193"/>
      <c r="AA948" s="193"/>
      <c r="AB948" s="193"/>
      <c r="AC948" s="193"/>
      <c r="AD948" s="193"/>
      <c r="AE948" s="193"/>
      <c r="AF948" s="193"/>
      <c r="AG948" s="193"/>
      <c r="AH948" s="193"/>
      <c r="AI948" s="193"/>
      <c r="AJ948" s="193"/>
      <c r="AK948" s="193"/>
      <c r="AL948" s="193"/>
    </row>
    <row r="949" spans="7:38">
      <c r="G949" s="193"/>
      <c r="H949" s="193"/>
      <c r="I949" s="193"/>
      <c r="J949" s="193"/>
      <c r="K949" s="193"/>
      <c r="L949" s="193"/>
      <c r="M949" s="193"/>
      <c r="N949" s="193"/>
      <c r="O949" s="193"/>
      <c r="P949" s="193"/>
      <c r="Q949" s="193"/>
      <c r="R949" s="193"/>
      <c r="S949" s="193"/>
      <c r="T949" s="193"/>
      <c r="U949" s="193"/>
      <c r="V949" s="193"/>
      <c r="W949" s="193"/>
      <c r="X949" s="193"/>
      <c r="Y949" s="193"/>
      <c r="Z949" s="193"/>
      <c r="AA949" s="193"/>
      <c r="AB949" s="193"/>
      <c r="AC949" s="193"/>
      <c r="AD949" s="193"/>
      <c r="AE949" s="193"/>
      <c r="AF949" s="193"/>
      <c r="AG949" s="193"/>
      <c r="AH949" s="193"/>
      <c r="AI949" s="193"/>
      <c r="AJ949" s="193"/>
      <c r="AK949" s="193"/>
      <c r="AL949" s="193"/>
    </row>
    <row r="950" spans="7:38">
      <c r="G950" s="193"/>
      <c r="H950" s="193"/>
      <c r="I950" s="193"/>
      <c r="J950" s="193"/>
      <c r="K950" s="193"/>
      <c r="L950" s="193"/>
      <c r="M950" s="193"/>
      <c r="N950" s="193"/>
      <c r="O950" s="193"/>
      <c r="P950" s="193"/>
      <c r="Q950" s="193"/>
      <c r="R950" s="193"/>
      <c r="S950" s="193"/>
      <c r="T950" s="193"/>
      <c r="U950" s="193"/>
      <c r="V950" s="193"/>
      <c r="W950" s="193"/>
      <c r="X950" s="193"/>
      <c r="Y950" s="193"/>
      <c r="Z950" s="193"/>
      <c r="AA950" s="193"/>
      <c r="AB950" s="193"/>
      <c r="AC950" s="193"/>
      <c r="AD950" s="193"/>
      <c r="AE950" s="193"/>
      <c r="AF950" s="193"/>
      <c r="AG950" s="193"/>
      <c r="AH950" s="193"/>
      <c r="AI950" s="193"/>
      <c r="AJ950" s="193"/>
      <c r="AK950" s="193"/>
      <c r="AL950" s="193"/>
    </row>
    <row r="951" spans="7:38">
      <c r="G951" s="193"/>
      <c r="H951" s="193"/>
      <c r="I951" s="193"/>
      <c r="J951" s="193"/>
      <c r="K951" s="193"/>
      <c r="L951" s="193"/>
      <c r="M951" s="193"/>
      <c r="N951" s="193"/>
      <c r="O951" s="193"/>
      <c r="P951" s="193"/>
      <c r="Q951" s="193"/>
      <c r="R951" s="193"/>
      <c r="S951" s="193"/>
      <c r="T951" s="193"/>
      <c r="U951" s="193"/>
      <c r="V951" s="193"/>
      <c r="W951" s="193"/>
      <c r="X951" s="193"/>
      <c r="Y951" s="193"/>
      <c r="Z951" s="193"/>
      <c r="AA951" s="193"/>
      <c r="AB951" s="193"/>
      <c r="AC951" s="193"/>
      <c r="AD951" s="193"/>
      <c r="AE951" s="193"/>
      <c r="AF951" s="193"/>
      <c r="AG951" s="193"/>
      <c r="AH951" s="193"/>
      <c r="AI951" s="193"/>
      <c r="AJ951" s="193"/>
      <c r="AK951" s="193"/>
      <c r="AL951" s="193"/>
    </row>
    <row r="952" spans="7:38">
      <c r="G952" s="193"/>
      <c r="H952" s="193"/>
      <c r="I952" s="193"/>
      <c r="J952" s="193"/>
      <c r="K952" s="193"/>
      <c r="L952" s="193"/>
      <c r="M952" s="193"/>
      <c r="N952" s="193"/>
      <c r="O952" s="193"/>
      <c r="P952" s="193"/>
      <c r="Q952" s="193"/>
      <c r="R952" s="193"/>
      <c r="S952" s="193"/>
      <c r="T952" s="193"/>
      <c r="U952" s="193"/>
      <c r="V952" s="193"/>
      <c r="W952" s="193"/>
      <c r="X952" s="193"/>
      <c r="Y952" s="193"/>
      <c r="Z952" s="193"/>
      <c r="AA952" s="193"/>
      <c r="AB952" s="193"/>
      <c r="AC952" s="193"/>
      <c r="AD952" s="193"/>
      <c r="AE952" s="193"/>
      <c r="AF952" s="193"/>
      <c r="AG952" s="193"/>
      <c r="AH952" s="193"/>
      <c r="AI952" s="193"/>
      <c r="AJ952" s="193"/>
      <c r="AK952" s="193"/>
      <c r="AL952" s="193"/>
    </row>
    <row r="953" spans="7:38">
      <c r="G953" s="193"/>
      <c r="H953" s="193"/>
      <c r="I953" s="193"/>
      <c r="J953" s="193"/>
      <c r="K953" s="193"/>
      <c r="L953" s="193"/>
      <c r="M953" s="193"/>
      <c r="N953" s="193"/>
      <c r="O953" s="193"/>
      <c r="P953" s="193"/>
      <c r="Q953" s="193"/>
      <c r="R953" s="193"/>
      <c r="S953" s="193"/>
      <c r="T953" s="193"/>
      <c r="U953" s="193"/>
      <c r="V953" s="193"/>
      <c r="W953" s="193"/>
      <c r="X953" s="193"/>
      <c r="Y953" s="193"/>
      <c r="Z953" s="193"/>
      <c r="AA953" s="193"/>
      <c r="AB953" s="193"/>
      <c r="AC953" s="193"/>
      <c r="AD953" s="193"/>
      <c r="AE953" s="193"/>
      <c r="AF953" s="193"/>
      <c r="AG953" s="193"/>
      <c r="AH953" s="193"/>
      <c r="AI953" s="193"/>
      <c r="AJ953" s="193"/>
      <c r="AK953" s="193"/>
      <c r="AL953" s="193"/>
    </row>
    <row r="954" spans="7:38">
      <c r="G954" s="193"/>
      <c r="H954" s="193"/>
      <c r="I954" s="193"/>
      <c r="J954" s="193"/>
      <c r="K954" s="193"/>
      <c r="L954" s="193"/>
      <c r="M954" s="193"/>
      <c r="N954" s="193"/>
      <c r="O954" s="193"/>
      <c r="P954" s="193"/>
      <c r="Q954" s="193"/>
      <c r="R954" s="193"/>
      <c r="S954" s="193"/>
      <c r="T954" s="193"/>
      <c r="U954" s="193"/>
      <c r="V954" s="193"/>
      <c r="W954" s="193"/>
      <c r="X954" s="193"/>
      <c r="Y954" s="193"/>
      <c r="Z954" s="193"/>
      <c r="AA954" s="193"/>
      <c r="AB954" s="193"/>
      <c r="AC954" s="193"/>
      <c r="AD954" s="193"/>
      <c r="AE954" s="193"/>
      <c r="AF954" s="193"/>
      <c r="AG954" s="193"/>
      <c r="AH954" s="193"/>
      <c r="AI954" s="193"/>
      <c r="AJ954" s="193"/>
      <c r="AK954" s="193"/>
      <c r="AL954" s="193"/>
    </row>
    <row r="955" spans="7:38">
      <c r="G955" s="193"/>
      <c r="H955" s="193"/>
      <c r="I955" s="193"/>
      <c r="J955" s="193"/>
      <c r="K955" s="193"/>
      <c r="L955" s="193"/>
      <c r="M955" s="193"/>
      <c r="N955" s="193"/>
      <c r="O955" s="193"/>
      <c r="P955" s="193"/>
      <c r="Q955" s="193"/>
      <c r="R955" s="193"/>
      <c r="S955" s="193"/>
      <c r="T955" s="193"/>
      <c r="U955" s="193"/>
      <c r="V955" s="193"/>
      <c r="W955" s="193"/>
      <c r="X955" s="193"/>
      <c r="Y955" s="193"/>
      <c r="Z955" s="193"/>
      <c r="AA955" s="193"/>
      <c r="AB955" s="193"/>
      <c r="AC955" s="193"/>
      <c r="AD955" s="193"/>
      <c r="AE955" s="193"/>
      <c r="AF955" s="193"/>
      <c r="AG955" s="193"/>
      <c r="AH955" s="193"/>
      <c r="AI955" s="193"/>
      <c r="AJ955" s="193"/>
      <c r="AK955" s="193"/>
      <c r="AL955" s="193"/>
    </row>
    <row r="956" spans="7:38">
      <c r="G956" s="193"/>
      <c r="H956" s="193"/>
      <c r="I956" s="193"/>
      <c r="J956" s="193"/>
      <c r="K956" s="193"/>
      <c r="L956" s="193"/>
      <c r="M956" s="193"/>
      <c r="N956" s="193"/>
      <c r="O956" s="193"/>
      <c r="P956" s="193"/>
      <c r="Q956" s="193"/>
      <c r="R956" s="193"/>
      <c r="S956" s="193"/>
      <c r="T956" s="193"/>
      <c r="U956" s="193"/>
      <c r="V956" s="193"/>
      <c r="W956" s="193"/>
      <c r="X956" s="193"/>
      <c r="Y956" s="193"/>
      <c r="Z956" s="193"/>
      <c r="AA956" s="193"/>
      <c r="AB956" s="193"/>
      <c r="AC956" s="193"/>
      <c r="AD956" s="193"/>
      <c r="AE956" s="193"/>
      <c r="AF956" s="193"/>
      <c r="AG956" s="193"/>
      <c r="AH956" s="193"/>
      <c r="AI956" s="193"/>
      <c r="AJ956" s="193"/>
      <c r="AK956" s="193"/>
      <c r="AL956" s="193"/>
    </row>
    <row r="957" spans="7:38">
      <c r="G957" s="193"/>
      <c r="H957" s="193"/>
      <c r="I957" s="193"/>
      <c r="J957" s="193"/>
      <c r="K957" s="193"/>
      <c r="L957" s="193"/>
      <c r="M957" s="193"/>
      <c r="N957" s="193"/>
      <c r="O957" s="193"/>
      <c r="P957" s="193"/>
      <c r="Q957" s="193"/>
      <c r="R957" s="193"/>
      <c r="S957" s="193"/>
      <c r="T957" s="193"/>
      <c r="U957" s="193"/>
      <c r="V957" s="193"/>
      <c r="W957" s="193"/>
      <c r="X957" s="193"/>
      <c r="Y957" s="193"/>
      <c r="Z957" s="193"/>
      <c r="AA957" s="193"/>
      <c r="AB957" s="193"/>
      <c r="AC957" s="193"/>
      <c r="AD957" s="193"/>
      <c r="AE957" s="193"/>
      <c r="AF957" s="193"/>
      <c r="AG957" s="193"/>
      <c r="AH957" s="193"/>
      <c r="AI957" s="193"/>
      <c r="AJ957" s="193"/>
      <c r="AK957" s="193"/>
      <c r="AL957" s="193"/>
    </row>
    <row r="958" spans="7:38">
      <c r="G958" s="193"/>
      <c r="H958" s="193"/>
      <c r="I958" s="193"/>
      <c r="J958" s="193"/>
      <c r="K958" s="193"/>
      <c r="L958" s="193"/>
      <c r="M958" s="193"/>
      <c r="N958" s="193"/>
      <c r="O958" s="193"/>
      <c r="P958" s="193"/>
      <c r="Q958" s="193"/>
      <c r="R958" s="193"/>
      <c r="S958" s="193"/>
      <c r="T958" s="193"/>
      <c r="U958" s="193"/>
      <c r="V958" s="193"/>
      <c r="W958" s="193"/>
      <c r="X958" s="193"/>
      <c r="Y958" s="193"/>
      <c r="Z958" s="193"/>
      <c r="AA958" s="193"/>
      <c r="AB958" s="193"/>
      <c r="AC958" s="193"/>
      <c r="AD958" s="193"/>
      <c r="AE958" s="193"/>
      <c r="AF958" s="193"/>
      <c r="AG958" s="193"/>
      <c r="AH958" s="193"/>
      <c r="AI958" s="193"/>
      <c r="AJ958" s="193"/>
      <c r="AK958" s="193"/>
      <c r="AL958" s="193"/>
    </row>
    <row r="959" spans="7:38">
      <c r="G959" s="193"/>
      <c r="H959" s="193"/>
      <c r="I959" s="193"/>
      <c r="J959" s="193"/>
      <c r="K959" s="193"/>
      <c r="L959" s="193"/>
      <c r="M959" s="193"/>
      <c r="N959" s="193"/>
      <c r="O959" s="193"/>
      <c r="P959" s="193"/>
      <c r="Q959" s="193"/>
      <c r="R959" s="193"/>
      <c r="S959" s="193"/>
      <c r="T959" s="193"/>
      <c r="U959" s="193"/>
      <c r="V959" s="193"/>
      <c r="W959" s="193"/>
      <c r="X959" s="193"/>
      <c r="Y959" s="193"/>
      <c r="Z959" s="193"/>
      <c r="AA959" s="193"/>
      <c r="AB959" s="193"/>
      <c r="AC959" s="193"/>
      <c r="AD959" s="193"/>
      <c r="AE959" s="193"/>
      <c r="AF959" s="193"/>
      <c r="AG959" s="193"/>
      <c r="AH959" s="193"/>
      <c r="AI959" s="193"/>
      <c r="AJ959" s="193"/>
      <c r="AK959" s="193"/>
      <c r="AL959" s="193"/>
    </row>
    <row r="960" spans="7:38">
      <c r="G960" s="193"/>
      <c r="H960" s="193"/>
      <c r="I960" s="193"/>
      <c r="J960" s="193"/>
      <c r="K960" s="193"/>
      <c r="L960" s="193"/>
      <c r="M960" s="193"/>
      <c r="N960" s="193"/>
      <c r="O960" s="193"/>
      <c r="P960" s="193"/>
      <c r="Q960" s="193"/>
      <c r="R960" s="193"/>
      <c r="S960" s="193"/>
      <c r="T960" s="193"/>
      <c r="U960" s="193"/>
      <c r="V960" s="193"/>
      <c r="W960" s="193"/>
      <c r="X960" s="193"/>
      <c r="Y960" s="193"/>
      <c r="Z960" s="193"/>
      <c r="AA960" s="193"/>
      <c r="AB960" s="193"/>
      <c r="AC960" s="193"/>
      <c r="AD960" s="193"/>
      <c r="AE960" s="193"/>
      <c r="AF960" s="193"/>
      <c r="AG960" s="193"/>
      <c r="AH960" s="193"/>
      <c r="AI960" s="193"/>
      <c r="AJ960" s="193"/>
      <c r="AK960" s="193"/>
      <c r="AL960" s="193"/>
    </row>
    <row r="961" spans="7:38">
      <c r="G961" s="193"/>
      <c r="H961" s="193"/>
      <c r="I961" s="193"/>
      <c r="J961" s="193"/>
      <c r="K961" s="193"/>
      <c r="L961" s="193"/>
      <c r="M961" s="193"/>
      <c r="N961" s="193"/>
      <c r="O961" s="193"/>
      <c r="P961" s="193"/>
      <c r="Q961" s="193"/>
      <c r="R961" s="193"/>
      <c r="S961" s="193"/>
      <c r="T961" s="193"/>
      <c r="U961" s="193"/>
      <c r="V961" s="193"/>
      <c r="W961" s="193"/>
      <c r="X961" s="193"/>
      <c r="Y961" s="193"/>
      <c r="Z961" s="193"/>
      <c r="AA961" s="193"/>
      <c r="AB961" s="193"/>
      <c r="AC961" s="193"/>
      <c r="AD961" s="193"/>
      <c r="AE961" s="193"/>
      <c r="AF961" s="193"/>
      <c r="AG961" s="193"/>
      <c r="AH961" s="193"/>
      <c r="AI961" s="193"/>
      <c r="AJ961" s="193"/>
      <c r="AK961" s="193"/>
      <c r="AL961" s="193"/>
    </row>
    <row r="962" spans="7:38">
      <c r="G962" s="193"/>
      <c r="H962" s="193"/>
      <c r="I962" s="193"/>
      <c r="J962" s="193"/>
      <c r="K962" s="193"/>
      <c r="L962" s="193"/>
      <c r="M962" s="193"/>
      <c r="N962" s="193"/>
      <c r="O962" s="193"/>
      <c r="P962" s="193"/>
      <c r="Q962" s="193"/>
      <c r="R962" s="193"/>
      <c r="S962" s="193"/>
      <c r="T962" s="193"/>
      <c r="U962" s="193"/>
      <c r="V962" s="193"/>
      <c r="W962" s="193"/>
      <c r="X962" s="193"/>
      <c r="Y962" s="193"/>
      <c r="Z962" s="193"/>
      <c r="AA962" s="193"/>
      <c r="AB962" s="193"/>
      <c r="AC962" s="193"/>
      <c r="AD962" s="193"/>
      <c r="AE962" s="193"/>
      <c r="AF962" s="193"/>
      <c r="AG962" s="193"/>
      <c r="AH962" s="193"/>
      <c r="AI962" s="193"/>
      <c r="AJ962" s="193"/>
      <c r="AK962" s="193"/>
      <c r="AL962" s="193"/>
    </row>
    <row r="963" spans="7:38">
      <c r="G963" s="193"/>
      <c r="H963" s="193"/>
      <c r="I963" s="193"/>
      <c r="J963" s="193"/>
      <c r="K963" s="193"/>
      <c r="L963" s="193"/>
      <c r="M963" s="193"/>
      <c r="N963" s="193"/>
      <c r="O963" s="193"/>
      <c r="P963" s="193"/>
      <c r="Q963" s="193"/>
      <c r="R963" s="193"/>
      <c r="S963" s="193"/>
      <c r="T963" s="193"/>
      <c r="U963" s="193"/>
      <c r="V963" s="193"/>
      <c r="W963" s="193"/>
      <c r="X963" s="193"/>
      <c r="Y963" s="193"/>
      <c r="Z963" s="193"/>
      <c r="AA963" s="193"/>
      <c r="AB963" s="193"/>
      <c r="AC963" s="193"/>
      <c r="AD963" s="193"/>
      <c r="AE963" s="193"/>
      <c r="AF963" s="193"/>
      <c r="AG963" s="193"/>
      <c r="AH963" s="193"/>
      <c r="AI963" s="193"/>
      <c r="AJ963" s="193"/>
      <c r="AK963" s="193"/>
      <c r="AL963" s="193"/>
    </row>
    <row r="964" spans="7:38">
      <c r="G964" s="193"/>
      <c r="H964" s="193"/>
      <c r="I964" s="193"/>
      <c r="J964" s="193"/>
      <c r="K964" s="193"/>
      <c r="L964" s="193"/>
      <c r="M964" s="193"/>
      <c r="N964" s="193"/>
      <c r="O964" s="193"/>
      <c r="P964" s="193"/>
      <c r="Q964" s="193"/>
      <c r="R964" s="193"/>
      <c r="S964" s="193"/>
      <c r="T964" s="193"/>
      <c r="U964" s="193"/>
      <c r="V964" s="193"/>
      <c r="W964" s="193"/>
      <c r="X964" s="193"/>
      <c r="Y964" s="193"/>
      <c r="Z964" s="193"/>
      <c r="AA964" s="193"/>
      <c r="AB964" s="193"/>
      <c r="AC964" s="193"/>
      <c r="AD964" s="193"/>
      <c r="AE964" s="193"/>
      <c r="AF964" s="193"/>
      <c r="AG964" s="193"/>
      <c r="AH964" s="193"/>
      <c r="AI964" s="193"/>
      <c r="AJ964" s="193"/>
      <c r="AK964" s="193"/>
      <c r="AL964" s="193"/>
    </row>
    <row r="965" spans="7:38">
      <c r="G965" s="193"/>
      <c r="H965" s="193"/>
      <c r="I965" s="193"/>
      <c r="J965" s="193"/>
      <c r="K965" s="193"/>
      <c r="L965" s="193"/>
      <c r="M965" s="193"/>
      <c r="N965" s="193"/>
      <c r="O965" s="193"/>
      <c r="P965" s="193"/>
      <c r="Q965" s="193"/>
      <c r="R965" s="193"/>
      <c r="S965" s="193"/>
      <c r="T965" s="193"/>
      <c r="U965" s="193"/>
      <c r="V965" s="193"/>
      <c r="W965" s="193"/>
      <c r="X965" s="193"/>
      <c r="Y965" s="193"/>
      <c r="Z965" s="193"/>
      <c r="AA965" s="193"/>
      <c r="AB965" s="193"/>
      <c r="AC965" s="193"/>
      <c r="AD965" s="193"/>
      <c r="AE965" s="193"/>
      <c r="AF965" s="193"/>
      <c r="AG965" s="193"/>
      <c r="AH965" s="193"/>
      <c r="AI965" s="193"/>
      <c r="AJ965" s="193"/>
      <c r="AK965" s="193"/>
      <c r="AL965" s="193"/>
    </row>
    <row r="966" spans="7:38">
      <c r="G966" s="193"/>
      <c r="H966" s="193"/>
      <c r="I966" s="193"/>
      <c r="J966" s="193"/>
      <c r="K966" s="193"/>
      <c r="L966" s="193"/>
      <c r="M966" s="193"/>
      <c r="N966" s="193"/>
      <c r="O966" s="193"/>
      <c r="P966" s="193"/>
      <c r="Q966" s="193"/>
      <c r="R966" s="193"/>
      <c r="S966" s="193"/>
      <c r="T966" s="193"/>
      <c r="U966" s="193"/>
      <c r="V966" s="193"/>
      <c r="W966" s="193"/>
      <c r="X966" s="193"/>
      <c r="Y966" s="193"/>
      <c r="Z966" s="193"/>
      <c r="AA966" s="193"/>
      <c r="AB966" s="193"/>
      <c r="AC966" s="193"/>
      <c r="AD966" s="193"/>
      <c r="AE966" s="193"/>
      <c r="AF966" s="193"/>
      <c r="AG966" s="193"/>
      <c r="AH966" s="193"/>
      <c r="AI966" s="193"/>
      <c r="AJ966" s="193"/>
      <c r="AK966" s="193"/>
      <c r="AL966" s="193"/>
    </row>
    <row r="967" spans="7:38">
      <c r="G967" s="193"/>
      <c r="H967" s="193"/>
      <c r="I967" s="193"/>
      <c r="J967" s="193"/>
      <c r="K967" s="193"/>
      <c r="L967" s="193"/>
      <c r="M967" s="193"/>
      <c r="N967" s="193"/>
      <c r="O967" s="193"/>
      <c r="P967" s="193"/>
      <c r="Q967" s="193"/>
      <c r="R967" s="193"/>
      <c r="S967" s="193"/>
      <c r="T967" s="193"/>
      <c r="U967" s="193"/>
      <c r="V967" s="193"/>
      <c r="W967" s="193"/>
      <c r="X967" s="193"/>
      <c r="Y967" s="193"/>
      <c r="Z967" s="193"/>
      <c r="AA967" s="193"/>
      <c r="AB967" s="193"/>
      <c r="AC967" s="193"/>
      <c r="AD967" s="193"/>
      <c r="AE967" s="193"/>
      <c r="AF967" s="193"/>
      <c r="AG967" s="193"/>
      <c r="AH967" s="193"/>
      <c r="AI967" s="193"/>
      <c r="AJ967" s="193"/>
      <c r="AK967" s="193"/>
      <c r="AL967" s="193"/>
    </row>
    <row r="968" spans="7:38">
      <c r="G968" s="193"/>
      <c r="H968" s="193"/>
      <c r="I968" s="193"/>
      <c r="J968" s="193"/>
      <c r="K968" s="193"/>
      <c r="L968" s="193"/>
      <c r="M968" s="193"/>
      <c r="N968" s="193"/>
      <c r="O968" s="193"/>
      <c r="P968" s="193"/>
      <c r="Q968" s="193"/>
      <c r="R968" s="193"/>
      <c r="S968" s="193"/>
      <c r="T968" s="193"/>
      <c r="U968" s="193"/>
      <c r="V968" s="193"/>
      <c r="W968" s="193"/>
      <c r="X968" s="193"/>
      <c r="Y968" s="193"/>
      <c r="Z968" s="193"/>
      <c r="AA968" s="193"/>
      <c r="AB968" s="193"/>
      <c r="AC968" s="193"/>
      <c r="AD968" s="193"/>
      <c r="AE968" s="193"/>
      <c r="AF968" s="193"/>
      <c r="AG968" s="193"/>
      <c r="AH968" s="193"/>
      <c r="AI968" s="193"/>
      <c r="AJ968" s="193"/>
      <c r="AK968" s="193"/>
      <c r="AL968" s="193"/>
    </row>
    <row r="969" spans="7:38">
      <c r="G969" s="193"/>
      <c r="H969" s="193"/>
      <c r="I969" s="193"/>
      <c r="J969" s="193"/>
      <c r="K969" s="193"/>
      <c r="L969" s="193"/>
      <c r="M969" s="193"/>
      <c r="N969" s="193"/>
      <c r="O969" s="193"/>
      <c r="P969" s="193"/>
      <c r="Q969" s="193"/>
      <c r="R969" s="193"/>
      <c r="S969" s="193"/>
      <c r="T969" s="193"/>
      <c r="U969" s="193"/>
      <c r="V969" s="193"/>
      <c r="W969" s="193"/>
      <c r="X969" s="193"/>
      <c r="Y969" s="193"/>
      <c r="Z969" s="193"/>
      <c r="AA969" s="193"/>
      <c r="AB969" s="193"/>
      <c r="AC969" s="193"/>
      <c r="AD969" s="193"/>
      <c r="AE969" s="193"/>
      <c r="AF969" s="193"/>
      <c r="AG969" s="193"/>
      <c r="AH969" s="193"/>
      <c r="AI969" s="193"/>
      <c r="AJ969" s="193"/>
      <c r="AK969" s="193"/>
      <c r="AL969" s="193"/>
    </row>
    <row r="970" spans="7:38">
      <c r="G970" s="193"/>
      <c r="H970" s="193"/>
      <c r="I970" s="193"/>
      <c r="J970" s="193"/>
      <c r="K970" s="193"/>
      <c r="L970" s="193"/>
      <c r="M970" s="193"/>
      <c r="N970" s="193"/>
      <c r="O970" s="193"/>
      <c r="P970" s="193"/>
      <c r="Q970" s="193"/>
      <c r="R970" s="193"/>
      <c r="S970" s="193"/>
      <c r="T970" s="193"/>
      <c r="U970" s="193"/>
      <c r="V970" s="193"/>
      <c r="W970" s="193"/>
      <c r="X970" s="193"/>
      <c r="Y970" s="193"/>
      <c r="Z970" s="193"/>
      <c r="AA970" s="193"/>
      <c r="AB970" s="193"/>
      <c r="AC970" s="193"/>
      <c r="AD970" s="193"/>
      <c r="AE970" s="193"/>
      <c r="AF970" s="193"/>
      <c r="AG970" s="193"/>
      <c r="AH970" s="193"/>
      <c r="AI970" s="193"/>
      <c r="AJ970" s="193"/>
      <c r="AK970" s="193"/>
      <c r="AL970" s="193"/>
    </row>
    <row r="971" spans="7:38">
      <c r="G971" s="193"/>
      <c r="H971" s="193"/>
      <c r="I971" s="193"/>
      <c r="J971" s="193"/>
      <c r="K971" s="193"/>
      <c r="L971" s="193"/>
      <c r="M971" s="193"/>
      <c r="N971" s="193"/>
      <c r="O971" s="193"/>
      <c r="P971" s="193"/>
      <c r="Q971" s="193"/>
      <c r="R971" s="193"/>
      <c r="S971" s="193"/>
      <c r="T971" s="193"/>
      <c r="U971" s="193"/>
      <c r="V971" s="193"/>
      <c r="W971" s="193"/>
      <c r="X971" s="193"/>
      <c r="Y971" s="193"/>
      <c r="Z971" s="193"/>
      <c r="AA971" s="193"/>
      <c r="AB971" s="193"/>
      <c r="AC971" s="193"/>
      <c r="AD971" s="193"/>
      <c r="AE971" s="193"/>
      <c r="AF971" s="193"/>
      <c r="AG971" s="193"/>
      <c r="AH971" s="193"/>
      <c r="AI971" s="193"/>
      <c r="AJ971" s="193"/>
      <c r="AK971" s="193"/>
      <c r="AL971" s="193"/>
    </row>
    <row r="972" spans="7:38">
      <c r="G972" s="193"/>
      <c r="H972" s="193"/>
      <c r="I972" s="193"/>
      <c r="J972" s="193"/>
      <c r="K972" s="193"/>
      <c r="L972" s="193"/>
      <c r="M972" s="193"/>
      <c r="N972" s="193"/>
      <c r="O972" s="193"/>
      <c r="P972" s="193"/>
      <c r="Q972" s="193"/>
      <c r="R972" s="193"/>
      <c r="S972" s="193"/>
      <c r="T972" s="193"/>
      <c r="U972" s="193"/>
      <c r="V972" s="193"/>
      <c r="W972" s="193"/>
      <c r="X972" s="193"/>
      <c r="Y972" s="193"/>
      <c r="Z972" s="193"/>
      <c r="AA972" s="193"/>
      <c r="AB972" s="193"/>
      <c r="AC972" s="193"/>
      <c r="AD972" s="193"/>
      <c r="AE972" s="193"/>
      <c r="AF972" s="193"/>
      <c r="AG972" s="193"/>
      <c r="AH972" s="193"/>
      <c r="AI972" s="193"/>
      <c r="AJ972" s="193"/>
      <c r="AK972" s="193"/>
      <c r="AL972" s="193"/>
    </row>
    <row r="973" spans="7:38">
      <c r="G973" s="193"/>
      <c r="H973" s="193"/>
      <c r="I973" s="193"/>
      <c r="J973" s="193"/>
      <c r="K973" s="193"/>
      <c r="L973" s="193"/>
      <c r="M973" s="193"/>
      <c r="N973" s="193"/>
      <c r="O973" s="193"/>
      <c r="P973" s="193"/>
      <c r="Q973" s="193"/>
      <c r="R973" s="193"/>
      <c r="S973" s="193"/>
      <c r="T973" s="193"/>
      <c r="U973" s="193"/>
      <c r="V973" s="193"/>
      <c r="W973" s="193"/>
      <c r="X973" s="193"/>
      <c r="Y973" s="193"/>
      <c r="Z973" s="193"/>
      <c r="AA973" s="193"/>
      <c r="AB973" s="193"/>
      <c r="AC973" s="193"/>
      <c r="AD973" s="193"/>
      <c r="AE973" s="193"/>
      <c r="AF973" s="193"/>
      <c r="AG973" s="193"/>
      <c r="AH973" s="193"/>
      <c r="AI973" s="193"/>
      <c r="AJ973" s="193"/>
      <c r="AK973" s="193"/>
      <c r="AL973" s="193"/>
    </row>
    <row r="974" spans="7:38">
      <c r="G974" s="193"/>
      <c r="H974" s="193"/>
      <c r="I974" s="193"/>
      <c r="J974" s="193"/>
      <c r="K974" s="193"/>
      <c r="L974" s="193"/>
      <c r="M974" s="193"/>
      <c r="N974" s="193"/>
      <c r="O974" s="193"/>
      <c r="P974" s="193"/>
      <c r="Q974" s="193"/>
      <c r="R974" s="193"/>
      <c r="S974" s="193"/>
      <c r="T974" s="193"/>
      <c r="U974" s="193"/>
      <c r="V974" s="193"/>
      <c r="W974" s="193"/>
      <c r="X974" s="193"/>
      <c r="Y974" s="193"/>
      <c r="Z974" s="193"/>
      <c r="AA974" s="193"/>
      <c r="AB974" s="193"/>
      <c r="AC974" s="193"/>
      <c r="AD974" s="193"/>
      <c r="AE974" s="193"/>
      <c r="AF974" s="193"/>
      <c r="AG974" s="193"/>
      <c r="AH974" s="193"/>
      <c r="AI974" s="193"/>
      <c r="AJ974" s="193"/>
      <c r="AK974" s="193"/>
      <c r="AL974" s="193"/>
    </row>
    <row r="975" spans="7:38">
      <c r="G975" s="193"/>
      <c r="H975" s="193"/>
      <c r="I975" s="193"/>
      <c r="J975" s="193"/>
      <c r="K975" s="193"/>
      <c r="L975" s="193"/>
      <c r="M975" s="193"/>
      <c r="N975" s="193"/>
      <c r="O975" s="193"/>
      <c r="P975" s="193"/>
      <c r="Q975" s="193"/>
      <c r="R975" s="193"/>
      <c r="S975" s="193"/>
      <c r="T975" s="193"/>
      <c r="U975" s="193"/>
      <c r="V975" s="193"/>
      <c r="W975" s="193"/>
      <c r="X975" s="193"/>
      <c r="Y975" s="193"/>
      <c r="Z975" s="193"/>
      <c r="AA975" s="193"/>
      <c r="AB975" s="193"/>
      <c r="AC975" s="193"/>
      <c r="AD975" s="193"/>
      <c r="AE975" s="193"/>
      <c r="AF975" s="193"/>
      <c r="AG975" s="193"/>
      <c r="AH975" s="193"/>
      <c r="AI975" s="193"/>
      <c r="AJ975" s="193"/>
      <c r="AK975" s="193"/>
      <c r="AL975" s="193"/>
    </row>
    <row r="976" spans="7:38">
      <c r="G976" s="193"/>
      <c r="H976" s="193"/>
      <c r="I976" s="193"/>
      <c r="J976" s="193"/>
      <c r="K976" s="193"/>
      <c r="L976" s="193"/>
      <c r="M976" s="193"/>
      <c r="N976" s="193"/>
      <c r="O976" s="193"/>
      <c r="P976" s="193"/>
      <c r="Q976" s="193"/>
      <c r="R976" s="193"/>
      <c r="S976" s="193"/>
      <c r="T976" s="193"/>
      <c r="U976" s="193"/>
      <c r="V976" s="193"/>
      <c r="W976" s="193"/>
      <c r="X976" s="193"/>
      <c r="Y976" s="193"/>
      <c r="Z976" s="193"/>
      <c r="AA976" s="193"/>
      <c r="AB976" s="193"/>
      <c r="AC976" s="193"/>
      <c r="AD976" s="193"/>
      <c r="AE976" s="193"/>
      <c r="AF976" s="193"/>
      <c r="AG976" s="193"/>
      <c r="AH976" s="193"/>
      <c r="AI976" s="193"/>
      <c r="AJ976" s="193"/>
      <c r="AK976" s="193"/>
      <c r="AL976" s="193"/>
    </row>
    <row r="977" spans="7:38">
      <c r="G977" s="193"/>
      <c r="H977" s="193"/>
      <c r="I977" s="193"/>
      <c r="J977" s="193"/>
      <c r="K977" s="193"/>
      <c r="L977" s="193"/>
      <c r="M977" s="193"/>
      <c r="N977" s="193"/>
      <c r="O977" s="193"/>
      <c r="P977" s="193"/>
      <c r="Q977" s="193"/>
      <c r="R977" s="193"/>
      <c r="S977" s="193"/>
      <c r="T977" s="193"/>
      <c r="U977" s="193"/>
      <c r="V977" s="193"/>
      <c r="W977" s="193"/>
      <c r="X977" s="193"/>
      <c r="Y977" s="193"/>
      <c r="Z977" s="193"/>
      <c r="AA977" s="193"/>
      <c r="AB977" s="193"/>
      <c r="AC977" s="193"/>
      <c r="AD977" s="193"/>
      <c r="AE977" s="193"/>
      <c r="AF977" s="193"/>
      <c r="AG977" s="193"/>
      <c r="AH977" s="193"/>
      <c r="AI977" s="193"/>
      <c r="AJ977" s="193"/>
      <c r="AK977" s="193"/>
      <c r="AL977" s="193"/>
    </row>
    <row r="978" spans="7:38">
      <c r="G978" s="193"/>
      <c r="H978" s="193"/>
      <c r="I978" s="193"/>
      <c r="J978" s="193"/>
      <c r="K978" s="193"/>
      <c r="L978" s="193"/>
      <c r="M978" s="193"/>
      <c r="N978" s="193"/>
      <c r="O978" s="193"/>
      <c r="P978" s="193"/>
      <c r="Q978" s="193"/>
      <c r="R978" s="193"/>
      <c r="S978" s="193"/>
      <c r="T978" s="193"/>
      <c r="U978" s="193"/>
      <c r="V978" s="193"/>
      <c r="W978" s="193"/>
      <c r="X978" s="193"/>
      <c r="Y978" s="193"/>
      <c r="Z978" s="193"/>
      <c r="AA978" s="193"/>
      <c r="AB978" s="193"/>
      <c r="AC978" s="193"/>
      <c r="AD978" s="193"/>
      <c r="AE978" s="193"/>
      <c r="AF978" s="193"/>
      <c r="AG978" s="193"/>
      <c r="AH978" s="193"/>
      <c r="AI978" s="193"/>
      <c r="AJ978" s="193"/>
      <c r="AK978" s="193"/>
      <c r="AL978" s="193"/>
    </row>
    <row r="979" spans="7:38">
      <c r="G979" s="193"/>
      <c r="H979" s="193"/>
      <c r="I979" s="193"/>
      <c r="J979" s="193"/>
      <c r="K979" s="193"/>
      <c r="L979" s="193"/>
      <c r="M979" s="193"/>
      <c r="N979" s="193"/>
      <c r="O979" s="193"/>
      <c r="P979" s="193"/>
      <c r="Q979" s="193"/>
      <c r="R979" s="193"/>
      <c r="S979" s="193"/>
      <c r="T979" s="193"/>
      <c r="U979" s="193"/>
      <c r="V979" s="193"/>
      <c r="W979" s="193"/>
      <c r="X979" s="193"/>
      <c r="Y979" s="193"/>
      <c r="Z979" s="193"/>
      <c r="AA979" s="193"/>
      <c r="AB979" s="193"/>
      <c r="AC979" s="193"/>
      <c r="AD979" s="193"/>
      <c r="AE979" s="193"/>
      <c r="AF979" s="193"/>
      <c r="AG979" s="193"/>
      <c r="AH979" s="193"/>
      <c r="AI979" s="193"/>
      <c r="AJ979" s="193"/>
      <c r="AK979" s="193"/>
      <c r="AL979" s="193"/>
    </row>
    <row r="980" spans="7:38">
      <c r="G980" s="193"/>
      <c r="H980" s="193"/>
      <c r="I980" s="193"/>
      <c r="J980" s="193"/>
      <c r="K980" s="193"/>
      <c r="L980" s="193"/>
      <c r="M980" s="193"/>
      <c r="N980" s="193"/>
      <c r="O980" s="193"/>
      <c r="P980" s="193"/>
      <c r="Q980" s="193"/>
      <c r="R980" s="193"/>
      <c r="S980" s="193"/>
      <c r="T980" s="193"/>
      <c r="U980" s="193"/>
      <c r="V980" s="193"/>
      <c r="W980" s="193"/>
      <c r="X980" s="193"/>
      <c r="Y980" s="193"/>
      <c r="Z980" s="193"/>
      <c r="AA980" s="193"/>
      <c r="AB980" s="193"/>
      <c r="AC980" s="193"/>
      <c r="AD980" s="193"/>
      <c r="AE980" s="193"/>
      <c r="AF980" s="193"/>
      <c r="AG980" s="193"/>
      <c r="AH980" s="193"/>
      <c r="AI980" s="193"/>
      <c r="AJ980" s="193"/>
      <c r="AK980" s="193"/>
      <c r="AL980" s="193"/>
    </row>
    <row r="981" spans="7:38">
      <c r="G981" s="193"/>
      <c r="H981" s="193"/>
      <c r="I981" s="193"/>
      <c r="J981" s="193"/>
      <c r="K981" s="193"/>
      <c r="L981" s="193"/>
      <c r="M981" s="193"/>
      <c r="N981" s="193"/>
      <c r="O981" s="193"/>
      <c r="P981" s="193"/>
      <c r="Q981" s="193"/>
      <c r="R981" s="193"/>
      <c r="S981" s="193"/>
      <c r="T981" s="193"/>
      <c r="U981" s="193"/>
      <c r="V981" s="193"/>
      <c r="W981" s="193"/>
      <c r="X981" s="193"/>
      <c r="Y981" s="193"/>
      <c r="Z981" s="193"/>
      <c r="AA981" s="193"/>
      <c r="AB981" s="193"/>
      <c r="AC981" s="193"/>
      <c r="AD981" s="193"/>
      <c r="AE981" s="193"/>
      <c r="AF981" s="193"/>
      <c r="AG981" s="193"/>
      <c r="AH981" s="193"/>
      <c r="AI981" s="193"/>
      <c r="AJ981" s="193"/>
      <c r="AK981" s="193"/>
      <c r="AL981" s="193"/>
    </row>
    <row r="982" spans="7:38">
      <c r="G982" s="193"/>
      <c r="H982" s="193"/>
      <c r="I982" s="193"/>
      <c r="J982" s="193"/>
      <c r="K982" s="193"/>
      <c r="L982" s="193"/>
      <c r="M982" s="193"/>
      <c r="N982" s="193"/>
      <c r="O982" s="193"/>
      <c r="P982" s="193"/>
      <c r="Q982" s="193"/>
      <c r="R982" s="193"/>
      <c r="S982" s="193"/>
      <c r="T982" s="193"/>
      <c r="U982" s="193"/>
      <c r="V982" s="193"/>
      <c r="W982" s="193"/>
      <c r="X982" s="193"/>
      <c r="Y982" s="193"/>
      <c r="Z982" s="193"/>
      <c r="AA982" s="193"/>
      <c r="AB982" s="193"/>
      <c r="AC982" s="193"/>
      <c r="AD982" s="193"/>
      <c r="AE982" s="193"/>
      <c r="AF982" s="193"/>
      <c r="AG982" s="193"/>
      <c r="AH982" s="193"/>
      <c r="AI982" s="193"/>
      <c r="AJ982" s="193"/>
      <c r="AK982" s="193"/>
      <c r="AL982" s="193"/>
    </row>
    <row r="983" spans="7:38">
      <c r="G983" s="193"/>
      <c r="H983" s="193"/>
      <c r="I983" s="193"/>
      <c r="J983" s="193"/>
      <c r="K983" s="193"/>
      <c r="L983" s="193"/>
      <c r="M983" s="193"/>
      <c r="N983" s="193"/>
      <c r="O983" s="193"/>
      <c r="P983" s="193"/>
      <c r="Q983" s="193"/>
      <c r="R983" s="193"/>
      <c r="S983" s="193"/>
      <c r="T983" s="193"/>
      <c r="U983" s="193"/>
      <c r="V983" s="193"/>
      <c r="W983" s="193"/>
      <c r="X983" s="193"/>
      <c r="Y983" s="193"/>
      <c r="Z983" s="193"/>
      <c r="AA983" s="193"/>
      <c r="AB983" s="193"/>
      <c r="AC983" s="193"/>
      <c r="AD983" s="193"/>
      <c r="AE983" s="193"/>
      <c r="AF983" s="193"/>
      <c r="AG983" s="193"/>
      <c r="AH983" s="193"/>
      <c r="AI983" s="193"/>
      <c r="AJ983" s="193"/>
      <c r="AK983" s="193"/>
      <c r="AL983" s="193"/>
    </row>
    <row r="984" spans="7:38">
      <c r="G984" s="193"/>
      <c r="H984" s="193"/>
      <c r="I984" s="193"/>
      <c r="J984" s="193"/>
      <c r="K984" s="193"/>
      <c r="L984" s="193"/>
      <c r="M984" s="193"/>
      <c r="N984" s="193"/>
      <c r="O984" s="193"/>
      <c r="P984" s="193"/>
      <c r="Q984" s="193"/>
      <c r="R984" s="193"/>
      <c r="S984" s="193"/>
      <c r="T984" s="193"/>
      <c r="U984" s="193"/>
      <c r="V984" s="193"/>
      <c r="W984" s="193"/>
      <c r="X984" s="193"/>
      <c r="Y984" s="193"/>
      <c r="Z984" s="193"/>
      <c r="AA984" s="193"/>
      <c r="AB984" s="193"/>
      <c r="AC984" s="193"/>
      <c r="AD984" s="193"/>
      <c r="AE984" s="193"/>
      <c r="AF984" s="193"/>
      <c r="AG984" s="193"/>
      <c r="AH984" s="193"/>
      <c r="AI984" s="193"/>
      <c r="AJ984" s="193"/>
      <c r="AK984" s="193"/>
      <c r="AL984" s="193"/>
    </row>
    <row r="985" spans="7:38">
      <c r="G985" s="193"/>
      <c r="H985" s="193"/>
      <c r="I985" s="193"/>
      <c r="J985" s="193"/>
      <c r="K985" s="193"/>
      <c r="L985" s="193"/>
      <c r="M985" s="193"/>
      <c r="N985" s="193"/>
      <c r="O985" s="193"/>
      <c r="P985" s="193"/>
      <c r="Q985" s="193"/>
      <c r="R985" s="193"/>
      <c r="S985" s="193"/>
      <c r="T985" s="193"/>
      <c r="U985" s="193"/>
      <c r="V985" s="193"/>
      <c r="W985" s="193"/>
      <c r="X985" s="193"/>
      <c r="Y985" s="193"/>
      <c r="Z985" s="193"/>
      <c r="AA985" s="193"/>
      <c r="AB985" s="193"/>
      <c r="AC985" s="193"/>
      <c r="AD985" s="193"/>
      <c r="AE985" s="193"/>
      <c r="AF985" s="193"/>
      <c r="AG985" s="193"/>
      <c r="AH985" s="193"/>
      <c r="AI985" s="193"/>
      <c r="AJ985" s="193"/>
      <c r="AK985" s="193"/>
      <c r="AL985" s="193"/>
    </row>
    <row r="986" spans="7:38">
      <c r="G986" s="193"/>
      <c r="H986" s="193"/>
      <c r="I986" s="193"/>
      <c r="J986" s="193"/>
      <c r="K986" s="193"/>
      <c r="L986" s="193"/>
      <c r="M986" s="193"/>
      <c r="N986" s="193"/>
      <c r="O986" s="193"/>
      <c r="P986" s="193"/>
      <c r="Q986" s="193"/>
      <c r="R986" s="193"/>
      <c r="S986" s="193"/>
      <c r="T986" s="193"/>
      <c r="U986" s="193"/>
      <c r="V986" s="193"/>
      <c r="W986" s="193"/>
      <c r="X986" s="193"/>
      <c r="Y986" s="193"/>
      <c r="Z986" s="193"/>
      <c r="AA986" s="193"/>
      <c r="AB986" s="193"/>
      <c r="AC986" s="193"/>
      <c r="AD986" s="193"/>
      <c r="AE986" s="193"/>
      <c r="AF986" s="193"/>
      <c r="AG986" s="193"/>
      <c r="AH986" s="193"/>
      <c r="AI986" s="193"/>
      <c r="AJ986" s="193"/>
      <c r="AK986" s="193"/>
      <c r="AL986" s="193"/>
    </row>
    <row r="987" spans="7:38">
      <c r="G987" s="193"/>
      <c r="H987" s="193"/>
      <c r="I987" s="193"/>
      <c r="J987" s="193"/>
      <c r="K987" s="193"/>
      <c r="L987" s="193"/>
      <c r="M987" s="193"/>
      <c r="N987" s="193"/>
      <c r="O987" s="193"/>
      <c r="P987" s="193"/>
      <c r="Q987" s="193"/>
      <c r="R987" s="193"/>
      <c r="S987" s="193"/>
      <c r="T987" s="193"/>
      <c r="U987" s="193"/>
      <c r="V987" s="193"/>
      <c r="W987" s="193"/>
      <c r="X987" s="193"/>
      <c r="Y987" s="193"/>
      <c r="Z987" s="193"/>
      <c r="AA987" s="193"/>
      <c r="AB987" s="193"/>
      <c r="AC987" s="193"/>
      <c r="AD987" s="193"/>
      <c r="AE987" s="193"/>
      <c r="AF987" s="193"/>
      <c r="AG987" s="193"/>
      <c r="AH987" s="193"/>
      <c r="AI987" s="193"/>
      <c r="AJ987" s="193"/>
      <c r="AK987" s="193"/>
      <c r="AL987" s="193"/>
    </row>
    <row r="988" spans="7:38">
      <c r="G988" s="193"/>
      <c r="H988" s="193"/>
      <c r="I988" s="193"/>
      <c r="J988" s="193"/>
      <c r="K988" s="193"/>
      <c r="L988" s="193"/>
      <c r="M988" s="193"/>
      <c r="N988" s="193"/>
      <c r="O988" s="193"/>
      <c r="P988" s="193"/>
      <c r="Q988" s="193"/>
      <c r="R988" s="193"/>
      <c r="S988" s="193"/>
      <c r="T988" s="193"/>
      <c r="U988" s="193"/>
      <c r="V988" s="193"/>
      <c r="W988" s="193"/>
      <c r="X988" s="193"/>
      <c r="Y988" s="193"/>
      <c r="Z988" s="193"/>
      <c r="AA988" s="193"/>
      <c r="AB988" s="193"/>
      <c r="AC988" s="193"/>
      <c r="AD988" s="193"/>
      <c r="AE988" s="193"/>
      <c r="AF988" s="193"/>
      <c r="AG988" s="193"/>
      <c r="AH988" s="193"/>
      <c r="AI988" s="193"/>
      <c r="AJ988" s="193"/>
      <c r="AK988" s="193"/>
      <c r="AL988" s="193"/>
    </row>
    <row r="989" spans="7:38">
      <c r="G989" s="193"/>
      <c r="H989" s="193"/>
      <c r="I989" s="193"/>
      <c r="J989" s="193"/>
      <c r="K989" s="193"/>
      <c r="L989" s="193"/>
      <c r="M989" s="193"/>
      <c r="N989" s="193"/>
      <c r="O989" s="193"/>
      <c r="P989" s="193"/>
      <c r="Q989" s="193"/>
      <c r="R989" s="193"/>
      <c r="S989" s="193"/>
      <c r="T989" s="193"/>
      <c r="U989" s="193"/>
      <c r="V989" s="193"/>
      <c r="W989" s="193"/>
      <c r="X989" s="193"/>
      <c r="Y989" s="193"/>
      <c r="Z989" s="193"/>
      <c r="AA989" s="193"/>
      <c r="AB989" s="193"/>
      <c r="AC989" s="193"/>
      <c r="AD989" s="193"/>
      <c r="AE989" s="193"/>
      <c r="AF989" s="193"/>
      <c r="AG989" s="193"/>
      <c r="AH989" s="193"/>
      <c r="AI989" s="193"/>
      <c r="AJ989" s="193"/>
      <c r="AK989" s="193"/>
      <c r="AL989" s="193"/>
    </row>
    <row r="990" spans="7:38">
      <c r="G990" s="193"/>
      <c r="H990" s="193"/>
      <c r="I990" s="193"/>
      <c r="J990" s="193"/>
      <c r="K990" s="193"/>
      <c r="L990" s="193"/>
      <c r="M990" s="193"/>
      <c r="N990" s="193"/>
      <c r="O990" s="193"/>
      <c r="P990" s="193"/>
      <c r="Q990" s="193"/>
      <c r="R990" s="193"/>
      <c r="S990" s="193"/>
      <c r="T990" s="193"/>
      <c r="U990" s="193"/>
      <c r="V990" s="193"/>
      <c r="W990" s="193"/>
      <c r="X990" s="193"/>
      <c r="Y990" s="193"/>
      <c r="Z990" s="193"/>
      <c r="AA990" s="193"/>
      <c r="AB990" s="193"/>
      <c r="AC990" s="193"/>
      <c r="AD990" s="193"/>
      <c r="AE990" s="193"/>
      <c r="AF990" s="193"/>
      <c r="AG990" s="193"/>
      <c r="AH990" s="193"/>
      <c r="AI990" s="193"/>
      <c r="AJ990" s="193"/>
      <c r="AK990" s="193"/>
      <c r="AL990" s="193"/>
    </row>
    <row r="991" spans="7:38">
      <c r="G991" s="193"/>
      <c r="H991" s="193"/>
      <c r="I991" s="193"/>
      <c r="J991" s="193"/>
      <c r="K991" s="193"/>
      <c r="L991" s="193"/>
      <c r="M991" s="193"/>
      <c r="N991" s="193"/>
      <c r="O991" s="193"/>
      <c r="P991" s="193"/>
      <c r="Q991" s="193"/>
      <c r="R991" s="193"/>
      <c r="S991" s="193"/>
      <c r="T991" s="193"/>
      <c r="U991" s="193"/>
      <c r="V991" s="193"/>
      <c r="W991" s="193"/>
      <c r="X991" s="193"/>
      <c r="Y991" s="193"/>
      <c r="Z991" s="193"/>
      <c r="AA991" s="193"/>
      <c r="AB991" s="193"/>
      <c r="AC991" s="193"/>
      <c r="AD991" s="193"/>
      <c r="AE991" s="193"/>
      <c r="AF991" s="193"/>
      <c r="AG991" s="193"/>
      <c r="AH991" s="193"/>
      <c r="AI991" s="193"/>
      <c r="AJ991" s="193"/>
      <c r="AK991" s="193"/>
      <c r="AL991" s="193"/>
    </row>
    <row r="992" spans="7:38">
      <c r="G992" s="193"/>
      <c r="H992" s="193"/>
      <c r="I992" s="193"/>
      <c r="J992" s="193"/>
      <c r="K992" s="193"/>
      <c r="L992" s="193"/>
      <c r="M992" s="193"/>
      <c r="N992" s="193"/>
      <c r="O992" s="193"/>
      <c r="P992" s="193"/>
      <c r="Q992" s="193"/>
      <c r="R992" s="193"/>
      <c r="S992" s="193"/>
      <c r="T992" s="193"/>
      <c r="U992" s="193"/>
      <c r="V992" s="193"/>
      <c r="W992" s="193"/>
      <c r="X992" s="193"/>
      <c r="Y992" s="193"/>
      <c r="Z992" s="193"/>
      <c r="AA992" s="193"/>
      <c r="AB992" s="193"/>
      <c r="AC992" s="193"/>
      <c r="AD992" s="193"/>
      <c r="AE992" s="193"/>
      <c r="AF992" s="193"/>
      <c r="AG992" s="193"/>
      <c r="AH992" s="193"/>
      <c r="AI992" s="193"/>
      <c r="AJ992" s="193"/>
      <c r="AK992" s="193"/>
      <c r="AL992" s="193"/>
    </row>
    <row r="993" spans="7:38">
      <c r="G993" s="193"/>
      <c r="H993" s="193"/>
      <c r="I993" s="193"/>
      <c r="J993" s="193"/>
      <c r="K993" s="193"/>
      <c r="L993" s="193"/>
      <c r="M993" s="193"/>
      <c r="N993" s="193"/>
      <c r="O993" s="193"/>
      <c r="P993" s="193"/>
      <c r="Q993" s="193"/>
      <c r="R993" s="193"/>
      <c r="S993" s="193"/>
      <c r="T993" s="193"/>
      <c r="U993" s="193"/>
      <c r="V993" s="193"/>
      <c r="W993" s="193"/>
      <c r="X993" s="193"/>
      <c r="Y993" s="193"/>
      <c r="Z993" s="193"/>
      <c r="AA993" s="193"/>
      <c r="AB993" s="193"/>
      <c r="AC993" s="193"/>
      <c r="AD993" s="193"/>
      <c r="AE993" s="193"/>
      <c r="AF993" s="193"/>
      <c r="AG993" s="193"/>
      <c r="AH993" s="193"/>
      <c r="AI993" s="193"/>
      <c r="AJ993" s="193"/>
      <c r="AK993" s="193"/>
      <c r="AL993" s="193"/>
    </row>
    <row r="994" spans="7:38">
      <c r="G994" s="193"/>
      <c r="H994" s="193"/>
      <c r="I994" s="193"/>
      <c r="J994" s="193"/>
      <c r="K994" s="193"/>
      <c r="L994" s="193"/>
      <c r="M994" s="193"/>
      <c r="N994" s="193"/>
      <c r="O994" s="193"/>
      <c r="P994" s="193"/>
      <c r="Q994" s="193"/>
      <c r="R994" s="193"/>
      <c r="S994" s="193"/>
      <c r="T994" s="193"/>
      <c r="U994" s="193"/>
      <c r="V994" s="193"/>
      <c r="W994" s="193"/>
      <c r="X994" s="193"/>
      <c r="Y994" s="193"/>
      <c r="Z994" s="193"/>
      <c r="AA994" s="193"/>
      <c r="AB994" s="193"/>
      <c r="AC994" s="193"/>
      <c r="AD994" s="193"/>
      <c r="AE994" s="193"/>
      <c r="AF994" s="193"/>
      <c r="AG994" s="193"/>
      <c r="AH994" s="193"/>
      <c r="AI994" s="193"/>
      <c r="AJ994" s="193"/>
      <c r="AK994" s="193"/>
      <c r="AL994" s="193"/>
    </row>
    <row r="995" spans="7:38">
      <c r="G995" s="193"/>
      <c r="H995" s="193"/>
      <c r="I995" s="193"/>
      <c r="J995" s="193"/>
      <c r="K995" s="193"/>
      <c r="L995" s="193"/>
      <c r="M995" s="193"/>
      <c r="N995" s="193"/>
      <c r="O995" s="193"/>
      <c r="P995" s="193"/>
      <c r="Q995" s="193"/>
      <c r="R995" s="193"/>
      <c r="S995" s="193"/>
      <c r="T995" s="193"/>
      <c r="U995" s="193"/>
      <c r="V995" s="193"/>
      <c r="W995" s="193"/>
      <c r="X995" s="193"/>
      <c r="Y995" s="193"/>
      <c r="Z995" s="193"/>
      <c r="AA995" s="193"/>
      <c r="AB995" s="193"/>
      <c r="AC995" s="193"/>
      <c r="AD995" s="193"/>
      <c r="AE995" s="193"/>
      <c r="AF995" s="193"/>
      <c r="AG995" s="193"/>
      <c r="AH995" s="193"/>
      <c r="AI995" s="193"/>
      <c r="AJ995" s="193"/>
      <c r="AK995" s="193"/>
      <c r="AL995" s="193"/>
    </row>
    <row r="996" spans="7:38">
      <c r="G996" s="193"/>
      <c r="H996" s="193"/>
      <c r="I996" s="193"/>
      <c r="J996" s="193"/>
      <c r="K996" s="193"/>
      <c r="L996" s="193"/>
      <c r="M996" s="193"/>
      <c r="N996" s="193"/>
      <c r="O996" s="193"/>
      <c r="P996" s="193"/>
      <c r="Q996" s="193"/>
      <c r="R996" s="193"/>
      <c r="S996" s="193"/>
      <c r="T996" s="193"/>
      <c r="U996" s="193"/>
      <c r="V996" s="193"/>
      <c r="W996" s="193"/>
      <c r="X996" s="193"/>
      <c r="Y996" s="193"/>
      <c r="Z996" s="193"/>
      <c r="AA996" s="193"/>
      <c r="AB996" s="193"/>
      <c r="AC996" s="193"/>
      <c r="AD996" s="193"/>
      <c r="AE996" s="193"/>
      <c r="AF996" s="193"/>
      <c r="AG996" s="193"/>
      <c r="AH996" s="193"/>
      <c r="AI996" s="193"/>
      <c r="AJ996" s="193"/>
      <c r="AK996" s="193"/>
      <c r="AL996" s="193"/>
    </row>
    <row r="997" spans="7:38">
      <c r="G997" s="193"/>
      <c r="H997" s="193"/>
      <c r="I997" s="193"/>
      <c r="J997" s="193"/>
      <c r="K997" s="193"/>
      <c r="L997" s="193"/>
      <c r="M997" s="193"/>
      <c r="N997" s="193"/>
      <c r="O997" s="193"/>
      <c r="P997" s="193"/>
      <c r="Q997" s="193"/>
      <c r="R997" s="193"/>
      <c r="S997" s="193"/>
      <c r="T997" s="193"/>
      <c r="U997" s="193"/>
      <c r="V997" s="193"/>
      <c r="W997" s="193"/>
      <c r="X997" s="193"/>
      <c r="Y997" s="193"/>
      <c r="Z997" s="193"/>
      <c r="AA997" s="193"/>
      <c r="AB997" s="193"/>
      <c r="AC997" s="193"/>
      <c r="AD997" s="193"/>
      <c r="AE997" s="193"/>
      <c r="AF997" s="193"/>
      <c r="AG997" s="193"/>
      <c r="AH997" s="193"/>
      <c r="AI997" s="193"/>
      <c r="AJ997" s="193"/>
      <c r="AK997" s="193"/>
      <c r="AL997" s="193"/>
    </row>
    <row r="998" spans="7:38">
      <c r="G998" s="193"/>
      <c r="H998" s="193"/>
      <c r="I998" s="193"/>
      <c r="J998" s="193"/>
      <c r="K998" s="193"/>
      <c r="L998" s="193"/>
      <c r="M998" s="193"/>
      <c r="N998" s="193"/>
      <c r="O998" s="193"/>
      <c r="P998" s="193"/>
      <c r="Q998" s="193"/>
      <c r="R998" s="193"/>
      <c r="S998" s="193"/>
      <c r="T998" s="193"/>
      <c r="U998" s="193"/>
      <c r="V998" s="193"/>
      <c r="W998" s="193"/>
      <c r="X998" s="193"/>
      <c r="Y998" s="193"/>
      <c r="Z998" s="193"/>
      <c r="AA998" s="193"/>
      <c r="AB998" s="193"/>
      <c r="AC998" s="193"/>
      <c r="AD998" s="193"/>
      <c r="AE998" s="193"/>
      <c r="AF998" s="193"/>
      <c r="AG998" s="193"/>
      <c r="AH998" s="193"/>
      <c r="AI998" s="193"/>
      <c r="AJ998" s="193"/>
      <c r="AK998" s="193"/>
      <c r="AL998" s="193"/>
    </row>
    <row r="999" spans="7:38">
      <c r="G999" s="193"/>
      <c r="H999" s="193"/>
      <c r="I999" s="193"/>
      <c r="J999" s="193"/>
      <c r="K999" s="193"/>
      <c r="L999" s="193"/>
      <c r="M999" s="193"/>
      <c r="N999" s="193"/>
      <c r="O999" s="193"/>
      <c r="P999" s="193"/>
      <c r="Q999" s="193"/>
      <c r="R999" s="193"/>
      <c r="S999" s="193"/>
      <c r="T999" s="193"/>
      <c r="U999" s="193"/>
      <c r="V999" s="193"/>
      <c r="W999" s="193"/>
      <c r="X999" s="193"/>
      <c r="Y999" s="193"/>
      <c r="Z999" s="193"/>
      <c r="AA999" s="193"/>
      <c r="AB999" s="193"/>
      <c r="AC999" s="193"/>
      <c r="AD999" s="193"/>
      <c r="AE999" s="193"/>
      <c r="AF999" s="193"/>
      <c r="AG999" s="193"/>
      <c r="AH999" s="193"/>
      <c r="AI999" s="193"/>
      <c r="AJ999" s="193"/>
      <c r="AK999" s="193"/>
      <c r="AL999" s="193"/>
    </row>
    <row r="1000" spans="7:38">
      <c r="G1000" s="193"/>
      <c r="H1000" s="193"/>
      <c r="I1000" s="193"/>
      <c r="J1000" s="193"/>
      <c r="K1000" s="193"/>
      <c r="L1000" s="193"/>
      <c r="M1000" s="193"/>
      <c r="N1000" s="193"/>
      <c r="O1000" s="193"/>
      <c r="P1000" s="193"/>
      <c r="Q1000" s="193"/>
      <c r="R1000" s="193"/>
      <c r="S1000" s="193"/>
      <c r="T1000" s="193"/>
      <c r="U1000" s="193"/>
      <c r="V1000" s="193"/>
      <c r="W1000" s="193"/>
      <c r="X1000" s="193"/>
      <c r="Y1000" s="193"/>
      <c r="Z1000" s="193"/>
      <c r="AA1000" s="193"/>
      <c r="AB1000" s="193"/>
      <c r="AC1000" s="193"/>
      <c r="AD1000" s="193"/>
      <c r="AE1000" s="193"/>
      <c r="AF1000" s="193"/>
      <c r="AG1000" s="193"/>
      <c r="AH1000" s="193"/>
      <c r="AI1000" s="193"/>
      <c r="AJ1000" s="193"/>
      <c r="AK1000" s="193"/>
      <c r="AL1000" s="193"/>
    </row>
    <row r="1001" spans="7:38">
      <c r="G1001" s="193"/>
      <c r="H1001" s="193"/>
      <c r="I1001" s="193"/>
      <c r="J1001" s="193"/>
      <c r="K1001" s="193"/>
      <c r="L1001" s="193"/>
      <c r="M1001" s="193"/>
      <c r="N1001" s="193"/>
      <c r="O1001" s="193"/>
      <c r="P1001" s="193"/>
      <c r="Q1001" s="193"/>
      <c r="R1001" s="193"/>
      <c r="S1001" s="193"/>
      <c r="T1001" s="193"/>
      <c r="U1001" s="193"/>
      <c r="V1001" s="193"/>
      <c r="W1001" s="193"/>
      <c r="X1001" s="193"/>
      <c r="Y1001" s="193"/>
      <c r="Z1001" s="193"/>
      <c r="AA1001" s="193"/>
      <c r="AB1001" s="193"/>
      <c r="AC1001" s="193"/>
      <c r="AD1001" s="193"/>
      <c r="AE1001" s="193"/>
      <c r="AF1001" s="193"/>
      <c r="AG1001" s="193"/>
      <c r="AH1001" s="193"/>
      <c r="AI1001" s="193"/>
      <c r="AJ1001" s="193"/>
      <c r="AK1001" s="193"/>
      <c r="AL1001" s="193"/>
    </row>
    <row r="1002" spans="7:38">
      <c r="G1002" s="193"/>
      <c r="H1002" s="193"/>
      <c r="I1002" s="193"/>
      <c r="J1002" s="193"/>
      <c r="K1002" s="193"/>
      <c r="L1002" s="193"/>
      <c r="M1002" s="193"/>
      <c r="N1002" s="193"/>
      <c r="O1002" s="193"/>
      <c r="P1002" s="193"/>
      <c r="Q1002" s="193"/>
      <c r="R1002" s="193"/>
      <c r="S1002" s="193"/>
      <c r="T1002" s="193"/>
      <c r="U1002" s="193"/>
      <c r="V1002" s="193"/>
      <c r="W1002" s="193"/>
      <c r="X1002" s="193"/>
      <c r="Y1002" s="193"/>
      <c r="Z1002" s="193"/>
      <c r="AA1002" s="193"/>
      <c r="AB1002" s="193"/>
      <c r="AC1002" s="193"/>
      <c r="AD1002" s="193"/>
      <c r="AE1002" s="193"/>
      <c r="AF1002" s="193"/>
      <c r="AG1002" s="193"/>
      <c r="AH1002" s="193"/>
      <c r="AI1002" s="193"/>
      <c r="AJ1002" s="193"/>
      <c r="AK1002" s="193"/>
      <c r="AL1002" s="193"/>
    </row>
    <row r="1003" spans="7:38">
      <c r="G1003" s="193"/>
      <c r="H1003" s="193"/>
      <c r="I1003" s="193"/>
      <c r="J1003" s="193"/>
      <c r="K1003" s="193"/>
      <c r="L1003" s="193"/>
      <c r="M1003" s="193"/>
      <c r="N1003" s="193"/>
      <c r="O1003" s="193"/>
      <c r="P1003" s="193"/>
      <c r="Q1003" s="193"/>
      <c r="R1003" s="193"/>
      <c r="S1003" s="193"/>
      <c r="T1003" s="193"/>
      <c r="U1003" s="193"/>
      <c r="V1003" s="193"/>
      <c r="W1003" s="193"/>
      <c r="X1003" s="193"/>
      <c r="Y1003" s="193"/>
      <c r="Z1003" s="193"/>
      <c r="AA1003" s="193"/>
      <c r="AB1003" s="193"/>
      <c r="AC1003" s="193"/>
      <c r="AD1003" s="193"/>
      <c r="AE1003" s="193"/>
      <c r="AF1003" s="193"/>
      <c r="AG1003" s="193"/>
      <c r="AH1003" s="193"/>
      <c r="AI1003" s="193"/>
      <c r="AJ1003" s="193"/>
      <c r="AK1003" s="193"/>
      <c r="AL1003" s="193"/>
    </row>
    <row r="1004" spans="7:38">
      <c r="G1004" s="193"/>
      <c r="H1004" s="193"/>
      <c r="I1004" s="193"/>
      <c r="J1004" s="193"/>
      <c r="K1004" s="193"/>
      <c r="L1004" s="193"/>
      <c r="M1004" s="193"/>
      <c r="N1004" s="193"/>
      <c r="O1004" s="193"/>
      <c r="P1004" s="193"/>
      <c r="Q1004" s="193"/>
      <c r="R1004" s="193"/>
      <c r="S1004" s="193"/>
      <c r="T1004" s="193"/>
      <c r="U1004" s="193"/>
      <c r="V1004" s="193"/>
      <c r="W1004" s="193"/>
      <c r="X1004" s="193"/>
      <c r="Y1004" s="193"/>
      <c r="Z1004" s="193"/>
      <c r="AA1004" s="193"/>
      <c r="AB1004" s="193"/>
      <c r="AC1004" s="193"/>
      <c r="AD1004" s="193"/>
      <c r="AE1004" s="193"/>
      <c r="AF1004" s="193"/>
      <c r="AG1004" s="193"/>
      <c r="AH1004" s="193"/>
      <c r="AI1004" s="193"/>
      <c r="AJ1004" s="193"/>
      <c r="AK1004" s="193"/>
      <c r="AL1004" s="193"/>
    </row>
    <row r="1005" spans="7:38">
      <c r="G1005" s="193"/>
      <c r="H1005" s="193"/>
      <c r="I1005" s="193"/>
      <c r="J1005" s="193"/>
      <c r="K1005" s="193"/>
      <c r="L1005" s="193"/>
      <c r="M1005" s="193"/>
      <c r="N1005" s="193"/>
      <c r="O1005" s="193"/>
      <c r="P1005" s="193"/>
      <c r="Q1005" s="193"/>
      <c r="R1005" s="193"/>
      <c r="S1005" s="193"/>
      <c r="T1005" s="193"/>
      <c r="U1005" s="193"/>
      <c r="V1005" s="193"/>
      <c r="W1005" s="193"/>
      <c r="X1005" s="193"/>
      <c r="Y1005" s="193"/>
      <c r="Z1005" s="193"/>
      <c r="AA1005" s="193"/>
      <c r="AB1005" s="193"/>
      <c r="AC1005" s="193"/>
      <c r="AD1005" s="193"/>
      <c r="AE1005" s="193"/>
      <c r="AF1005" s="193"/>
      <c r="AG1005" s="193"/>
      <c r="AH1005" s="193"/>
      <c r="AI1005" s="193"/>
      <c r="AJ1005" s="193"/>
      <c r="AK1005" s="193"/>
      <c r="AL1005" s="193"/>
    </row>
    <row r="1006" spans="7:38">
      <c r="G1006" s="193"/>
      <c r="H1006" s="193"/>
      <c r="I1006" s="193"/>
      <c r="J1006" s="193"/>
      <c r="K1006" s="193"/>
      <c r="L1006" s="193"/>
      <c r="M1006" s="193"/>
      <c r="N1006" s="193"/>
      <c r="O1006" s="193"/>
      <c r="P1006" s="193"/>
      <c r="Q1006" s="193"/>
      <c r="R1006" s="193"/>
      <c r="S1006" s="193"/>
      <c r="T1006" s="193"/>
      <c r="U1006" s="193"/>
      <c r="V1006" s="193"/>
      <c r="W1006" s="193"/>
      <c r="X1006" s="193"/>
      <c r="Y1006" s="193"/>
      <c r="Z1006" s="193"/>
      <c r="AA1006" s="193"/>
      <c r="AB1006" s="193"/>
      <c r="AC1006" s="193"/>
      <c r="AD1006" s="193"/>
      <c r="AE1006" s="193"/>
      <c r="AF1006" s="193"/>
      <c r="AG1006" s="193"/>
      <c r="AH1006" s="193"/>
      <c r="AI1006" s="193"/>
      <c r="AJ1006" s="193"/>
      <c r="AK1006" s="193"/>
      <c r="AL1006" s="193"/>
    </row>
    <row r="1007" spans="7:38">
      <c r="G1007" s="193"/>
      <c r="H1007" s="193"/>
      <c r="I1007" s="193"/>
      <c r="J1007" s="193"/>
      <c r="K1007" s="193"/>
      <c r="L1007" s="193"/>
      <c r="M1007" s="193"/>
      <c r="N1007" s="193"/>
      <c r="O1007" s="193"/>
      <c r="P1007" s="193"/>
      <c r="Q1007" s="193"/>
      <c r="R1007" s="193"/>
      <c r="S1007" s="193"/>
      <c r="T1007" s="193"/>
      <c r="U1007" s="193"/>
      <c r="V1007" s="193"/>
      <c r="W1007" s="193"/>
      <c r="X1007" s="193"/>
      <c r="Y1007" s="193"/>
      <c r="Z1007" s="193"/>
      <c r="AA1007" s="193"/>
      <c r="AB1007" s="193"/>
      <c r="AC1007" s="193"/>
      <c r="AD1007" s="193"/>
      <c r="AE1007" s="193"/>
      <c r="AF1007" s="193"/>
      <c r="AG1007" s="193"/>
      <c r="AH1007" s="193"/>
      <c r="AI1007" s="193"/>
      <c r="AJ1007" s="193"/>
      <c r="AK1007" s="193"/>
      <c r="AL1007" s="193"/>
    </row>
    <row r="1008" spans="7:38">
      <c r="G1008" s="193"/>
      <c r="H1008" s="193"/>
      <c r="I1008" s="193"/>
      <c r="J1008" s="193"/>
      <c r="K1008" s="193"/>
      <c r="L1008" s="193"/>
      <c r="M1008" s="193"/>
      <c r="N1008" s="193"/>
      <c r="O1008" s="193"/>
      <c r="P1008" s="193"/>
      <c r="Q1008" s="193"/>
      <c r="R1008" s="193"/>
      <c r="S1008" s="193"/>
      <c r="T1008" s="193"/>
      <c r="U1008" s="193"/>
      <c r="V1008" s="193"/>
      <c r="W1008" s="193"/>
      <c r="X1008" s="193"/>
      <c r="Y1008" s="193"/>
      <c r="Z1008" s="193"/>
      <c r="AA1008" s="193"/>
      <c r="AB1008" s="193"/>
      <c r="AC1008" s="193"/>
      <c r="AD1008" s="193"/>
      <c r="AE1008" s="193"/>
      <c r="AF1008" s="193"/>
      <c r="AG1008" s="193"/>
      <c r="AH1008" s="193"/>
      <c r="AI1008" s="193"/>
      <c r="AJ1008" s="193"/>
      <c r="AK1008" s="193"/>
      <c r="AL1008" s="193"/>
    </row>
    <row r="1009" spans="7:38">
      <c r="G1009" s="193"/>
      <c r="H1009" s="193"/>
      <c r="I1009" s="193"/>
      <c r="J1009" s="193"/>
      <c r="K1009" s="193"/>
      <c r="L1009" s="193"/>
      <c r="M1009" s="193"/>
      <c r="N1009" s="193"/>
      <c r="O1009" s="193"/>
      <c r="P1009" s="193"/>
      <c r="Q1009" s="193"/>
      <c r="R1009" s="193"/>
      <c r="S1009" s="193"/>
      <c r="T1009" s="193"/>
      <c r="U1009" s="193"/>
      <c r="V1009" s="193"/>
      <c r="W1009" s="193"/>
      <c r="X1009" s="193"/>
      <c r="Y1009" s="193"/>
      <c r="Z1009" s="193"/>
      <c r="AA1009" s="193"/>
      <c r="AB1009" s="193"/>
      <c r="AC1009" s="193"/>
      <c r="AD1009" s="193"/>
      <c r="AE1009" s="193"/>
      <c r="AF1009" s="193"/>
      <c r="AG1009" s="193"/>
      <c r="AH1009" s="193"/>
      <c r="AI1009" s="193"/>
      <c r="AJ1009" s="193"/>
      <c r="AK1009" s="193"/>
      <c r="AL1009" s="193"/>
    </row>
    <row r="1010" spans="7:38">
      <c r="G1010" s="193"/>
      <c r="H1010" s="193"/>
      <c r="I1010" s="193"/>
      <c r="J1010" s="193"/>
      <c r="K1010" s="193"/>
      <c r="L1010" s="193"/>
      <c r="M1010" s="193"/>
      <c r="N1010" s="193"/>
      <c r="O1010" s="193"/>
      <c r="P1010" s="193"/>
      <c r="Q1010" s="193"/>
      <c r="R1010" s="193"/>
      <c r="S1010" s="193"/>
      <c r="T1010" s="193"/>
      <c r="U1010" s="193"/>
      <c r="V1010" s="193"/>
      <c r="W1010" s="193"/>
      <c r="X1010" s="193"/>
      <c r="Y1010" s="193"/>
      <c r="Z1010" s="193"/>
      <c r="AA1010" s="193"/>
      <c r="AB1010" s="193"/>
      <c r="AC1010" s="193"/>
      <c r="AD1010" s="193"/>
      <c r="AE1010" s="193"/>
      <c r="AF1010" s="193"/>
      <c r="AG1010" s="193"/>
      <c r="AH1010" s="193"/>
      <c r="AI1010" s="193"/>
      <c r="AJ1010" s="193"/>
      <c r="AK1010" s="193"/>
      <c r="AL1010" s="193"/>
    </row>
    <row r="1011" spans="7:38">
      <c r="G1011" s="193"/>
      <c r="H1011" s="193"/>
      <c r="I1011" s="193"/>
      <c r="J1011" s="193"/>
      <c r="K1011" s="193"/>
      <c r="L1011" s="193"/>
      <c r="M1011" s="193"/>
      <c r="N1011" s="193"/>
      <c r="O1011" s="193"/>
      <c r="P1011" s="193"/>
      <c r="Q1011" s="193"/>
      <c r="R1011" s="193"/>
      <c r="S1011" s="193"/>
      <c r="T1011" s="193"/>
      <c r="U1011" s="193"/>
      <c r="V1011" s="193"/>
      <c r="W1011" s="193"/>
      <c r="X1011" s="193"/>
      <c r="Y1011" s="193"/>
      <c r="Z1011" s="193"/>
      <c r="AA1011" s="193"/>
      <c r="AB1011" s="193"/>
      <c r="AC1011" s="193"/>
      <c r="AD1011" s="193"/>
      <c r="AE1011" s="193"/>
      <c r="AF1011" s="193"/>
      <c r="AG1011" s="193"/>
      <c r="AH1011" s="193"/>
      <c r="AI1011" s="193"/>
      <c r="AJ1011" s="193"/>
      <c r="AK1011" s="193"/>
      <c r="AL1011" s="193"/>
    </row>
    <row r="1012" spans="7:38">
      <c r="G1012" s="193"/>
      <c r="H1012" s="193"/>
      <c r="I1012" s="193"/>
      <c r="J1012" s="193"/>
      <c r="K1012" s="193"/>
      <c r="L1012" s="193"/>
      <c r="M1012" s="193"/>
      <c r="N1012" s="193"/>
      <c r="O1012" s="193"/>
      <c r="P1012" s="193"/>
      <c r="Q1012" s="193"/>
      <c r="R1012" s="193"/>
      <c r="S1012" s="193"/>
      <c r="T1012" s="193"/>
      <c r="U1012" s="193"/>
      <c r="V1012" s="193"/>
      <c r="W1012" s="193"/>
      <c r="X1012" s="193"/>
      <c r="Y1012" s="193"/>
      <c r="Z1012" s="193"/>
      <c r="AA1012" s="193"/>
      <c r="AB1012" s="193"/>
      <c r="AC1012" s="193"/>
      <c r="AD1012" s="193"/>
      <c r="AE1012" s="193"/>
      <c r="AF1012" s="193"/>
      <c r="AG1012" s="193"/>
      <c r="AH1012" s="193"/>
      <c r="AI1012" s="193"/>
      <c r="AJ1012" s="193"/>
      <c r="AK1012" s="193"/>
      <c r="AL1012" s="193"/>
    </row>
    <row r="1013" spans="7:38">
      <c r="G1013" s="193"/>
      <c r="H1013" s="193"/>
      <c r="I1013" s="193"/>
      <c r="J1013" s="193"/>
      <c r="K1013" s="193"/>
      <c r="L1013" s="193"/>
      <c r="M1013" s="193"/>
      <c r="N1013" s="193"/>
      <c r="O1013" s="193"/>
      <c r="P1013" s="193"/>
      <c r="Q1013" s="193"/>
      <c r="R1013" s="193"/>
      <c r="S1013" s="193"/>
      <c r="T1013" s="193"/>
      <c r="U1013" s="193"/>
      <c r="V1013" s="193"/>
      <c r="W1013" s="193"/>
      <c r="X1013" s="193"/>
      <c r="Y1013" s="193"/>
      <c r="Z1013" s="193"/>
      <c r="AA1013" s="193"/>
      <c r="AB1013" s="193"/>
      <c r="AC1013" s="193"/>
      <c r="AD1013" s="193"/>
      <c r="AE1013" s="193"/>
      <c r="AF1013" s="193"/>
      <c r="AG1013" s="193"/>
      <c r="AH1013" s="193"/>
      <c r="AI1013" s="193"/>
      <c r="AJ1013" s="193"/>
      <c r="AK1013" s="193"/>
      <c r="AL1013" s="193"/>
    </row>
    <row r="1014" spans="7:38">
      <c r="G1014" s="193"/>
      <c r="H1014" s="193"/>
      <c r="I1014" s="193"/>
      <c r="J1014" s="193"/>
      <c r="K1014" s="193"/>
      <c r="L1014" s="193"/>
      <c r="M1014" s="193"/>
      <c r="N1014" s="193"/>
      <c r="O1014" s="193"/>
      <c r="P1014" s="193"/>
      <c r="Q1014" s="193"/>
      <c r="R1014" s="193"/>
      <c r="S1014" s="193"/>
      <c r="T1014" s="193"/>
      <c r="U1014" s="193"/>
      <c r="V1014" s="193"/>
      <c r="W1014" s="193"/>
      <c r="X1014" s="193"/>
      <c r="Y1014" s="193"/>
      <c r="Z1014" s="193"/>
      <c r="AA1014" s="193"/>
      <c r="AB1014" s="193"/>
      <c r="AC1014" s="193"/>
      <c r="AD1014" s="193"/>
      <c r="AE1014" s="193"/>
      <c r="AF1014" s="193"/>
      <c r="AG1014" s="193"/>
      <c r="AH1014" s="193"/>
      <c r="AI1014" s="193"/>
      <c r="AJ1014" s="193"/>
      <c r="AK1014" s="193"/>
      <c r="AL1014" s="193"/>
    </row>
    <row r="1015" spans="7:38">
      <c r="G1015" s="193"/>
      <c r="H1015" s="193"/>
      <c r="I1015" s="193"/>
      <c r="J1015" s="193"/>
      <c r="K1015" s="193"/>
      <c r="L1015" s="193"/>
      <c r="M1015" s="193"/>
      <c r="N1015" s="193"/>
      <c r="O1015" s="193"/>
      <c r="P1015" s="193"/>
      <c r="Q1015" s="193"/>
      <c r="R1015" s="193"/>
      <c r="S1015" s="193"/>
      <c r="T1015" s="193"/>
      <c r="U1015" s="193"/>
      <c r="V1015" s="193"/>
      <c r="W1015" s="193"/>
      <c r="X1015" s="193"/>
      <c r="Y1015" s="193"/>
      <c r="Z1015" s="193"/>
      <c r="AA1015" s="193"/>
      <c r="AB1015" s="193"/>
      <c r="AC1015" s="193"/>
      <c r="AD1015" s="193"/>
      <c r="AE1015" s="193"/>
      <c r="AF1015" s="193"/>
      <c r="AG1015" s="193"/>
      <c r="AH1015" s="193"/>
      <c r="AI1015" s="193"/>
      <c r="AJ1015" s="193"/>
      <c r="AK1015" s="193"/>
      <c r="AL1015" s="193"/>
    </row>
    <row r="1016" spans="7:38">
      <c r="G1016" s="193"/>
      <c r="H1016" s="193"/>
      <c r="I1016" s="193"/>
      <c r="J1016" s="193"/>
      <c r="K1016" s="193"/>
      <c r="L1016" s="193"/>
      <c r="M1016" s="193"/>
      <c r="N1016" s="193"/>
      <c r="O1016" s="193"/>
      <c r="P1016" s="193"/>
      <c r="Q1016" s="193"/>
      <c r="R1016" s="193"/>
      <c r="S1016" s="193"/>
      <c r="T1016" s="193"/>
      <c r="U1016" s="193"/>
      <c r="V1016" s="193"/>
      <c r="W1016" s="193"/>
      <c r="X1016" s="193"/>
      <c r="Y1016" s="193"/>
      <c r="Z1016" s="193"/>
      <c r="AA1016" s="193"/>
      <c r="AB1016" s="193"/>
      <c r="AC1016" s="193"/>
      <c r="AD1016" s="193"/>
      <c r="AE1016" s="193"/>
      <c r="AF1016" s="193"/>
      <c r="AG1016" s="193"/>
      <c r="AH1016" s="193"/>
      <c r="AI1016" s="193"/>
      <c r="AJ1016" s="193"/>
      <c r="AK1016" s="193"/>
      <c r="AL1016" s="193"/>
    </row>
    <row r="1017" spans="7:38">
      <c r="G1017" s="193"/>
      <c r="H1017" s="193"/>
      <c r="I1017" s="193"/>
      <c r="J1017" s="193"/>
      <c r="K1017" s="193"/>
      <c r="L1017" s="193"/>
      <c r="M1017" s="193"/>
      <c r="N1017" s="193"/>
      <c r="O1017" s="193"/>
      <c r="P1017" s="193"/>
      <c r="Q1017" s="193"/>
      <c r="R1017" s="193"/>
      <c r="S1017" s="193"/>
      <c r="T1017" s="193"/>
      <c r="U1017" s="193"/>
      <c r="V1017" s="193"/>
      <c r="W1017" s="193"/>
      <c r="X1017" s="193"/>
      <c r="Y1017" s="193"/>
      <c r="Z1017" s="193"/>
      <c r="AA1017" s="193"/>
      <c r="AB1017" s="193"/>
      <c r="AC1017" s="193"/>
      <c r="AD1017" s="193"/>
      <c r="AE1017" s="193"/>
      <c r="AF1017" s="193"/>
      <c r="AG1017" s="193"/>
      <c r="AH1017" s="193"/>
      <c r="AI1017" s="193"/>
      <c r="AJ1017" s="193"/>
      <c r="AK1017" s="193"/>
      <c r="AL1017" s="193"/>
    </row>
    <row r="1018" spans="7:38">
      <c r="G1018" s="193"/>
      <c r="H1018" s="193"/>
      <c r="I1018" s="193"/>
      <c r="J1018" s="193"/>
      <c r="K1018" s="193"/>
      <c r="L1018" s="193"/>
      <c r="M1018" s="193"/>
      <c r="N1018" s="193"/>
      <c r="O1018" s="193"/>
      <c r="P1018" s="193"/>
      <c r="Q1018" s="193"/>
      <c r="R1018" s="193"/>
      <c r="S1018" s="193"/>
      <c r="T1018" s="193"/>
      <c r="U1018" s="193"/>
      <c r="V1018" s="193"/>
      <c r="W1018" s="193"/>
      <c r="X1018" s="193"/>
      <c r="Y1018" s="193"/>
      <c r="Z1018" s="193"/>
      <c r="AA1018" s="193"/>
      <c r="AB1018" s="193"/>
      <c r="AC1018" s="193"/>
      <c r="AD1018" s="193"/>
      <c r="AE1018" s="193"/>
      <c r="AF1018" s="193"/>
      <c r="AG1018" s="193"/>
      <c r="AH1018" s="193"/>
      <c r="AI1018" s="193"/>
      <c r="AJ1018" s="193"/>
      <c r="AK1018" s="193"/>
      <c r="AL1018" s="193"/>
    </row>
    <row r="1019" spans="7:38">
      <c r="G1019" s="193"/>
      <c r="H1019" s="193"/>
      <c r="I1019" s="193"/>
      <c r="J1019" s="193"/>
      <c r="K1019" s="193"/>
      <c r="L1019" s="193"/>
      <c r="M1019" s="193"/>
      <c r="N1019" s="193"/>
      <c r="O1019" s="193"/>
      <c r="P1019" s="193"/>
      <c r="Q1019" s="193"/>
      <c r="R1019" s="193"/>
      <c r="S1019" s="193"/>
      <c r="T1019" s="193"/>
      <c r="U1019" s="193"/>
      <c r="V1019" s="193"/>
      <c r="W1019" s="193"/>
      <c r="X1019" s="193"/>
      <c r="Y1019" s="193"/>
      <c r="Z1019" s="193"/>
      <c r="AA1019" s="193"/>
      <c r="AB1019" s="193"/>
      <c r="AC1019" s="193"/>
      <c r="AD1019" s="193"/>
      <c r="AE1019" s="193"/>
      <c r="AF1019" s="193"/>
      <c r="AG1019" s="193"/>
      <c r="AH1019" s="193"/>
      <c r="AI1019" s="193"/>
      <c r="AJ1019" s="193"/>
      <c r="AK1019" s="193"/>
      <c r="AL1019" s="193"/>
    </row>
    <row r="1020" spans="7:38">
      <c r="G1020" s="193"/>
      <c r="H1020" s="193"/>
      <c r="I1020" s="193"/>
      <c r="J1020" s="193"/>
      <c r="K1020" s="193"/>
      <c r="L1020" s="193"/>
      <c r="M1020" s="193"/>
      <c r="N1020" s="193"/>
      <c r="O1020" s="193"/>
      <c r="P1020" s="193"/>
      <c r="Q1020" s="193"/>
      <c r="R1020" s="193"/>
      <c r="S1020" s="193"/>
      <c r="T1020" s="193"/>
      <c r="U1020" s="193"/>
      <c r="V1020" s="193"/>
      <c r="W1020" s="193"/>
      <c r="X1020" s="193"/>
      <c r="Y1020" s="193"/>
      <c r="Z1020" s="193"/>
      <c r="AA1020" s="193"/>
      <c r="AB1020" s="193"/>
      <c r="AC1020" s="193"/>
      <c r="AD1020" s="193"/>
      <c r="AE1020" s="193"/>
      <c r="AF1020" s="193"/>
      <c r="AG1020" s="193"/>
      <c r="AH1020" s="193"/>
      <c r="AI1020" s="193"/>
      <c r="AJ1020" s="193"/>
      <c r="AK1020" s="193"/>
      <c r="AL1020" s="193"/>
    </row>
    <row r="1021" spans="7:38">
      <c r="G1021" s="193"/>
      <c r="H1021" s="193"/>
      <c r="I1021" s="193"/>
      <c r="J1021" s="193"/>
      <c r="K1021" s="193"/>
      <c r="L1021" s="193"/>
      <c r="M1021" s="193"/>
      <c r="N1021" s="193"/>
      <c r="O1021" s="193"/>
      <c r="P1021" s="193"/>
      <c r="Q1021" s="193"/>
      <c r="R1021" s="193"/>
      <c r="S1021" s="193"/>
      <c r="T1021" s="193"/>
      <c r="U1021" s="193"/>
      <c r="V1021" s="193"/>
      <c r="W1021" s="193"/>
      <c r="X1021" s="193"/>
      <c r="Y1021" s="193"/>
      <c r="Z1021" s="193"/>
      <c r="AA1021" s="193"/>
      <c r="AB1021" s="193"/>
      <c r="AC1021" s="193"/>
      <c r="AD1021" s="193"/>
      <c r="AE1021" s="193"/>
      <c r="AF1021" s="193"/>
      <c r="AG1021" s="193"/>
      <c r="AH1021" s="193"/>
      <c r="AI1021" s="193"/>
      <c r="AJ1021" s="193"/>
      <c r="AK1021" s="193"/>
      <c r="AL1021" s="193"/>
    </row>
    <row r="1022" spans="7:38">
      <c r="G1022" s="193"/>
      <c r="H1022" s="193"/>
      <c r="I1022" s="193"/>
      <c r="J1022" s="193"/>
      <c r="K1022" s="193"/>
      <c r="L1022" s="193"/>
      <c r="M1022" s="193"/>
      <c r="N1022" s="193"/>
      <c r="O1022" s="193"/>
      <c r="P1022" s="193"/>
      <c r="Q1022" s="193"/>
      <c r="R1022" s="193"/>
      <c r="S1022" s="193"/>
      <c r="T1022" s="193"/>
      <c r="U1022" s="193"/>
      <c r="V1022" s="193"/>
      <c r="W1022" s="193"/>
      <c r="X1022" s="193"/>
      <c r="Y1022" s="193"/>
      <c r="Z1022" s="193"/>
      <c r="AA1022" s="193"/>
      <c r="AB1022" s="193"/>
      <c r="AC1022" s="193"/>
      <c r="AD1022" s="193"/>
      <c r="AE1022" s="193"/>
      <c r="AF1022" s="193"/>
      <c r="AG1022" s="193"/>
      <c r="AH1022" s="193"/>
      <c r="AI1022" s="193"/>
      <c r="AJ1022" s="193"/>
      <c r="AK1022" s="193"/>
      <c r="AL1022" s="193"/>
    </row>
    <row r="1023" spans="7:38">
      <c r="G1023" s="193"/>
      <c r="H1023" s="193"/>
      <c r="I1023" s="193"/>
      <c r="J1023" s="193"/>
      <c r="K1023" s="193"/>
      <c r="L1023" s="193"/>
      <c r="M1023" s="193"/>
      <c r="N1023" s="193"/>
      <c r="O1023" s="193"/>
      <c r="P1023" s="193"/>
      <c r="Q1023" s="193"/>
      <c r="R1023" s="193"/>
      <c r="S1023" s="193"/>
      <c r="T1023" s="193"/>
      <c r="U1023" s="193"/>
      <c r="V1023" s="193"/>
      <c r="W1023" s="193"/>
      <c r="X1023" s="193"/>
      <c r="Y1023" s="193"/>
      <c r="Z1023" s="193"/>
      <c r="AA1023" s="193"/>
      <c r="AB1023" s="193"/>
      <c r="AC1023" s="193"/>
      <c r="AD1023" s="193"/>
      <c r="AE1023" s="193"/>
      <c r="AF1023" s="193"/>
      <c r="AG1023" s="193"/>
      <c r="AH1023" s="193"/>
      <c r="AI1023" s="193"/>
      <c r="AJ1023" s="193"/>
      <c r="AK1023" s="193"/>
      <c r="AL1023" s="193"/>
    </row>
    <row r="1024" spans="7:38">
      <c r="G1024" s="193"/>
      <c r="H1024" s="193"/>
      <c r="I1024" s="193"/>
      <c r="J1024" s="193"/>
      <c r="K1024" s="193"/>
      <c r="L1024" s="193"/>
      <c r="M1024" s="193"/>
      <c r="N1024" s="193"/>
      <c r="O1024" s="193"/>
      <c r="P1024" s="193"/>
      <c r="Q1024" s="193"/>
      <c r="R1024" s="193"/>
      <c r="S1024" s="193"/>
      <c r="T1024" s="193"/>
      <c r="U1024" s="193"/>
      <c r="V1024" s="193"/>
      <c r="W1024" s="193"/>
      <c r="X1024" s="193"/>
      <c r="Y1024" s="193"/>
      <c r="Z1024" s="193"/>
      <c r="AA1024" s="193"/>
      <c r="AB1024" s="193"/>
      <c r="AC1024" s="193"/>
      <c r="AD1024" s="193"/>
      <c r="AE1024" s="193"/>
      <c r="AF1024" s="193"/>
      <c r="AG1024" s="193"/>
      <c r="AH1024" s="193"/>
      <c r="AI1024" s="193"/>
      <c r="AJ1024" s="193"/>
      <c r="AK1024" s="193"/>
      <c r="AL1024" s="193"/>
    </row>
    <row r="1025" spans="7:38">
      <c r="G1025" s="193"/>
      <c r="H1025" s="193"/>
      <c r="I1025" s="193"/>
      <c r="J1025" s="193"/>
      <c r="K1025" s="193"/>
      <c r="L1025" s="193"/>
      <c r="M1025" s="193"/>
      <c r="N1025" s="193"/>
      <c r="O1025" s="193"/>
      <c r="P1025" s="193"/>
      <c r="Q1025" s="193"/>
      <c r="R1025" s="193"/>
      <c r="S1025" s="193"/>
      <c r="T1025" s="193"/>
      <c r="U1025" s="193"/>
      <c r="V1025" s="193"/>
      <c r="W1025" s="193"/>
      <c r="X1025" s="193"/>
      <c r="Y1025" s="193"/>
      <c r="Z1025" s="193"/>
      <c r="AA1025" s="193"/>
      <c r="AB1025" s="193"/>
      <c r="AC1025" s="193"/>
      <c r="AD1025" s="193"/>
      <c r="AE1025" s="193"/>
      <c r="AF1025" s="193"/>
      <c r="AG1025" s="193"/>
      <c r="AH1025" s="193"/>
      <c r="AI1025" s="193"/>
      <c r="AJ1025" s="193"/>
      <c r="AK1025" s="193"/>
      <c r="AL1025" s="193"/>
    </row>
    <row r="1026" spans="7:38">
      <c r="G1026" s="193"/>
      <c r="H1026" s="193"/>
      <c r="I1026" s="193"/>
      <c r="J1026" s="193"/>
      <c r="K1026" s="193"/>
      <c r="L1026" s="193"/>
      <c r="M1026" s="193"/>
      <c r="N1026" s="193"/>
      <c r="O1026" s="193"/>
      <c r="P1026" s="193"/>
      <c r="Q1026" s="193"/>
      <c r="R1026" s="193"/>
      <c r="S1026" s="193"/>
      <c r="T1026" s="193"/>
      <c r="U1026" s="193"/>
      <c r="V1026" s="193"/>
      <c r="W1026" s="193"/>
      <c r="X1026" s="193"/>
      <c r="Y1026" s="193"/>
      <c r="Z1026" s="193"/>
      <c r="AA1026" s="193"/>
      <c r="AB1026" s="193"/>
      <c r="AC1026" s="193"/>
      <c r="AD1026" s="193"/>
      <c r="AE1026" s="193"/>
      <c r="AF1026" s="193"/>
      <c r="AG1026" s="193"/>
      <c r="AH1026" s="193"/>
      <c r="AI1026" s="193"/>
      <c r="AJ1026" s="193"/>
      <c r="AK1026" s="193"/>
      <c r="AL1026" s="193"/>
    </row>
    <row r="1027" spans="7:38">
      <c r="G1027" s="193"/>
      <c r="H1027" s="193"/>
      <c r="I1027" s="193"/>
      <c r="J1027" s="193"/>
      <c r="K1027" s="193"/>
      <c r="L1027" s="193"/>
      <c r="M1027" s="193"/>
      <c r="N1027" s="193"/>
      <c r="O1027" s="193"/>
      <c r="P1027" s="193"/>
      <c r="Q1027" s="193"/>
      <c r="R1027" s="193"/>
      <c r="S1027" s="193"/>
      <c r="T1027" s="193"/>
      <c r="U1027" s="193"/>
      <c r="V1027" s="193"/>
      <c r="W1027" s="193"/>
      <c r="X1027" s="193"/>
      <c r="Y1027" s="193"/>
      <c r="Z1027" s="193"/>
      <c r="AA1027" s="193"/>
      <c r="AB1027" s="193"/>
      <c r="AC1027" s="193"/>
      <c r="AD1027" s="193"/>
      <c r="AE1027" s="193"/>
      <c r="AF1027" s="193"/>
      <c r="AG1027" s="193"/>
      <c r="AH1027" s="193"/>
      <c r="AI1027" s="193"/>
      <c r="AJ1027" s="193"/>
      <c r="AK1027" s="193"/>
      <c r="AL1027" s="193"/>
    </row>
    <row r="1028" spans="7:38">
      <c r="G1028" s="193"/>
      <c r="H1028" s="193"/>
      <c r="I1028" s="193"/>
      <c r="J1028" s="193"/>
      <c r="K1028" s="193"/>
      <c r="L1028" s="193"/>
      <c r="M1028" s="193"/>
      <c r="N1028" s="193"/>
      <c r="O1028" s="193"/>
      <c r="P1028" s="193"/>
      <c r="Q1028" s="193"/>
      <c r="R1028" s="193"/>
      <c r="S1028" s="193"/>
      <c r="T1028" s="193"/>
      <c r="U1028" s="193"/>
      <c r="V1028" s="193"/>
      <c r="W1028" s="193"/>
      <c r="X1028" s="193"/>
      <c r="Y1028" s="193"/>
      <c r="Z1028" s="193"/>
      <c r="AA1028" s="193"/>
      <c r="AB1028" s="193"/>
      <c r="AC1028" s="193"/>
      <c r="AD1028" s="193"/>
      <c r="AE1028" s="193"/>
      <c r="AF1028" s="193"/>
      <c r="AG1028" s="193"/>
      <c r="AH1028" s="193"/>
      <c r="AI1028" s="193"/>
      <c r="AJ1028" s="193"/>
      <c r="AK1028" s="193"/>
      <c r="AL1028" s="193"/>
    </row>
    <row r="1029" spans="7:38">
      <c r="G1029" s="193"/>
      <c r="H1029" s="193"/>
      <c r="I1029" s="193"/>
      <c r="J1029" s="193"/>
      <c r="K1029" s="193"/>
      <c r="L1029" s="193"/>
      <c r="M1029" s="193"/>
      <c r="N1029" s="193"/>
      <c r="O1029" s="193"/>
      <c r="P1029" s="193"/>
      <c r="Q1029" s="193"/>
      <c r="R1029" s="193"/>
      <c r="S1029" s="193"/>
      <c r="T1029" s="193"/>
      <c r="U1029" s="193"/>
      <c r="V1029" s="193"/>
      <c r="W1029" s="193"/>
      <c r="X1029" s="193"/>
      <c r="Y1029" s="193"/>
      <c r="Z1029" s="193"/>
      <c r="AA1029" s="193"/>
      <c r="AB1029" s="193"/>
      <c r="AC1029" s="193"/>
      <c r="AD1029" s="193"/>
      <c r="AE1029" s="193"/>
      <c r="AF1029" s="193"/>
      <c r="AG1029" s="193"/>
      <c r="AH1029" s="193"/>
      <c r="AI1029" s="193"/>
      <c r="AJ1029" s="193"/>
      <c r="AK1029" s="193"/>
      <c r="AL1029" s="193"/>
    </row>
    <row r="1030" spans="7:38">
      <c r="G1030" s="193"/>
      <c r="H1030" s="193"/>
      <c r="I1030" s="193"/>
      <c r="J1030" s="193"/>
      <c r="K1030" s="193"/>
      <c r="L1030" s="193"/>
      <c r="M1030" s="193"/>
      <c r="N1030" s="193"/>
      <c r="O1030" s="193"/>
      <c r="P1030" s="193"/>
      <c r="Q1030" s="193"/>
      <c r="R1030" s="193"/>
      <c r="S1030" s="193"/>
      <c r="T1030" s="193"/>
      <c r="U1030" s="193"/>
      <c r="V1030" s="193"/>
      <c r="W1030" s="193"/>
      <c r="X1030" s="193"/>
      <c r="Y1030" s="193"/>
      <c r="Z1030" s="193"/>
      <c r="AA1030" s="193"/>
      <c r="AB1030" s="193"/>
      <c r="AC1030" s="193"/>
      <c r="AD1030" s="193"/>
      <c r="AE1030" s="193"/>
      <c r="AF1030" s="193"/>
      <c r="AG1030" s="193"/>
      <c r="AH1030" s="193"/>
      <c r="AI1030" s="193"/>
      <c r="AJ1030" s="193"/>
      <c r="AK1030" s="193"/>
      <c r="AL1030" s="193"/>
    </row>
    <row r="1031" spans="7:38">
      <c r="G1031" s="193"/>
      <c r="H1031" s="193"/>
      <c r="I1031" s="193"/>
      <c r="J1031" s="193"/>
      <c r="K1031" s="193"/>
      <c r="L1031" s="193"/>
      <c r="M1031" s="193"/>
      <c r="N1031" s="193"/>
      <c r="O1031" s="193"/>
      <c r="P1031" s="193"/>
      <c r="Q1031" s="193"/>
      <c r="R1031" s="193"/>
      <c r="S1031" s="193"/>
      <c r="T1031" s="193"/>
      <c r="U1031" s="193"/>
      <c r="V1031" s="193"/>
      <c r="W1031" s="193"/>
      <c r="X1031" s="193"/>
      <c r="Y1031" s="193"/>
      <c r="Z1031" s="193"/>
      <c r="AA1031" s="193"/>
      <c r="AB1031" s="193"/>
      <c r="AC1031" s="193"/>
      <c r="AD1031" s="193"/>
      <c r="AE1031" s="193"/>
      <c r="AF1031" s="193"/>
      <c r="AG1031" s="193"/>
      <c r="AH1031" s="193"/>
      <c r="AI1031" s="193"/>
      <c r="AJ1031" s="193"/>
      <c r="AK1031" s="193"/>
      <c r="AL1031" s="193"/>
    </row>
    <row r="1032" spans="7:38">
      <c r="G1032" s="193"/>
      <c r="H1032" s="193"/>
      <c r="I1032" s="193"/>
      <c r="J1032" s="193"/>
      <c r="K1032" s="193"/>
      <c r="L1032" s="193"/>
      <c r="M1032" s="193"/>
      <c r="N1032" s="193"/>
      <c r="O1032" s="193"/>
      <c r="P1032" s="193"/>
      <c r="Q1032" s="193"/>
      <c r="R1032" s="193"/>
      <c r="S1032" s="193"/>
      <c r="T1032" s="193"/>
      <c r="U1032" s="193"/>
      <c r="V1032" s="193"/>
      <c r="W1032" s="193"/>
      <c r="X1032" s="193"/>
      <c r="Y1032" s="193"/>
      <c r="Z1032" s="193"/>
      <c r="AA1032" s="193"/>
      <c r="AB1032" s="193"/>
      <c r="AC1032" s="193"/>
      <c r="AD1032" s="193"/>
      <c r="AE1032" s="193"/>
      <c r="AF1032" s="193"/>
      <c r="AG1032" s="193"/>
      <c r="AH1032" s="193"/>
      <c r="AI1032" s="193"/>
      <c r="AJ1032" s="193"/>
      <c r="AK1032" s="193"/>
      <c r="AL1032" s="193"/>
    </row>
    <row r="1033" spans="7:38">
      <c r="G1033" s="193"/>
      <c r="H1033" s="193"/>
      <c r="I1033" s="193"/>
      <c r="J1033" s="193"/>
      <c r="K1033" s="193"/>
      <c r="L1033" s="193"/>
      <c r="M1033" s="193"/>
      <c r="N1033" s="193"/>
      <c r="O1033" s="193"/>
      <c r="P1033" s="193"/>
      <c r="Q1033" s="193"/>
      <c r="R1033" s="193"/>
      <c r="S1033" s="193"/>
      <c r="T1033" s="193"/>
      <c r="U1033" s="193"/>
      <c r="V1033" s="193"/>
      <c r="W1033" s="193"/>
      <c r="X1033" s="193"/>
      <c r="Y1033" s="193"/>
      <c r="Z1033" s="193"/>
      <c r="AA1033" s="193"/>
      <c r="AB1033" s="193"/>
      <c r="AC1033" s="193"/>
      <c r="AD1033" s="193"/>
      <c r="AE1033" s="193"/>
      <c r="AF1033" s="193"/>
      <c r="AG1033" s="193"/>
      <c r="AH1033" s="193"/>
      <c r="AI1033" s="193"/>
      <c r="AJ1033" s="193"/>
      <c r="AK1033" s="193"/>
      <c r="AL1033" s="193"/>
    </row>
    <row r="1034" spans="7:38">
      <c r="G1034" s="193"/>
      <c r="H1034" s="193"/>
      <c r="I1034" s="193"/>
      <c r="J1034" s="193"/>
      <c r="K1034" s="193"/>
      <c r="L1034" s="193"/>
      <c r="M1034" s="193"/>
      <c r="N1034" s="193"/>
      <c r="O1034" s="193"/>
      <c r="P1034" s="193"/>
      <c r="Q1034" s="193"/>
      <c r="R1034" s="193"/>
      <c r="S1034" s="193"/>
      <c r="T1034" s="193"/>
      <c r="U1034" s="193"/>
      <c r="V1034" s="193"/>
      <c r="W1034" s="193"/>
      <c r="X1034" s="193"/>
      <c r="Y1034" s="193"/>
      <c r="Z1034" s="193"/>
      <c r="AA1034" s="193"/>
      <c r="AB1034" s="193"/>
      <c r="AC1034" s="193"/>
      <c r="AD1034" s="193"/>
      <c r="AE1034" s="193"/>
      <c r="AF1034" s="193"/>
      <c r="AG1034" s="193"/>
      <c r="AH1034" s="193"/>
      <c r="AI1034" s="193"/>
      <c r="AJ1034" s="193"/>
      <c r="AK1034" s="193"/>
      <c r="AL1034" s="193"/>
    </row>
    <row r="1035" spans="7:38">
      <c r="G1035" s="193"/>
      <c r="H1035" s="193"/>
      <c r="I1035" s="193"/>
      <c r="J1035" s="193"/>
      <c r="K1035" s="193"/>
      <c r="L1035" s="193"/>
      <c r="M1035" s="193"/>
      <c r="N1035" s="193"/>
      <c r="O1035" s="193"/>
      <c r="P1035" s="193"/>
      <c r="Q1035" s="193"/>
      <c r="R1035" s="193"/>
      <c r="S1035" s="193"/>
      <c r="T1035" s="193"/>
      <c r="U1035" s="193"/>
      <c r="V1035" s="193"/>
      <c r="W1035" s="193"/>
      <c r="X1035" s="193"/>
      <c r="Y1035" s="193"/>
      <c r="Z1035" s="193"/>
      <c r="AA1035" s="193"/>
      <c r="AB1035" s="193"/>
      <c r="AC1035" s="193"/>
      <c r="AD1035" s="193"/>
      <c r="AE1035" s="193"/>
      <c r="AF1035" s="193"/>
      <c r="AG1035" s="193"/>
      <c r="AH1035" s="193"/>
      <c r="AI1035" s="193"/>
      <c r="AJ1035" s="193"/>
      <c r="AK1035" s="193"/>
      <c r="AL1035" s="193"/>
    </row>
    <row r="1036" spans="7:38">
      <c r="G1036" s="193"/>
      <c r="H1036" s="193"/>
      <c r="I1036" s="193"/>
      <c r="J1036" s="193"/>
      <c r="K1036" s="193"/>
      <c r="L1036" s="193"/>
      <c r="M1036" s="193"/>
      <c r="N1036" s="193"/>
      <c r="O1036" s="193"/>
      <c r="P1036" s="193"/>
      <c r="Q1036" s="193"/>
      <c r="R1036" s="193"/>
      <c r="S1036" s="193"/>
      <c r="T1036" s="193"/>
      <c r="U1036" s="193"/>
      <c r="V1036" s="193"/>
      <c r="W1036" s="193"/>
      <c r="X1036" s="193"/>
      <c r="Y1036" s="193"/>
      <c r="Z1036" s="193"/>
      <c r="AA1036" s="193"/>
      <c r="AB1036" s="193"/>
      <c r="AC1036" s="193"/>
      <c r="AD1036" s="193"/>
      <c r="AE1036" s="193"/>
      <c r="AF1036" s="193"/>
      <c r="AG1036" s="193"/>
      <c r="AH1036" s="193"/>
      <c r="AI1036" s="193"/>
      <c r="AJ1036" s="193"/>
      <c r="AK1036" s="193"/>
      <c r="AL1036" s="193"/>
    </row>
    <row r="1037" spans="7:38">
      <c r="G1037" s="193"/>
      <c r="H1037" s="193"/>
      <c r="I1037" s="193"/>
      <c r="J1037" s="193"/>
      <c r="K1037" s="193"/>
      <c r="L1037" s="193"/>
      <c r="M1037" s="193"/>
      <c r="N1037" s="193"/>
      <c r="O1037" s="193"/>
      <c r="P1037" s="193"/>
      <c r="Q1037" s="193"/>
      <c r="R1037" s="193"/>
      <c r="S1037" s="193"/>
      <c r="T1037" s="193"/>
      <c r="U1037" s="193"/>
      <c r="V1037" s="193"/>
      <c r="W1037" s="193"/>
      <c r="X1037" s="193"/>
      <c r="Y1037" s="193"/>
      <c r="Z1037" s="193"/>
      <c r="AA1037" s="193"/>
      <c r="AB1037" s="193"/>
      <c r="AC1037" s="193"/>
      <c r="AD1037" s="193"/>
      <c r="AE1037" s="193"/>
      <c r="AF1037" s="193"/>
      <c r="AG1037" s="193"/>
      <c r="AH1037" s="193"/>
      <c r="AI1037" s="193"/>
      <c r="AJ1037" s="193"/>
      <c r="AK1037" s="193"/>
      <c r="AL1037" s="193"/>
    </row>
    <row r="1038" spans="7:38">
      <c r="G1038" s="193"/>
      <c r="H1038" s="193"/>
      <c r="I1038" s="193"/>
      <c r="J1038" s="193"/>
      <c r="K1038" s="193"/>
      <c r="L1038" s="193"/>
      <c r="M1038" s="193"/>
      <c r="N1038" s="193"/>
      <c r="O1038" s="193"/>
      <c r="P1038" s="193"/>
      <c r="Q1038" s="193"/>
      <c r="R1038" s="193"/>
      <c r="S1038" s="193"/>
      <c r="T1038" s="193"/>
      <c r="U1038" s="193"/>
      <c r="V1038" s="193"/>
      <c r="W1038" s="193"/>
      <c r="X1038" s="193"/>
      <c r="Y1038" s="193"/>
      <c r="Z1038" s="193"/>
      <c r="AA1038" s="193"/>
      <c r="AB1038" s="193"/>
      <c r="AC1038" s="193"/>
      <c r="AD1038" s="193"/>
      <c r="AE1038" s="193"/>
      <c r="AF1038" s="193"/>
      <c r="AG1038" s="193"/>
      <c r="AH1038" s="193"/>
      <c r="AI1038" s="193"/>
      <c r="AJ1038" s="193"/>
      <c r="AK1038" s="193"/>
      <c r="AL1038" s="193"/>
    </row>
    <row r="1039" spans="7:38">
      <c r="G1039" s="193"/>
      <c r="H1039" s="193"/>
      <c r="I1039" s="193"/>
      <c r="J1039" s="193"/>
      <c r="K1039" s="193"/>
      <c r="L1039" s="193"/>
      <c r="M1039" s="193"/>
      <c r="N1039" s="193"/>
      <c r="O1039" s="193"/>
      <c r="P1039" s="193"/>
      <c r="Q1039" s="193"/>
      <c r="R1039" s="193"/>
      <c r="S1039" s="193"/>
      <c r="T1039" s="193"/>
      <c r="U1039" s="193"/>
      <c r="V1039" s="193"/>
      <c r="W1039" s="193"/>
      <c r="X1039" s="193"/>
      <c r="Y1039" s="193"/>
      <c r="Z1039" s="193"/>
      <c r="AA1039" s="193"/>
      <c r="AB1039" s="193"/>
      <c r="AC1039" s="193"/>
      <c r="AD1039" s="193"/>
      <c r="AE1039" s="193"/>
      <c r="AF1039" s="193"/>
      <c r="AG1039" s="193"/>
      <c r="AH1039" s="193"/>
      <c r="AI1039" s="193"/>
      <c r="AJ1039" s="193"/>
      <c r="AK1039" s="193"/>
      <c r="AL1039" s="193"/>
    </row>
    <row r="1040" spans="7:38">
      <c r="G1040" s="193"/>
      <c r="H1040" s="193"/>
      <c r="I1040" s="193"/>
      <c r="J1040" s="193"/>
      <c r="K1040" s="193"/>
      <c r="L1040" s="193"/>
      <c r="M1040" s="193"/>
      <c r="N1040" s="193"/>
      <c r="O1040" s="193"/>
      <c r="P1040" s="193"/>
      <c r="Q1040" s="193"/>
      <c r="R1040" s="193"/>
      <c r="S1040" s="193"/>
      <c r="T1040" s="193"/>
      <c r="U1040" s="193"/>
      <c r="V1040" s="193"/>
      <c r="W1040" s="193"/>
      <c r="X1040" s="193"/>
      <c r="Y1040" s="193"/>
      <c r="Z1040" s="193"/>
      <c r="AA1040" s="193"/>
      <c r="AB1040" s="193"/>
      <c r="AC1040" s="193"/>
      <c r="AD1040" s="193"/>
      <c r="AE1040" s="193"/>
      <c r="AF1040" s="193"/>
      <c r="AG1040" s="193"/>
      <c r="AH1040" s="193"/>
      <c r="AI1040" s="193"/>
      <c r="AJ1040" s="193"/>
      <c r="AK1040" s="193"/>
      <c r="AL1040" s="193"/>
    </row>
    <row r="1041" spans="7:38">
      <c r="G1041" s="193"/>
      <c r="H1041" s="193"/>
      <c r="I1041" s="193"/>
      <c r="J1041" s="193"/>
      <c r="K1041" s="193"/>
      <c r="L1041" s="193"/>
      <c r="M1041" s="193"/>
      <c r="N1041" s="193"/>
      <c r="O1041" s="193"/>
      <c r="P1041" s="193"/>
      <c r="Q1041" s="193"/>
      <c r="R1041" s="193"/>
      <c r="S1041" s="193"/>
      <c r="T1041" s="193"/>
      <c r="U1041" s="193"/>
      <c r="V1041" s="193"/>
      <c r="W1041" s="193"/>
      <c r="X1041" s="193"/>
      <c r="Y1041" s="193"/>
      <c r="Z1041" s="193"/>
      <c r="AA1041" s="193"/>
      <c r="AB1041" s="193"/>
      <c r="AC1041" s="193"/>
      <c r="AD1041" s="193"/>
      <c r="AE1041" s="193"/>
      <c r="AF1041" s="193"/>
      <c r="AG1041" s="193"/>
      <c r="AH1041" s="193"/>
      <c r="AI1041" s="193"/>
      <c r="AJ1041" s="193"/>
      <c r="AK1041" s="193"/>
      <c r="AL1041" s="193"/>
    </row>
    <row r="1042" spans="7:38">
      <c r="G1042" s="193"/>
      <c r="H1042" s="193"/>
      <c r="I1042" s="193"/>
      <c r="J1042" s="193"/>
      <c r="K1042" s="193"/>
      <c r="L1042" s="193"/>
      <c r="M1042" s="193"/>
      <c r="N1042" s="193"/>
      <c r="O1042" s="193"/>
      <c r="P1042" s="193"/>
      <c r="Q1042" s="193"/>
      <c r="R1042" s="193"/>
      <c r="S1042" s="193"/>
      <c r="T1042" s="193"/>
      <c r="U1042" s="193"/>
      <c r="V1042" s="193"/>
      <c r="W1042" s="193"/>
      <c r="X1042" s="193"/>
      <c r="Y1042" s="193"/>
      <c r="Z1042" s="193"/>
      <c r="AA1042" s="193"/>
      <c r="AB1042" s="193"/>
      <c r="AC1042" s="193"/>
      <c r="AD1042" s="193"/>
      <c r="AE1042" s="193"/>
      <c r="AF1042" s="193"/>
      <c r="AG1042" s="193"/>
      <c r="AH1042" s="193"/>
      <c r="AI1042" s="193"/>
      <c r="AJ1042" s="193"/>
      <c r="AK1042" s="193"/>
      <c r="AL1042" s="193"/>
    </row>
    <row r="1043" spans="7:38">
      <c r="G1043" s="193"/>
      <c r="H1043" s="193"/>
      <c r="I1043" s="193"/>
      <c r="J1043" s="193"/>
      <c r="K1043" s="193"/>
      <c r="L1043" s="193"/>
      <c r="M1043" s="193"/>
      <c r="N1043" s="193"/>
      <c r="O1043" s="193"/>
      <c r="P1043" s="193"/>
      <c r="Q1043" s="193"/>
      <c r="R1043" s="193"/>
      <c r="S1043" s="193"/>
      <c r="T1043" s="193"/>
      <c r="U1043" s="193"/>
      <c r="V1043" s="193"/>
      <c r="W1043" s="193"/>
      <c r="X1043" s="193"/>
      <c r="Y1043" s="193"/>
      <c r="Z1043" s="193"/>
      <c r="AA1043" s="193"/>
      <c r="AB1043" s="193"/>
      <c r="AC1043" s="193"/>
      <c r="AD1043" s="193"/>
      <c r="AE1043" s="193"/>
      <c r="AF1043" s="193"/>
      <c r="AG1043" s="193"/>
      <c r="AH1043" s="193"/>
      <c r="AI1043" s="193"/>
      <c r="AJ1043" s="193"/>
      <c r="AK1043" s="193"/>
      <c r="AL1043" s="193"/>
    </row>
    <row r="1044" spans="7:38">
      <c r="G1044" s="193"/>
      <c r="H1044" s="193"/>
      <c r="I1044" s="193"/>
      <c r="J1044" s="193"/>
      <c r="K1044" s="193"/>
      <c r="L1044" s="193"/>
      <c r="M1044" s="193"/>
      <c r="N1044" s="193"/>
      <c r="O1044" s="193"/>
      <c r="P1044" s="193"/>
      <c r="Q1044" s="193"/>
      <c r="R1044" s="193"/>
      <c r="S1044" s="193"/>
      <c r="T1044" s="193"/>
      <c r="U1044" s="193"/>
      <c r="V1044" s="193"/>
      <c r="W1044" s="193"/>
      <c r="X1044" s="193"/>
      <c r="Y1044" s="193"/>
      <c r="Z1044" s="193"/>
      <c r="AA1044" s="193"/>
      <c r="AB1044" s="193"/>
      <c r="AC1044" s="193"/>
      <c r="AD1044" s="193"/>
      <c r="AE1044" s="193"/>
      <c r="AF1044" s="193"/>
      <c r="AG1044" s="193"/>
      <c r="AH1044" s="193"/>
      <c r="AI1044" s="193"/>
      <c r="AJ1044" s="193"/>
      <c r="AK1044" s="193"/>
      <c r="AL1044" s="193"/>
    </row>
    <row r="1045" spans="7:38">
      <c r="G1045" s="193"/>
      <c r="H1045" s="193"/>
      <c r="I1045" s="193"/>
      <c r="J1045" s="193"/>
      <c r="K1045" s="193"/>
      <c r="L1045" s="193"/>
      <c r="M1045" s="193"/>
      <c r="N1045" s="193"/>
      <c r="O1045" s="193"/>
      <c r="P1045" s="193"/>
      <c r="Q1045" s="193"/>
      <c r="R1045" s="193"/>
      <c r="S1045" s="193"/>
      <c r="T1045" s="193"/>
      <c r="U1045" s="193"/>
      <c r="V1045" s="193"/>
      <c r="W1045" s="193"/>
      <c r="X1045" s="193"/>
      <c r="Y1045" s="193"/>
      <c r="Z1045" s="193"/>
      <c r="AA1045" s="193"/>
      <c r="AB1045" s="193"/>
      <c r="AC1045" s="193"/>
      <c r="AD1045" s="193"/>
      <c r="AE1045" s="193"/>
      <c r="AF1045" s="193"/>
      <c r="AG1045" s="193"/>
      <c r="AH1045" s="193"/>
      <c r="AI1045" s="193"/>
      <c r="AJ1045" s="193"/>
      <c r="AK1045" s="193"/>
      <c r="AL1045" s="193"/>
    </row>
    <row r="1046" spans="7:38">
      <c r="G1046" s="193"/>
      <c r="H1046" s="193"/>
      <c r="I1046" s="193"/>
      <c r="J1046" s="193"/>
      <c r="K1046" s="193"/>
      <c r="L1046" s="193"/>
      <c r="M1046" s="193"/>
      <c r="N1046" s="193"/>
      <c r="O1046" s="193"/>
      <c r="P1046" s="193"/>
      <c r="Q1046" s="193"/>
      <c r="R1046" s="193"/>
      <c r="S1046" s="193"/>
      <c r="T1046" s="193"/>
      <c r="U1046" s="193"/>
      <c r="V1046" s="193"/>
      <c r="W1046" s="193"/>
      <c r="X1046" s="193"/>
      <c r="Y1046" s="193"/>
      <c r="Z1046" s="193"/>
      <c r="AA1046" s="193"/>
      <c r="AB1046" s="193"/>
      <c r="AC1046" s="193"/>
      <c r="AD1046" s="193"/>
      <c r="AE1046" s="193"/>
      <c r="AF1046" s="193"/>
      <c r="AG1046" s="193"/>
      <c r="AH1046" s="193"/>
      <c r="AI1046" s="193"/>
      <c r="AJ1046" s="193"/>
      <c r="AK1046" s="193"/>
      <c r="AL1046" s="193"/>
    </row>
    <row r="1047" spans="7:38">
      <c r="G1047" s="193"/>
      <c r="H1047" s="193"/>
      <c r="I1047" s="193"/>
      <c r="J1047" s="193"/>
      <c r="K1047" s="193"/>
      <c r="L1047" s="193"/>
      <c r="M1047" s="193"/>
      <c r="N1047" s="193"/>
      <c r="O1047" s="193"/>
      <c r="P1047" s="193"/>
      <c r="Q1047" s="193"/>
      <c r="R1047" s="193"/>
      <c r="S1047" s="193"/>
      <c r="T1047" s="193"/>
      <c r="U1047" s="193"/>
      <c r="V1047" s="193"/>
      <c r="W1047" s="193"/>
      <c r="X1047" s="193"/>
      <c r="Y1047" s="193"/>
      <c r="Z1047" s="193"/>
      <c r="AA1047" s="193"/>
      <c r="AB1047" s="193"/>
      <c r="AC1047" s="193"/>
      <c r="AD1047" s="193"/>
      <c r="AE1047" s="193"/>
      <c r="AF1047" s="193"/>
      <c r="AG1047" s="193"/>
      <c r="AH1047" s="193"/>
      <c r="AI1047" s="193"/>
      <c r="AJ1047" s="193"/>
      <c r="AK1047" s="193"/>
      <c r="AL1047" s="193"/>
    </row>
    <row r="1048" spans="7:38">
      <c r="G1048" s="193"/>
      <c r="H1048" s="193"/>
      <c r="I1048" s="193"/>
      <c r="J1048" s="193"/>
      <c r="K1048" s="193"/>
      <c r="L1048" s="193"/>
      <c r="M1048" s="193"/>
      <c r="N1048" s="193"/>
      <c r="O1048" s="193"/>
      <c r="P1048" s="193"/>
      <c r="Q1048" s="193"/>
      <c r="R1048" s="193"/>
      <c r="S1048" s="193"/>
      <c r="T1048" s="193"/>
      <c r="U1048" s="193"/>
      <c r="V1048" s="193"/>
      <c r="W1048" s="193"/>
      <c r="X1048" s="193"/>
      <c r="Y1048" s="193"/>
      <c r="Z1048" s="193"/>
      <c r="AA1048" s="193"/>
      <c r="AB1048" s="193"/>
      <c r="AC1048" s="193"/>
      <c r="AD1048" s="193"/>
      <c r="AE1048" s="193"/>
      <c r="AF1048" s="193"/>
      <c r="AG1048" s="193"/>
      <c r="AH1048" s="193"/>
      <c r="AI1048" s="193"/>
      <c r="AJ1048" s="193"/>
      <c r="AK1048" s="193"/>
      <c r="AL1048" s="193"/>
    </row>
    <row r="1049" spans="7:38">
      <c r="G1049" s="193"/>
      <c r="H1049" s="193"/>
      <c r="I1049" s="193"/>
      <c r="J1049" s="193"/>
      <c r="K1049" s="193"/>
      <c r="L1049" s="193"/>
      <c r="M1049" s="193"/>
      <c r="N1049" s="193"/>
      <c r="O1049" s="193"/>
      <c r="P1049" s="193"/>
      <c r="Q1049" s="193"/>
      <c r="R1049" s="193"/>
      <c r="S1049" s="193"/>
      <c r="T1049" s="193"/>
      <c r="U1049" s="193"/>
      <c r="V1049" s="193"/>
      <c r="W1049" s="193"/>
      <c r="X1049" s="193"/>
      <c r="Y1049" s="193"/>
      <c r="Z1049" s="193"/>
      <c r="AA1049" s="193"/>
      <c r="AB1049" s="193"/>
      <c r="AC1049" s="193"/>
      <c r="AD1049" s="193"/>
      <c r="AE1049" s="193"/>
      <c r="AF1049" s="193"/>
      <c r="AG1049" s="193"/>
      <c r="AH1049" s="193"/>
      <c r="AI1049" s="193"/>
      <c r="AJ1049" s="193"/>
      <c r="AK1049" s="193"/>
      <c r="AL1049" s="193"/>
    </row>
    <row r="1050" spans="7:38">
      <c r="G1050" s="193"/>
      <c r="H1050" s="193"/>
      <c r="I1050" s="193"/>
      <c r="J1050" s="193"/>
      <c r="K1050" s="193"/>
      <c r="L1050" s="193"/>
      <c r="M1050" s="193"/>
      <c r="N1050" s="193"/>
      <c r="O1050" s="193"/>
      <c r="P1050" s="193"/>
      <c r="Q1050" s="193"/>
      <c r="R1050" s="193"/>
      <c r="S1050" s="193"/>
      <c r="T1050" s="193"/>
      <c r="U1050" s="193"/>
      <c r="V1050" s="193"/>
      <c r="W1050" s="193"/>
      <c r="X1050" s="193"/>
      <c r="Y1050" s="193"/>
      <c r="Z1050" s="193"/>
      <c r="AA1050" s="193"/>
      <c r="AB1050" s="193"/>
      <c r="AC1050" s="193"/>
      <c r="AD1050" s="193"/>
      <c r="AE1050" s="193"/>
      <c r="AF1050" s="193"/>
      <c r="AG1050" s="193"/>
      <c r="AH1050" s="193"/>
      <c r="AI1050" s="193"/>
      <c r="AJ1050" s="193"/>
      <c r="AK1050" s="193"/>
      <c r="AL1050" s="193"/>
    </row>
    <row r="1051" spans="7:38">
      <c r="G1051" s="193"/>
      <c r="H1051" s="193"/>
      <c r="I1051" s="193"/>
      <c r="J1051" s="193"/>
      <c r="K1051" s="193"/>
      <c r="L1051" s="193"/>
      <c r="M1051" s="193"/>
      <c r="N1051" s="193"/>
      <c r="O1051" s="193"/>
      <c r="P1051" s="193"/>
      <c r="Q1051" s="193"/>
      <c r="R1051" s="193"/>
      <c r="S1051" s="193"/>
      <c r="T1051" s="193"/>
      <c r="U1051" s="193"/>
      <c r="V1051" s="193"/>
      <c r="W1051" s="193"/>
      <c r="X1051" s="193"/>
      <c r="Y1051" s="193"/>
      <c r="Z1051" s="193"/>
      <c r="AA1051" s="193"/>
      <c r="AB1051" s="193"/>
      <c r="AC1051" s="193"/>
      <c r="AD1051" s="193"/>
      <c r="AE1051" s="193"/>
      <c r="AF1051" s="193"/>
      <c r="AG1051" s="193"/>
      <c r="AH1051" s="193"/>
      <c r="AI1051" s="193"/>
      <c r="AJ1051" s="193"/>
      <c r="AK1051" s="193"/>
      <c r="AL1051" s="193"/>
    </row>
    <row r="1052" spans="7:38">
      <c r="G1052" s="193"/>
      <c r="H1052" s="193"/>
      <c r="I1052" s="193"/>
      <c r="J1052" s="193"/>
      <c r="K1052" s="193"/>
      <c r="L1052" s="193"/>
      <c r="M1052" s="193"/>
      <c r="N1052" s="193"/>
      <c r="O1052" s="193"/>
      <c r="P1052" s="193"/>
      <c r="Q1052" s="193"/>
      <c r="R1052" s="193"/>
      <c r="S1052" s="193"/>
      <c r="T1052" s="193"/>
      <c r="U1052" s="193"/>
      <c r="V1052" s="193"/>
      <c r="W1052" s="193"/>
      <c r="X1052" s="193"/>
      <c r="Y1052" s="193"/>
      <c r="Z1052" s="193"/>
      <c r="AA1052" s="193"/>
      <c r="AB1052" s="193"/>
      <c r="AC1052" s="193"/>
      <c r="AD1052" s="193"/>
      <c r="AE1052" s="193"/>
      <c r="AF1052" s="193"/>
      <c r="AG1052" s="193"/>
      <c r="AH1052" s="193"/>
      <c r="AI1052" s="193"/>
      <c r="AJ1052" s="193"/>
      <c r="AK1052" s="193"/>
      <c r="AL1052" s="193"/>
    </row>
    <row r="1053" spans="7:38">
      <c r="G1053" s="193"/>
      <c r="H1053" s="193"/>
      <c r="I1053" s="193"/>
      <c r="J1053" s="193"/>
      <c r="K1053" s="193"/>
      <c r="L1053" s="193"/>
      <c r="M1053" s="193"/>
      <c r="N1053" s="193"/>
      <c r="O1053" s="193"/>
      <c r="P1053" s="193"/>
      <c r="Q1053" s="193"/>
      <c r="R1053" s="193"/>
      <c r="S1053" s="193"/>
      <c r="T1053" s="193"/>
      <c r="U1053" s="193"/>
      <c r="V1053" s="193"/>
      <c r="W1053" s="193"/>
      <c r="X1053" s="193"/>
      <c r="Y1053" s="193"/>
      <c r="Z1053" s="193"/>
      <c r="AA1053" s="193"/>
      <c r="AB1053" s="193"/>
      <c r="AC1053" s="193"/>
      <c r="AD1053" s="193"/>
      <c r="AE1053" s="193"/>
      <c r="AF1053" s="193"/>
      <c r="AG1053" s="193"/>
      <c r="AH1053" s="193"/>
      <c r="AI1053" s="193"/>
      <c r="AJ1053" s="193"/>
      <c r="AK1053" s="193"/>
      <c r="AL1053" s="193"/>
    </row>
    <row r="1054" spans="7:38">
      <c r="G1054" s="193"/>
      <c r="H1054" s="193"/>
      <c r="I1054" s="193"/>
      <c r="J1054" s="193"/>
      <c r="K1054" s="193"/>
      <c r="L1054" s="193"/>
      <c r="M1054" s="193"/>
      <c r="N1054" s="193"/>
      <c r="O1054" s="193"/>
      <c r="P1054" s="193"/>
      <c r="Q1054" s="193"/>
      <c r="R1054" s="193"/>
      <c r="S1054" s="193"/>
      <c r="T1054" s="193"/>
      <c r="U1054" s="193"/>
      <c r="V1054" s="193"/>
      <c r="W1054" s="193"/>
      <c r="X1054" s="193"/>
      <c r="Y1054" s="193"/>
      <c r="Z1054" s="193"/>
      <c r="AA1054" s="193"/>
      <c r="AB1054" s="193"/>
      <c r="AC1054" s="193"/>
      <c r="AD1054" s="193"/>
      <c r="AE1054" s="193"/>
      <c r="AF1054" s="193"/>
      <c r="AG1054" s="193"/>
      <c r="AH1054" s="193"/>
      <c r="AI1054" s="193"/>
      <c r="AJ1054" s="193"/>
      <c r="AK1054" s="193"/>
      <c r="AL1054" s="193"/>
    </row>
    <row r="1055" spans="7:38">
      <c r="G1055" s="193"/>
      <c r="H1055" s="193"/>
      <c r="I1055" s="193"/>
      <c r="J1055" s="193"/>
      <c r="K1055" s="193"/>
      <c r="L1055" s="193"/>
      <c r="M1055" s="193"/>
      <c r="N1055" s="193"/>
      <c r="O1055" s="193"/>
      <c r="P1055" s="193"/>
      <c r="Q1055" s="193"/>
      <c r="R1055" s="193"/>
      <c r="S1055" s="193"/>
      <c r="T1055" s="193"/>
      <c r="U1055" s="193"/>
      <c r="V1055" s="193"/>
      <c r="W1055" s="193"/>
      <c r="X1055" s="193"/>
      <c r="Y1055" s="193"/>
      <c r="Z1055" s="193"/>
      <c r="AA1055" s="193"/>
      <c r="AB1055" s="193"/>
      <c r="AC1055" s="193"/>
      <c r="AD1055" s="193"/>
      <c r="AE1055" s="193"/>
      <c r="AF1055" s="193"/>
      <c r="AG1055" s="193"/>
      <c r="AH1055" s="193"/>
      <c r="AI1055" s="193"/>
      <c r="AJ1055" s="193"/>
      <c r="AK1055" s="193"/>
      <c r="AL1055" s="193"/>
    </row>
    <row r="1056" spans="7:38">
      <c r="G1056" s="193"/>
      <c r="H1056" s="193"/>
      <c r="I1056" s="193"/>
      <c r="J1056" s="193"/>
      <c r="K1056" s="193"/>
      <c r="L1056" s="193"/>
      <c r="M1056" s="193"/>
      <c r="N1056" s="193"/>
      <c r="O1056" s="193"/>
      <c r="P1056" s="193"/>
      <c r="Q1056" s="193"/>
      <c r="R1056" s="193"/>
      <c r="S1056" s="193"/>
      <c r="T1056" s="193"/>
      <c r="U1056" s="193"/>
      <c r="V1056" s="193"/>
      <c r="W1056" s="193"/>
      <c r="X1056" s="193"/>
      <c r="Y1056" s="193"/>
      <c r="Z1056" s="193"/>
      <c r="AA1056" s="193"/>
      <c r="AB1056" s="193"/>
      <c r="AC1056" s="193"/>
      <c r="AD1056" s="193"/>
      <c r="AE1056" s="193"/>
      <c r="AF1056" s="193"/>
      <c r="AG1056" s="193"/>
      <c r="AH1056" s="193"/>
      <c r="AI1056" s="193"/>
      <c r="AJ1056" s="193"/>
      <c r="AK1056" s="193"/>
      <c r="AL1056" s="193"/>
    </row>
    <row r="1057" spans="7:38">
      <c r="G1057" s="193"/>
      <c r="H1057" s="193"/>
      <c r="I1057" s="193"/>
      <c r="J1057" s="193"/>
      <c r="K1057" s="193"/>
      <c r="L1057" s="193"/>
      <c r="M1057" s="193"/>
      <c r="N1057" s="193"/>
      <c r="O1057" s="193"/>
      <c r="P1057" s="193"/>
      <c r="Q1057" s="193"/>
      <c r="R1057" s="193"/>
      <c r="S1057" s="193"/>
      <c r="T1057" s="193"/>
      <c r="U1057" s="193"/>
      <c r="V1057" s="193"/>
      <c r="W1057" s="193"/>
      <c r="X1057" s="193"/>
      <c r="Y1057" s="193"/>
      <c r="Z1057" s="193"/>
      <c r="AA1057" s="193"/>
      <c r="AB1057" s="193"/>
      <c r="AC1057" s="193"/>
      <c r="AD1057" s="193"/>
      <c r="AE1057" s="193"/>
      <c r="AF1057" s="193"/>
      <c r="AG1057" s="193"/>
      <c r="AH1057" s="193"/>
      <c r="AI1057" s="193"/>
      <c r="AJ1057" s="193"/>
      <c r="AK1057" s="193"/>
      <c r="AL1057" s="193"/>
    </row>
    <row r="1058" spans="7:38">
      <c r="G1058" s="193"/>
      <c r="H1058" s="193"/>
      <c r="I1058" s="193"/>
      <c r="J1058" s="193"/>
      <c r="K1058" s="193"/>
      <c r="L1058" s="193"/>
      <c r="M1058" s="193"/>
      <c r="N1058" s="193"/>
      <c r="O1058" s="193"/>
      <c r="P1058" s="193"/>
      <c r="Q1058" s="193"/>
      <c r="R1058" s="193"/>
      <c r="S1058" s="193"/>
      <c r="T1058" s="193"/>
      <c r="U1058" s="193"/>
      <c r="V1058" s="193"/>
      <c r="W1058" s="193"/>
      <c r="X1058" s="193"/>
      <c r="Y1058" s="193"/>
      <c r="Z1058" s="193"/>
      <c r="AA1058" s="193"/>
      <c r="AB1058" s="193"/>
      <c r="AC1058" s="193"/>
      <c r="AD1058" s="193"/>
      <c r="AE1058" s="193"/>
      <c r="AF1058" s="193"/>
      <c r="AG1058" s="193"/>
      <c r="AH1058" s="193"/>
      <c r="AI1058" s="193"/>
      <c r="AJ1058" s="193"/>
      <c r="AK1058" s="193"/>
      <c r="AL1058" s="193"/>
    </row>
    <row r="1059" spans="7:38">
      <c r="G1059" s="193"/>
      <c r="H1059" s="193"/>
      <c r="I1059" s="193"/>
      <c r="J1059" s="193"/>
      <c r="K1059" s="193"/>
      <c r="L1059" s="193"/>
      <c r="M1059" s="193"/>
      <c r="N1059" s="193"/>
      <c r="O1059" s="193"/>
      <c r="P1059" s="193"/>
      <c r="Q1059" s="193"/>
      <c r="R1059" s="193"/>
      <c r="S1059" s="193"/>
      <c r="T1059" s="193"/>
      <c r="U1059" s="193"/>
      <c r="V1059" s="193"/>
      <c r="W1059" s="193"/>
      <c r="X1059" s="193"/>
      <c r="Y1059" s="193"/>
      <c r="Z1059" s="193"/>
      <c r="AA1059" s="193"/>
      <c r="AB1059" s="193"/>
      <c r="AC1059" s="193"/>
      <c r="AD1059" s="193"/>
      <c r="AE1059" s="193"/>
      <c r="AF1059" s="193"/>
      <c r="AG1059" s="193"/>
      <c r="AH1059" s="193"/>
      <c r="AI1059" s="193"/>
      <c r="AJ1059" s="193"/>
      <c r="AK1059" s="193"/>
      <c r="AL1059" s="193"/>
    </row>
    <row r="1060" spans="7:38">
      <c r="G1060" s="193"/>
      <c r="H1060" s="193"/>
      <c r="I1060" s="193"/>
      <c r="J1060" s="193"/>
      <c r="K1060" s="193"/>
      <c r="L1060" s="193"/>
      <c r="M1060" s="193"/>
      <c r="N1060" s="193"/>
      <c r="O1060" s="193"/>
      <c r="P1060" s="193"/>
      <c r="Q1060" s="193"/>
      <c r="R1060" s="193"/>
      <c r="S1060" s="193"/>
      <c r="T1060" s="193"/>
      <c r="U1060" s="193"/>
      <c r="V1060" s="193"/>
      <c r="W1060" s="193"/>
      <c r="X1060" s="193"/>
      <c r="Y1060" s="193"/>
      <c r="Z1060" s="193"/>
      <c r="AA1060" s="193"/>
      <c r="AB1060" s="193"/>
      <c r="AC1060" s="193"/>
      <c r="AD1060" s="193"/>
      <c r="AE1060" s="193"/>
      <c r="AF1060" s="193"/>
      <c r="AG1060" s="193"/>
      <c r="AH1060" s="193"/>
      <c r="AI1060" s="193"/>
      <c r="AJ1060" s="193"/>
      <c r="AK1060" s="193"/>
      <c r="AL1060" s="193"/>
    </row>
    <row r="1061" spans="7:38">
      <c r="G1061" s="193"/>
      <c r="H1061" s="193"/>
      <c r="I1061" s="193"/>
      <c r="J1061" s="193"/>
      <c r="K1061" s="193"/>
      <c r="L1061" s="193"/>
      <c r="M1061" s="193"/>
      <c r="N1061" s="193"/>
      <c r="O1061" s="193"/>
      <c r="P1061" s="193"/>
      <c r="Q1061" s="193"/>
      <c r="R1061" s="193"/>
      <c r="S1061" s="193"/>
      <c r="T1061" s="193"/>
      <c r="U1061" s="193"/>
      <c r="V1061" s="193"/>
      <c r="W1061" s="193"/>
      <c r="X1061" s="193"/>
      <c r="Y1061" s="193"/>
      <c r="Z1061" s="193"/>
      <c r="AA1061" s="193"/>
      <c r="AB1061" s="193"/>
      <c r="AC1061" s="193"/>
      <c r="AD1061" s="193"/>
      <c r="AE1061" s="193"/>
      <c r="AF1061" s="193"/>
      <c r="AG1061" s="193"/>
      <c r="AH1061" s="193"/>
      <c r="AI1061" s="193"/>
      <c r="AJ1061" s="193"/>
      <c r="AK1061" s="193"/>
      <c r="AL1061" s="193"/>
    </row>
    <row r="1062" spans="7:38">
      <c r="G1062" s="193"/>
      <c r="H1062" s="193"/>
      <c r="I1062" s="193"/>
      <c r="J1062" s="193"/>
      <c r="K1062" s="193"/>
      <c r="L1062" s="193"/>
      <c r="M1062" s="193"/>
      <c r="N1062" s="193"/>
      <c r="O1062" s="193"/>
      <c r="P1062" s="193"/>
      <c r="Q1062" s="193"/>
      <c r="R1062" s="193"/>
      <c r="S1062" s="193"/>
      <c r="T1062" s="193"/>
      <c r="U1062" s="193"/>
      <c r="V1062" s="193"/>
      <c r="W1062" s="193"/>
      <c r="X1062" s="193"/>
      <c r="Y1062" s="193"/>
      <c r="Z1062" s="193"/>
      <c r="AA1062" s="193"/>
      <c r="AB1062" s="193"/>
      <c r="AC1062" s="193"/>
      <c r="AD1062" s="193"/>
      <c r="AE1062" s="193"/>
      <c r="AF1062" s="193"/>
      <c r="AG1062" s="193"/>
      <c r="AH1062" s="193"/>
      <c r="AI1062" s="193"/>
      <c r="AJ1062" s="193"/>
      <c r="AK1062" s="193"/>
      <c r="AL1062" s="193"/>
    </row>
    <row r="1063" spans="7:38">
      <c r="G1063" s="193"/>
      <c r="H1063" s="193"/>
      <c r="I1063" s="193"/>
      <c r="J1063" s="193"/>
      <c r="K1063" s="193"/>
      <c r="L1063" s="193"/>
      <c r="M1063" s="193"/>
      <c r="N1063" s="193"/>
      <c r="O1063" s="193"/>
      <c r="P1063" s="193"/>
      <c r="Q1063" s="193"/>
      <c r="R1063" s="193"/>
      <c r="S1063" s="193"/>
      <c r="T1063" s="193"/>
      <c r="U1063" s="193"/>
      <c r="V1063" s="193"/>
      <c r="W1063" s="193"/>
      <c r="X1063" s="193"/>
      <c r="Y1063" s="193"/>
      <c r="Z1063" s="193"/>
      <c r="AA1063" s="193"/>
      <c r="AB1063" s="193"/>
      <c r="AC1063" s="193"/>
      <c r="AD1063" s="193"/>
      <c r="AE1063" s="193"/>
      <c r="AF1063" s="193"/>
      <c r="AG1063" s="193"/>
      <c r="AH1063" s="193"/>
      <c r="AI1063" s="193"/>
      <c r="AJ1063" s="193"/>
      <c r="AK1063" s="193"/>
      <c r="AL1063" s="193"/>
    </row>
    <row r="1064" spans="7:38">
      <c r="G1064" s="193"/>
      <c r="H1064" s="193"/>
      <c r="I1064" s="193"/>
      <c r="J1064" s="193"/>
      <c r="K1064" s="193"/>
      <c r="L1064" s="193"/>
      <c r="M1064" s="193"/>
      <c r="N1064" s="193"/>
      <c r="O1064" s="193"/>
      <c r="P1064" s="193"/>
      <c r="Q1064" s="193"/>
      <c r="R1064" s="193"/>
      <c r="S1064" s="193"/>
      <c r="T1064" s="193"/>
      <c r="U1064" s="193"/>
      <c r="V1064" s="193"/>
      <c r="W1064" s="193"/>
      <c r="X1064" s="193"/>
      <c r="Y1064" s="193"/>
      <c r="Z1064" s="193"/>
      <c r="AA1064" s="193"/>
      <c r="AB1064" s="193"/>
      <c r="AC1064" s="193"/>
      <c r="AD1064" s="193"/>
      <c r="AE1064" s="193"/>
      <c r="AF1064" s="193"/>
      <c r="AG1064" s="193"/>
      <c r="AH1064" s="193"/>
      <c r="AI1064" s="193"/>
      <c r="AJ1064" s="193"/>
      <c r="AK1064" s="193"/>
      <c r="AL1064" s="193"/>
    </row>
    <row r="1065" spans="7:38">
      <c r="G1065" s="193"/>
      <c r="H1065" s="193"/>
      <c r="I1065" s="193"/>
      <c r="J1065" s="193"/>
      <c r="K1065" s="193"/>
      <c r="L1065" s="193"/>
      <c r="M1065" s="193"/>
      <c r="N1065" s="193"/>
      <c r="O1065" s="193"/>
      <c r="P1065" s="193"/>
      <c r="Q1065" s="193"/>
      <c r="R1065" s="193"/>
      <c r="S1065" s="193"/>
      <c r="T1065" s="193"/>
      <c r="U1065" s="193"/>
      <c r="V1065" s="193"/>
      <c r="W1065" s="193"/>
      <c r="X1065" s="193"/>
      <c r="Y1065" s="193"/>
      <c r="Z1065" s="193"/>
      <c r="AA1065" s="193"/>
      <c r="AB1065" s="193"/>
      <c r="AC1065" s="193"/>
      <c r="AD1065" s="193"/>
      <c r="AE1065" s="193"/>
      <c r="AF1065" s="193"/>
      <c r="AG1065" s="193"/>
      <c r="AH1065" s="193"/>
      <c r="AI1065" s="193"/>
      <c r="AJ1065" s="193"/>
      <c r="AK1065" s="193"/>
      <c r="AL1065" s="193"/>
    </row>
    <row r="1066" spans="7:38">
      <c r="G1066" s="193"/>
      <c r="H1066" s="193"/>
      <c r="I1066" s="193"/>
      <c r="J1066" s="193"/>
      <c r="K1066" s="193"/>
      <c r="L1066" s="193"/>
      <c r="M1066" s="193"/>
      <c r="N1066" s="193"/>
      <c r="O1066" s="193"/>
      <c r="P1066" s="193"/>
      <c r="Q1066" s="193"/>
      <c r="R1066" s="193"/>
      <c r="S1066" s="193"/>
      <c r="T1066" s="193"/>
      <c r="U1066" s="193"/>
      <c r="V1066" s="193"/>
      <c r="W1066" s="193"/>
      <c r="X1066" s="193"/>
      <c r="Y1066" s="193"/>
      <c r="Z1066" s="193"/>
      <c r="AA1066" s="193"/>
      <c r="AB1066" s="193"/>
      <c r="AC1066" s="193"/>
      <c r="AD1066" s="193"/>
      <c r="AE1066" s="193"/>
      <c r="AF1066" s="193"/>
      <c r="AG1066" s="193"/>
      <c r="AH1066" s="193"/>
      <c r="AI1066" s="193"/>
      <c r="AJ1066" s="193"/>
      <c r="AK1066" s="193"/>
      <c r="AL1066" s="193"/>
    </row>
    <row r="1067" spans="7:38">
      <c r="G1067" s="193"/>
      <c r="H1067" s="193"/>
      <c r="I1067" s="193"/>
      <c r="J1067" s="193"/>
      <c r="K1067" s="193"/>
      <c r="L1067" s="193"/>
      <c r="M1067" s="193"/>
      <c r="N1067" s="193"/>
      <c r="O1067" s="193"/>
      <c r="P1067" s="193"/>
      <c r="Q1067" s="193"/>
      <c r="R1067" s="193"/>
      <c r="S1067" s="193"/>
      <c r="T1067" s="193"/>
      <c r="U1067" s="193"/>
      <c r="V1067" s="193"/>
      <c r="W1067" s="193"/>
      <c r="X1067" s="193"/>
      <c r="Y1067" s="193"/>
      <c r="Z1067" s="193"/>
      <c r="AA1067" s="193"/>
      <c r="AB1067" s="193"/>
      <c r="AC1067" s="193"/>
      <c r="AD1067" s="193"/>
      <c r="AE1067" s="193"/>
      <c r="AF1067" s="193"/>
      <c r="AG1067" s="193"/>
      <c r="AH1067" s="193"/>
      <c r="AI1067" s="193"/>
      <c r="AJ1067" s="193"/>
      <c r="AK1067" s="193"/>
      <c r="AL1067" s="193"/>
    </row>
    <row r="1068" spans="7:38">
      <c r="G1068" s="193"/>
      <c r="H1068" s="193"/>
      <c r="I1068" s="193"/>
      <c r="J1068" s="193"/>
      <c r="K1068" s="193"/>
      <c r="L1068" s="193"/>
      <c r="M1068" s="193"/>
      <c r="N1068" s="193"/>
      <c r="O1068" s="193"/>
      <c r="P1068" s="193"/>
      <c r="Q1068" s="193"/>
      <c r="R1068" s="193"/>
      <c r="S1068" s="193"/>
      <c r="T1068" s="193"/>
      <c r="U1068" s="193"/>
      <c r="V1068" s="193"/>
      <c r="W1068" s="193"/>
      <c r="X1068" s="193"/>
      <c r="Y1068" s="193"/>
      <c r="Z1068" s="193"/>
      <c r="AA1068" s="193"/>
      <c r="AB1068" s="193"/>
      <c r="AC1068" s="193"/>
      <c r="AD1068" s="193"/>
      <c r="AE1068" s="193"/>
      <c r="AF1068" s="193"/>
      <c r="AG1068" s="193"/>
      <c r="AH1068" s="193"/>
      <c r="AI1068" s="193"/>
      <c r="AJ1068" s="193"/>
      <c r="AK1068" s="193"/>
      <c r="AL1068" s="193"/>
    </row>
    <row r="1069" spans="7:38">
      <c r="G1069" s="193"/>
      <c r="H1069" s="193"/>
      <c r="I1069" s="193"/>
      <c r="J1069" s="193"/>
      <c r="K1069" s="193"/>
      <c r="L1069" s="193"/>
      <c r="M1069" s="193"/>
      <c r="N1069" s="193"/>
      <c r="O1069" s="193"/>
      <c r="P1069" s="193"/>
      <c r="Q1069" s="193"/>
      <c r="R1069" s="193"/>
      <c r="S1069" s="193"/>
      <c r="T1069" s="193"/>
      <c r="U1069" s="193"/>
      <c r="V1069" s="193"/>
      <c r="W1069" s="193"/>
      <c r="X1069" s="193"/>
      <c r="Y1069" s="193"/>
      <c r="Z1069" s="193"/>
      <c r="AA1069" s="193"/>
      <c r="AB1069" s="193"/>
      <c r="AC1069" s="193"/>
      <c r="AD1069" s="193"/>
      <c r="AE1069" s="193"/>
      <c r="AF1069" s="193"/>
      <c r="AG1069" s="193"/>
      <c r="AH1069" s="193"/>
      <c r="AI1069" s="193"/>
      <c r="AJ1069" s="193"/>
      <c r="AK1069" s="193"/>
      <c r="AL1069" s="193"/>
    </row>
    <row r="1070" spans="7:38">
      <c r="G1070" s="193"/>
      <c r="H1070" s="193"/>
      <c r="I1070" s="193"/>
      <c r="J1070" s="193"/>
      <c r="K1070" s="193"/>
      <c r="L1070" s="193"/>
      <c r="M1070" s="193"/>
      <c r="N1070" s="193"/>
      <c r="O1070" s="193"/>
      <c r="P1070" s="193"/>
      <c r="Q1070" s="193"/>
      <c r="R1070" s="193"/>
      <c r="S1070" s="193"/>
      <c r="T1070" s="193"/>
      <c r="U1070" s="193"/>
      <c r="V1070" s="193"/>
      <c r="W1070" s="193"/>
      <c r="X1070" s="193"/>
      <c r="Y1070" s="193"/>
      <c r="Z1070" s="193"/>
      <c r="AA1070" s="193"/>
      <c r="AB1070" s="193"/>
      <c r="AC1070" s="193"/>
      <c r="AD1070" s="193"/>
      <c r="AE1070" s="193"/>
      <c r="AF1070" s="193"/>
      <c r="AG1070" s="193"/>
      <c r="AH1070" s="193"/>
      <c r="AI1070" s="193"/>
      <c r="AJ1070" s="193"/>
      <c r="AK1070" s="193"/>
      <c r="AL1070" s="193"/>
    </row>
    <row r="1071" spans="7:38">
      <c r="G1071" s="193"/>
      <c r="H1071" s="193"/>
      <c r="I1071" s="193"/>
      <c r="J1071" s="193"/>
      <c r="K1071" s="193"/>
      <c r="L1071" s="193"/>
      <c r="M1071" s="193"/>
      <c r="N1071" s="193"/>
      <c r="O1071" s="193"/>
      <c r="P1071" s="193"/>
      <c r="Q1071" s="193"/>
      <c r="R1071" s="193"/>
      <c r="S1071" s="193"/>
      <c r="T1071" s="193"/>
      <c r="U1071" s="193"/>
      <c r="V1071" s="193"/>
      <c r="W1071" s="193"/>
      <c r="X1071" s="193"/>
      <c r="Y1071" s="193"/>
      <c r="Z1071" s="193"/>
      <c r="AA1071" s="193"/>
      <c r="AB1071" s="193"/>
      <c r="AC1071" s="193"/>
      <c r="AD1071" s="193"/>
      <c r="AE1071" s="193"/>
      <c r="AF1071" s="193"/>
      <c r="AG1071" s="193"/>
      <c r="AH1071" s="193"/>
      <c r="AI1071" s="193"/>
      <c r="AJ1071" s="193"/>
      <c r="AK1071" s="193"/>
      <c r="AL1071" s="193"/>
    </row>
    <row r="1072" spans="7:38">
      <c r="G1072" s="193"/>
      <c r="H1072" s="193"/>
      <c r="I1072" s="193"/>
      <c r="J1072" s="193"/>
      <c r="K1072" s="193"/>
      <c r="L1072" s="193"/>
      <c r="M1072" s="193"/>
      <c r="N1072" s="193"/>
      <c r="O1072" s="193"/>
      <c r="P1072" s="193"/>
      <c r="Q1072" s="193"/>
      <c r="R1072" s="193"/>
      <c r="S1072" s="193"/>
      <c r="T1072" s="193"/>
      <c r="U1072" s="193"/>
      <c r="V1072" s="193"/>
      <c r="W1072" s="193"/>
      <c r="X1072" s="193"/>
      <c r="Y1072" s="193"/>
      <c r="Z1072" s="193"/>
      <c r="AA1072" s="193"/>
      <c r="AB1072" s="193"/>
      <c r="AC1072" s="193"/>
      <c r="AD1072" s="193"/>
      <c r="AE1072" s="193"/>
      <c r="AF1072" s="193"/>
      <c r="AG1072" s="193"/>
      <c r="AH1072" s="193"/>
      <c r="AI1072" s="193"/>
      <c r="AJ1072" s="193"/>
      <c r="AK1072" s="193"/>
      <c r="AL1072" s="193"/>
    </row>
    <row r="1073" spans="7:38">
      <c r="G1073" s="193"/>
      <c r="H1073" s="193"/>
      <c r="I1073" s="193"/>
      <c r="J1073" s="193"/>
      <c r="K1073" s="193"/>
      <c r="L1073" s="193"/>
      <c r="M1073" s="193"/>
      <c r="N1073" s="193"/>
      <c r="O1073" s="193"/>
      <c r="P1073" s="193"/>
      <c r="Q1073" s="193"/>
      <c r="R1073" s="193"/>
      <c r="S1073" s="193"/>
      <c r="T1073" s="193"/>
      <c r="U1073" s="193"/>
      <c r="V1073" s="193"/>
      <c r="W1073" s="193"/>
      <c r="X1073" s="193"/>
      <c r="Y1073" s="193"/>
      <c r="Z1073" s="193"/>
      <c r="AA1073" s="193"/>
      <c r="AB1073" s="193"/>
      <c r="AC1073" s="193"/>
      <c r="AD1073" s="193"/>
      <c r="AE1073" s="193"/>
      <c r="AF1073" s="193"/>
      <c r="AG1073" s="193"/>
      <c r="AH1073" s="193"/>
      <c r="AI1073" s="193"/>
      <c r="AJ1073" s="193"/>
      <c r="AK1073" s="193"/>
      <c r="AL1073" s="193"/>
    </row>
    <row r="1074" spans="7:38">
      <c r="G1074" s="193"/>
      <c r="H1074" s="193"/>
      <c r="I1074" s="193"/>
      <c r="J1074" s="193"/>
      <c r="K1074" s="193"/>
      <c r="L1074" s="193"/>
      <c r="M1074" s="193"/>
      <c r="N1074" s="193"/>
      <c r="O1074" s="193"/>
      <c r="P1074" s="193"/>
      <c r="Q1074" s="193"/>
      <c r="R1074" s="193"/>
      <c r="S1074" s="193"/>
      <c r="T1074" s="193"/>
      <c r="U1074" s="193"/>
      <c r="V1074" s="193"/>
      <c r="W1074" s="193"/>
      <c r="X1074" s="193"/>
      <c r="Y1074" s="193"/>
      <c r="Z1074" s="193"/>
      <c r="AA1074" s="193"/>
      <c r="AB1074" s="193"/>
      <c r="AC1074" s="193"/>
      <c r="AD1074" s="193"/>
      <c r="AE1074" s="193"/>
      <c r="AF1074" s="193"/>
      <c r="AG1074" s="193"/>
      <c r="AH1074" s="193"/>
      <c r="AI1074" s="193"/>
      <c r="AJ1074" s="193"/>
      <c r="AK1074" s="193"/>
      <c r="AL1074" s="193"/>
    </row>
    <row r="1075" spans="7:38">
      <c r="G1075" s="193"/>
      <c r="H1075" s="193"/>
      <c r="I1075" s="193"/>
      <c r="J1075" s="193"/>
      <c r="K1075" s="193"/>
      <c r="L1075" s="193"/>
      <c r="M1075" s="193"/>
      <c r="N1075" s="193"/>
      <c r="O1075" s="193"/>
      <c r="P1075" s="193"/>
      <c r="Q1075" s="193"/>
      <c r="R1075" s="193"/>
      <c r="S1075" s="193"/>
      <c r="T1075" s="193"/>
      <c r="U1075" s="193"/>
      <c r="V1075" s="193"/>
      <c r="W1075" s="193"/>
      <c r="X1075" s="193"/>
      <c r="Y1075" s="193"/>
      <c r="Z1075" s="193"/>
      <c r="AA1075" s="193"/>
      <c r="AB1075" s="193"/>
      <c r="AC1075" s="193"/>
      <c r="AD1075" s="193"/>
      <c r="AE1075" s="193"/>
      <c r="AF1075" s="193"/>
      <c r="AG1075" s="193"/>
      <c r="AH1075" s="193"/>
      <c r="AI1075" s="193"/>
      <c r="AJ1075" s="193"/>
      <c r="AK1075" s="193"/>
      <c r="AL1075" s="193"/>
    </row>
    <row r="1076" spans="7:38">
      <c r="G1076" s="193"/>
      <c r="H1076" s="193"/>
      <c r="I1076" s="193"/>
      <c r="J1076" s="193"/>
      <c r="K1076" s="193"/>
      <c r="L1076" s="193"/>
      <c r="M1076" s="193"/>
      <c r="N1076" s="193"/>
      <c r="O1076" s="193"/>
      <c r="P1076" s="193"/>
      <c r="Q1076" s="193"/>
      <c r="R1076" s="193"/>
      <c r="S1076" s="193"/>
      <c r="T1076" s="193"/>
      <c r="U1076" s="193"/>
      <c r="V1076" s="193"/>
      <c r="W1076" s="193"/>
      <c r="X1076" s="193"/>
      <c r="Y1076" s="193"/>
      <c r="Z1076" s="193"/>
      <c r="AA1076" s="193"/>
      <c r="AB1076" s="193"/>
      <c r="AC1076" s="193"/>
      <c r="AD1076" s="193"/>
      <c r="AE1076" s="193"/>
      <c r="AF1076" s="193"/>
      <c r="AG1076" s="193"/>
      <c r="AH1076" s="193"/>
      <c r="AI1076" s="193"/>
      <c r="AJ1076" s="193"/>
      <c r="AK1076" s="193"/>
      <c r="AL1076" s="193"/>
    </row>
    <row r="1077" spans="7:38">
      <c r="G1077" s="193"/>
      <c r="H1077" s="193"/>
      <c r="I1077" s="193"/>
      <c r="J1077" s="193"/>
      <c r="K1077" s="193"/>
      <c r="L1077" s="193"/>
      <c r="M1077" s="193"/>
      <c r="N1077" s="193"/>
      <c r="O1077" s="193"/>
      <c r="P1077" s="193"/>
      <c r="Q1077" s="193"/>
      <c r="R1077" s="193"/>
      <c r="S1077" s="193"/>
      <c r="T1077" s="193"/>
      <c r="U1077" s="193"/>
      <c r="V1077" s="193"/>
      <c r="W1077" s="193"/>
      <c r="X1077" s="193"/>
      <c r="Y1077" s="193"/>
      <c r="Z1077" s="193"/>
      <c r="AA1077" s="193"/>
      <c r="AB1077" s="193"/>
      <c r="AC1077" s="193"/>
      <c r="AD1077" s="193"/>
      <c r="AE1077" s="193"/>
      <c r="AF1077" s="193"/>
      <c r="AG1077" s="193"/>
      <c r="AH1077" s="193"/>
      <c r="AI1077" s="193"/>
      <c r="AJ1077" s="193"/>
      <c r="AK1077" s="193"/>
      <c r="AL1077" s="193"/>
    </row>
    <row r="1078" spans="7:38">
      <c r="G1078" s="193"/>
      <c r="H1078" s="193"/>
      <c r="I1078" s="193"/>
      <c r="J1078" s="193"/>
      <c r="K1078" s="193"/>
      <c r="L1078" s="193"/>
      <c r="M1078" s="193"/>
      <c r="N1078" s="193"/>
      <c r="O1078" s="193"/>
      <c r="P1078" s="193"/>
      <c r="Q1078" s="193"/>
      <c r="R1078" s="193"/>
      <c r="S1078" s="193"/>
      <c r="T1078" s="193"/>
      <c r="U1078" s="193"/>
      <c r="V1078" s="193"/>
      <c r="W1078" s="193"/>
      <c r="X1078" s="193"/>
      <c r="Y1078" s="193"/>
      <c r="Z1078" s="193"/>
      <c r="AA1078" s="193"/>
      <c r="AB1078" s="193"/>
      <c r="AC1078" s="193"/>
      <c r="AD1078" s="193"/>
      <c r="AE1078" s="193"/>
      <c r="AF1078" s="193"/>
      <c r="AG1078" s="193"/>
      <c r="AH1078" s="193"/>
      <c r="AI1078" s="193"/>
      <c r="AJ1078" s="193"/>
      <c r="AK1078" s="193"/>
      <c r="AL1078" s="193"/>
    </row>
    <row r="1079" spans="7:38">
      <c r="G1079" s="193"/>
      <c r="H1079" s="193"/>
      <c r="I1079" s="193"/>
      <c r="J1079" s="193"/>
      <c r="K1079" s="193"/>
      <c r="L1079" s="193"/>
      <c r="M1079" s="193"/>
      <c r="N1079" s="193"/>
      <c r="O1079" s="193"/>
      <c r="P1079" s="193"/>
      <c r="Q1079" s="193"/>
      <c r="R1079" s="193"/>
      <c r="S1079" s="193"/>
      <c r="T1079" s="193"/>
      <c r="U1079" s="193"/>
      <c r="V1079" s="193"/>
      <c r="W1079" s="193"/>
      <c r="X1079" s="193"/>
      <c r="Y1079" s="193"/>
      <c r="Z1079" s="193"/>
      <c r="AA1079" s="193"/>
      <c r="AB1079" s="193"/>
      <c r="AC1079" s="193"/>
      <c r="AD1079" s="193"/>
      <c r="AE1079" s="193"/>
      <c r="AF1079" s="193"/>
      <c r="AG1079" s="193"/>
      <c r="AH1079" s="193"/>
      <c r="AI1079" s="193"/>
      <c r="AJ1079" s="193"/>
      <c r="AK1079" s="193"/>
      <c r="AL1079" s="193"/>
    </row>
    <row r="1080" spans="7:38">
      <c r="G1080" s="193"/>
      <c r="H1080" s="193"/>
      <c r="I1080" s="193"/>
      <c r="J1080" s="193"/>
      <c r="K1080" s="193"/>
      <c r="L1080" s="193"/>
      <c r="M1080" s="193"/>
      <c r="N1080" s="193"/>
      <c r="O1080" s="193"/>
      <c r="P1080" s="193"/>
      <c r="Q1080" s="193"/>
      <c r="R1080" s="193"/>
      <c r="S1080" s="193"/>
      <c r="T1080" s="193"/>
      <c r="U1080" s="193"/>
      <c r="V1080" s="193"/>
      <c r="W1080" s="193"/>
      <c r="X1080" s="193"/>
      <c r="Y1080" s="193"/>
      <c r="Z1080" s="193"/>
      <c r="AA1080" s="193"/>
      <c r="AB1080" s="193"/>
      <c r="AC1080" s="193"/>
      <c r="AD1080" s="193"/>
      <c r="AE1080" s="193"/>
      <c r="AF1080" s="193"/>
      <c r="AG1080" s="193"/>
      <c r="AH1080" s="193"/>
      <c r="AI1080" s="193"/>
      <c r="AJ1080" s="193"/>
      <c r="AK1080" s="193"/>
      <c r="AL1080" s="193"/>
    </row>
    <row r="1081" spans="7:38">
      <c r="G1081" s="193"/>
      <c r="H1081" s="193"/>
      <c r="I1081" s="193"/>
      <c r="J1081" s="193"/>
      <c r="K1081" s="193"/>
      <c r="L1081" s="193"/>
      <c r="M1081" s="193"/>
      <c r="N1081" s="193"/>
      <c r="O1081" s="193"/>
      <c r="P1081" s="193"/>
      <c r="Q1081" s="193"/>
      <c r="R1081" s="193"/>
      <c r="S1081" s="193"/>
      <c r="T1081" s="193"/>
      <c r="U1081" s="193"/>
      <c r="V1081" s="193"/>
      <c r="W1081" s="193"/>
      <c r="X1081" s="193"/>
      <c r="Y1081" s="193"/>
      <c r="Z1081" s="193"/>
      <c r="AA1081" s="193"/>
      <c r="AB1081" s="193"/>
      <c r="AC1081" s="193"/>
      <c r="AD1081" s="193"/>
      <c r="AE1081" s="193"/>
      <c r="AF1081" s="193"/>
      <c r="AG1081" s="193"/>
      <c r="AH1081" s="193"/>
      <c r="AI1081" s="193"/>
      <c r="AJ1081" s="193"/>
      <c r="AK1081" s="193"/>
      <c r="AL1081" s="193"/>
    </row>
    <row r="1082" spans="7:38">
      <c r="G1082" s="193"/>
      <c r="H1082" s="193"/>
      <c r="I1082" s="193"/>
      <c r="J1082" s="193"/>
      <c r="K1082" s="193"/>
      <c r="L1082" s="193"/>
      <c r="M1082" s="193"/>
      <c r="N1082" s="193"/>
      <c r="O1082" s="193"/>
      <c r="P1082" s="193"/>
      <c r="Q1082" s="193"/>
      <c r="R1082" s="193"/>
      <c r="S1082" s="193"/>
      <c r="T1082" s="193"/>
      <c r="U1082" s="193"/>
      <c r="V1082" s="193"/>
      <c r="W1082" s="193"/>
      <c r="X1082" s="193"/>
      <c r="Y1082" s="193"/>
      <c r="Z1082" s="193"/>
      <c r="AA1082" s="193"/>
      <c r="AB1082" s="193"/>
      <c r="AC1082" s="193"/>
      <c r="AD1082" s="193"/>
      <c r="AE1082" s="193"/>
      <c r="AF1082" s="193"/>
      <c r="AG1082" s="193"/>
      <c r="AH1082" s="193"/>
      <c r="AI1082" s="193"/>
      <c r="AJ1082" s="193"/>
      <c r="AK1082" s="193"/>
      <c r="AL1082" s="193"/>
    </row>
    <row r="1083" spans="7:38">
      <c r="G1083" s="193"/>
      <c r="H1083" s="193"/>
      <c r="I1083" s="193"/>
      <c r="J1083" s="193"/>
      <c r="K1083" s="193"/>
      <c r="L1083" s="193"/>
      <c r="M1083" s="193"/>
      <c r="N1083" s="193"/>
      <c r="O1083" s="193"/>
      <c r="P1083" s="193"/>
      <c r="Q1083" s="193"/>
      <c r="R1083" s="193"/>
      <c r="S1083" s="193"/>
      <c r="T1083" s="193"/>
      <c r="U1083" s="193"/>
      <c r="V1083" s="193"/>
      <c r="W1083" s="193"/>
      <c r="X1083" s="193"/>
      <c r="Y1083" s="193"/>
      <c r="Z1083" s="193"/>
      <c r="AA1083" s="193"/>
      <c r="AB1083" s="193"/>
      <c r="AC1083" s="193"/>
      <c r="AD1083" s="193"/>
      <c r="AE1083" s="193"/>
      <c r="AF1083" s="193"/>
      <c r="AG1083" s="193"/>
      <c r="AH1083" s="193"/>
      <c r="AI1083" s="193"/>
      <c r="AJ1083" s="193"/>
      <c r="AK1083" s="193"/>
      <c r="AL1083" s="193"/>
    </row>
    <row r="1084" spans="7:38">
      <c r="G1084" s="193"/>
      <c r="H1084" s="193"/>
      <c r="I1084" s="193"/>
      <c r="J1084" s="193"/>
      <c r="K1084" s="193"/>
      <c r="L1084" s="193"/>
      <c r="M1084" s="193"/>
      <c r="N1084" s="193"/>
      <c r="O1084" s="193"/>
      <c r="P1084" s="193"/>
      <c r="Q1084" s="193"/>
      <c r="R1084" s="193"/>
      <c r="S1084" s="193"/>
      <c r="T1084" s="193"/>
      <c r="U1084" s="193"/>
      <c r="V1084" s="193"/>
      <c r="W1084" s="193"/>
      <c r="X1084" s="193"/>
      <c r="Y1084" s="193"/>
      <c r="Z1084" s="193"/>
      <c r="AA1084" s="193"/>
      <c r="AB1084" s="193"/>
      <c r="AC1084" s="193"/>
      <c r="AD1084" s="193"/>
      <c r="AE1084" s="193"/>
      <c r="AF1084" s="193"/>
      <c r="AG1084" s="193"/>
      <c r="AH1084" s="193"/>
      <c r="AI1084" s="193"/>
      <c r="AJ1084" s="193"/>
      <c r="AK1084" s="193"/>
      <c r="AL1084" s="193"/>
    </row>
    <row r="1085" spans="7:38">
      <c r="G1085" s="193"/>
      <c r="H1085" s="193"/>
      <c r="I1085" s="193"/>
      <c r="J1085" s="193"/>
      <c r="K1085" s="193"/>
      <c r="L1085" s="193"/>
      <c r="M1085" s="193"/>
      <c r="N1085" s="193"/>
      <c r="O1085" s="193"/>
      <c r="P1085" s="193"/>
      <c r="Q1085" s="193"/>
      <c r="R1085" s="193"/>
      <c r="S1085" s="193"/>
      <c r="T1085" s="193"/>
      <c r="U1085" s="193"/>
      <c r="V1085" s="193"/>
      <c r="W1085" s="193"/>
      <c r="X1085" s="193"/>
      <c r="Y1085" s="193"/>
      <c r="Z1085" s="193"/>
      <c r="AA1085" s="193"/>
      <c r="AB1085" s="193"/>
      <c r="AC1085" s="193"/>
      <c r="AD1085" s="193"/>
      <c r="AE1085" s="193"/>
      <c r="AF1085" s="193"/>
      <c r="AG1085" s="193"/>
      <c r="AH1085" s="193"/>
      <c r="AI1085" s="193"/>
      <c r="AJ1085" s="193"/>
      <c r="AK1085" s="193"/>
      <c r="AL1085" s="193"/>
    </row>
    <row r="1086" spans="7:38">
      <c r="G1086" s="193"/>
      <c r="H1086" s="193"/>
      <c r="I1086" s="193"/>
      <c r="J1086" s="193"/>
      <c r="K1086" s="193"/>
      <c r="L1086" s="193"/>
      <c r="M1086" s="193"/>
      <c r="N1086" s="193"/>
      <c r="O1086" s="193"/>
      <c r="P1086" s="193"/>
      <c r="Q1086" s="193"/>
      <c r="R1086" s="193"/>
      <c r="S1086" s="193"/>
      <c r="T1086" s="193"/>
      <c r="U1086" s="193"/>
      <c r="V1086" s="193"/>
      <c r="W1086" s="193"/>
      <c r="X1086" s="193"/>
      <c r="Y1086" s="193"/>
      <c r="Z1086" s="193"/>
      <c r="AA1086" s="193"/>
      <c r="AB1086" s="193"/>
      <c r="AC1086" s="193"/>
      <c r="AD1086" s="193"/>
      <c r="AE1086" s="193"/>
      <c r="AF1086" s="193"/>
      <c r="AG1086" s="193"/>
      <c r="AH1086" s="193"/>
      <c r="AI1086" s="193"/>
      <c r="AJ1086" s="193"/>
      <c r="AK1086" s="193"/>
      <c r="AL1086" s="193"/>
    </row>
    <row r="1087" spans="7:38">
      <c r="G1087" s="193"/>
      <c r="H1087" s="193"/>
      <c r="I1087" s="193"/>
      <c r="J1087" s="193"/>
      <c r="K1087" s="193"/>
      <c r="L1087" s="193"/>
      <c r="M1087" s="193"/>
      <c r="N1087" s="193"/>
      <c r="O1087" s="193"/>
      <c r="P1087" s="193"/>
      <c r="Q1087" s="193"/>
      <c r="R1087" s="193"/>
      <c r="S1087" s="193"/>
      <c r="T1087" s="193"/>
      <c r="U1087" s="193"/>
      <c r="V1087" s="193"/>
      <c r="W1087" s="193"/>
      <c r="X1087" s="193"/>
      <c r="Y1087" s="193"/>
      <c r="Z1087" s="193"/>
      <c r="AA1087" s="193"/>
      <c r="AB1087" s="193"/>
      <c r="AC1087" s="193"/>
      <c r="AD1087" s="193"/>
      <c r="AE1087" s="193"/>
      <c r="AF1087" s="193"/>
      <c r="AG1087" s="193"/>
      <c r="AH1087" s="193"/>
      <c r="AI1087" s="193"/>
      <c r="AJ1087" s="193"/>
      <c r="AK1087" s="193"/>
      <c r="AL1087" s="193"/>
    </row>
    <row r="1088" spans="7:38">
      <c r="G1088" s="193"/>
      <c r="H1088" s="193"/>
      <c r="I1088" s="193"/>
      <c r="J1088" s="193"/>
      <c r="K1088" s="193"/>
      <c r="L1088" s="193"/>
      <c r="M1088" s="193"/>
      <c r="N1088" s="193"/>
      <c r="O1088" s="193"/>
      <c r="P1088" s="193"/>
      <c r="Q1088" s="193"/>
      <c r="R1088" s="193"/>
      <c r="S1088" s="193"/>
      <c r="T1088" s="193"/>
      <c r="U1088" s="193"/>
      <c r="V1088" s="193"/>
      <c r="W1088" s="193"/>
      <c r="X1088" s="193"/>
      <c r="Y1088" s="193"/>
      <c r="Z1088" s="193"/>
      <c r="AA1088" s="193"/>
      <c r="AB1088" s="193"/>
      <c r="AC1088" s="193"/>
      <c r="AD1088" s="193"/>
      <c r="AE1088" s="193"/>
      <c r="AF1088" s="193"/>
      <c r="AG1088" s="193"/>
      <c r="AH1088" s="193"/>
      <c r="AI1088" s="193"/>
      <c r="AJ1088" s="193"/>
      <c r="AK1088" s="193"/>
      <c r="AL1088" s="193"/>
    </row>
    <row r="1089" spans="7:38">
      <c r="G1089" s="193"/>
      <c r="H1089" s="193"/>
      <c r="I1089" s="193"/>
      <c r="J1089" s="193"/>
      <c r="K1089" s="193"/>
      <c r="L1089" s="193"/>
      <c r="M1089" s="193"/>
      <c r="N1089" s="193"/>
      <c r="O1089" s="193"/>
      <c r="P1089" s="193"/>
      <c r="Q1089" s="193"/>
      <c r="R1089" s="193"/>
      <c r="S1089" s="193"/>
      <c r="T1089" s="193"/>
      <c r="U1089" s="193"/>
      <c r="V1089" s="193"/>
      <c r="W1089" s="193"/>
      <c r="X1089" s="193"/>
      <c r="Y1089" s="193"/>
      <c r="Z1089" s="193"/>
      <c r="AA1089" s="193"/>
      <c r="AB1089" s="193"/>
      <c r="AC1089" s="193"/>
      <c r="AD1089" s="193"/>
      <c r="AE1089" s="193"/>
      <c r="AF1089" s="193"/>
      <c r="AG1089" s="193"/>
      <c r="AH1089" s="193"/>
      <c r="AI1089" s="193"/>
      <c r="AJ1089" s="193"/>
      <c r="AK1089" s="193"/>
      <c r="AL1089" s="193"/>
    </row>
    <row r="1090" spans="7:38">
      <c r="G1090" s="193"/>
      <c r="H1090" s="193"/>
      <c r="I1090" s="193"/>
      <c r="J1090" s="193"/>
      <c r="K1090" s="193"/>
      <c r="L1090" s="193"/>
      <c r="M1090" s="193"/>
      <c r="N1090" s="193"/>
      <c r="O1090" s="193"/>
      <c r="P1090" s="193"/>
      <c r="Q1090" s="193"/>
      <c r="R1090" s="193"/>
      <c r="S1090" s="193"/>
      <c r="T1090" s="193"/>
      <c r="U1090" s="193"/>
      <c r="V1090" s="193"/>
      <c r="W1090" s="193"/>
      <c r="X1090" s="193"/>
      <c r="Y1090" s="193"/>
      <c r="Z1090" s="193"/>
      <c r="AA1090" s="193"/>
      <c r="AB1090" s="193"/>
      <c r="AC1090" s="193"/>
      <c r="AD1090" s="193"/>
      <c r="AE1090" s="193"/>
      <c r="AF1090" s="193"/>
      <c r="AG1090" s="193"/>
      <c r="AH1090" s="193"/>
      <c r="AI1090" s="193"/>
      <c r="AJ1090" s="193"/>
      <c r="AK1090" s="193"/>
      <c r="AL1090" s="193"/>
    </row>
    <row r="1091" spans="7:38">
      <c r="G1091" s="193"/>
      <c r="H1091" s="193"/>
      <c r="I1091" s="193"/>
      <c r="J1091" s="193"/>
      <c r="K1091" s="193"/>
      <c r="L1091" s="193"/>
      <c r="M1091" s="193"/>
      <c r="N1091" s="193"/>
      <c r="O1091" s="193"/>
      <c r="P1091" s="193"/>
      <c r="Q1091" s="193"/>
      <c r="R1091" s="193"/>
      <c r="S1091" s="193"/>
      <c r="T1091" s="193"/>
      <c r="U1091" s="193"/>
      <c r="V1091" s="193"/>
      <c r="W1091" s="193"/>
      <c r="X1091" s="193"/>
      <c r="Y1091" s="193"/>
      <c r="Z1091" s="193"/>
      <c r="AA1091" s="193"/>
      <c r="AB1091" s="193"/>
      <c r="AC1091" s="193"/>
      <c r="AD1091" s="193"/>
      <c r="AE1091" s="193"/>
      <c r="AF1091" s="193"/>
      <c r="AG1091" s="193"/>
      <c r="AH1091" s="193"/>
      <c r="AI1091" s="193"/>
      <c r="AJ1091" s="193"/>
      <c r="AK1091" s="193"/>
      <c r="AL1091" s="193"/>
    </row>
    <row r="1092" spans="7:38">
      <c r="G1092" s="193"/>
      <c r="H1092" s="193"/>
      <c r="I1092" s="193"/>
      <c r="J1092" s="193"/>
      <c r="K1092" s="193"/>
      <c r="L1092" s="193"/>
      <c r="M1092" s="193"/>
      <c r="N1092" s="193"/>
      <c r="O1092" s="193"/>
      <c r="P1092" s="193"/>
      <c r="Q1092" s="193"/>
      <c r="R1092" s="193"/>
      <c r="S1092" s="193"/>
      <c r="T1092" s="193"/>
      <c r="U1092" s="193"/>
      <c r="V1092" s="193"/>
      <c r="W1092" s="193"/>
      <c r="X1092" s="193"/>
      <c r="Y1092" s="193"/>
      <c r="Z1092" s="193"/>
      <c r="AA1092" s="193"/>
      <c r="AB1092" s="193"/>
      <c r="AC1092" s="193"/>
      <c r="AD1092" s="193"/>
      <c r="AE1092" s="193"/>
      <c r="AF1092" s="193"/>
      <c r="AG1092" s="193"/>
      <c r="AH1092" s="193"/>
      <c r="AI1092" s="193"/>
      <c r="AJ1092" s="193"/>
      <c r="AK1092" s="193"/>
      <c r="AL1092" s="193"/>
    </row>
    <row r="1093" spans="7:38">
      <c r="G1093" s="193"/>
      <c r="H1093" s="193"/>
      <c r="I1093" s="193"/>
      <c r="J1093" s="193"/>
      <c r="K1093" s="193"/>
      <c r="L1093" s="193"/>
      <c r="M1093" s="193"/>
      <c r="N1093" s="193"/>
      <c r="O1093" s="193"/>
      <c r="P1093" s="193"/>
      <c r="Q1093" s="193"/>
      <c r="R1093" s="193"/>
      <c r="S1093" s="193"/>
      <c r="T1093" s="193"/>
      <c r="U1093" s="193"/>
      <c r="V1093" s="193"/>
      <c r="W1093" s="193"/>
      <c r="X1093" s="193"/>
      <c r="Y1093" s="193"/>
      <c r="Z1093" s="193"/>
      <c r="AA1093" s="193"/>
      <c r="AB1093" s="193"/>
      <c r="AC1093" s="193"/>
      <c r="AD1093" s="193"/>
      <c r="AE1093" s="193"/>
      <c r="AF1093" s="193"/>
      <c r="AG1093" s="193"/>
      <c r="AH1093" s="193"/>
      <c r="AI1093" s="193"/>
      <c r="AJ1093" s="193"/>
      <c r="AK1093" s="193"/>
      <c r="AL1093" s="193"/>
    </row>
    <row r="1094" spans="7:38">
      <c r="G1094" s="193"/>
      <c r="H1094" s="193"/>
      <c r="I1094" s="193"/>
      <c r="J1094" s="193"/>
      <c r="K1094" s="193"/>
      <c r="L1094" s="193"/>
      <c r="M1094" s="193"/>
      <c r="N1094" s="193"/>
      <c r="O1094" s="193"/>
      <c r="P1094" s="193"/>
      <c r="Q1094" s="193"/>
      <c r="R1094" s="193"/>
      <c r="S1094" s="193"/>
      <c r="T1094" s="193"/>
      <c r="U1094" s="193"/>
      <c r="V1094" s="193"/>
      <c r="W1094" s="193"/>
      <c r="X1094" s="193"/>
      <c r="Y1094" s="193"/>
      <c r="Z1094" s="193"/>
      <c r="AA1094" s="193"/>
      <c r="AB1094" s="193"/>
      <c r="AC1094" s="193"/>
      <c r="AD1094" s="193"/>
      <c r="AE1094" s="193"/>
      <c r="AF1094" s="193"/>
      <c r="AG1094" s="193"/>
      <c r="AH1094" s="193"/>
      <c r="AI1094" s="193"/>
      <c r="AJ1094" s="193"/>
      <c r="AK1094" s="193"/>
      <c r="AL1094" s="193"/>
    </row>
    <row r="1095" spans="7:38">
      <c r="G1095" s="193"/>
      <c r="H1095" s="193"/>
      <c r="I1095" s="193"/>
      <c r="J1095" s="193"/>
      <c r="K1095" s="193"/>
      <c r="L1095" s="193"/>
      <c r="M1095" s="193"/>
      <c r="N1095" s="193"/>
      <c r="O1095" s="193"/>
      <c r="P1095" s="193"/>
      <c r="Q1095" s="193"/>
      <c r="R1095" s="193"/>
      <c r="S1095" s="193"/>
      <c r="T1095" s="193"/>
      <c r="U1095" s="193"/>
      <c r="V1095" s="193"/>
      <c r="W1095" s="193"/>
      <c r="X1095" s="193"/>
      <c r="Y1095" s="193"/>
      <c r="Z1095" s="193"/>
      <c r="AA1095" s="193"/>
      <c r="AB1095" s="193"/>
      <c r="AC1095" s="193"/>
      <c r="AD1095" s="193"/>
      <c r="AE1095" s="193"/>
      <c r="AF1095" s="193"/>
      <c r="AG1095" s="193"/>
      <c r="AH1095" s="193"/>
      <c r="AI1095" s="193"/>
      <c r="AJ1095" s="193"/>
      <c r="AK1095" s="193"/>
      <c r="AL1095" s="193"/>
    </row>
    <row r="1096" spans="7:38">
      <c r="G1096" s="193"/>
      <c r="H1096" s="193"/>
      <c r="I1096" s="193"/>
      <c r="J1096" s="193"/>
      <c r="K1096" s="193"/>
      <c r="L1096" s="193"/>
      <c r="M1096" s="193"/>
      <c r="N1096" s="193"/>
      <c r="O1096" s="193"/>
      <c r="P1096" s="193"/>
      <c r="Q1096" s="193"/>
      <c r="R1096" s="193"/>
      <c r="S1096" s="193"/>
      <c r="T1096" s="193"/>
      <c r="U1096" s="193"/>
      <c r="V1096" s="193"/>
      <c r="W1096" s="193"/>
      <c r="X1096" s="193"/>
      <c r="Y1096" s="193"/>
      <c r="Z1096" s="193"/>
      <c r="AA1096" s="193"/>
      <c r="AB1096" s="193"/>
      <c r="AC1096" s="193"/>
      <c r="AD1096" s="193"/>
      <c r="AE1096" s="193"/>
      <c r="AF1096" s="193"/>
      <c r="AG1096" s="193"/>
      <c r="AH1096" s="193"/>
      <c r="AI1096" s="193"/>
      <c r="AJ1096" s="193"/>
      <c r="AK1096" s="193"/>
      <c r="AL1096" s="193"/>
    </row>
    <row r="1097" spans="7:38">
      <c r="G1097" s="193"/>
      <c r="H1097" s="193"/>
      <c r="I1097" s="193"/>
      <c r="J1097" s="193"/>
      <c r="K1097" s="193"/>
      <c r="L1097" s="193"/>
      <c r="M1097" s="193"/>
      <c r="N1097" s="193"/>
      <c r="O1097" s="193"/>
      <c r="P1097" s="193"/>
      <c r="Q1097" s="193"/>
      <c r="R1097" s="193"/>
      <c r="S1097" s="193"/>
      <c r="T1097" s="193"/>
      <c r="U1097" s="193"/>
      <c r="V1097" s="193"/>
      <c r="W1097" s="193"/>
      <c r="X1097" s="193"/>
      <c r="Y1097" s="193"/>
      <c r="Z1097" s="193"/>
      <c r="AA1097" s="193"/>
      <c r="AB1097" s="193"/>
      <c r="AC1097" s="193"/>
      <c r="AD1097" s="193"/>
      <c r="AE1097" s="193"/>
      <c r="AF1097" s="193"/>
      <c r="AG1097" s="193"/>
      <c r="AH1097" s="193"/>
      <c r="AI1097" s="193"/>
      <c r="AJ1097" s="193"/>
      <c r="AK1097" s="193"/>
      <c r="AL1097" s="193"/>
    </row>
    <row r="1098" spans="7:38">
      <c r="G1098" s="193"/>
      <c r="H1098" s="193"/>
      <c r="I1098" s="193"/>
      <c r="J1098" s="193"/>
      <c r="K1098" s="193"/>
      <c r="L1098" s="193"/>
      <c r="M1098" s="193"/>
      <c r="N1098" s="193"/>
      <c r="O1098" s="193"/>
      <c r="P1098" s="193"/>
      <c r="Q1098" s="193"/>
      <c r="R1098" s="193"/>
      <c r="S1098" s="193"/>
      <c r="T1098" s="193"/>
      <c r="U1098" s="193"/>
      <c r="V1098" s="193"/>
      <c r="W1098" s="193"/>
      <c r="X1098" s="193"/>
      <c r="Y1098" s="193"/>
      <c r="Z1098" s="193"/>
      <c r="AA1098" s="193"/>
      <c r="AB1098" s="193"/>
      <c r="AC1098" s="193"/>
      <c r="AD1098" s="193"/>
      <c r="AE1098" s="193"/>
      <c r="AF1098" s="193"/>
      <c r="AG1098" s="193"/>
      <c r="AH1098" s="193"/>
      <c r="AI1098" s="193"/>
      <c r="AJ1098" s="193"/>
      <c r="AK1098" s="193"/>
      <c r="AL1098" s="193"/>
    </row>
    <row r="1099" spans="7:38">
      <c r="G1099" s="193"/>
      <c r="H1099" s="193"/>
      <c r="I1099" s="193"/>
      <c r="J1099" s="193"/>
      <c r="K1099" s="193"/>
      <c r="L1099" s="193"/>
      <c r="M1099" s="193"/>
      <c r="N1099" s="193"/>
      <c r="O1099" s="193"/>
      <c r="P1099" s="193"/>
      <c r="Q1099" s="193"/>
      <c r="R1099" s="193"/>
      <c r="S1099" s="193"/>
      <c r="T1099" s="193"/>
      <c r="U1099" s="193"/>
      <c r="V1099" s="193"/>
      <c r="W1099" s="193"/>
      <c r="X1099" s="193"/>
      <c r="Y1099" s="193"/>
      <c r="Z1099" s="193"/>
      <c r="AA1099" s="193"/>
      <c r="AB1099" s="193"/>
      <c r="AC1099" s="193"/>
      <c r="AD1099" s="193"/>
      <c r="AE1099" s="193"/>
      <c r="AF1099" s="193"/>
      <c r="AG1099" s="193"/>
      <c r="AH1099" s="193"/>
      <c r="AI1099" s="193"/>
      <c r="AJ1099" s="193"/>
      <c r="AK1099" s="193"/>
      <c r="AL1099" s="193"/>
    </row>
    <row r="1100" spans="7:38">
      <c r="G1100" s="193"/>
      <c r="H1100" s="193"/>
      <c r="I1100" s="193"/>
      <c r="J1100" s="193"/>
      <c r="K1100" s="193"/>
      <c r="L1100" s="193"/>
      <c r="M1100" s="193"/>
      <c r="N1100" s="193"/>
      <c r="O1100" s="193"/>
      <c r="P1100" s="193"/>
      <c r="Q1100" s="193"/>
      <c r="R1100" s="193"/>
      <c r="S1100" s="193"/>
      <c r="T1100" s="193"/>
      <c r="U1100" s="193"/>
      <c r="V1100" s="193"/>
      <c r="W1100" s="193"/>
      <c r="X1100" s="193"/>
      <c r="Y1100" s="193"/>
      <c r="Z1100" s="193"/>
      <c r="AA1100" s="193"/>
      <c r="AB1100" s="193"/>
      <c r="AC1100" s="193"/>
      <c r="AD1100" s="193"/>
      <c r="AE1100" s="193"/>
      <c r="AF1100" s="193"/>
      <c r="AG1100" s="193"/>
      <c r="AH1100" s="193"/>
      <c r="AI1100" s="193"/>
      <c r="AJ1100" s="193"/>
      <c r="AK1100" s="193"/>
      <c r="AL1100" s="193"/>
    </row>
    <row r="1101" spans="7:38">
      <c r="G1101" s="193"/>
      <c r="H1101" s="193"/>
      <c r="I1101" s="193"/>
      <c r="J1101" s="193"/>
      <c r="K1101" s="193"/>
      <c r="L1101" s="193"/>
      <c r="M1101" s="193"/>
      <c r="N1101" s="193"/>
      <c r="O1101" s="193"/>
      <c r="P1101" s="193"/>
      <c r="Q1101" s="193"/>
      <c r="R1101" s="193"/>
      <c r="S1101" s="193"/>
      <c r="T1101" s="193"/>
      <c r="U1101" s="193"/>
      <c r="V1101" s="193"/>
      <c r="W1101" s="193"/>
      <c r="X1101" s="193"/>
      <c r="Y1101" s="193"/>
      <c r="Z1101" s="193"/>
      <c r="AA1101" s="193"/>
      <c r="AB1101" s="193"/>
      <c r="AC1101" s="193"/>
      <c r="AD1101" s="193"/>
      <c r="AE1101" s="193"/>
      <c r="AF1101" s="193"/>
      <c r="AG1101" s="193"/>
      <c r="AH1101" s="193"/>
      <c r="AI1101" s="193"/>
      <c r="AJ1101" s="193"/>
      <c r="AK1101" s="193"/>
      <c r="AL1101" s="193"/>
    </row>
    <row r="1102" spans="7:38">
      <c r="G1102" s="193"/>
      <c r="H1102" s="193"/>
      <c r="I1102" s="193"/>
      <c r="J1102" s="193"/>
      <c r="K1102" s="193"/>
      <c r="L1102" s="193"/>
      <c r="M1102" s="193"/>
      <c r="N1102" s="193"/>
      <c r="O1102" s="193"/>
      <c r="P1102" s="193"/>
      <c r="Q1102" s="193"/>
      <c r="R1102" s="193"/>
      <c r="S1102" s="193"/>
      <c r="T1102" s="193"/>
      <c r="U1102" s="193"/>
      <c r="V1102" s="193"/>
      <c r="W1102" s="193"/>
      <c r="X1102" s="193"/>
      <c r="Y1102" s="193"/>
      <c r="Z1102" s="193"/>
      <c r="AA1102" s="193"/>
      <c r="AB1102" s="193"/>
      <c r="AC1102" s="193"/>
      <c r="AD1102" s="193"/>
      <c r="AE1102" s="193"/>
      <c r="AF1102" s="193"/>
      <c r="AG1102" s="193"/>
      <c r="AH1102" s="193"/>
      <c r="AI1102" s="193"/>
      <c r="AJ1102" s="193"/>
      <c r="AK1102" s="193"/>
      <c r="AL1102" s="193"/>
    </row>
    <row r="1103" spans="7:38">
      <c r="G1103" s="193"/>
      <c r="H1103" s="193"/>
      <c r="I1103" s="193"/>
      <c r="J1103" s="193"/>
      <c r="K1103" s="193"/>
      <c r="L1103" s="193"/>
      <c r="M1103" s="193"/>
      <c r="N1103" s="193"/>
      <c r="O1103" s="193"/>
      <c r="P1103" s="193"/>
      <c r="Q1103" s="193"/>
      <c r="R1103" s="193"/>
      <c r="S1103" s="193"/>
      <c r="T1103" s="193"/>
      <c r="U1103" s="193"/>
      <c r="V1103" s="193"/>
      <c r="W1103" s="193"/>
      <c r="X1103" s="193"/>
      <c r="Y1103" s="193"/>
      <c r="Z1103" s="193"/>
      <c r="AA1103" s="193"/>
      <c r="AB1103" s="193"/>
      <c r="AC1103" s="193"/>
      <c r="AD1103" s="193"/>
      <c r="AE1103" s="193"/>
      <c r="AF1103" s="193"/>
      <c r="AG1103" s="193"/>
      <c r="AH1103" s="193"/>
      <c r="AI1103" s="193"/>
      <c r="AJ1103" s="193"/>
      <c r="AK1103" s="193"/>
      <c r="AL1103" s="193"/>
    </row>
    <row r="1104" spans="7:38">
      <c r="G1104" s="193"/>
      <c r="H1104" s="193"/>
      <c r="I1104" s="193"/>
      <c r="J1104" s="193"/>
      <c r="K1104" s="193"/>
      <c r="L1104" s="193"/>
      <c r="M1104" s="193"/>
      <c r="N1104" s="193"/>
      <c r="O1104" s="193"/>
      <c r="P1104" s="193"/>
      <c r="Q1104" s="193"/>
      <c r="R1104" s="193"/>
      <c r="S1104" s="193"/>
      <c r="T1104" s="193"/>
      <c r="U1104" s="193"/>
      <c r="V1104" s="193"/>
      <c r="W1104" s="193"/>
      <c r="X1104" s="193"/>
      <c r="Y1104" s="193"/>
      <c r="Z1104" s="193"/>
      <c r="AA1104" s="193"/>
      <c r="AB1104" s="193"/>
      <c r="AC1104" s="193"/>
      <c r="AD1104" s="193"/>
      <c r="AE1104" s="193"/>
      <c r="AF1104" s="193"/>
      <c r="AG1104" s="193"/>
      <c r="AH1104" s="193"/>
      <c r="AI1104" s="193"/>
      <c r="AJ1104" s="193"/>
      <c r="AK1104" s="193"/>
      <c r="AL1104" s="193"/>
    </row>
    <row r="1105" spans="7:38">
      <c r="G1105" s="193"/>
      <c r="H1105" s="193"/>
      <c r="I1105" s="193"/>
      <c r="J1105" s="193"/>
      <c r="K1105" s="193"/>
      <c r="L1105" s="193"/>
      <c r="M1105" s="193"/>
      <c r="N1105" s="193"/>
      <c r="O1105" s="193"/>
      <c r="P1105" s="193"/>
      <c r="Q1105" s="193"/>
      <c r="R1105" s="193"/>
      <c r="S1105" s="193"/>
      <c r="T1105" s="193"/>
      <c r="U1105" s="193"/>
      <c r="V1105" s="193"/>
      <c r="W1105" s="193"/>
      <c r="X1105" s="193"/>
      <c r="Y1105" s="193"/>
      <c r="Z1105" s="193"/>
      <c r="AA1105" s="193"/>
      <c r="AB1105" s="193"/>
      <c r="AC1105" s="193"/>
      <c r="AD1105" s="193"/>
      <c r="AE1105" s="193"/>
      <c r="AF1105" s="193"/>
      <c r="AG1105" s="193"/>
      <c r="AH1105" s="193"/>
      <c r="AI1105" s="193"/>
      <c r="AJ1105" s="193"/>
      <c r="AK1105" s="193"/>
      <c r="AL1105" s="193"/>
    </row>
    <row r="1106" spans="7:38">
      <c r="G1106" s="193"/>
      <c r="H1106" s="193"/>
      <c r="I1106" s="193"/>
      <c r="J1106" s="193"/>
      <c r="K1106" s="193"/>
      <c r="L1106" s="193"/>
      <c r="M1106" s="193"/>
      <c r="N1106" s="193"/>
      <c r="O1106" s="193"/>
      <c r="P1106" s="193"/>
      <c r="Q1106" s="193"/>
      <c r="R1106" s="193"/>
      <c r="S1106" s="193"/>
      <c r="T1106" s="193"/>
      <c r="U1106" s="193"/>
      <c r="V1106" s="193"/>
      <c r="W1106" s="193"/>
      <c r="X1106" s="193"/>
      <c r="Y1106" s="193"/>
      <c r="Z1106" s="193"/>
      <c r="AA1106" s="193"/>
      <c r="AB1106" s="193"/>
      <c r="AC1106" s="193"/>
      <c r="AD1106" s="193"/>
      <c r="AE1106" s="193"/>
      <c r="AF1106" s="193"/>
      <c r="AG1106" s="193"/>
      <c r="AH1106" s="193"/>
      <c r="AI1106" s="193"/>
      <c r="AJ1106" s="193"/>
      <c r="AK1106" s="193"/>
      <c r="AL1106" s="193"/>
    </row>
    <row r="1107" spans="7:38">
      <c r="G1107" s="193"/>
      <c r="H1107" s="193"/>
      <c r="I1107" s="193"/>
      <c r="J1107" s="193"/>
      <c r="K1107" s="193"/>
      <c r="L1107" s="193"/>
      <c r="M1107" s="193"/>
      <c r="N1107" s="193"/>
      <c r="O1107" s="193"/>
      <c r="P1107" s="193"/>
      <c r="Q1107" s="193"/>
      <c r="R1107" s="193"/>
      <c r="S1107" s="193"/>
      <c r="T1107" s="193"/>
      <c r="U1107" s="193"/>
      <c r="V1107" s="193"/>
      <c r="W1107" s="193"/>
      <c r="X1107" s="193"/>
      <c r="Y1107" s="193"/>
      <c r="Z1107" s="193"/>
      <c r="AA1107" s="193"/>
      <c r="AB1107" s="193"/>
      <c r="AC1107" s="193"/>
      <c r="AD1107" s="193"/>
      <c r="AE1107" s="193"/>
      <c r="AF1107" s="193"/>
      <c r="AG1107" s="193"/>
      <c r="AH1107" s="193"/>
      <c r="AI1107" s="193"/>
      <c r="AJ1107" s="193"/>
      <c r="AK1107" s="193"/>
      <c r="AL1107" s="193"/>
    </row>
    <row r="1108" spans="7:38">
      <c r="G1108" s="193"/>
      <c r="H1108" s="193"/>
      <c r="I1108" s="193"/>
      <c r="J1108" s="193"/>
      <c r="K1108" s="193"/>
      <c r="L1108" s="193"/>
      <c r="M1108" s="193"/>
      <c r="N1108" s="193"/>
      <c r="O1108" s="193"/>
      <c r="P1108" s="193"/>
      <c r="Q1108" s="193"/>
      <c r="R1108" s="193"/>
      <c r="S1108" s="193"/>
      <c r="T1108" s="193"/>
      <c r="U1108" s="193"/>
      <c r="V1108" s="193"/>
      <c r="W1108" s="193"/>
      <c r="X1108" s="193"/>
      <c r="Y1108" s="193"/>
      <c r="Z1108" s="193"/>
      <c r="AA1108" s="193"/>
      <c r="AB1108" s="193"/>
      <c r="AC1108" s="193"/>
      <c r="AD1108" s="193"/>
      <c r="AE1108" s="193"/>
      <c r="AF1108" s="193"/>
      <c r="AG1108" s="193"/>
      <c r="AH1108" s="193"/>
      <c r="AI1108" s="193"/>
      <c r="AJ1108" s="193"/>
      <c r="AK1108" s="193"/>
      <c r="AL1108" s="193"/>
    </row>
    <row r="1109" spans="7:38">
      <c r="G1109" s="193"/>
      <c r="H1109" s="193"/>
      <c r="I1109" s="193"/>
      <c r="J1109" s="193"/>
      <c r="K1109" s="193"/>
      <c r="L1109" s="193"/>
      <c r="M1109" s="193"/>
      <c r="N1109" s="193"/>
      <c r="O1109" s="193"/>
      <c r="P1109" s="193"/>
      <c r="Q1109" s="193"/>
      <c r="R1109" s="193"/>
      <c r="S1109" s="193"/>
      <c r="T1109" s="193"/>
      <c r="U1109" s="193"/>
      <c r="V1109" s="193"/>
      <c r="W1109" s="193"/>
      <c r="X1109" s="193"/>
      <c r="Y1109" s="193"/>
      <c r="Z1109" s="193"/>
      <c r="AA1109" s="193"/>
      <c r="AB1109" s="193"/>
      <c r="AC1109" s="193"/>
      <c r="AD1109" s="193"/>
      <c r="AE1109" s="193"/>
      <c r="AF1109" s="193"/>
      <c r="AG1109" s="193"/>
      <c r="AH1109" s="193"/>
      <c r="AI1109" s="193"/>
      <c r="AJ1109" s="193"/>
      <c r="AK1109" s="193"/>
      <c r="AL1109" s="193"/>
    </row>
    <row r="1110" spans="7:38">
      <c r="G1110" s="193"/>
      <c r="H1110" s="193"/>
      <c r="I1110" s="193"/>
      <c r="J1110" s="193"/>
      <c r="K1110" s="193"/>
      <c r="L1110" s="193"/>
      <c r="M1110" s="193"/>
      <c r="N1110" s="193"/>
      <c r="O1110" s="193"/>
      <c r="P1110" s="193"/>
      <c r="Q1110" s="193"/>
      <c r="R1110" s="193"/>
      <c r="S1110" s="193"/>
      <c r="T1110" s="193"/>
      <c r="U1110" s="193"/>
      <c r="V1110" s="193"/>
      <c r="W1110" s="193"/>
      <c r="X1110" s="193"/>
      <c r="Y1110" s="193"/>
      <c r="Z1110" s="193"/>
      <c r="AA1110" s="193"/>
      <c r="AB1110" s="193"/>
      <c r="AC1110" s="193"/>
      <c r="AD1110" s="193"/>
      <c r="AE1110" s="193"/>
      <c r="AF1110" s="193"/>
      <c r="AG1110" s="193"/>
      <c r="AH1110" s="193"/>
      <c r="AI1110" s="193"/>
      <c r="AJ1110" s="193"/>
      <c r="AK1110" s="193"/>
      <c r="AL1110" s="193"/>
    </row>
    <row r="1111" spans="7:38">
      <c r="G1111" s="193"/>
      <c r="H1111" s="193"/>
      <c r="I1111" s="193"/>
      <c r="J1111" s="193"/>
      <c r="K1111" s="193"/>
      <c r="L1111" s="193"/>
      <c r="M1111" s="193"/>
      <c r="N1111" s="193"/>
      <c r="O1111" s="193"/>
      <c r="P1111" s="193"/>
      <c r="Q1111" s="193"/>
      <c r="R1111" s="193"/>
      <c r="S1111" s="193"/>
      <c r="T1111" s="193"/>
      <c r="U1111" s="193"/>
      <c r="V1111" s="193"/>
      <c r="W1111" s="193"/>
      <c r="X1111" s="193"/>
      <c r="Y1111" s="193"/>
      <c r="Z1111" s="193"/>
      <c r="AA1111" s="193"/>
      <c r="AB1111" s="193"/>
      <c r="AC1111" s="193"/>
      <c r="AD1111" s="193"/>
      <c r="AE1111" s="193"/>
      <c r="AF1111" s="193"/>
      <c r="AG1111" s="193"/>
      <c r="AH1111" s="193"/>
      <c r="AI1111" s="193"/>
      <c r="AJ1111" s="193"/>
      <c r="AK1111" s="193"/>
      <c r="AL1111" s="193"/>
    </row>
    <row r="1112" spans="7:38">
      <c r="G1112" s="193"/>
      <c r="H1112" s="193"/>
      <c r="I1112" s="193"/>
      <c r="J1112" s="193"/>
      <c r="K1112" s="193"/>
      <c r="L1112" s="193"/>
      <c r="M1112" s="193"/>
      <c r="N1112" s="193"/>
      <c r="O1112" s="193"/>
      <c r="P1112" s="193"/>
      <c r="Q1112" s="193"/>
      <c r="R1112" s="193"/>
      <c r="S1112" s="193"/>
      <c r="T1112" s="193"/>
      <c r="U1112" s="193"/>
      <c r="V1112" s="193"/>
      <c r="W1112" s="193"/>
      <c r="X1112" s="193"/>
      <c r="Y1112" s="193"/>
      <c r="Z1112" s="193"/>
      <c r="AA1112" s="193"/>
      <c r="AB1112" s="193"/>
      <c r="AC1112" s="193"/>
      <c r="AD1112" s="193"/>
      <c r="AE1112" s="193"/>
      <c r="AF1112" s="193"/>
      <c r="AG1112" s="193"/>
      <c r="AH1112" s="193"/>
      <c r="AI1112" s="193"/>
      <c r="AJ1112" s="193"/>
      <c r="AK1112" s="193"/>
      <c r="AL1112" s="193"/>
    </row>
    <row r="1113" spans="7:38">
      <c r="G1113" s="193"/>
      <c r="H1113" s="193"/>
      <c r="I1113" s="193"/>
      <c r="J1113" s="193"/>
      <c r="K1113" s="193"/>
      <c r="L1113" s="193"/>
      <c r="M1113" s="193"/>
      <c r="N1113" s="193"/>
      <c r="O1113" s="193"/>
      <c r="P1113" s="193"/>
      <c r="Q1113" s="193"/>
      <c r="R1113" s="193"/>
      <c r="S1113" s="193"/>
      <c r="T1113" s="193"/>
      <c r="U1113" s="193"/>
      <c r="V1113" s="193"/>
      <c r="W1113" s="193"/>
      <c r="X1113" s="193"/>
      <c r="Y1113" s="193"/>
      <c r="Z1113" s="193"/>
      <c r="AA1113" s="193"/>
      <c r="AB1113" s="193"/>
      <c r="AC1113" s="193"/>
      <c r="AD1113" s="193"/>
      <c r="AE1113" s="193"/>
      <c r="AF1113" s="193"/>
      <c r="AG1113" s="193"/>
      <c r="AH1113" s="193"/>
      <c r="AI1113" s="193"/>
      <c r="AJ1113" s="193"/>
      <c r="AK1113" s="193"/>
      <c r="AL1113" s="193"/>
    </row>
    <row r="1114" spans="7:38">
      <c r="G1114" s="193"/>
      <c r="H1114" s="193"/>
      <c r="I1114" s="193"/>
      <c r="J1114" s="193"/>
      <c r="K1114" s="193"/>
      <c r="L1114" s="193"/>
      <c r="M1114" s="193"/>
      <c r="N1114" s="193"/>
      <c r="O1114" s="193"/>
      <c r="P1114" s="193"/>
      <c r="Q1114" s="193"/>
      <c r="R1114" s="193"/>
      <c r="S1114" s="193"/>
      <c r="T1114" s="193"/>
      <c r="U1114" s="193"/>
      <c r="V1114" s="193"/>
      <c r="W1114" s="193"/>
      <c r="X1114" s="193"/>
      <c r="Y1114" s="193"/>
      <c r="Z1114" s="193"/>
      <c r="AA1114" s="193"/>
      <c r="AB1114" s="193"/>
      <c r="AC1114" s="193"/>
      <c r="AD1114" s="193"/>
      <c r="AE1114" s="193"/>
      <c r="AF1114" s="193"/>
      <c r="AG1114" s="193"/>
      <c r="AH1114" s="193"/>
      <c r="AI1114" s="193"/>
      <c r="AJ1114" s="193"/>
      <c r="AK1114" s="193"/>
      <c r="AL1114" s="193"/>
    </row>
    <row r="1115" spans="7:38">
      <c r="G1115" s="193"/>
      <c r="H1115" s="193"/>
      <c r="I1115" s="193"/>
      <c r="J1115" s="193"/>
      <c r="K1115" s="193"/>
      <c r="L1115" s="193"/>
      <c r="M1115" s="193"/>
      <c r="N1115" s="193"/>
      <c r="O1115" s="193"/>
      <c r="P1115" s="193"/>
      <c r="Q1115" s="193"/>
      <c r="R1115" s="193"/>
      <c r="S1115" s="193"/>
      <c r="T1115" s="193"/>
      <c r="U1115" s="193"/>
      <c r="V1115" s="193"/>
      <c r="W1115" s="193"/>
      <c r="X1115" s="193"/>
      <c r="Y1115" s="193"/>
      <c r="Z1115" s="193"/>
      <c r="AA1115" s="193"/>
      <c r="AB1115" s="193"/>
      <c r="AC1115" s="193"/>
      <c r="AD1115" s="193"/>
      <c r="AE1115" s="193"/>
      <c r="AF1115" s="193"/>
      <c r="AG1115" s="193"/>
      <c r="AH1115" s="193"/>
      <c r="AI1115" s="193"/>
      <c r="AJ1115" s="193"/>
      <c r="AK1115" s="193"/>
      <c r="AL1115" s="193"/>
    </row>
    <row r="1116" spans="7:38">
      <c r="G1116" s="193"/>
      <c r="H1116" s="193"/>
      <c r="I1116" s="193"/>
      <c r="J1116" s="193"/>
      <c r="K1116" s="193"/>
      <c r="L1116" s="193"/>
      <c r="M1116" s="193"/>
      <c r="N1116" s="193"/>
      <c r="O1116" s="193"/>
      <c r="P1116" s="193"/>
      <c r="Q1116" s="193"/>
      <c r="R1116" s="193"/>
      <c r="S1116" s="193"/>
      <c r="T1116" s="193"/>
      <c r="U1116" s="193"/>
      <c r="V1116" s="193"/>
      <c r="W1116" s="193"/>
      <c r="X1116" s="193"/>
      <c r="Y1116" s="193"/>
      <c r="Z1116" s="193"/>
      <c r="AA1116" s="193"/>
      <c r="AB1116" s="193"/>
      <c r="AC1116" s="193"/>
      <c r="AD1116" s="193"/>
      <c r="AE1116" s="193"/>
      <c r="AF1116" s="193"/>
      <c r="AG1116" s="193"/>
      <c r="AH1116" s="193"/>
      <c r="AI1116" s="193"/>
      <c r="AJ1116" s="193"/>
      <c r="AK1116" s="193"/>
      <c r="AL1116" s="193"/>
    </row>
    <row r="1117" spans="7:38">
      <c r="G1117" s="193"/>
      <c r="H1117" s="193"/>
      <c r="I1117" s="193"/>
      <c r="J1117" s="193"/>
      <c r="K1117" s="193"/>
      <c r="L1117" s="193"/>
      <c r="M1117" s="193"/>
      <c r="N1117" s="193"/>
      <c r="O1117" s="193"/>
      <c r="P1117" s="193"/>
      <c r="Q1117" s="193"/>
      <c r="R1117" s="193"/>
      <c r="S1117" s="193"/>
      <c r="T1117" s="193"/>
      <c r="U1117" s="193"/>
      <c r="V1117" s="193"/>
      <c r="W1117" s="193"/>
      <c r="X1117" s="193"/>
      <c r="Y1117" s="193"/>
      <c r="Z1117" s="193"/>
      <c r="AA1117" s="193"/>
      <c r="AB1117" s="193"/>
      <c r="AC1117" s="193"/>
      <c r="AD1117" s="193"/>
      <c r="AE1117" s="193"/>
      <c r="AF1117" s="193"/>
      <c r="AG1117" s="193"/>
      <c r="AH1117" s="193"/>
      <c r="AI1117" s="193"/>
      <c r="AJ1117" s="193"/>
      <c r="AK1117" s="193"/>
      <c r="AL1117" s="193"/>
    </row>
    <row r="1118" spans="7:38">
      <c r="G1118" s="193"/>
      <c r="H1118" s="193"/>
      <c r="I1118" s="193"/>
      <c r="J1118" s="193"/>
      <c r="K1118" s="193"/>
      <c r="L1118" s="193"/>
      <c r="M1118" s="193"/>
      <c r="N1118" s="193"/>
      <c r="O1118" s="193"/>
      <c r="P1118" s="193"/>
      <c r="Q1118" s="193"/>
      <c r="R1118" s="193"/>
      <c r="S1118" s="193"/>
      <c r="T1118" s="193"/>
      <c r="U1118" s="193"/>
      <c r="V1118" s="193"/>
      <c r="W1118" s="193"/>
      <c r="X1118" s="193"/>
      <c r="Y1118" s="193"/>
      <c r="Z1118" s="193"/>
      <c r="AA1118" s="193"/>
      <c r="AB1118" s="193"/>
      <c r="AC1118" s="193"/>
      <c r="AD1118" s="193"/>
      <c r="AE1118" s="193"/>
      <c r="AF1118" s="193"/>
      <c r="AG1118" s="193"/>
      <c r="AH1118" s="193"/>
      <c r="AI1118" s="193"/>
      <c r="AJ1118" s="193"/>
      <c r="AK1118" s="193"/>
      <c r="AL1118" s="193"/>
    </row>
    <row r="1119" spans="7:38">
      <c r="G1119" s="193"/>
      <c r="H1119" s="193"/>
      <c r="I1119" s="193"/>
      <c r="J1119" s="193"/>
      <c r="K1119" s="193"/>
      <c r="L1119" s="193"/>
      <c r="M1119" s="193"/>
      <c r="N1119" s="193"/>
      <c r="O1119" s="193"/>
      <c r="P1119" s="193"/>
      <c r="Q1119" s="193"/>
      <c r="R1119" s="193"/>
      <c r="S1119" s="193"/>
      <c r="T1119" s="193"/>
      <c r="U1119" s="193"/>
      <c r="V1119" s="193"/>
      <c r="W1119" s="193"/>
      <c r="X1119" s="193"/>
      <c r="Y1119" s="193"/>
      <c r="Z1119" s="193"/>
      <c r="AA1119" s="193"/>
      <c r="AB1119" s="193"/>
      <c r="AC1119" s="193"/>
      <c r="AD1119" s="193"/>
      <c r="AE1119" s="193"/>
      <c r="AF1119" s="193"/>
      <c r="AG1119" s="193"/>
      <c r="AH1119" s="193"/>
      <c r="AI1119" s="193"/>
      <c r="AJ1119" s="193"/>
      <c r="AK1119" s="193"/>
      <c r="AL1119" s="193"/>
    </row>
    <row r="1120" spans="7:38">
      <c r="G1120" s="193"/>
      <c r="H1120" s="193"/>
      <c r="I1120" s="193"/>
      <c r="J1120" s="193"/>
      <c r="K1120" s="193"/>
      <c r="L1120" s="193"/>
      <c r="M1120" s="193"/>
      <c r="N1120" s="193"/>
      <c r="O1120" s="193"/>
      <c r="P1120" s="193"/>
      <c r="Q1120" s="193"/>
      <c r="R1120" s="193"/>
      <c r="S1120" s="193"/>
      <c r="T1120" s="193"/>
      <c r="U1120" s="193"/>
      <c r="V1120" s="193"/>
      <c r="W1120" s="193"/>
      <c r="X1120" s="193"/>
      <c r="Y1120" s="193"/>
      <c r="Z1120" s="193"/>
      <c r="AA1120" s="193"/>
      <c r="AB1120" s="193"/>
      <c r="AC1120" s="193"/>
      <c r="AD1120" s="193"/>
      <c r="AE1120" s="193"/>
      <c r="AF1120" s="193"/>
      <c r="AG1120" s="193"/>
      <c r="AH1120" s="193"/>
      <c r="AI1120" s="193"/>
      <c r="AJ1120" s="193"/>
      <c r="AK1120" s="193"/>
      <c r="AL1120" s="193"/>
    </row>
    <row r="1121" spans="7:38">
      <c r="G1121" s="193"/>
      <c r="H1121" s="193"/>
      <c r="I1121" s="193"/>
      <c r="J1121" s="193"/>
      <c r="K1121" s="193"/>
      <c r="L1121" s="193"/>
      <c r="M1121" s="193"/>
      <c r="N1121" s="193"/>
      <c r="O1121" s="193"/>
      <c r="P1121" s="193"/>
      <c r="Q1121" s="193"/>
      <c r="R1121" s="193"/>
      <c r="S1121" s="193"/>
      <c r="T1121" s="193"/>
      <c r="U1121" s="193"/>
      <c r="V1121" s="193"/>
      <c r="W1121" s="193"/>
      <c r="X1121" s="193"/>
      <c r="Y1121" s="193"/>
      <c r="Z1121" s="193"/>
      <c r="AA1121" s="193"/>
      <c r="AB1121" s="193"/>
      <c r="AC1121" s="193"/>
      <c r="AD1121" s="193"/>
      <c r="AE1121" s="193"/>
      <c r="AF1121" s="193"/>
      <c r="AG1121" s="193"/>
      <c r="AH1121" s="193"/>
      <c r="AI1121" s="193"/>
      <c r="AJ1121" s="193"/>
      <c r="AK1121" s="193"/>
      <c r="AL1121" s="193"/>
    </row>
    <row r="1122" spans="7:38">
      <c r="G1122" s="193"/>
      <c r="H1122" s="193"/>
      <c r="I1122" s="193"/>
      <c r="J1122" s="193"/>
      <c r="K1122" s="193"/>
      <c r="L1122" s="193"/>
      <c r="M1122" s="193"/>
      <c r="N1122" s="193"/>
      <c r="O1122" s="193"/>
      <c r="P1122" s="193"/>
      <c r="Q1122" s="193"/>
      <c r="R1122" s="193"/>
      <c r="S1122" s="193"/>
      <c r="T1122" s="193"/>
      <c r="U1122" s="193"/>
      <c r="V1122" s="193"/>
      <c r="W1122" s="193"/>
      <c r="X1122" s="193"/>
      <c r="Y1122" s="193"/>
      <c r="Z1122" s="193"/>
      <c r="AA1122" s="193"/>
      <c r="AB1122" s="193"/>
      <c r="AC1122" s="193"/>
      <c r="AD1122" s="193"/>
      <c r="AE1122" s="193"/>
      <c r="AF1122" s="193"/>
      <c r="AG1122" s="193"/>
      <c r="AH1122" s="193"/>
      <c r="AI1122" s="193"/>
      <c r="AJ1122" s="193"/>
      <c r="AK1122" s="193"/>
      <c r="AL1122" s="193"/>
    </row>
    <row r="1123" spans="7:38">
      <c r="G1123" s="193"/>
      <c r="H1123" s="193"/>
      <c r="I1123" s="193"/>
      <c r="J1123" s="193"/>
      <c r="K1123" s="193"/>
      <c r="L1123" s="193"/>
      <c r="M1123" s="193"/>
      <c r="N1123" s="193"/>
      <c r="O1123" s="193"/>
      <c r="P1123" s="193"/>
      <c r="Q1123" s="193"/>
      <c r="R1123" s="193"/>
      <c r="S1123" s="193"/>
      <c r="T1123" s="193"/>
      <c r="U1123" s="193"/>
      <c r="V1123" s="193"/>
      <c r="W1123" s="193"/>
      <c r="X1123" s="193"/>
      <c r="Y1123" s="193"/>
      <c r="Z1123" s="193"/>
      <c r="AA1123" s="193"/>
      <c r="AB1123" s="193"/>
      <c r="AC1123" s="193"/>
      <c r="AD1123" s="193"/>
      <c r="AE1123" s="193"/>
      <c r="AF1123" s="193"/>
      <c r="AG1123" s="193"/>
      <c r="AH1123" s="193"/>
      <c r="AI1123" s="193"/>
      <c r="AJ1123" s="193"/>
      <c r="AK1123" s="193"/>
      <c r="AL1123" s="193"/>
    </row>
    <row r="1124" spans="7:38">
      <c r="G1124" s="193"/>
      <c r="H1124" s="193"/>
      <c r="I1124" s="193"/>
      <c r="J1124" s="193"/>
      <c r="K1124" s="193"/>
      <c r="L1124" s="193"/>
      <c r="M1124" s="193"/>
      <c r="N1124" s="193"/>
      <c r="O1124" s="193"/>
      <c r="P1124" s="193"/>
      <c r="Q1124" s="193"/>
      <c r="R1124" s="193"/>
      <c r="S1124" s="193"/>
      <c r="T1124" s="193"/>
      <c r="U1124" s="193"/>
      <c r="V1124" s="193"/>
      <c r="W1124" s="193"/>
      <c r="X1124" s="193"/>
      <c r="Y1124" s="193"/>
      <c r="Z1124" s="193"/>
      <c r="AA1124" s="193"/>
      <c r="AB1124" s="193"/>
      <c r="AC1124" s="193"/>
      <c r="AD1124" s="193"/>
      <c r="AE1124" s="193"/>
      <c r="AF1124" s="193"/>
      <c r="AG1124" s="193"/>
      <c r="AH1124" s="193"/>
      <c r="AI1124" s="193"/>
      <c r="AJ1124" s="193"/>
      <c r="AK1124" s="193"/>
      <c r="AL1124" s="193"/>
    </row>
    <row r="1125" spans="7:38">
      <c r="G1125" s="193"/>
      <c r="H1125" s="193"/>
      <c r="I1125" s="193"/>
      <c r="J1125" s="193"/>
      <c r="K1125" s="193"/>
      <c r="L1125" s="193"/>
      <c r="M1125" s="193"/>
      <c r="N1125" s="193"/>
      <c r="O1125" s="193"/>
      <c r="P1125" s="193"/>
      <c r="Q1125" s="193"/>
      <c r="R1125" s="193"/>
      <c r="S1125" s="193"/>
      <c r="T1125" s="193"/>
      <c r="U1125" s="193"/>
      <c r="V1125" s="193"/>
      <c r="W1125" s="193"/>
      <c r="X1125" s="193"/>
      <c r="Y1125" s="193"/>
      <c r="Z1125" s="193"/>
      <c r="AA1125" s="193"/>
      <c r="AB1125" s="193"/>
      <c r="AC1125" s="193"/>
      <c r="AD1125" s="193"/>
      <c r="AE1125" s="193"/>
      <c r="AF1125" s="193"/>
      <c r="AG1125" s="193"/>
      <c r="AH1125" s="193"/>
      <c r="AI1125" s="193"/>
      <c r="AJ1125" s="193"/>
      <c r="AK1125" s="193"/>
      <c r="AL1125" s="193"/>
    </row>
    <row r="1126" spans="7:38">
      <c r="G1126" s="193"/>
      <c r="H1126" s="193"/>
      <c r="I1126" s="193"/>
      <c r="J1126" s="193"/>
      <c r="K1126" s="193"/>
      <c r="L1126" s="193"/>
      <c r="M1126" s="193"/>
      <c r="N1126" s="193"/>
      <c r="O1126" s="193"/>
      <c r="P1126" s="193"/>
      <c r="Q1126" s="193"/>
      <c r="R1126" s="193"/>
      <c r="S1126" s="193"/>
      <c r="T1126" s="193"/>
      <c r="U1126" s="193"/>
      <c r="V1126" s="193"/>
      <c r="W1126" s="193"/>
      <c r="X1126" s="193"/>
      <c r="Y1126" s="193"/>
      <c r="Z1126" s="193"/>
      <c r="AA1126" s="193"/>
      <c r="AB1126" s="193"/>
      <c r="AC1126" s="193"/>
      <c r="AD1126" s="193"/>
      <c r="AE1126" s="193"/>
      <c r="AF1126" s="193"/>
      <c r="AG1126" s="193"/>
      <c r="AH1126" s="193"/>
      <c r="AI1126" s="193"/>
      <c r="AJ1126" s="193"/>
      <c r="AK1126" s="193"/>
      <c r="AL1126" s="193"/>
    </row>
    <row r="1127" spans="7:38">
      <c r="G1127" s="193"/>
      <c r="H1127" s="193"/>
      <c r="I1127" s="193"/>
      <c r="J1127" s="193"/>
      <c r="K1127" s="193"/>
      <c r="L1127" s="193"/>
      <c r="M1127" s="193"/>
      <c r="N1127" s="193"/>
      <c r="O1127" s="193"/>
      <c r="P1127" s="193"/>
      <c r="Q1127" s="193"/>
      <c r="R1127" s="193"/>
      <c r="S1127" s="193"/>
      <c r="T1127" s="193"/>
      <c r="U1127" s="193"/>
      <c r="V1127" s="193"/>
      <c r="W1127" s="193"/>
      <c r="X1127" s="193"/>
      <c r="Y1127" s="193"/>
      <c r="Z1127" s="193"/>
      <c r="AA1127" s="193"/>
      <c r="AB1127" s="193"/>
      <c r="AC1127" s="193"/>
      <c r="AD1127" s="193"/>
      <c r="AE1127" s="193"/>
      <c r="AF1127" s="193"/>
      <c r="AG1127" s="193"/>
      <c r="AH1127" s="193"/>
      <c r="AI1127" s="193"/>
      <c r="AJ1127" s="193"/>
      <c r="AK1127" s="193"/>
      <c r="AL1127" s="193"/>
    </row>
    <row r="1128" spans="7:38">
      <c r="G1128" s="193"/>
      <c r="H1128" s="193"/>
      <c r="I1128" s="193"/>
      <c r="J1128" s="193"/>
      <c r="K1128" s="193"/>
      <c r="L1128" s="193"/>
      <c r="M1128" s="193"/>
      <c r="N1128" s="193"/>
      <c r="O1128" s="193"/>
      <c r="P1128" s="193"/>
      <c r="Q1128" s="193"/>
      <c r="R1128" s="193"/>
      <c r="S1128" s="193"/>
      <c r="T1128" s="193"/>
      <c r="U1128" s="193"/>
      <c r="V1128" s="193"/>
      <c r="W1128" s="193"/>
      <c r="X1128" s="193"/>
      <c r="Y1128" s="193"/>
      <c r="Z1128" s="193"/>
      <c r="AA1128" s="193"/>
      <c r="AB1128" s="193"/>
      <c r="AC1128" s="193"/>
      <c r="AD1128" s="193"/>
      <c r="AE1128" s="193"/>
      <c r="AF1128" s="193"/>
      <c r="AG1128" s="193"/>
      <c r="AH1128" s="193"/>
      <c r="AI1128" s="193"/>
      <c r="AJ1128" s="193"/>
      <c r="AK1128" s="193"/>
      <c r="AL1128" s="193"/>
    </row>
    <row r="1129" spans="7:38">
      <c r="G1129" s="193"/>
      <c r="H1129" s="193"/>
      <c r="I1129" s="193"/>
      <c r="J1129" s="193"/>
      <c r="K1129" s="193"/>
      <c r="L1129" s="193"/>
      <c r="M1129" s="193"/>
      <c r="N1129" s="193"/>
      <c r="O1129" s="193"/>
      <c r="P1129" s="193"/>
      <c r="Q1129" s="193"/>
      <c r="R1129" s="193"/>
      <c r="S1129" s="193"/>
      <c r="T1129" s="193"/>
      <c r="U1129" s="193"/>
      <c r="V1129" s="193"/>
      <c r="W1129" s="193"/>
      <c r="X1129" s="193"/>
      <c r="Y1129" s="193"/>
      <c r="Z1129" s="193"/>
      <c r="AA1129" s="193"/>
      <c r="AB1129" s="193"/>
      <c r="AC1129" s="193"/>
      <c r="AD1129" s="193"/>
      <c r="AE1129" s="193"/>
      <c r="AF1129" s="193"/>
      <c r="AG1129" s="193"/>
      <c r="AH1129" s="193"/>
      <c r="AI1129" s="193"/>
      <c r="AJ1129" s="193"/>
      <c r="AK1129" s="193"/>
      <c r="AL1129" s="193"/>
    </row>
    <row r="1130" spans="7:38">
      <c r="G1130" s="193"/>
      <c r="H1130" s="193"/>
      <c r="I1130" s="193"/>
      <c r="J1130" s="193"/>
      <c r="K1130" s="193"/>
      <c r="L1130" s="193"/>
      <c r="M1130" s="193"/>
      <c r="N1130" s="193"/>
      <c r="O1130" s="193"/>
      <c r="P1130" s="193"/>
      <c r="Q1130" s="193"/>
      <c r="R1130" s="193"/>
      <c r="S1130" s="193"/>
      <c r="T1130" s="193"/>
      <c r="U1130" s="193"/>
      <c r="V1130" s="193"/>
      <c r="W1130" s="193"/>
      <c r="X1130" s="193"/>
      <c r="Y1130" s="193"/>
      <c r="Z1130" s="193"/>
      <c r="AA1130" s="193"/>
      <c r="AB1130" s="193"/>
      <c r="AC1130" s="193"/>
      <c r="AD1130" s="193"/>
      <c r="AE1130" s="193"/>
      <c r="AF1130" s="193"/>
      <c r="AG1130" s="193"/>
      <c r="AH1130" s="193"/>
      <c r="AI1130" s="193"/>
      <c r="AJ1130" s="193"/>
      <c r="AK1130" s="193"/>
      <c r="AL1130" s="193"/>
    </row>
    <row r="1131" spans="7:38">
      <c r="G1131" s="193"/>
      <c r="H1131" s="193"/>
      <c r="I1131" s="193"/>
      <c r="J1131" s="193"/>
      <c r="K1131" s="193"/>
      <c r="L1131" s="193"/>
      <c r="M1131" s="193"/>
      <c r="N1131" s="193"/>
      <c r="O1131" s="193"/>
      <c r="P1131" s="193"/>
      <c r="Q1131" s="193"/>
      <c r="R1131" s="193"/>
      <c r="S1131" s="193"/>
      <c r="T1131" s="193"/>
      <c r="U1131" s="193"/>
      <c r="V1131" s="193"/>
      <c r="W1131" s="193"/>
      <c r="X1131" s="193"/>
      <c r="Y1131" s="193"/>
      <c r="Z1131" s="193"/>
      <c r="AA1131" s="193"/>
      <c r="AB1131" s="193"/>
      <c r="AC1131" s="193"/>
      <c r="AD1131" s="193"/>
      <c r="AE1131" s="193"/>
      <c r="AF1131" s="193"/>
      <c r="AG1131" s="193"/>
      <c r="AH1131" s="193"/>
      <c r="AI1131" s="193"/>
      <c r="AJ1131" s="193"/>
      <c r="AK1131" s="193"/>
      <c r="AL1131" s="193"/>
    </row>
    <row r="1132" spans="7:38">
      <c r="G1132" s="193"/>
      <c r="H1132" s="193"/>
      <c r="I1132" s="193"/>
      <c r="J1132" s="193"/>
      <c r="K1132" s="193"/>
      <c r="L1132" s="193"/>
      <c r="M1132" s="193"/>
      <c r="N1132" s="193"/>
      <c r="O1132" s="193"/>
      <c r="P1132" s="193"/>
      <c r="Q1132" s="193"/>
      <c r="R1132" s="193"/>
      <c r="S1132" s="193"/>
      <c r="T1132" s="193"/>
      <c r="U1132" s="193"/>
      <c r="V1132" s="193"/>
      <c r="W1132" s="193"/>
      <c r="X1132" s="193"/>
      <c r="Y1132" s="193"/>
      <c r="Z1132" s="193"/>
      <c r="AA1132" s="193"/>
      <c r="AB1132" s="193"/>
      <c r="AC1132" s="193"/>
      <c r="AD1132" s="193"/>
      <c r="AE1132" s="193"/>
      <c r="AF1132" s="193"/>
      <c r="AG1132" s="193"/>
      <c r="AH1132" s="193"/>
      <c r="AI1132" s="193"/>
      <c r="AJ1132" s="193"/>
      <c r="AK1132" s="193"/>
      <c r="AL1132" s="193"/>
    </row>
    <row r="1133" spans="7:38">
      <c r="G1133" s="193"/>
      <c r="H1133" s="193"/>
      <c r="I1133" s="193"/>
      <c r="J1133" s="193"/>
      <c r="K1133" s="193"/>
      <c r="L1133" s="193"/>
      <c r="M1133" s="193"/>
      <c r="N1133" s="193"/>
      <c r="O1133" s="193"/>
      <c r="P1133" s="193"/>
      <c r="Q1133" s="193"/>
      <c r="R1133" s="193"/>
      <c r="S1133" s="193"/>
      <c r="T1133" s="193"/>
      <c r="U1133" s="193"/>
      <c r="V1133" s="193"/>
      <c r="W1133" s="193"/>
      <c r="X1133" s="193"/>
      <c r="Y1133" s="193"/>
      <c r="Z1133" s="193"/>
      <c r="AA1133" s="193"/>
      <c r="AB1133" s="193"/>
      <c r="AC1133" s="193"/>
      <c r="AD1133" s="193"/>
      <c r="AE1133" s="193"/>
      <c r="AF1133" s="193"/>
      <c r="AG1133" s="193"/>
      <c r="AH1133" s="193"/>
      <c r="AI1133" s="193"/>
      <c r="AJ1133" s="193"/>
      <c r="AK1133" s="193"/>
      <c r="AL1133" s="193"/>
    </row>
    <row r="1134" spans="7:38">
      <c r="G1134" s="193"/>
      <c r="H1134" s="193"/>
      <c r="I1134" s="193"/>
      <c r="J1134" s="193"/>
      <c r="K1134" s="193"/>
      <c r="L1134" s="193"/>
      <c r="M1134" s="193"/>
      <c r="N1134" s="193"/>
      <c r="O1134" s="193"/>
      <c r="P1134" s="193"/>
      <c r="Q1134" s="193"/>
      <c r="R1134" s="193"/>
      <c r="S1134" s="193"/>
      <c r="T1134" s="193"/>
      <c r="U1134" s="193"/>
      <c r="V1134" s="193"/>
      <c r="W1134" s="193"/>
      <c r="X1134" s="193"/>
      <c r="Y1134" s="193"/>
      <c r="Z1134" s="193"/>
      <c r="AA1134" s="193"/>
      <c r="AB1134" s="193"/>
      <c r="AC1134" s="193"/>
      <c r="AD1134" s="193"/>
      <c r="AE1134" s="193"/>
      <c r="AF1134" s="193"/>
      <c r="AG1134" s="193"/>
      <c r="AH1134" s="193"/>
      <c r="AI1134" s="193"/>
      <c r="AJ1134" s="193"/>
      <c r="AK1134" s="193"/>
      <c r="AL1134" s="193"/>
    </row>
    <row r="1135" spans="7:38">
      <c r="G1135" s="193"/>
      <c r="H1135" s="193"/>
      <c r="I1135" s="193"/>
      <c r="J1135" s="193"/>
      <c r="K1135" s="193"/>
      <c r="L1135" s="193"/>
      <c r="M1135" s="193"/>
      <c r="N1135" s="193"/>
      <c r="O1135" s="193"/>
      <c r="P1135" s="193"/>
      <c r="Q1135" s="193"/>
      <c r="R1135" s="193"/>
      <c r="S1135" s="193"/>
      <c r="T1135" s="193"/>
      <c r="U1135" s="193"/>
      <c r="V1135" s="193"/>
      <c r="W1135" s="193"/>
      <c r="X1135" s="193"/>
      <c r="Y1135" s="193"/>
      <c r="Z1135" s="193"/>
      <c r="AA1135" s="193"/>
      <c r="AB1135" s="193"/>
      <c r="AC1135" s="193"/>
      <c r="AD1135" s="193"/>
      <c r="AE1135" s="193"/>
      <c r="AF1135" s="193"/>
      <c r="AG1135" s="193"/>
      <c r="AH1135" s="193"/>
      <c r="AI1135" s="193"/>
      <c r="AJ1135" s="193"/>
      <c r="AK1135" s="193"/>
      <c r="AL1135" s="193"/>
    </row>
    <row r="1136" spans="7:38">
      <c r="G1136" s="193"/>
      <c r="H1136" s="193"/>
      <c r="I1136" s="193"/>
      <c r="J1136" s="193"/>
      <c r="K1136" s="193"/>
      <c r="L1136" s="193"/>
      <c r="M1136" s="193"/>
      <c r="N1136" s="193"/>
      <c r="O1136" s="193"/>
      <c r="P1136" s="193"/>
      <c r="Q1136" s="193"/>
      <c r="R1136" s="193"/>
      <c r="S1136" s="193"/>
      <c r="T1136" s="193"/>
      <c r="U1136" s="193"/>
      <c r="V1136" s="193"/>
      <c r="W1136" s="193"/>
      <c r="X1136" s="193"/>
      <c r="Y1136" s="193"/>
      <c r="Z1136" s="193"/>
      <c r="AA1136" s="193"/>
      <c r="AB1136" s="193"/>
      <c r="AC1136" s="193"/>
      <c r="AD1136" s="193"/>
      <c r="AE1136" s="193"/>
      <c r="AF1136" s="193"/>
      <c r="AG1136" s="193"/>
      <c r="AH1136" s="193"/>
      <c r="AI1136" s="193"/>
      <c r="AJ1136" s="193"/>
      <c r="AK1136" s="193"/>
      <c r="AL1136" s="193"/>
    </row>
    <row r="1137" spans="7:38">
      <c r="G1137" s="193"/>
      <c r="H1137" s="193"/>
      <c r="I1137" s="193"/>
      <c r="J1137" s="193"/>
      <c r="K1137" s="193"/>
      <c r="L1137" s="193"/>
      <c r="M1137" s="193"/>
      <c r="N1137" s="193"/>
      <c r="O1137" s="193"/>
      <c r="P1137" s="193"/>
      <c r="Q1137" s="193"/>
      <c r="R1137" s="193"/>
      <c r="S1137" s="193"/>
      <c r="T1137" s="193"/>
      <c r="U1137" s="193"/>
      <c r="V1137" s="193"/>
      <c r="W1137" s="193"/>
      <c r="X1137" s="193"/>
      <c r="Y1137" s="193"/>
      <c r="Z1137" s="193"/>
      <c r="AA1137" s="193"/>
      <c r="AB1137" s="193"/>
      <c r="AC1137" s="193"/>
      <c r="AD1137" s="193"/>
      <c r="AE1137" s="193"/>
      <c r="AF1137" s="193"/>
      <c r="AG1137" s="193"/>
      <c r="AH1137" s="193"/>
      <c r="AI1137" s="193"/>
      <c r="AJ1137" s="193"/>
      <c r="AK1137" s="193"/>
      <c r="AL1137" s="193"/>
    </row>
    <row r="1138" spans="7:38">
      <c r="G1138" s="193"/>
      <c r="H1138" s="193"/>
      <c r="I1138" s="193"/>
      <c r="J1138" s="193"/>
      <c r="K1138" s="193"/>
      <c r="L1138" s="193"/>
      <c r="M1138" s="193"/>
      <c r="N1138" s="193"/>
      <c r="O1138" s="193"/>
      <c r="P1138" s="193"/>
      <c r="Q1138" s="193"/>
      <c r="R1138" s="193"/>
      <c r="S1138" s="193"/>
      <c r="T1138" s="193"/>
      <c r="U1138" s="193"/>
      <c r="V1138" s="193"/>
      <c r="W1138" s="193"/>
      <c r="X1138" s="193"/>
      <c r="Y1138" s="193"/>
      <c r="Z1138" s="193"/>
      <c r="AA1138" s="193"/>
      <c r="AB1138" s="193"/>
      <c r="AC1138" s="193"/>
      <c r="AD1138" s="193"/>
      <c r="AE1138" s="193"/>
      <c r="AF1138" s="193"/>
      <c r="AG1138" s="193"/>
      <c r="AH1138" s="193"/>
      <c r="AI1138" s="193"/>
      <c r="AJ1138" s="193"/>
      <c r="AK1138" s="193"/>
      <c r="AL1138" s="193"/>
    </row>
    <row r="1139" spans="7:38">
      <c r="G1139" s="193"/>
      <c r="H1139" s="193"/>
      <c r="I1139" s="193"/>
      <c r="J1139" s="193"/>
      <c r="K1139" s="193"/>
      <c r="L1139" s="193"/>
      <c r="M1139" s="193"/>
      <c r="N1139" s="193"/>
      <c r="O1139" s="193"/>
      <c r="P1139" s="193"/>
      <c r="Q1139" s="193"/>
      <c r="R1139" s="193"/>
      <c r="S1139" s="193"/>
      <c r="T1139" s="193"/>
      <c r="U1139" s="193"/>
      <c r="V1139" s="193"/>
      <c r="W1139" s="193"/>
      <c r="X1139" s="193"/>
      <c r="Y1139" s="193"/>
      <c r="Z1139" s="193"/>
      <c r="AA1139" s="193"/>
      <c r="AB1139" s="193"/>
      <c r="AC1139" s="193"/>
      <c r="AD1139" s="193"/>
      <c r="AE1139" s="193"/>
      <c r="AF1139" s="193"/>
      <c r="AG1139" s="193"/>
      <c r="AH1139" s="193"/>
      <c r="AI1139" s="193"/>
      <c r="AJ1139" s="193"/>
      <c r="AK1139" s="193"/>
      <c r="AL1139" s="193"/>
    </row>
    <row r="1140" spans="7:38">
      <c r="G1140" s="193"/>
      <c r="H1140" s="193"/>
      <c r="I1140" s="193"/>
      <c r="J1140" s="193"/>
      <c r="K1140" s="193"/>
      <c r="L1140" s="193"/>
      <c r="M1140" s="193"/>
      <c r="N1140" s="193"/>
      <c r="O1140" s="193"/>
      <c r="P1140" s="193"/>
      <c r="Q1140" s="193"/>
      <c r="R1140" s="193"/>
      <c r="S1140" s="193"/>
      <c r="T1140" s="193"/>
      <c r="U1140" s="193"/>
      <c r="V1140" s="193"/>
      <c r="W1140" s="193"/>
      <c r="X1140" s="193"/>
      <c r="Y1140" s="193"/>
      <c r="Z1140" s="193"/>
      <c r="AA1140" s="193"/>
      <c r="AB1140" s="193"/>
      <c r="AC1140" s="193"/>
      <c r="AD1140" s="193"/>
      <c r="AE1140" s="193"/>
      <c r="AF1140" s="193"/>
      <c r="AG1140" s="193"/>
      <c r="AH1140" s="193"/>
      <c r="AI1140" s="193"/>
      <c r="AJ1140" s="193"/>
      <c r="AK1140" s="193"/>
      <c r="AL1140" s="193"/>
    </row>
    <row r="1141" spans="7:38">
      <c r="G1141" s="193"/>
      <c r="H1141" s="193"/>
      <c r="I1141" s="193"/>
      <c r="J1141" s="193"/>
      <c r="K1141" s="193"/>
      <c r="L1141" s="193"/>
      <c r="M1141" s="193"/>
      <c r="N1141" s="193"/>
      <c r="O1141" s="193"/>
      <c r="P1141" s="193"/>
      <c r="Q1141" s="193"/>
      <c r="R1141" s="193"/>
      <c r="S1141" s="193"/>
      <c r="T1141" s="193"/>
      <c r="U1141" s="193"/>
      <c r="V1141" s="193"/>
      <c r="W1141" s="193"/>
      <c r="X1141" s="193"/>
      <c r="Y1141" s="193"/>
      <c r="Z1141" s="193"/>
      <c r="AA1141" s="193"/>
      <c r="AB1141" s="193"/>
      <c r="AC1141" s="193"/>
      <c r="AD1141" s="193"/>
      <c r="AE1141" s="193"/>
      <c r="AF1141" s="193"/>
      <c r="AG1141" s="193"/>
      <c r="AH1141" s="193"/>
      <c r="AI1141" s="193"/>
      <c r="AJ1141" s="193"/>
      <c r="AK1141" s="193"/>
      <c r="AL1141" s="193"/>
    </row>
    <row r="1142" spans="7:38">
      <c r="G1142" s="193"/>
      <c r="H1142" s="193"/>
      <c r="I1142" s="193"/>
      <c r="J1142" s="193"/>
      <c r="K1142" s="193"/>
      <c r="L1142" s="193"/>
      <c r="M1142" s="193"/>
      <c r="N1142" s="193"/>
      <c r="O1142" s="193"/>
      <c r="P1142" s="193"/>
      <c r="Q1142" s="193"/>
      <c r="R1142" s="193"/>
      <c r="S1142" s="193"/>
      <c r="T1142" s="193"/>
      <c r="U1142" s="193"/>
      <c r="V1142" s="193"/>
      <c r="W1142" s="193"/>
      <c r="X1142" s="193"/>
      <c r="Y1142" s="193"/>
      <c r="Z1142" s="193"/>
      <c r="AA1142" s="193"/>
      <c r="AB1142" s="193"/>
      <c r="AC1142" s="193"/>
      <c r="AD1142" s="193"/>
      <c r="AE1142" s="193"/>
      <c r="AF1142" s="193"/>
      <c r="AG1142" s="193"/>
      <c r="AH1142" s="193"/>
      <c r="AI1142" s="193"/>
      <c r="AJ1142" s="193"/>
      <c r="AK1142" s="193"/>
      <c r="AL1142" s="193"/>
    </row>
    <row r="1143" spans="7:38">
      <c r="G1143" s="193"/>
      <c r="H1143" s="193"/>
      <c r="I1143" s="193"/>
      <c r="J1143" s="193"/>
      <c r="K1143" s="193"/>
      <c r="L1143" s="193"/>
      <c r="M1143" s="193"/>
      <c r="N1143" s="193"/>
      <c r="O1143" s="193"/>
      <c r="P1143" s="193"/>
      <c r="Q1143" s="193"/>
      <c r="R1143" s="193"/>
      <c r="S1143" s="193"/>
      <c r="T1143" s="193"/>
      <c r="U1143" s="193"/>
      <c r="V1143" s="193"/>
      <c r="W1143" s="193"/>
      <c r="X1143" s="193"/>
      <c r="Y1143" s="193"/>
      <c r="Z1143" s="193"/>
      <c r="AA1143" s="193"/>
      <c r="AB1143" s="193"/>
      <c r="AC1143" s="193"/>
      <c r="AD1143" s="193"/>
      <c r="AE1143" s="193"/>
      <c r="AF1143" s="193"/>
      <c r="AG1143" s="193"/>
      <c r="AH1143" s="193"/>
      <c r="AI1143" s="193"/>
      <c r="AJ1143" s="193"/>
      <c r="AK1143" s="193"/>
      <c r="AL1143" s="193"/>
    </row>
    <row r="1144" spans="7:38">
      <c r="G1144" s="193"/>
      <c r="H1144" s="193"/>
      <c r="I1144" s="193"/>
      <c r="J1144" s="193"/>
      <c r="K1144" s="193"/>
      <c r="L1144" s="193"/>
      <c r="M1144" s="193"/>
      <c r="N1144" s="193"/>
      <c r="O1144" s="193"/>
      <c r="P1144" s="193"/>
      <c r="Q1144" s="193"/>
      <c r="R1144" s="193"/>
      <c r="S1144" s="193"/>
      <c r="T1144" s="193"/>
      <c r="U1144" s="193"/>
      <c r="V1144" s="193"/>
      <c r="W1144" s="193"/>
      <c r="X1144" s="193"/>
      <c r="Y1144" s="193"/>
      <c r="Z1144" s="193"/>
      <c r="AA1144" s="193"/>
      <c r="AB1144" s="193"/>
      <c r="AC1144" s="193"/>
      <c r="AD1144" s="193"/>
      <c r="AE1144" s="193"/>
      <c r="AF1144" s="193"/>
      <c r="AG1144" s="193"/>
      <c r="AH1144" s="193"/>
      <c r="AI1144" s="193"/>
      <c r="AJ1144" s="193"/>
      <c r="AK1144" s="193"/>
      <c r="AL1144" s="193"/>
    </row>
    <row r="1145" spans="7:38">
      <c r="G1145" s="193"/>
      <c r="H1145" s="193"/>
      <c r="I1145" s="193"/>
      <c r="J1145" s="193"/>
      <c r="K1145" s="193"/>
      <c r="L1145" s="193"/>
      <c r="M1145" s="193"/>
      <c r="N1145" s="193"/>
      <c r="O1145" s="193"/>
      <c r="P1145" s="193"/>
      <c r="Q1145" s="193"/>
      <c r="R1145" s="193"/>
      <c r="S1145" s="193"/>
      <c r="T1145" s="193"/>
      <c r="U1145" s="193"/>
      <c r="V1145" s="193"/>
      <c r="W1145" s="193"/>
      <c r="X1145" s="193"/>
      <c r="Y1145" s="193"/>
      <c r="Z1145" s="193"/>
      <c r="AA1145" s="193"/>
      <c r="AB1145" s="193"/>
      <c r="AC1145" s="193"/>
      <c r="AD1145" s="193"/>
      <c r="AE1145" s="193"/>
      <c r="AF1145" s="193"/>
      <c r="AG1145" s="193"/>
      <c r="AH1145" s="193"/>
      <c r="AI1145" s="193"/>
      <c r="AJ1145" s="193"/>
      <c r="AK1145" s="193"/>
      <c r="AL1145" s="193"/>
    </row>
    <row r="1146" spans="7:38">
      <c r="G1146" s="193"/>
      <c r="H1146" s="193"/>
      <c r="I1146" s="193"/>
      <c r="J1146" s="193"/>
      <c r="K1146" s="193"/>
      <c r="L1146" s="193"/>
      <c r="M1146" s="193"/>
      <c r="N1146" s="193"/>
      <c r="O1146" s="193"/>
      <c r="P1146" s="193"/>
      <c r="Q1146" s="193"/>
      <c r="R1146" s="193"/>
      <c r="S1146" s="193"/>
      <c r="T1146" s="193"/>
      <c r="U1146" s="193"/>
      <c r="V1146" s="193"/>
      <c r="W1146" s="193"/>
      <c r="X1146" s="193"/>
      <c r="Y1146" s="193"/>
      <c r="Z1146" s="193"/>
      <c r="AA1146" s="193"/>
      <c r="AB1146" s="193"/>
      <c r="AC1146" s="193"/>
      <c r="AD1146" s="193"/>
      <c r="AE1146" s="193"/>
      <c r="AF1146" s="193"/>
      <c r="AG1146" s="193"/>
      <c r="AH1146" s="193"/>
      <c r="AI1146" s="193"/>
      <c r="AJ1146" s="193"/>
      <c r="AK1146" s="193"/>
      <c r="AL1146" s="193"/>
    </row>
    <row r="1147" spans="7:38">
      <c r="G1147" s="193"/>
      <c r="H1147" s="193"/>
      <c r="I1147" s="193"/>
      <c r="J1147" s="193"/>
      <c r="K1147" s="193"/>
      <c r="L1147" s="193"/>
      <c r="M1147" s="193"/>
      <c r="N1147" s="193"/>
      <c r="O1147" s="193"/>
      <c r="P1147" s="193"/>
      <c r="Q1147" s="193"/>
      <c r="R1147" s="193"/>
      <c r="S1147" s="193"/>
      <c r="T1147" s="193"/>
      <c r="U1147" s="193"/>
      <c r="V1147" s="193"/>
      <c r="W1147" s="193"/>
      <c r="X1147" s="193"/>
      <c r="Y1147" s="193"/>
      <c r="Z1147" s="193"/>
      <c r="AA1147" s="193"/>
      <c r="AB1147" s="193"/>
      <c r="AC1147" s="193"/>
      <c r="AD1147" s="193"/>
      <c r="AE1147" s="193"/>
      <c r="AF1147" s="193"/>
      <c r="AG1147" s="193"/>
      <c r="AH1147" s="193"/>
      <c r="AI1147" s="193"/>
      <c r="AJ1147" s="193"/>
      <c r="AK1147" s="193"/>
      <c r="AL1147" s="193"/>
    </row>
    <row r="1148" spans="7:38">
      <c r="G1148" s="193"/>
      <c r="H1148" s="193"/>
      <c r="I1148" s="193"/>
      <c r="J1148" s="193"/>
      <c r="K1148" s="193"/>
      <c r="L1148" s="193"/>
      <c r="M1148" s="193"/>
      <c r="N1148" s="193"/>
      <c r="O1148" s="193"/>
      <c r="P1148" s="193"/>
      <c r="Q1148" s="193"/>
      <c r="R1148" s="193"/>
      <c r="S1148" s="193"/>
      <c r="T1148" s="193"/>
      <c r="U1148" s="193"/>
      <c r="V1148" s="193"/>
      <c r="W1148" s="193"/>
      <c r="X1148" s="193"/>
      <c r="Y1148" s="193"/>
      <c r="Z1148" s="193"/>
      <c r="AA1148" s="193"/>
      <c r="AB1148" s="193"/>
      <c r="AC1148" s="193"/>
      <c r="AD1148" s="193"/>
      <c r="AE1148" s="193"/>
      <c r="AF1148" s="193"/>
      <c r="AG1148" s="193"/>
      <c r="AH1148" s="193"/>
      <c r="AI1148" s="193"/>
      <c r="AJ1148" s="193"/>
      <c r="AK1148" s="193"/>
      <c r="AL1148" s="193"/>
    </row>
    <row r="1149" spans="7:38">
      <c r="G1149" s="193"/>
      <c r="H1149" s="193"/>
      <c r="I1149" s="193"/>
      <c r="J1149" s="193"/>
      <c r="K1149" s="193"/>
      <c r="L1149" s="193"/>
      <c r="M1149" s="193"/>
      <c r="N1149" s="193"/>
      <c r="O1149" s="193"/>
      <c r="P1149" s="193"/>
      <c r="Q1149" s="193"/>
      <c r="R1149" s="193"/>
      <c r="S1149" s="193"/>
      <c r="T1149" s="193"/>
      <c r="U1149" s="193"/>
      <c r="V1149" s="193"/>
      <c r="W1149" s="193"/>
      <c r="X1149" s="193"/>
      <c r="Y1149" s="193"/>
      <c r="Z1149" s="193"/>
      <c r="AA1149" s="193"/>
      <c r="AB1149" s="193"/>
      <c r="AC1149" s="193"/>
      <c r="AD1149" s="193"/>
      <c r="AE1149" s="193"/>
      <c r="AF1149" s="193"/>
      <c r="AG1149" s="193"/>
      <c r="AH1149" s="193"/>
      <c r="AI1149" s="193"/>
      <c r="AJ1149" s="193"/>
      <c r="AK1149" s="193"/>
      <c r="AL1149" s="193"/>
    </row>
    <row r="1150" spans="7:38">
      <c r="G1150" s="193"/>
      <c r="H1150" s="193"/>
      <c r="I1150" s="193"/>
      <c r="J1150" s="193"/>
      <c r="K1150" s="193"/>
      <c r="L1150" s="193"/>
      <c r="M1150" s="193"/>
      <c r="N1150" s="193"/>
      <c r="O1150" s="193"/>
      <c r="P1150" s="193"/>
      <c r="Q1150" s="193"/>
      <c r="R1150" s="193"/>
      <c r="S1150" s="193"/>
      <c r="T1150" s="193"/>
      <c r="U1150" s="193"/>
      <c r="V1150" s="193"/>
      <c r="W1150" s="193"/>
      <c r="X1150" s="193"/>
      <c r="Y1150" s="193"/>
      <c r="Z1150" s="193"/>
      <c r="AA1150" s="193"/>
      <c r="AB1150" s="193"/>
      <c r="AC1150" s="193"/>
      <c r="AD1150" s="193"/>
      <c r="AE1150" s="193"/>
      <c r="AF1150" s="193"/>
      <c r="AG1150" s="193"/>
      <c r="AH1150" s="193"/>
      <c r="AI1150" s="193"/>
      <c r="AJ1150" s="193"/>
      <c r="AK1150" s="193"/>
      <c r="AL1150" s="193"/>
    </row>
    <row r="1151" spans="7:38">
      <c r="G1151" s="193"/>
      <c r="H1151" s="193"/>
      <c r="I1151" s="193"/>
      <c r="J1151" s="193"/>
      <c r="K1151" s="193"/>
      <c r="L1151" s="193"/>
      <c r="M1151" s="193"/>
      <c r="N1151" s="193"/>
      <c r="O1151" s="193"/>
      <c r="P1151" s="193"/>
      <c r="Q1151" s="193"/>
      <c r="R1151" s="193"/>
      <c r="S1151" s="193"/>
      <c r="T1151" s="193"/>
      <c r="U1151" s="193"/>
      <c r="V1151" s="193"/>
      <c r="W1151" s="193"/>
      <c r="X1151" s="193"/>
      <c r="Y1151" s="193"/>
      <c r="Z1151" s="193"/>
      <c r="AA1151" s="193"/>
      <c r="AB1151" s="193"/>
      <c r="AC1151" s="193"/>
      <c r="AD1151" s="193"/>
      <c r="AE1151" s="193"/>
      <c r="AF1151" s="193"/>
      <c r="AG1151" s="193"/>
      <c r="AH1151" s="193"/>
      <c r="AI1151" s="193"/>
      <c r="AJ1151" s="193"/>
      <c r="AK1151" s="193"/>
      <c r="AL1151" s="193"/>
    </row>
    <row r="1152" spans="7:38">
      <c r="G1152" s="193"/>
      <c r="H1152" s="193"/>
      <c r="I1152" s="193"/>
      <c r="J1152" s="193"/>
      <c r="K1152" s="193"/>
      <c r="L1152" s="193"/>
      <c r="M1152" s="193"/>
      <c r="N1152" s="193"/>
      <c r="O1152" s="193"/>
      <c r="P1152" s="193"/>
      <c r="Q1152" s="193"/>
      <c r="R1152" s="193"/>
      <c r="S1152" s="193"/>
      <c r="T1152" s="193"/>
      <c r="U1152" s="193"/>
      <c r="V1152" s="193"/>
      <c r="W1152" s="193"/>
      <c r="X1152" s="193"/>
      <c r="Y1152" s="193"/>
      <c r="Z1152" s="193"/>
      <c r="AA1152" s="193"/>
      <c r="AB1152" s="193"/>
      <c r="AC1152" s="193"/>
      <c r="AD1152" s="193"/>
      <c r="AE1152" s="193"/>
      <c r="AF1152" s="193"/>
      <c r="AG1152" s="193"/>
      <c r="AH1152" s="193"/>
      <c r="AI1152" s="193"/>
      <c r="AJ1152" s="193"/>
      <c r="AK1152" s="193"/>
      <c r="AL1152" s="193"/>
    </row>
    <row r="1153" spans="7:38">
      <c r="G1153" s="193"/>
      <c r="H1153" s="193"/>
      <c r="I1153" s="193"/>
      <c r="J1153" s="193"/>
      <c r="K1153" s="193"/>
      <c r="L1153" s="193"/>
      <c r="M1153" s="193"/>
      <c r="N1153" s="193"/>
      <c r="O1153" s="193"/>
      <c r="P1153" s="193"/>
      <c r="Q1153" s="193"/>
      <c r="R1153" s="193"/>
      <c r="S1153" s="193"/>
      <c r="T1153" s="193"/>
      <c r="U1153" s="193"/>
      <c r="V1153" s="193"/>
      <c r="W1153" s="193"/>
      <c r="X1153" s="193"/>
      <c r="Y1153" s="193"/>
      <c r="Z1153" s="193"/>
      <c r="AA1153" s="193"/>
      <c r="AB1153" s="193"/>
      <c r="AC1153" s="193"/>
      <c r="AD1153" s="193"/>
      <c r="AE1153" s="193"/>
      <c r="AF1153" s="193"/>
      <c r="AG1153" s="193"/>
      <c r="AH1153" s="193"/>
      <c r="AI1153" s="193"/>
      <c r="AJ1153" s="193"/>
      <c r="AK1153" s="193"/>
      <c r="AL1153" s="193"/>
    </row>
    <row r="1154" spans="7:38">
      <c r="G1154" s="193"/>
      <c r="H1154" s="193"/>
      <c r="I1154" s="193"/>
      <c r="J1154" s="193"/>
      <c r="K1154" s="193"/>
      <c r="L1154" s="193"/>
      <c r="M1154" s="193"/>
      <c r="N1154" s="193"/>
      <c r="O1154" s="193"/>
      <c r="P1154" s="193"/>
      <c r="Q1154" s="193"/>
      <c r="R1154" s="193"/>
      <c r="S1154" s="193"/>
      <c r="T1154" s="193"/>
      <c r="U1154" s="193"/>
      <c r="V1154" s="193"/>
      <c r="W1154" s="193"/>
      <c r="X1154" s="193"/>
      <c r="Y1154" s="193"/>
      <c r="Z1154" s="193"/>
      <c r="AA1154" s="193"/>
      <c r="AB1154" s="193"/>
      <c r="AC1154" s="193"/>
      <c r="AD1154" s="193"/>
      <c r="AE1154" s="193"/>
      <c r="AF1154" s="193"/>
      <c r="AG1154" s="193"/>
      <c r="AH1154" s="193"/>
      <c r="AI1154" s="193"/>
      <c r="AJ1154" s="193"/>
      <c r="AK1154" s="193"/>
      <c r="AL1154" s="193"/>
    </row>
    <row r="1155" spans="7:38">
      <c r="G1155" s="193"/>
      <c r="H1155" s="193"/>
      <c r="I1155" s="193"/>
      <c r="J1155" s="193"/>
      <c r="K1155" s="193"/>
      <c r="L1155" s="193"/>
      <c r="M1155" s="193"/>
      <c r="N1155" s="193"/>
      <c r="O1155" s="193"/>
      <c r="P1155" s="193"/>
      <c r="Q1155" s="193"/>
      <c r="R1155" s="193"/>
      <c r="S1155" s="193"/>
      <c r="T1155" s="193"/>
      <c r="U1155" s="193"/>
      <c r="V1155" s="193"/>
      <c r="W1155" s="193"/>
      <c r="X1155" s="193"/>
      <c r="Y1155" s="193"/>
      <c r="Z1155" s="193"/>
      <c r="AA1155" s="193"/>
      <c r="AB1155" s="193"/>
      <c r="AC1155" s="193"/>
      <c r="AD1155" s="193"/>
      <c r="AE1155" s="193"/>
      <c r="AF1155" s="193"/>
      <c r="AG1155" s="193"/>
      <c r="AH1155" s="193"/>
      <c r="AI1155" s="193"/>
      <c r="AJ1155" s="193"/>
      <c r="AK1155" s="193"/>
      <c r="AL1155" s="193"/>
    </row>
    <row r="1156" spans="7:38">
      <c r="G1156" s="193"/>
      <c r="H1156" s="193"/>
      <c r="I1156" s="193"/>
      <c r="J1156" s="193"/>
      <c r="K1156" s="193"/>
      <c r="L1156" s="193"/>
      <c r="M1156" s="193"/>
      <c r="N1156" s="193"/>
      <c r="O1156" s="193"/>
      <c r="P1156" s="193"/>
      <c r="Q1156" s="193"/>
      <c r="R1156" s="193"/>
      <c r="S1156" s="193"/>
      <c r="T1156" s="193"/>
      <c r="U1156" s="193"/>
      <c r="V1156" s="193"/>
      <c r="W1156" s="193"/>
      <c r="X1156" s="193"/>
      <c r="Y1156" s="193"/>
      <c r="Z1156" s="193"/>
      <c r="AA1156" s="193"/>
      <c r="AB1156" s="193"/>
      <c r="AC1156" s="193"/>
      <c r="AD1156" s="193"/>
      <c r="AE1156" s="193"/>
      <c r="AF1156" s="193"/>
      <c r="AG1156" s="193"/>
      <c r="AH1156" s="193"/>
      <c r="AI1156" s="193"/>
      <c r="AJ1156" s="193"/>
      <c r="AK1156" s="193"/>
      <c r="AL1156" s="193"/>
    </row>
    <row r="1157" spans="7:38">
      <c r="G1157" s="193"/>
      <c r="H1157" s="193"/>
      <c r="I1157" s="193"/>
      <c r="J1157" s="193"/>
      <c r="K1157" s="193"/>
      <c r="L1157" s="193"/>
      <c r="M1157" s="193"/>
      <c r="N1157" s="193"/>
      <c r="O1157" s="193"/>
      <c r="P1157" s="193"/>
      <c r="Q1157" s="193"/>
      <c r="R1157" s="193"/>
      <c r="S1157" s="193"/>
      <c r="T1157" s="193"/>
      <c r="U1157" s="193"/>
      <c r="V1157" s="193"/>
      <c r="W1157" s="193"/>
      <c r="X1157" s="193"/>
      <c r="Y1157" s="193"/>
      <c r="Z1157" s="193"/>
      <c r="AA1157" s="193"/>
      <c r="AB1157" s="193"/>
      <c r="AC1157" s="193"/>
      <c r="AD1157" s="193"/>
      <c r="AE1157" s="193"/>
      <c r="AF1157" s="193"/>
      <c r="AG1157" s="193"/>
      <c r="AH1157" s="193"/>
      <c r="AI1157" s="193"/>
      <c r="AJ1157" s="193"/>
      <c r="AK1157" s="193"/>
      <c r="AL1157" s="193"/>
    </row>
    <row r="1158" spans="7:38">
      <c r="G1158" s="193"/>
      <c r="H1158" s="193"/>
      <c r="I1158" s="193"/>
      <c r="J1158" s="193"/>
      <c r="K1158" s="193"/>
      <c r="L1158" s="193"/>
      <c r="M1158" s="193"/>
      <c r="N1158" s="193"/>
      <c r="O1158" s="193"/>
      <c r="P1158" s="193"/>
      <c r="Q1158" s="193"/>
      <c r="R1158" s="193"/>
      <c r="S1158" s="193"/>
      <c r="T1158" s="193"/>
      <c r="U1158" s="193"/>
      <c r="V1158" s="193"/>
      <c r="W1158" s="193"/>
      <c r="X1158" s="193"/>
      <c r="Y1158" s="193"/>
      <c r="Z1158" s="193"/>
      <c r="AA1158" s="193"/>
      <c r="AB1158" s="193"/>
      <c r="AC1158" s="193"/>
      <c r="AD1158" s="193"/>
      <c r="AE1158" s="193"/>
      <c r="AF1158" s="193"/>
      <c r="AG1158" s="193"/>
      <c r="AH1158" s="193"/>
      <c r="AI1158" s="193"/>
      <c r="AJ1158" s="193"/>
      <c r="AK1158" s="193"/>
      <c r="AL1158" s="193"/>
    </row>
    <row r="1159" spans="7:38">
      <c r="G1159" s="193"/>
      <c r="H1159" s="193"/>
      <c r="I1159" s="193"/>
      <c r="J1159" s="193"/>
      <c r="K1159" s="193"/>
      <c r="L1159" s="193"/>
      <c r="M1159" s="193"/>
      <c r="N1159" s="193"/>
      <c r="O1159" s="193"/>
      <c r="P1159" s="193"/>
      <c r="Q1159" s="193"/>
      <c r="R1159" s="193"/>
      <c r="S1159" s="193"/>
      <c r="T1159" s="193"/>
      <c r="U1159" s="193"/>
      <c r="V1159" s="193"/>
      <c r="W1159" s="193"/>
      <c r="X1159" s="193"/>
      <c r="Y1159" s="193"/>
      <c r="Z1159" s="193"/>
      <c r="AA1159" s="193"/>
      <c r="AB1159" s="193"/>
      <c r="AC1159" s="193"/>
      <c r="AD1159" s="193"/>
      <c r="AE1159" s="193"/>
      <c r="AF1159" s="193"/>
      <c r="AG1159" s="193"/>
      <c r="AH1159" s="193"/>
      <c r="AI1159" s="193"/>
      <c r="AJ1159" s="193"/>
      <c r="AK1159" s="193"/>
      <c r="AL1159" s="193"/>
    </row>
    <row r="1160" spans="7:38">
      <c r="G1160" s="193"/>
      <c r="H1160" s="193"/>
      <c r="I1160" s="193"/>
      <c r="J1160" s="193"/>
      <c r="K1160" s="193"/>
      <c r="L1160" s="193"/>
      <c r="M1160" s="193"/>
      <c r="N1160" s="193"/>
      <c r="O1160" s="193"/>
      <c r="P1160" s="193"/>
      <c r="Q1160" s="193"/>
      <c r="R1160" s="193"/>
      <c r="S1160" s="193"/>
      <c r="T1160" s="193"/>
      <c r="U1160" s="193"/>
      <c r="V1160" s="193"/>
      <c r="W1160" s="193"/>
      <c r="X1160" s="193"/>
      <c r="Y1160" s="193"/>
      <c r="Z1160" s="193"/>
      <c r="AA1160" s="193"/>
      <c r="AB1160" s="193"/>
      <c r="AC1160" s="193"/>
      <c r="AD1160" s="193"/>
      <c r="AE1160" s="193"/>
      <c r="AF1160" s="193"/>
      <c r="AG1160" s="193"/>
      <c r="AH1160" s="193"/>
      <c r="AI1160" s="193"/>
      <c r="AJ1160" s="193"/>
      <c r="AK1160" s="193"/>
      <c r="AL1160" s="193"/>
    </row>
    <row r="1161" spans="7:38">
      <c r="G1161" s="193"/>
      <c r="H1161" s="193"/>
      <c r="I1161" s="193"/>
      <c r="J1161" s="193"/>
      <c r="K1161" s="193"/>
      <c r="L1161" s="193"/>
      <c r="M1161" s="193"/>
      <c r="N1161" s="193"/>
      <c r="O1161" s="193"/>
      <c r="P1161" s="193"/>
      <c r="Q1161" s="193"/>
      <c r="R1161" s="193"/>
      <c r="S1161" s="193"/>
      <c r="T1161" s="193"/>
      <c r="U1161" s="193"/>
      <c r="V1161" s="193"/>
      <c r="W1161" s="193"/>
      <c r="X1161" s="193"/>
      <c r="Y1161" s="193"/>
      <c r="Z1161" s="193"/>
      <c r="AA1161" s="193"/>
      <c r="AB1161" s="193"/>
      <c r="AC1161" s="193"/>
      <c r="AD1161" s="193"/>
      <c r="AE1161" s="193"/>
      <c r="AF1161" s="193"/>
      <c r="AG1161" s="193"/>
      <c r="AH1161" s="193"/>
      <c r="AI1161" s="193"/>
      <c r="AJ1161" s="193"/>
      <c r="AK1161" s="193"/>
      <c r="AL1161" s="193"/>
    </row>
    <row r="1162" spans="7:38">
      <c r="G1162" s="193"/>
      <c r="H1162" s="193"/>
      <c r="I1162" s="193"/>
      <c r="J1162" s="193"/>
      <c r="K1162" s="193"/>
      <c r="L1162" s="193"/>
      <c r="M1162" s="193"/>
      <c r="N1162" s="193"/>
      <c r="O1162" s="193"/>
      <c r="P1162" s="193"/>
      <c r="Q1162" s="193"/>
      <c r="R1162" s="193"/>
      <c r="S1162" s="193"/>
      <c r="T1162" s="193"/>
      <c r="U1162" s="193"/>
      <c r="V1162" s="193"/>
      <c r="W1162" s="193"/>
      <c r="X1162" s="193"/>
      <c r="Y1162" s="193"/>
      <c r="Z1162" s="193"/>
      <c r="AA1162" s="193"/>
      <c r="AB1162" s="193"/>
      <c r="AC1162" s="193"/>
      <c r="AD1162" s="193"/>
      <c r="AE1162" s="193"/>
      <c r="AF1162" s="193"/>
      <c r="AG1162" s="193"/>
      <c r="AH1162" s="193"/>
      <c r="AI1162" s="193"/>
      <c r="AJ1162" s="193"/>
      <c r="AK1162" s="193"/>
      <c r="AL1162" s="193"/>
    </row>
    <row r="1163" spans="7:38">
      <c r="G1163" s="193"/>
      <c r="H1163" s="193"/>
      <c r="I1163" s="193"/>
      <c r="J1163" s="193"/>
      <c r="K1163" s="193"/>
      <c r="L1163" s="193"/>
      <c r="M1163" s="193"/>
      <c r="N1163" s="193"/>
      <c r="O1163" s="193"/>
      <c r="P1163" s="193"/>
      <c r="Q1163" s="193"/>
      <c r="R1163" s="193"/>
      <c r="S1163" s="193"/>
      <c r="T1163" s="193"/>
      <c r="U1163" s="193"/>
      <c r="V1163" s="193"/>
      <c r="W1163" s="193"/>
      <c r="X1163" s="193"/>
      <c r="Y1163" s="193"/>
      <c r="Z1163" s="193"/>
      <c r="AA1163" s="193"/>
      <c r="AB1163" s="193"/>
      <c r="AC1163" s="193"/>
      <c r="AD1163" s="193"/>
      <c r="AE1163" s="193"/>
      <c r="AF1163" s="193"/>
      <c r="AG1163" s="193"/>
      <c r="AH1163" s="193"/>
      <c r="AI1163" s="193"/>
      <c r="AJ1163" s="193"/>
      <c r="AK1163" s="193"/>
      <c r="AL1163" s="193"/>
    </row>
    <row r="1164" spans="7:38">
      <c r="G1164" s="193"/>
      <c r="H1164" s="193"/>
      <c r="I1164" s="193"/>
      <c r="J1164" s="193"/>
      <c r="K1164" s="193"/>
      <c r="L1164" s="193"/>
      <c r="M1164" s="193"/>
      <c r="N1164" s="193"/>
      <c r="O1164" s="193"/>
      <c r="P1164" s="193"/>
      <c r="Q1164" s="193"/>
      <c r="R1164" s="193"/>
      <c r="S1164" s="193"/>
      <c r="T1164" s="193"/>
      <c r="U1164" s="193"/>
      <c r="V1164" s="193"/>
      <c r="W1164" s="193"/>
      <c r="X1164" s="193"/>
      <c r="Y1164" s="193"/>
      <c r="Z1164" s="193"/>
      <c r="AA1164" s="193"/>
      <c r="AB1164" s="193"/>
      <c r="AC1164" s="193"/>
      <c r="AD1164" s="193"/>
      <c r="AE1164" s="193"/>
      <c r="AF1164" s="193"/>
      <c r="AG1164" s="193"/>
      <c r="AH1164" s="193"/>
      <c r="AI1164" s="193"/>
      <c r="AJ1164" s="193"/>
      <c r="AK1164" s="193"/>
      <c r="AL1164" s="193"/>
    </row>
    <row r="1165" spans="7:38">
      <c r="G1165" s="193"/>
      <c r="H1165" s="193"/>
      <c r="I1165" s="193"/>
      <c r="J1165" s="193"/>
      <c r="K1165" s="193"/>
      <c r="L1165" s="193"/>
      <c r="M1165" s="193"/>
      <c r="N1165" s="193"/>
      <c r="O1165" s="193"/>
      <c r="P1165" s="193"/>
      <c r="Q1165" s="193"/>
      <c r="R1165" s="193"/>
      <c r="S1165" s="193"/>
      <c r="T1165" s="193"/>
      <c r="U1165" s="193"/>
      <c r="V1165" s="193"/>
      <c r="W1165" s="193"/>
      <c r="X1165" s="193"/>
      <c r="Y1165" s="193"/>
      <c r="Z1165" s="193"/>
      <c r="AA1165" s="193"/>
      <c r="AB1165" s="193"/>
      <c r="AC1165" s="193"/>
      <c r="AD1165" s="193"/>
      <c r="AE1165" s="193"/>
      <c r="AF1165" s="193"/>
      <c r="AG1165" s="193"/>
      <c r="AH1165" s="193"/>
      <c r="AI1165" s="193"/>
      <c r="AJ1165" s="193"/>
      <c r="AK1165" s="193"/>
      <c r="AL1165" s="193"/>
    </row>
    <row r="1166" spans="7:38">
      <c r="G1166" s="193"/>
      <c r="H1166" s="193"/>
      <c r="I1166" s="193"/>
      <c r="J1166" s="193"/>
      <c r="K1166" s="193"/>
      <c r="L1166" s="193"/>
      <c r="M1166" s="193"/>
      <c r="N1166" s="193"/>
      <c r="O1166" s="193"/>
      <c r="P1166" s="193"/>
      <c r="Q1166" s="193"/>
      <c r="R1166" s="193"/>
      <c r="S1166" s="193"/>
      <c r="T1166" s="193"/>
      <c r="U1166" s="193"/>
      <c r="V1166" s="193"/>
      <c r="W1166" s="193"/>
      <c r="X1166" s="193"/>
      <c r="Y1166" s="193"/>
      <c r="Z1166" s="193"/>
      <c r="AA1166" s="193"/>
      <c r="AB1166" s="193"/>
      <c r="AC1166" s="193"/>
      <c r="AD1166" s="193"/>
      <c r="AE1166" s="193"/>
      <c r="AF1166" s="193"/>
      <c r="AG1166" s="193"/>
      <c r="AH1166" s="193"/>
      <c r="AI1166" s="193"/>
      <c r="AJ1166" s="193"/>
      <c r="AK1166" s="193"/>
      <c r="AL1166" s="193"/>
    </row>
    <row r="1167" spans="7:38">
      <c r="G1167" s="193"/>
      <c r="H1167" s="193"/>
      <c r="I1167" s="193"/>
      <c r="J1167" s="193"/>
      <c r="K1167" s="193"/>
      <c r="L1167" s="193"/>
      <c r="M1167" s="193"/>
      <c r="N1167" s="193"/>
      <c r="O1167" s="193"/>
      <c r="P1167" s="193"/>
      <c r="Q1167" s="193"/>
      <c r="R1167" s="193"/>
      <c r="S1167" s="193"/>
      <c r="T1167" s="193"/>
      <c r="U1167" s="193"/>
      <c r="V1167" s="193"/>
      <c r="W1167" s="193"/>
      <c r="X1167" s="193"/>
      <c r="Y1167" s="193"/>
      <c r="Z1167" s="193"/>
      <c r="AA1167" s="193"/>
      <c r="AB1167" s="193"/>
      <c r="AC1167" s="193"/>
      <c r="AD1167" s="193"/>
      <c r="AE1167" s="193"/>
      <c r="AF1167" s="193"/>
      <c r="AG1167" s="193"/>
      <c r="AH1167" s="193"/>
      <c r="AI1167" s="193"/>
      <c r="AJ1167" s="193"/>
      <c r="AK1167" s="193"/>
      <c r="AL1167" s="193"/>
    </row>
    <row r="1168" spans="7:38">
      <c r="G1168" s="193"/>
      <c r="H1168" s="193"/>
      <c r="I1168" s="193"/>
      <c r="J1168" s="193"/>
      <c r="K1168" s="193"/>
      <c r="L1168" s="193"/>
      <c r="M1168" s="193"/>
      <c r="N1168" s="193"/>
      <c r="O1168" s="193"/>
      <c r="P1168" s="193"/>
      <c r="Q1168" s="193"/>
      <c r="R1168" s="193"/>
      <c r="S1168" s="193"/>
      <c r="T1168" s="193"/>
      <c r="U1168" s="193"/>
      <c r="V1168" s="193"/>
      <c r="W1168" s="193"/>
      <c r="X1168" s="193"/>
      <c r="Y1168" s="193"/>
      <c r="Z1168" s="193"/>
      <c r="AA1168" s="193"/>
      <c r="AB1168" s="193"/>
      <c r="AC1168" s="193"/>
      <c r="AD1168" s="193"/>
      <c r="AE1168" s="193"/>
      <c r="AF1168" s="193"/>
      <c r="AG1168" s="193"/>
      <c r="AH1168" s="193"/>
      <c r="AI1168" s="193"/>
      <c r="AJ1168" s="193"/>
      <c r="AK1168" s="193"/>
      <c r="AL1168" s="193"/>
    </row>
    <row r="1169" spans="7:38">
      <c r="G1169" s="193"/>
      <c r="H1169" s="193"/>
      <c r="I1169" s="193"/>
      <c r="J1169" s="193"/>
      <c r="K1169" s="193"/>
      <c r="L1169" s="193"/>
      <c r="M1169" s="193"/>
      <c r="N1169" s="193"/>
      <c r="O1169" s="193"/>
      <c r="P1169" s="193"/>
      <c r="Q1169" s="193"/>
      <c r="R1169" s="193"/>
      <c r="S1169" s="193"/>
      <c r="T1169" s="193"/>
      <c r="U1169" s="193"/>
      <c r="V1169" s="193"/>
      <c r="W1169" s="193"/>
      <c r="X1169" s="193"/>
      <c r="Y1169" s="193"/>
      <c r="Z1169" s="193"/>
      <c r="AA1169" s="193"/>
      <c r="AB1169" s="193"/>
      <c r="AC1169" s="193"/>
      <c r="AD1169" s="193"/>
      <c r="AE1169" s="193"/>
      <c r="AF1169" s="193"/>
      <c r="AG1169" s="193"/>
      <c r="AH1169" s="193"/>
      <c r="AI1169" s="193"/>
      <c r="AJ1169" s="193"/>
      <c r="AK1169" s="193"/>
      <c r="AL1169" s="193"/>
    </row>
    <row r="1170" spans="7:38">
      <c r="G1170" s="193"/>
      <c r="H1170" s="193"/>
      <c r="I1170" s="193"/>
      <c r="J1170" s="193"/>
      <c r="K1170" s="193"/>
      <c r="L1170" s="193"/>
      <c r="M1170" s="193"/>
      <c r="N1170" s="193"/>
      <c r="O1170" s="193"/>
      <c r="P1170" s="193"/>
      <c r="Q1170" s="193"/>
      <c r="R1170" s="193"/>
      <c r="S1170" s="193"/>
      <c r="T1170" s="193"/>
      <c r="U1170" s="193"/>
      <c r="V1170" s="193"/>
      <c r="W1170" s="193"/>
      <c r="X1170" s="193"/>
      <c r="Y1170" s="193"/>
      <c r="Z1170" s="193"/>
      <c r="AA1170" s="193"/>
      <c r="AB1170" s="193"/>
      <c r="AC1170" s="193"/>
      <c r="AD1170" s="193"/>
      <c r="AE1170" s="193"/>
      <c r="AF1170" s="193"/>
      <c r="AG1170" s="193"/>
      <c r="AH1170" s="193"/>
      <c r="AI1170" s="193"/>
      <c r="AJ1170" s="193"/>
      <c r="AK1170" s="193"/>
      <c r="AL1170" s="193"/>
    </row>
    <row r="1171" spans="7:38">
      <c r="G1171" s="193"/>
      <c r="H1171" s="193"/>
      <c r="I1171" s="193"/>
      <c r="J1171" s="193"/>
      <c r="K1171" s="193"/>
      <c r="L1171" s="193"/>
      <c r="M1171" s="193"/>
      <c r="N1171" s="193"/>
      <c r="O1171" s="193"/>
      <c r="P1171" s="193"/>
      <c r="Q1171" s="193"/>
      <c r="R1171" s="193"/>
      <c r="S1171" s="193"/>
      <c r="T1171" s="193"/>
      <c r="U1171" s="193"/>
      <c r="V1171" s="193"/>
      <c r="W1171" s="193"/>
      <c r="X1171" s="193"/>
      <c r="Y1171" s="193"/>
      <c r="Z1171" s="193"/>
      <c r="AA1171" s="193"/>
      <c r="AB1171" s="193"/>
      <c r="AC1171" s="193"/>
      <c r="AD1171" s="193"/>
      <c r="AE1171" s="193"/>
      <c r="AF1171" s="193"/>
      <c r="AG1171" s="193"/>
      <c r="AH1171" s="193"/>
      <c r="AI1171" s="193"/>
      <c r="AJ1171" s="193"/>
      <c r="AK1171" s="193"/>
      <c r="AL1171" s="193"/>
    </row>
    <row r="1172" spans="7:38">
      <c r="G1172" s="193"/>
      <c r="H1172" s="193"/>
      <c r="I1172" s="193"/>
      <c r="J1172" s="193"/>
      <c r="K1172" s="193"/>
      <c r="L1172" s="193"/>
      <c r="M1172" s="193"/>
      <c r="N1172" s="193"/>
      <c r="O1172" s="193"/>
      <c r="P1172" s="193"/>
      <c r="Q1172" s="193"/>
      <c r="R1172" s="193"/>
      <c r="S1172" s="193"/>
      <c r="T1172" s="193"/>
      <c r="U1172" s="193"/>
      <c r="V1172" s="193"/>
      <c r="W1172" s="193"/>
      <c r="X1172" s="193"/>
      <c r="Y1172" s="193"/>
      <c r="Z1172" s="193"/>
      <c r="AA1172" s="193"/>
      <c r="AB1172" s="193"/>
      <c r="AC1172" s="193"/>
      <c r="AD1172" s="193"/>
      <c r="AE1172" s="193"/>
      <c r="AF1172" s="193"/>
      <c r="AG1172" s="193"/>
      <c r="AH1172" s="193"/>
      <c r="AI1172" s="193"/>
      <c r="AJ1172" s="193"/>
      <c r="AK1172" s="193"/>
      <c r="AL1172" s="193"/>
    </row>
    <row r="1173" spans="7:38">
      <c r="G1173" s="193"/>
      <c r="H1173" s="193"/>
      <c r="I1173" s="193"/>
      <c r="J1173" s="193"/>
      <c r="K1173" s="193"/>
      <c r="L1173" s="193"/>
      <c r="M1173" s="193"/>
      <c r="N1173" s="193"/>
      <c r="O1173" s="193"/>
      <c r="P1173" s="193"/>
      <c r="Q1173" s="193"/>
      <c r="R1173" s="193"/>
      <c r="S1173" s="193"/>
      <c r="T1173" s="193"/>
      <c r="U1173" s="193"/>
      <c r="V1173" s="193"/>
      <c r="W1173" s="193"/>
      <c r="X1173" s="193"/>
      <c r="Y1173" s="193"/>
      <c r="Z1173" s="193"/>
      <c r="AA1173" s="193"/>
      <c r="AB1173" s="193"/>
      <c r="AC1173" s="193"/>
      <c r="AD1173" s="193"/>
      <c r="AE1173" s="193"/>
      <c r="AF1173" s="193"/>
      <c r="AG1173" s="193"/>
      <c r="AH1173" s="193"/>
      <c r="AI1173" s="193"/>
      <c r="AJ1173" s="193"/>
      <c r="AK1173" s="193"/>
      <c r="AL1173" s="193"/>
    </row>
    <row r="1174" spans="7:38">
      <c r="G1174" s="193"/>
      <c r="H1174" s="193"/>
      <c r="I1174" s="193"/>
      <c r="J1174" s="193"/>
      <c r="K1174" s="193"/>
      <c r="L1174" s="193"/>
      <c r="M1174" s="193"/>
      <c r="N1174" s="193"/>
      <c r="O1174" s="193"/>
      <c r="P1174" s="193"/>
      <c r="Q1174" s="193"/>
      <c r="R1174" s="193"/>
      <c r="S1174" s="193"/>
      <c r="T1174" s="193"/>
      <c r="U1174" s="193"/>
      <c r="V1174" s="193"/>
      <c r="W1174" s="193"/>
      <c r="X1174" s="193"/>
      <c r="Y1174" s="193"/>
      <c r="Z1174" s="193"/>
      <c r="AA1174" s="193"/>
      <c r="AB1174" s="193"/>
      <c r="AC1174" s="193"/>
      <c r="AD1174" s="193"/>
      <c r="AE1174" s="193"/>
      <c r="AF1174" s="193"/>
      <c r="AG1174" s="193"/>
      <c r="AH1174" s="193"/>
      <c r="AI1174" s="193"/>
      <c r="AJ1174" s="193"/>
      <c r="AK1174" s="193"/>
      <c r="AL1174" s="193"/>
    </row>
    <row r="1175" spans="7:38">
      <c r="G1175" s="193"/>
      <c r="H1175" s="193"/>
      <c r="I1175" s="193"/>
      <c r="J1175" s="193"/>
      <c r="K1175" s="193"/>
      <c r="L1175" s="193"/>
      <c r="M1175" s="193"/>
      <c r="N1175" s="193"/>
      <c r="O1175" s="193"/>
      <c r="P1175" s="193"/>
      <c r="Q1175" s="193"/>
      <c r="R1175" s="193"/>
      <c r="S1175" s="193"/>
      <c r="T1175" s="193"/>
      <c r="U1175" s="193"/>
      <c r="V1175" s="193"/>
      <c r="W1175" s="193"/>
      <c r="X1175" s="193"/>
      <c r="Y1175" s="193"/>
      <c r="Z1175" s="193"/>
      <c r="AA1175" s="193"/>
      <c r="AB1175" s="193"/>
      <c r="AC1175" s="193"/>
      <c r="AD1175" s="193"/>
      <c r="AE1175" s="193"/>
      <c r="AF1175" s="193"/>
      <c r="AG1175" s="193"/>
      <c r="AH1175" s="193"/>
      <c r="AI1175" s="193"/>
      <c r="AJ1175" s="193"/>
      <c r="AK1175" s="193"/>
      <c r="AL1175" s="193"/>
    </row>
    <row r="1176" spans="7:38">
      <c r="G1176" s="193"/>
      <c r="H1176" s="193"/>
      <c r="I1176" s="193"/>
      <c r="J1176" s="193"/>
      <c r="K1176" s="193"/>
      <c r="L1176" s="193"/>
      <c r="M1176" s="193"/>
      <c r="N1176" s="193"/>
      <c r="O1176" s="193"/>
      <c r="P1176" s="193"/>
      <c r="Q1176" s="193"/>
      <c r="R1176" s="193"/>
      <c r="S1176" s="193"/>
      <c r="T1176" s="193"/>
      <c r="U1176" s="193"/>
      <c r="V1176" s="193"/>
      <c r="W1176" s="193"/>
      <c r="X1176" s="193"/>
      <c r="Y1176" s="193"/>
      <c r="Z1176" s="193"/>
      <c r="AA1176" s="193"/>
      <c r="AB1176" s="193"/>
      <c r="AC1176" s="193"/>
      <c r="AD1176" s="193"/>
      <c r="AE1176" s="193"/>
      <c r="AF1176" s="193"/>
      <c r="AG1176" s="193"/>
      <c r="AH1176" s="193"/>
      <c r="AI1176" s="193"/>
      <c r="AJ1176" s="193"/>
      <c r="AK1176" s="193"/>
      <c r="AL1176" s="193"/>
    </row>
    <row r="1177" spans="7:38">
      <c r="G1177" s="193"/>
      <c r="H1177" s="193"/>
      <c r="I1177" s="193"/>
      <c r="J1177" s="193"/>
      <c r="K1177" s="193"/>
      <c r="L1177" s="193"/>
      <c r="M1177" s="193"/>
      <c r="N1177" s="193"/>
      <c r="O1177" s="193"/>
      <c r="P1177" s="193"/>
      <c r="Q1177" s="193"/>
      <c r="R1177" s="193"/>
      <c r="S1177" s="193"/>
      <c r="T1177" s="193"/>
      <c r="U1177" s="193"/>
      <c r="V1177" s="193"/>
      <c r="W1177" s="193"/>
      <c r="X1177" s="193"/>
      <c r="Y1177" s="193"/>
      <c r="Z1177" s="193"/>
      <c r="AA1177" s="193"/>
      <c r="AB1177" s="193"/>
      <c r="AC1177" s="193"/>
      <c r="AD1177" s="193"/>
      <c r="AE1177" s="193"/>
      <c r="AF1177" s="193"/>
      <c r="AG1177" s="193"/>
      <c r="AH1177" s="193"/>
      <c r="AI1177" s="193"/>
      <c r="AJ1177" s="193"/>
      <c r="AK1177" s="193"/>
      <c r="AL1177" s="193"/>
    </row>
    <row r="1178" spans="7:38">
      <c r="G1178" s="193"/>
      <c r="H1178" s="193"/>
      <c r="I1178" s="193"/>
      <c r="J1178" s="193"/>
      <c r="K1178" s="193"/>
      <c r="L1178" s="193"/>
      <c r="M1178" s="193"/>
      <c r="N1178" s="193"/>
      <c r="O1178" s="193"/>
      <c r="P1178" s="193"/>
      <c r="Q1178" s="193"/>
      <c r="R1178" s="193"/>
      <c r="S1178" s="193"/>
      <c r="T1178" s="193"/>
      <c r="U1178" s="193"/>
      <c r="V1178" s="193"/>
      <c r="W1178" s="193"/>
      <c r="X1178" s="193"/>
      <c r="Y1178" s="193"/>
      <c r="Z1178" s="193"/>
      <c r="AA1178" s="193"/>
      <c r="AB1178" s="193"/>
      <c r="AC1178" s="193"/>
      <c r="AD1178" s="193"/>
      <c r="AE1178" s="193"/>
      <c r="AF1178" s="193"/>
      <c r="AG1178" s="193"/>
      <c r="AH1178" s="193"/>
      <c r="AI1178" s="193"/>
      <c r="AJ1178" s="193"/>
      <c r="AK1178" s="193"/>
      <c r="AL1178" s="193"/>
    </row>
    <row r="1179" spans="7:38">
      <c r="G1179" s="193"/>
      <c r="H1179" s="193"/>
      <c r="I1179" s="193"/>
      <c r="J1179" s="193"/>
      <c r="K1179" s="193"/>
      <c r="L1179" s="193"/>
      <c r="M1179" s="193"/>
      <c r="N1179" s="193"/>
      <c r="O1179" s="193"/>
      <c r="P1179" s="193"/>
      <c r="Q1179" s="193"/>
      <c r="R1179" s="193"/>
      <c r="S1179" s="193"/>
      <c r="T1179" s="193"/>
      <c r="U1179" s="193"/>
      <c r="V1179" s="193"/>
      <c r="W1179" s="193"/>
      <c r="X1179" s="193"/>
      <c r="Y1179" s="193"/>
      <c r="Z1179" s="193"/>
      <c r="AA1179" s="193"/>
      <c r="AB1179" s="193"/>
      <c r="AC1179" s="193"/>
      <c r="AD1179" s="193"/>
      <c r="AE1179" s="193"/>
      <c r="AF1179" s="193"/>
      <c r="AG1179" s="193"/>
      <c r="AH1179" s="193"/>
      <c r="AI1179" s="193"/>
      <c r="AJ1179" s="193"/>
      <c r="AK1179" s="193"/>
      <c r="AL1179" s="193"/>
    </row>
    <row r="1180" spans="7:38">
      <c r="G1180" s="193"/>
      <c r="H1180" s="193"/>
      <c r="I1180" s="193"/>
      <c r="J1180" s="193"/>
      <c r="K1180" s="193"/>
      <c r="L1180" s="193"/>
      <c r="M1180" s="193"/>
      <c r="N1180" s="193"/>
      <c r="O1180" s="193"/>
      <c r="P1180" s="193"/>
      <c r="Q1180" s="193"/>
      <c r="R1180" s="193"/>
      <c r="S1180" s="193"/>
      <c r="T1180" s="193"/>
      <c r="U1180" s="193"/>
      <c r="V1180" s="193"/>
      <c r="W1180" s="193"/>
      <c r="X1180" s="193"/>
      <c r="Y1180" s="193"/>
      <c r="Z1180" s="193"/>
      <c r="AA1180" s="193"/>
      <c r="AB1180" s="193"/>
      <c r="AC1180" s="193"/>
      <c r="AD1180" s="193"/>
      <c r="AE1180" s="193"/>
      <c r="AF1180" s="193"/>
      <c r="AG1180" s="193"/>
      <c r="AH1180" s="193"/>
      <c r="AI1180" s="193"/>
      <c r="AJ1180" s="193"/>
      <c r="AK1180" s="193"/>
      <c r="AL1180" s="193"/>
    </row>
    <row r="1181" spans="7:38">
      <c r="G1181" s="193"/>
      <c r="H1181" s="193"/>
      <c r="I1181" s="193"/>
      <c r="J1181" s="193"/>
      <c r="K1181" s="193"/>
      <c r="L1181" s="193"/>
      <c r="M1181" s="193"/>
      <c r="N1181" s="193"/>
      <c r="O1181" s="193"/>
      <c r="P1181" s="193"/>
      <c r="Q1181" s="193"/>
      <c r="R1181" s="193"/>
      <c r="S1181" s="193"/>
      <c r="T1181" s="193"/>
      <c r="U1181" s="193"/>
      <c r="V1181" s="193"/>
      <c r="W1181" s="193"/>
      <c r="X1181" s="193"/>
      <c r="Y1181" s="193"/>
      <c r="Z1181" s="193"/>
      <c r="AA1181" s="193"/>
      <c r="AB1181" s="193"/>
      <c r="AC1181" s="193"/>
      <c r="AD1181" s="193"/>
      <c r="AE1181" s="193"/>
      <c r="AF1181" s="193"/>
      <c r="AG1181" s="193"/>
      <c r="AH1181" s="193"/>
      <c r="AI1181" s="193"/>
      <c r="AJ1181" s="193"/>
      <c r="AK1181" s="193"/>
      <c r="AL1181" s="193"/>
    </row>
    <row r="1182" spans="7:38">
      <c r="G1182" s="193"/>
      <c r="H1182" s="193"/>
      <c r="I1182" s="193"/>
      <c r="J1182" s="193"/>
      <c r="K1182" s="193"/>
      <c r="L1182" s="193"/>
      <c r="M1182" s="193"/>
      <c r="N1182" s="193"/>
      <c r="O1182" s="193"/>
      <c r="P1182" s="193"/>
      <c r="Q1182" s="193"/>
      <c r="R1182" s="193"/>
      <c r="S1182" s="193"/>
      <c r="T1182" s="193"/>
      <c r="U1182" s="193"/>
      <c r="V1182" s="193"/>
      <c r="W1182" s="193"/>
      <c r="X1182" s="193"/>
      <c r="Y1182" s="193"/>
      <c r="Z1182" s="193"/>
      <c r="AA1182" s="193"/>
      <c r="AB1182" s="193"/>
      <c r="AC1182" s="193"/>
      <c r="AD1182" s="193"/>
      <c r="AE1182" s="193"/>
      <c r="AF1182" s="193"/>
      <c r="AG1182" s="193"/>
      <c r="AH1182" s="193"/>
      <c r="AI1182" s="193"/>
      <c r="AJ1182" s="193"/>
      <c r="AK1182" s="193"/>
      <c r="AL1182" s="193"/>
    </row>
    <row r="1183" spans="7:38">
      <c r="G1183" s="193"/>
      <c r="H1183" s="193"/>
      <c r="I1183" s="193"/>
      <c r="J1183" s="193"/>
      <c r="K1183" s="193"/>
      <c r="L1183" s="193"/>
      <c r="M1183" s="193"/>
      <c r="N1183" s="193"/>
      <c r="O1183" s="193"/>
      <c r="P1183" s="193"/>
      <c r="Q1183" s="193"/>
      <c r="R1183" s="193"/>
      <c r="S1183" s="193"/>
      <c r="T1183" s="193"/>
      <c r="U1183" s="193"/>
      <c r="V1183" s="193"/>
      <c r="W1183" s="193"/>
      <c r="X1183" s="193"/>
      <c r="Y1183" s="193"/>
      <c r="Z1183" s="193"/>
      <c r="AA1183" s="193"/>
      <c r="AB1183" s="193"/>
      <c r="AC1183" s="193"/>
      <c r="AD1183" s="193"/>
      <c r="AE1183" s="193"/>
      <c r="AF1183" s="193"/>
      <c r="AG1183" s="193"/>
      <c r="AH1183" s="193"/>
      <c r="AI1183" s="193"/>
      <c r="AJ1183" s="193"/>
      <c r="AK1183" s="193"/>
      <c r="AL1183" s="193"/>
    </row>
    <row r="1184" spans="7:38">
      <c r="G1184" s="193"/>
      <c r="H1184" s="193"/>
      <c r="I1184" s="193"/>
      <c r="J1184" s="193"/>
      <c r="K1184" s="193"/>
      <c r="L1184" s="193"/>
      <c r="M1184" s="193"/>
      <c r="N1184" s="193"/>
      <c r="O1184" s="193"/>
      <c r="P1184" s="193"/>
      <c r="Q1184" s="193"/>
      <c r="R1184" s="193"/>
      <c r="S1184" s="193"/>
      <c r="T1184" s="193"/>
      <c r="U1184" s="193"/>
      <c r="V1184" s="193"/>
      <c r="W1184" s="193"/>
      <c r="X1184" s="193"/>
      <c r="Y1184" s="193"/>
      <c r="Z1184" s="193"/>
      <c r="AA1184" s="193"/>
      <c r="AB1184" s="193"/>
      <c r="AC1184" s="193"/>
      <c r="AD1184" s="193"/>
      <c r="AE1184" s="193"/>
      <c r="AF1184" s="193"/>
      <c r="AG1184" s="193"/>
      <c r="AH1184" s="193"/>
      <c r="AI1184" s="193"/>
      <c r="AJ1184" s="193"/>
      <c r="AK1184" s="193"/>
      <c r="AL1184" s="193"/>
    </row>
    <row r="1185" spans="7:38">
      <c r="G1185" s="193"/>
      <c r="H1185" s="193"/>
      <c r="I1185" s="193"/>
      <c r="J1185" s="193"/>
      <c r="K1185" s="193"/>
      <c r="L1185" s="193"/>
      <c r="M1185" s="193"/>
      <c r="N1185" s="193"/>
      <c r="O1185" s="193"/>
      <c r="P1185" s="193"/>
      <c r="Q1185" s="193"/>
      <c r="R1185" s="193"/>
      <c r="S1185" s="193"/>
      <c r="T1185" s="193"/>
      <c r="U1185" s="193"/>
      <c r="V1185" s="193"/>
      <c r="W1185" s="193"/>
      <c r="X1185" s="193"/>
      <c r="Y1185" s="193"/>
      <c r="Z1185" s="193"/>
      <c r="AA1185" s="193"/>
      <c r="AB1185" s="193"/>
      <c r="AC1185" s="193"/>
      <c r="AD1185" s="193"/>
      <c r="AE1185" s="193"/>
      <c r="AF1185" s="193"/>
      <c r="AG1185" s="193"/>
      <c r="AH1185" s="193"/>
      <c r="AI1185" s="193"/>
      <c r="AJ1185" s="193"/>
      <c r="AK1185" s="193"/>
      <c r="AL1185" s="193"/>
    </row>
    <row r="1186" spans="7:38">
      <c r="G1186" s="193"/>
      <c r="H1186" s="193"/>
      <c r="I1186" s="193"/>
      <c r="J1186" s="193"/>
      <c r="K1186" s="193"/>
      <c r="L1186" s="193"/>
      <c r="M1186" s="193"/>
      <c r="N1186" s="193"/>
      <c r="O1186" s="193"/>
      <c r="P1186" s="193"/>
      <c r="Q1186" s="193"/>
      <c r="R1186" s="193"/>
      <c r="S1186" s="193"/>
      <c r="T1186" s="193"/>
      <c r="U1186" s="193"/>
      <c r="V1186" s="193"/>
      <c r="W1186" s="193"/>
      <c r="X1186" s="193"/>
      <c r="Y1186" s="193"/>
      <c r="Z1186" s="193"/>
      <c r="AA1186" s="193"/>
      <c r="AB1186" s="193"/>
      <c r="AC1186" s="193"/>
      <c r="AD1186" s="193"/>
      <c r="AE1186" s="193"/>
      <c r="AF1186" s="193"/>
      <c r="AG1186" s="193"/>
      <c r="AH1186" s="193"/>
      <c r="AI1186" s="193"/>
      <c r="AJ1186" s="193"/>
      <c r="AK1186" s="193"/>
      <c r="AL1186" s="193"/>
    </row>
    <row r="1187" spans="7:38">
      <c r="G1187" s="193"/>
      <c r="H1187" s="193"/>
      <c r="I1187" s="193"/>
      <c r="J1187" s="193"/>
      <c r="K1187" s="193"/>
      <c r="L1187" s="193"/>
      <c r="M1187" s="193"/>
      <c r="N1187" s="193"/>
      <c r="O1187" s="193"/>
      <c r="P1187" s="193"/>
      <c r="Q1187" s="193"/>
      <c r="R1187" s="193"/>
      <c r="S1187" s="193"/>
      <c r="T1187" s="193"/>
      <c r="U1187" s="193"/>
      <c r="V1187" s="193"/>
      <c r="W1187" s="193"/>
      <c r="X1187" s="193"/>
      <c r="Y1187" s="193"/>
      <c r="Z1187" s="193"/>
      <c r="AA1187" s="193"/>
      <c r="AB1187" s="193"/>
      <c r="AC1187" s="193"/>
      <c r="AD1187" s="193"/>
      <c r="AE1187" s="193"/>
      <c r="AF1187" s="193"/>
      <c r="AG1187" s="193"/>
      <c r="AH1187" s="193"/>
      <c r="AI1187" s="193"/>
      <c r="AJ1187" s="193"/>
      <c r="AK1187" s="193"/>
      <c r="AL1187" s="193"/>
    </row>
    <row r="1188" spans="7:38">
      <c r="G1188" s="193"/>
      <c r="H1188" s="193"/>
      <c r="I1188" s="193"/>
      <c r="J1188" s="193"/>
      <c r="K1188" s="193"/>
      <c r="L1188" s="193"/>
      <c r="M1188" s="193"/>
      <c r="N1188" s="193"/>
      <c r="O1188" s="193"/>
      <c r="P1188" s="193"/>
      <c r="Q1188" s="193"/>
      <c r="R1188" s="193"/>
      <c r="S1188" s="193"/>
      <c r="T1188" s="193"/>
      <c r="U1188" s="193"/>
      <c r="V1188" s="193"/>
      <c r="W1188" s="193"/>
      <c r="X1188" s="193"/>
      <c r="Y1188" s="193"/>
      <c r="Z1188" s="193"/>
      <c r="AA1188" s="193"/>
      <c r="AB1188" s="193"/>
      <c r="AC1188" s="193"/>
      <c r="AD1188" s="193"/>
      <c r="AE1188" s="193"/>
      <c r="AF1188" s="193"/>
      <c r="AG1188" s="193"/>
      <c r="AH1188" s="193"/>
      <c r="AI1188" s="193"/>
      <c r="AJ1188" s="193"/>
      <c r="AK1188" s="193"/>
      <c r="AL1188" s="193"/>
    </row>
    <row r="1189" spans="7:38">
      <c r="G1189" s="193"/>
      <c r="H1189" s="193"/>
      <c r="I1189" s="193"/>
      <c r="J1189" s="193"/>
      <c r="K1189" s="193"/>
      <c r="L1189" s="193"/>
      <c r="M1189" s="193"/>
      <c r="N1189" s="193"/>
      <c r="O1189" s="193"/>
      <c r="P1189" s="193"/>
      <c r="Q1189" s="193"/>
      <c r="R1189" s="193"/>
      <c r="S1189" s="193"/>
      <c r="T1189" s="193"/>
      <c r="U1189" s="193"/>
      <c r="V1189" s="193"/>
      <c r="W1189" s="193"/>
      <c r="X1189" s="193"/>
      <c r="Y1189" s="193"/>
      <c r="Z1189" s="193"/>
      <c r="AA1189" s="193"/>
      <c r="AB1189" s="193"/>
      <c r="AC1189" s="193"/>
      <c r="AD1189" s="193"/>
      <c r="AE1189" s="193"/>
      <c r="AF1189" s="193"/>
      <c r="AG1189" s="193"/>
      <c r="AH1189" s="193"/>
      <c r="AI1189" s="193"/>
      <c r="AJ1189" s="193"/>
      <c r="AK1189" s="193"/>
      <c r="AL1189" s="193"/>
    </row>
    <row r="1190" spans="7:38">
      <c r="G1190" s="193"/>
      <c r="H1190" s="193"/>
      <c r="I1190" s="193"/>
      <c r="J1190" s="193"/>
      <c r="K1190" s="193"/>
      <c r="L1190" s="193"/>
      <c r="M1190" s="193"/>
      <c r="N1190" s="193"/>
      <c r="O1190" s="193"/>
      <c r="P1190" s="193"/>
      <c r="Q1190" s="193"/>
      <c r="R1190" s="193"/>
      <c r="S1190" s="193"/>
      <c r="T1190" s="193"/>
      <c r="U1190" s="193"/>
      <c r="V1190" s="193"/>
      <c r="W1190" s="193"/>
      <c r="X1190" s="193"/>
      <c r="Y1190" s="193"/>
      <c r="Z1190" s="193"/>
      <c r="AA1190" s="193"/>
      <c r="AB1190" s="193"/>
      <c r="AC1190" s="193"/>
      <c r="AD1190" s="193"/>
      <c r="AE1190" s="193"/>
      <c r="AF1190" s="193"/>
      <c r="AG1190" s="193"/>
      <c r="AH1190" s="193"/>
      <c r="AI1190" s="193"/>
      <c r="AJ1190" s="193"/>
      <c r="AK1190" s="193"/>
      <c r="AL1190" s="193"/>
    </row>
    <row r="1191" spans="7:38">
      <c r="G1191" s="193"/>
      <c r="H1191" s="193"/>
      <c r="I1191" s="193"/>
      <c r="J1191" s="193"/>
      <c r="K1191" s="193"/>
      <c r="L1191" s="193"/>
      <c r="M1191" s="193"/>
      <c r="N1191" s="193"/>
      <c r="O1191" s="193"/>
      <c r="P1191" s="193"/>
      <c r="Q1191" s="193"/>
      <c r="R1191" s="193"/>
      <c r="S1191" s="193"/>
      <c r="T1191" s="193"/>
      <c r="U1191" s="193"/>
      <c r="V1191" s="193"/>
      <c r="W1191" s="193"/>
      <c r="X1191" s="193"/>
      <c r="Y1191" s="193"/>
      <c r="Z1191" s="193"/>
      <c r="AA1191" s="193"/>
      <c r="AB1191" s="193"/>
      <c r="AC1191" s="193"/>
      <c r="AD1191" s="193"/>
      <c r="AE1191" s="193"/>
      <c r="AF1191" s="193"/>
      <c r="AG1191" s="193"/>
      <c r="AH1191" s="193"/>
      <c r="AI1191" s="193"/>
      <c r="AJ1191" s="193"/>
      <c r="AK1191" s="193"/>
      <c r="AL1191" s="193"/>
    </row>
    <row r="1192" spans="7:38">
      <c r="G1192" s="193"/>
      <c r="H1192" s="193"/>
      <c r="I1192" s="193"/>
      <c r="J1192" s="193"/>
      <c r="K1192" s="193"/>
      <c r="L1192" s="193"/>
      <c r="M1192" s="193"/>
      <c r="N1192" s="193"/>
      <c r="O1192" s="193"/>
      <c r="P1192" s="193"/>
      <c r="Q1192" s="193"/>
      <c r="R1192" s="193"/>
      <c r="S1192" s="193"/>
      <c r="T1192" s="193"/>
      <c r="U1192" s="193"/>
      <c r="V1192" s="193"/>
      <c r="W1192" s="193"/>
      <c r="X1192" s="193"/>
      <c r="Y1192" s="193"/>
      <c r="Z1192" s="193"/>
      <c r="AA1192" s="193"/>
      <c r="AB1192" s="193"/>
      <c r="AC1192" s="193"/>
      <c r="AD1192" s="193"/>
      <c r="AE1192" s="193"/>
      <c r="AF1192" s="193"/>
      <c r="AG1192" s="193"/>
      <c r="AH1192" s="193"/>
      <c r="AI1192" s="193"/>
      <c r="AJ1192" s="193"/>
      <c r="AK1192" s="193"/>
      <c r="AL1192" s="193"/>
    </row>
    <row r="1193" spans="7:38">
      <c r="G1193" s="193"/>
      <c r="H1193" s="193"/>
      <c r="I1193" s="193"/>
      <c r="J1193" s="193"/>
      <c r="K1193" s="193"/>
      <c r="L1193" s="193"/>
      <c r="M1193" s="193"/>
      <c r="N1193" s="193"/>
      <c r="O1193" s="193"/>
      <c r="P1193" s="193"/>
      <c r="Q1193" s="193"/>
      <c r="R1193" s="193"/>
      <c r="S1193" s="193"/>
      <c r="T1193" s="193"/>
      <c r="U1193" s="193"/>
      <c r="V1193" s="193"/>
      <c r="W1193" s="193"/>
      <c r="X1193" s="193"/>
      <c r="Y1193" s="193"/>
      <c r="Z1193" s="193"/>
      <c r="AA1193" s="193"/>
      <c r="AB1193" s="193"/>
      <c r="AC1193" s="193"/>
      <c r="AD1193" s="193"/>
      <c r="AE1193" s="193"/>
      <c r="AF1193" s="193"/>
      <c r="AG1193" s="193"/>
      <c r="AH1193" s="193"/>
      <c r="AI1193" s="193"/>
      <c r="AJ1193" s="193"/>
      <c r="AK1193" s="193"/>
      <c r="AL1193" s="193"/>
    </row>
    <row r="1194" spans="7:38">
      <c r="G1194" s="193"/>
      <c r="H1194" s="193"/>
      <c r="I1194" s="193"/>
      <c r="J1194" s="193"/>
      <c r="K1194" s="193"/>
      <c r="L1194" s="193"/>
      <c r="M1194" s="193"/>
      <c r="N1194" s="193"/>
      <c r="O1194" s="193"/>
      <c r="P1194" s="193"/>
      <c r="Q1194" s="193"/>
      <c r="R1194" s="193"/>
      <c r="S1194" s="193"/>
      <c r="T1194" s="193"/>
      <c r="U1194" s="193"/>
      <c r="V1194" s="193"/>
      <c r="W1194" s="193"/>
      <c r="X1194" s="193"/>
      <c r="Y1194" s="193"/>
      <c r="Z1194" s="193"/>
      <c r="AA1194" s="193"/>
      <c r="AB1194" s="193"/>
      <c r="AC1194" s="193"/>
      <c r="AD1194" s="193"/>
      <c r="AE1194" s="193"/>
      <c r="AF1194" s="193"/>
      <c r="AG1194" s="193"/>
      <c r="AH1194" s="193"/>
      <c r="AI1194" s="193"/>
      <c r="AJ1194" s="193"/>
      <c r="AK1194" s="193"/>
      <c r="AL1194" s="193"/>
    </row>
    <row r="1195" spans="7:38">
      <c r="G1195" s="193"/>
      <c r="H1195" s="193"/>
      <c r="I1195" s="193"/>
      <c r="J1195" s="193"/>
      <c r="K1195" s="193"/>
      <c r="L1195" s="193"/>
      <c r="M1195" s="193"/>
      <c r="N1195" s="193"/>
      <c r="O1195" s="193"/>
      <c r="P1195" s="193"/>
      <c r="Q1195" s="193"/>
      <c r="R1195" s="193"/>
      <c r="S1195" s="193"/>
      <c r="T1195" s="193"/>
      <c r="U1195" s="193"/>
      <c r="V1195" s="193"/>
      <c r="W1195" s="193"/>
      <c r="X1195" s="193"/>
      <c r="Y1195" s="193"/>
      <c r="Z1195" s="193"/>
      <c r="AA1195" s="193"/>
      <c r="AB1195" s="193"/>
      <c r="AC1195" s="193"/>
      <c r="AD1195" s="193"/>
      <c r="AE1195" s="193"/>
      <c r="AF1195" s="193"/>
      <c r="AG1195" s="193"/>
      <c r="AH1195" s="193"/>
      <c r="AI1195" s="193"/>
      <c r="AJ1195" s="193"/>
      <c r="AK1195" s="193"/>
      <c r="AL1195" s="193"/>
    </row>
    <row r="1196" spans="7:38">
      <c r="G1196" s="193"/>
      <c r="H1196" s="193"/>
      <c r="I1196" s="193"/>
      <c r="J1196" s="193"/>
      <c r="K1196" s="193"/>
      <c r="L1196" s="193"/>
      <c r="M1196" s="193"/>
      <c r="N1196" s="193"/>
      <c r="O1196" s="193"/>
      <c r="P1196" s="193"/>
      <c r="Q1196" s="193"/>
      <c r="R1196" s="193"/>
      <c r="S1196" s="193"/>
      <c r="T1196" s="193"/>
      <c r="U1196" s="193"/>
      <c r="V1196" s="193"/>
      <c r="W1196" s="193"/>
      <c r="X1196" s="193"/>
      <c r="Y1196" s="193"/>
      <c r="Z1196" s="193"/>
      <c r="AA1196" s="193"/>
      <c r="AB1196" s="193"/>
      <c r="AC1196" s="193"/>
      <c r="AD1196" s="193"/>
      <c r="AE1196" s="193"/>
      <c r="AF1196" s="193"/>
      <c r="AG1196" s="193"/>
      <c r="AH1196" s="193"/>
      <c r="AI1196" s="193"/>
      <c r="AJ1196" s="193"/>
      <c r="AK1196" s="193"/>
      <c r="AL1196" s="193"/>
    </row>
    <row r="1197" spans="7:38">
      <c r="G1197" s="193"/>
      <c r="H1197" s="193"/>
      <c r="I1197" s="193"/>
      <c r="J1197" s="193"/>
      <c r="K1197" s="193"/>
      <c r="L1197" s="193"/>
      <c r="M1197" s="193"/>
      <c r="N1197" s="193"/>
      <c r="O1197" s="193"/>
      <c r="P1197" s="193"/>
      <c r="Q1197" s="193"/>
      <c r="R1197" s="193"/>
      <c r="S1197" s="193"/>
      <c r="T1197" s="193"/>
      <c r="U1197" s="193"/>
      <c r="V1197" s="193"/>
      <c r="W1197" s="193"/>
      <c r="X1197" s="193"/>
      <c r="Y1197" s="193"/>
      <c r="Z1197" s="193"/>
      <c r="AA1197" s="193"/>
      <c r="AB1197" s="193"/>
      <c r="AC1197" s="193"/>
      <c r="AD1197" s="193"/>
      <c r="AE1197" s="193"/>
      <c r="AF1197" s="193"/>
      <c r="AG1197" s="193"/>
      <c r="AH1197" s="193"/>
      <c r="AI1197" s="193"/>
      <c r="AJ1197" s="193"/>
      <c r="AK1197" s="193"/>
      <c r="AL1197" s="193"/>
    </row>
    <row r="1198" spans="7:38">
      <c r="G1198" s="193"/>
      <c r="H1198" s="193"/>
      <c r="I1198" s="193"/>
      <c r="J1198" s="193"/>
      <c r="K1198" s="193"/>
      <c r="L1198" s="193"/>
      <c r="M1198" s="193"/>
      <c r="N1198" s="193"/>
      <c r="O1198" s="193"/>
      <c r="P1198" s="193"/>
      <c r="Q1198" s="193"/>
      <c r="R1198" s="193"/>
      <c r="S1198" s="193"/>
      <c r="T1198" s="193"/>
      <c r="U1198" s="193"/>
      <c r="V1198" s="193"/>
      <c r="W1198" s="193"/>
      <c r="X1198" s="193"/>
      <c r="Y1198" s="193"/>
      <c r="Z1198" s="193"/>
      <c r="AA1198" s="193"/>
      <c r="AB1198" s="193"/>
      <c r="AC1198" s="193"/>
      <c r="AD1198" s="193"/>
      <c r="AE1198" s="193"/>
      <c r="AF1198" s="193"/>
      <c r="AG1198" s="193"/>
      <c r="AH1198" s="193"/>
      <c r="AI1198" s="193"/>
      <c r="AJ1198" s="193"/>
      <c r="AK1198" s="193"/>
      <c r="AL1198" s="193"/>
    </row>
    <row r="1199" spans="7:38">
      <c r="G1199" s="193"/>
      <c r="H1199" s="193"/>
      <c r="I1199" s="193"/>
      <c r="J1199" s="193"/>
      <c r="K1199" s="193"/>
      <c r="L1199" s="193"/>
      <c r="M1199" s="193"/>
      <c r="N1199" s="193"/>
      <c r="O1199" s="193"/>
      <c r="P1199" s="193"/>
      <c r="Q1199" s="193"/>
      <c r="R1199" s="193"/>
      <c r="S1199" s="193"/>
      <c r="T1199" s="193"/>
      <c r="U1199" s="193"/>
      <c r="V1199" s="193"/>
      <c r="W1199" s="193"/>
      <c r="X1199" s="193"/>
      <c r="Y1199" s="193"/>
      <c r="Z1199" s="193"/>
      <c r="AA1199" s="193"/>
      <c r="AB1199" s="193"/>
      <c r="AC1199" s="193"/>
      <c r="AD1199" s="193"/>
      <c r="AE1199" s="193"/>
      <c r="AF1199" s="193"/>
      <c r="AG1199" s="193"/>
      <c r="AH1199" s="193"/>
      <c r="AI1199" s="193"/>
      <c r="AJ1199" s="193"/>
      <c r="AK1199" s="193"/>
      <c r="AL1199" s="193"/>
    </row>
    <row r="1200" spans="7:38">
      <c r="G1200" s="193"/>
      <c r="H1200" s="193"/>
      <c r="I1200" s="193"/>
      <c r="J1200" s="193"/>
      <c r="K1200" s="193"/>
      <c r="L1200" s="193"/>
      <c r="M1200" s="193"/>
      <c r="N1200" s="193"/>
      <c r="O1200" s="193"/>
      <c r="P1200" s="193"/>
      <c r="Q1200" s="193"/>
      <c r="R1200" s="193"/>
      <c r="S1200" s="193"/>
      <c r="T1200" s="193"/>
      <c r="U1200" s="193"/>
      <c r="V1200" s="193"/>
      <c r="W1200" s="193"/>
      <c r="X1200" s="193"/>
      <c r="Y1200" s="193"/>
      <c r="Z1200" s="193"/>
      <c r="AA1200" s="193"/>
      <c r="AB1200" s="193"/>
      <c r="AC1200" s="193"/>
      <c r="AD1200" s="193"/>
      <c r="AE1200" s="193"/>
      <c r="AF1200" s="193"/>
      <c r="AG1200" s="193"/>
      <c r="AH1200" s="193"/>
      <c r="AI1200" s="193"/>
      <c r="AJ1200" s="193"/>
      <c r="AK1200" s="193"/>
      <c r="AL1200" s="193"/>
    </row>
    <row r="1201" spans="7:38">
      <c r="G1201" s="193"/>
      <c r="H1201" s="193"/>
      <c r="I1201" s="193"/>
      <c r="J1201" s="193"/>
      <c r="K1201" s="193"/>
      <c r="L1201" s="193"/>
      <c r="M1201" s="193"/>
      <c r="N1201" s="193"/>
      <c r="O1201" s="193"/>
      <c r="P1201" s="193"/>
      <c r="Q1201" s="193"/>
      <c r="R1201" s="193"/>
      <c r="S1201" s="193"/>
      <c r="T1201" s="193"/>
      <c r="U1201" s="193"/>
      <c r="V1201" s="193"/>
      <c r="W1201" s="193"/>
      <c r="X1201" s="193"/>
      <c r="Y1201" s="193"/>
      <c r="Z1201" s="193"/>
      <c r="AA1201" s="193"/>
      <c r="AB1201" s="193"/>
      <c r="AC1201" s="193"/>
      <c r="AD1201" s="193"/>
      <c r="AE1201" s="193"/>
      <c r="AF1201" s="193"/>
      <c r="AG1201" s="193"/>
      <c r="AH1201" s="193"/>
      <c r="AI1201" s="193"/>
      <c r="AJ1201" s="193"/>
      <c r="AK1201" s="193"/>
      <c r="AL1201" s="193"/>
    </row>
    <row r="1202" spans="7:38">
      <c r="G1202" s="193"/>
      <c r="H1202" s="193"/>
      <c r="I1202" s="193"/>
      <c r="J1202" s="193"/>
      <c r="K1202" s="193"/>
      <c r="L1202" s="193"/>
      <c r="M1202" s="193"/>
      <c r="N1202" s="193"/>
      <c r="O1202" s="193"/>
      <c r="P1202" s="193"/>
      <c r="Q1202" s="193"/>
      <c r="R1202" s="193"/>
      <c r="S1202" s="193"/>
      <c r="T1202" s="193"/>
      <c r="U1202" s="193"/>
      <c r="V1202" s="193"/>
      <c r="W1202" s="193"/>
      <c r="X1202" s="193"/>
      <c r="Y1202" s="193"/>
      <c r="Z1202" s="193"/>
      <c r="AA1202" s="193"/>
      <c r="AB1202" s="193"/>
      <c r="AC1202" s="193"/>
      <c r="AD1202" s="193"/>
      <c r="AE1202" s="193"/>
      <c r="AF1202" s="193"/>
      <c r="AG1202" s="193"/>
      <c r="AH1202" s="193"/>
      <c r="AI1202" s="193"/>
      <c r="AJ1202" s="193"/>
      <c r="AK1202" s="193"/>
      <c r="AL1202" s="193"/>
    </row>
    <row r="1203" spans="7:38">
      <c r="G1203" s="193"/>
      <c r="H1203" s="193"/>
      <c r="I1203" s="193"/>
      <c r="J1203" s="193"/>
      <c r="K1203" s="193"/>
      <c r="L1203" s="193"/>
      <c r="M1203" s="193"/>
      <c r="N1203" s="193"/>
      <c r="O1203" s="193"/>
      <c r="P1203" s="193"/>
      <c r="Q1203" s="193"/>
      <c r="R1203" s="193"/>
      <c r="S1203" s="193"/>
      <c r="T1203" s="193"/>
      <c r="U1203" s="193"/>
      <c r="V1203" s="193"/>
      <c r="W1203" s="193"/>
      <c r="X1203" s="193"/>
      <c r="Y1203" s="193"/>
      <c r="Z1203" s="193"/>
      <c r="AA1203" s="193"/>
      <c r="AB1203" s="193"/>
      <c r="AC1203" s="193"/>
      <c r="AD1203" s="193"/>
      <c r="AE1203" s="193"/>
      <c r="AF1203" s="193"/>
      <c r="AG1203" s="193"/>
      <c r="AH1203" s="193"/>
      <c r="AI1203" s="193"/>
      <c r="AJ1203" s="193"/>
      <c r="AK1203" s="193"/>
      <c r="AL1203" s="193"/>
    </row>
    <row r="1204" spans="7:38">
      <c r="G1204" s="193"/>
      <c r="H1204" s="193"/>
      <c r="I1204" s="193"/>
      <c r="J1204" s="193"/>
      <c r="K1204" s="193"/>
      <c r="L1204" s="193"/>
      <c r="M1204" s="193"/>
      <c r="N1204" s="193"/>
      <c r="O1204" s="193"/>
      <c r="P1204" s="193"/>
      <c r="Q1204" s="193"/>
      <c r="R1204" s="193"/>
      <c r="S1204" s="193"/>
      <c r="T1204" s="193"/>
      <c r="U1204" s="193"/>
      <c r="V1204" s="193"/>
      <c r="W1204" s="193"/>
      <c r="X1204" s="193"/>
      <c r="Y1204" s="193"/>
      <c r="Z1204" s="193"/>
      <c r="AA1204" s="193"/>
      <c r="AB1204" s="193"/>
      <c r="AC1204" s="193"/>
      <c r="AD1204" s="193"/>
      <c r="AE1204" s="193"/>
      <c r="AF1204" s="193"/>
      <c r="AG1204" s="193"/>
      <c r="AH1204" s="193"/>
      <c r="AI1204" s="193"/>
      <c r="AJ1204" s="193"/>
      <c r="AK1204" s="193"/>
      <c r="AL1204" s="193"/>
    </row>
    <row r="1205" spans="7:38">
      <c r="G1205" s="193"/>
      <c r="H1205" s="193"/>
      <c r="I1205" s="193"/>
      <c r="J1205" s="193"/>
      <c r="K1205" s="193"/>
      <c r="L1205" s="193"/>
      <c r="M1205" s="193"/>
      <c r="N1205" s="193"/>
      <c r="O1205" s="193"/>
      <c r="P1205" s="193"/>
      <c r="Q1205" s="193"/>
      <c r="R1205" s="193"/>
      <c r="S1205" s="193"/>
      <c r="T1205" s="193"/>
      <c r="U1205" s="193"/>
      <c r="V1205" s="193"/>
      <c r="W1205" s="193"/>
      <c r="X1205" s="193"/>
      <c r="Y1205" s="193"/>
      <c r="Z1205" s="193"/>
      <c r="AA1205" s="193"/>
      <c r="AB1205" s="193"/>
      <c r="AC1205" s="193"/>
      <c r="AD1205" s="193"/>
      <c r="AE1205" s="193"/>
      <c r="AF1205" s="193"/>
      <c r="AG1205" s="193"/>
      <c r="AH1205" s="193"/>
      <c r="AI1205" s="193"/>
      <c r="AJ1205" s="193"/>
      <c r="AK1205" s="193"/>
      <c r="AL1205" s="193"/>
    </row>
    <row r="1206" spans="7:38">
      <c r="G1206" s="193"/>
      <c r="H1206" s="193"/>
      <c r="I1206" s="193"/>
      <c r="J1206" s="193"/>
      <c r="K1206" s="193"/>
      <c r="L1206" s="193"/>
      <c r="M1206" s="193"/>
      <c r="N1206" s="193"/>
      <c r="O1206" s="193"/>
      <c r="P1206" s="193"/>
      <c r="Q1206" s="193"/>
      <c r="R1206" s="193"/>
      <c r="S1206" s="193"/>
      <c r="T1206" s="193"/>
      <c r="U1206" s="193"/>
      <c r="V1206" s="193"/>
      <c r="W1206" s="193"/>
      <c r="X1206" s="193"/>
      <c r="Y1206" s="193"/>
      <c r="Z1206" s="193"/>
      <c r="AA1206" s="193"/>
      <c r="AB1206" s="193"/>
      <c r="AC1206" s="193"/>
      <c r="AD1206" s="193"/>
      <c r="AE1206" s="193"/>
      <c r="AF1206" s="193"/>
      <c r="AG1206" s="193"/>
      <c r="AH1206" s="193"/>
      <c r="AI1206" s="193"/>
      <c r="AJ1206" s="193"/>
      <c r="AK1206" s="193"/>
      <c r="AL1206" s="193"/>
    </row>
    <row r="1207" spans="7:38">
      <c r="G1207" s="193"/>
      <c r="H1207" s="193"/>
      <c r="I1207" s="193"/>
      <c r="J1207" s="193"/>
      <c r="K1207" s="193"/>
      <c r="L1207" s="193"/>
      <c r="M1207" s="193"/>
      <c r="N1207" s="193"/>
      <c r="O1207" s="193"/>
      <c r="P1207" s="193"/>
      <c r="Q1207" s="193"/>
      <c r="R1207" s="193"/>
      <c r="S1207" s="193"/>
      <c r="T1207" s="193"/>
      <c r="U1207" s="193"/>
      <c r="V1207" s="193"/>
      <c r="W1207" s="193"/>
      <c r="X1207" s="193"/>
      <c r="Y1207" s="193"/>
      <c r="Z1207" s="193"/>
      <c r="AA1207" s="193"/>
      <c r="AB1207" s="193"/>
      <c r="AC1207" s="193"/>
      <c r="AD1207" s="193"/>
      <c r="AE1207" s="193"/>
      <c r="AF1207" s="193"/>
      <c r="AG1207" s="193"/>
      <c r="AH1207" s="193"/>
      <c r="AI1207" s="193"/>
      <c r="AJ1207" s="193"/>
      <c r="AK1207" s="193"/>
      <c r="AL1207" s="193"/>
    </row>
    <row r="1208" spans="7:38">
      <c r="G1208" s="193"/>
      <c r="H1208" s="193"/>
      <c r="I1208" s="193"/>
      <c r="J1208" s="193"/>
      <c r="K1208" s="193"/>
      <c r="L1208" s="193"/>
      <c r="M1208" s="193"/>
      <c r="N1208" s="193"/>
      <c r="O1208" s="193"/>
      <c r="P1208" s="193"/>
      <c r="Q1208" s="193"/>
      <c r="R1208" s="193"/>
      <c r="S1208" s="193"/>
      <c r="T1208" s="193"/>
      <c r="U1208" s="193"/>
      <c r="V1208" s="193"/>
      <c r="W1208" s="193"/>
      <c r="X1208" s="193"/>
      <c r="Y1208" s="193"/>
      <c r="Z1208" s="193"/>
      <c r="AA1208" s="193"/>
      <c r="AB1208" s="193"/>
      <c r="AC1208" s="193"/>
      <c r="AD1208" s="193"/>
      <c r="AE1208" s="193"/>
      <c r="AF1208" s="193"/>
      <c r="AG1208" s="193"/>
      <c r="AH1208" s="193"/>
      <c r="AI1208" s="193"/>
      <c r="AJ1208" s="193"/>
      <c r="AK1208" s="193"/>
      <c r="AL1208" s="193"/>
    </row>
    <row r="1209" spans="7:38">
      <c r="G1209" s="193"/>
      <c r="H1209" s="193"/>
      <c r="I1209" s="193"/>
      <c r="J1209" s="193"/>
      <c r="K1209" s="193"/>
      <c r="L1209" s="193"/>
      <c r="M1209" s="193"/>
      <c r="N1209" s="193"/>
      <c r="O1209" s="193"/>
      <c r="P1209" s="193"/>
      <c r="Q1209" s="193"/>
      <c r="R1209" s="193"/>
      <c r="S1209" s="193"/>
      <c r="T1209" s="193"/>
      <c r="U1209" s="193"/>
      <c r="V1209" s="193"/>
      <c r="W1209" s="193"/>
      <c r="X1209" s="193"/>
      <c r="Y1209" s="193"/>
      <c r="Z1209" s="193"/>
      <c r="AA1209" s="193"/>
      <c r="AB1209" s="193"/>
      <c r="AC1209" s="193"/>
      <c r="AD1209" s="193"/>
      <c r="AE1209" s="193"/>
      <c r="AF1209" s="193"/>
      <c r="AG1209" s="193"/>
      <c r="AH1209" s="193"/>
      <c r="AI1209" s="193"/>
      <c r="AJ1209" s="193"/>
      <c r="AK1209" s="193"/>
      <c r="AL1209" s="193"/>
    </row>
    <row r="1210" spans="7:38">
      <c r="G1210" s="193"/>
      <c r="H1210" s="193"/>
      <c r="I1210" s="193"/>
      <c r="J1210" s="193"/>
      <c r="K1210" s="193"/>
      <c r="L1210" s="193"/>
      <c r="M1210" s="193"/>
      <c r="N1210" s="193"/>
      <c r="O1210" s="193"/>
      <c r="P1210" s="193"/>
      <c r="Q1210" s="193"/>
      <c r="R1210" s="193"/>
      <c r="S1210" s="193"/>
      <c r="T1210" s="193"/>
      <c r="U1210" s="193"/>
      <c r="V1210" s="193"/>
      <c r="W1210" s="193"/>
      <c r="X1210" s="193"/>
      <c r="Y1210" s="193"/>
      <c r="Z1210" s="193"/>
      <c r="AA1210" s="193"/>
      <c r="AB1210" s="193"/>
      <c r="AC1210" s="193"/>
      <c r="AD1210" s="193"/>
      <c r="AE1210" s="193"/>
      <c r="AF1210" s="193"/>
      <c r="AG1210" s="193"/>
      <c r="AH1210" s="193"/>
      <c r="AI1210" s="193"/>
      <c r="AJ1210" s="193"/>
      <c r="AK1210" s="193"/>
      <c r="AL1210" s="193"/>
    </row>
    <row r="1211" spans="7:38">
      <c r="G1211" s="193"/>
      <c r="H1211" s="193"/>
      <c r="I1211" s="193"/>
      <c r="J1211" s="193"/>
      <c r="K1211" s="193"/>
      <c r="L1211" s="193"/>
      <c r="M1211" s="193"/>
      <c r="N1211" s="193"/>
      <c r="O1211" s="193"/>
      <c r="P1211" s="193"/>
      <c r="Q1211" s="193"/>
      <c r="R1211" s="193"/>
      <c r="S1211" s="193"/>
      <c r="T1211" s="193"/>
      <c r="U1211" s="193"/>
      <c r="V1211" s="193"/>
      <c r="W1211" s="193"/>
      <c r="X1211" s="193"/>
      <c r="Y1211" s="193"/>
      <c r="Z1211" s="193"/>
      <c r="AA1211" s="193"/>
      <c r="AB1211" s="193"/>
      <c r="AC1211" s="193"/>
      <c r="AD1211" s="193"/>
      <c r="AE1211" s="193"/>
      <c r="AF1211" s="193"/>
      <c r="AG1211" s="193"/>
      <c r="AH1211" s="193"/>
      <c r="AI1211" s="193"/>
      <c r="AJ1211" s="193"/>
      <c r="AK1211" s="193"/>
      <c r="AL1211" s="193"/>
    </row>
    <row r="1212" spans="7:38">
      <c r="G1212" s="193"/>
      <c r="H1212" s="193"/>
      <c r="I1212" s="193"/>
      <c r="J1212" s="193"/>
      <c r="K1212" s="193"/>
      <c r="L1212" s="193"/>
      <c r="M1212" s="193"/>
      <c r="N1212" s="193"/>
      <c r="O1212" s="193"/>
      <c r="P1212" s="193"/>
      <c r="Q1212" s="193"/>
      <c r="R1212" s="193"/>
      <c r="S1212" s="193"/>
      <c r="T1212" s="193"/>
      <c r="U1212" s="193"/>
      <c r="V1212" s="193"/>
      <c r="W1212" s="193"/>
      <c r="X1212" s="193"/>
      <c r="Y1212" s="193"/>
      <c r="Z1212" s="193"/>
      <c r="AA1212" s="193"/>
      <c r="AB1212" s="193"/>
      <c r="AC1212" s="193"/>
      <c r="AD1212" s="193"/>
      <c r="AE1212" s="193"/>
      <c r="AF1212" s="193"/>
      <c r="AG1212" s="193"/>
      <c r="AH1212" s="193"/>
      <c r="AI1212" s="193"/>
      <c r="AJ1212" s="193"/>
      <c r="AK1212" s="193"/>
      <c r="AL1212" s="193"/>
    </row>
    <row r="1213" spans="7:38">
      <c r="G1213" s="193"/>
      <c r="H1213" s="193"/>
      <c r="I1213" s="193"/>
      <c r="J1213" s="193"/>
      <c r="K1213" s="193"/>
      <c r="L1213" s="193"/>
      <c r="M1213" s="193"/>
      <c r="N1213" s="193"/>
      <c r="O1213" s="193"/>
      <c r="P1213" s="193"/>
      <c r="Q1213" s="193"/>
      <c r="R1213" s="193"/>
      <c r="S1213" s="193"/>
      <c r="T1213" s="193"/>
      <c r="U1213" s="193"/>
      <c r="V1213" s="193"/>
      <c r="W1213" s="193"/>
      <c r="X1213" s="193"/>
      <c r="Y1213" s="193"/>
      <c r="Z1213" s="193"/>
      <c r="AA1213" s="193"/>
      <c r="AB1213" s="193"/>
      <c r="AC1213" s="193"/>
      <c r="AD1213" s="193"/>
      <c r="AE1213" s="193"/>
      <c r="AF1213" s="193"/>
      <c r="AG1213" s="193"/>
      <c r="AH1213" s="193"/>
      <c r="AI1213" s="193"/>
      <c r="AJ1213" s="193"/>
      <c r="AK1213" s="193"/>
      <c r="AL1213" s="193"/>
    </row>
    <row r="1214" spans="7:38">
      <c r="G1214" s="193"/>
      <c r="H1214" s="193"/>
      <c r="I1214" s="193"/>
      <c r="J1214" s="193"/>
      <c r="K1214" s="193"/>
      <c r="L1214" s="193"/>
      <c r="M1214" s="193"/>
      <c r="N1214" s="193"/>
      <c r="O1214" s="193"/>
      <c r="P1214" s="193"/>
      <c r="Q1214" s="193"/>
      <c r="R1214" s="193"/>
      <c r="S1214" s="193"/>
      <c r="T1214" s="193"/>
      <c r="U1214" s="193"/>
      <c r="V1214" s="193"/>
      <c r="W1214" s="193"/>
      <c r="X1214" s="193"/>
      <c r="Y1214" s="193"/>
      <c r="Z1214" s="193"/>
      <c r="AA1214" s="193"/>
      <c r="AB1214" s="193"/>
      <c r="AC1214" s="193"/>
      <c r="AD1214" s="193"/>
      <c r="AE1214" s="193"/>
      <c r="AF1214" s="193"/>
      <c r="AG1214" s="193"/>
      <c r="AH1214" s="193"/>
      <c r="AI1214" s="193"/>
      <c r="AJ1214" s="193"/>
      <c r="AK1214" s="193"/>
      <c r="AL1214" s="193"/>
    </row>
    <row r="1215" spans="7:38">
      <c r="G1215" s="193"/>
      <c r="H1215" s="193"/>
      <c r="I1215" s="193"/>
      <c r="J1215" s="193"/>
      <c r="K1215" s="193"/>
      <c r="L1215" s="193"/>
      <c r="M1215" s="193"/>
      <c r="N1215" s="193"/>
      <c r="O1215" s="193"/>
      <c r="P1215" s="193"/>
      <c r="Q1215" s="193"/>
      <c r="R1215" s="193"/>
      <c r="S1215" s="193"/>
      <c r="T1215" s="193"/>
      <c r="U1215" s="193"/>
      <c r="V1215" s="193"/>
      <c r="W1215" s="193"/>
      <c r="X1215" s="193"/>
      <c r="Y1215" s="193"/>
      <c r="Z1215" s="193"/>
      <c r="AA1215" s="193"/>
      <c r="AB1215" s="193"/>
      <c r="AC1215" s="193"/>
      <c r="AD1215" s="193"/>
      <c r="AE1215" s="193"/>
      <c r="AF1215" s="193"/>
      <c r="AG1215" s="193"/>
      <c r="AH1215" s="193"/>
      <c r="AI1215" s="193"/>
      <c r="AJ1215" s="193"/>
      <c r="AK1215" s="193"/>
      <c r="AL1215" s="193"/>
    </row>
    <row r="1216" spans="7:38">
      <c r="G1216" s="193"/>
      <c r="H1216" s="193"/>
      <c r="I1216" s="193"/>
      <c r="J1216" s="193"/>
      <c r="K1216" s="193"/>
      <c r="L1216" s="193"/>
      <c r="M1216" s="193"/>
      <c r="N1216" s="193"/>
      <c r="O1216" s="193"/>
      <c r="P1216" s="193"/>
      <c r="Q1216" s="193"/>
      <c r="R1216" s="193"/>
      <c r="S1216" s="193"/>
      <c r="T1216" s="193"/>
      <c r="U1216" s="193"/>
      <c r="V1216" s="193"/>
      <c r="W1216" s="193"/>
      <c r="X1216" s="193"/>
      <c r="Y1216" s="193"/>
      <c r="Z1216" s="193"/>
      <c r="AA1216" s="193"/>
      <c r="AB1216" s="193"/>
      <c r="AC1216" s="193"/>
      <c r="AD1216" s="193"/>
      <c r="AE1216" s="193"/>
      <c r="AF1216" s="193"/>
      <c r="AG1216" s="193"/>
      <c r="AH1216" s="193"/>
      <c r="AI1216" s="193"/>
      <c r="AJ1216" s="193"/>
      <c r="AK1216" s="193"/>
      <c r="AL1216" s="193"/>
    </row>
    <row r="1217" spans="7:38">
      <c r="G1217" s="193"/>
      <c r="H1217" s="193"/>
      <c r="I1217" s="193"/>
      <c r="J1217" s="193"/>
      <c r="K1217" s="193"/>
      <c r="L1217" s="193"/>
      <c r="M1217" s="193"/>
      <c r="N1217" s="193"/>
      <c r="O1217" s="193"/>
      <c r="P1217" s="193"/>
      <c r="Q1217" s="193"/>
      <c r="R1217" s="193"/>
      <c r="S1217" s="193"/>
      <c r="T1217" s="193"/>
      <c r="U1217" s="193"/>
      <c r="V1217" s="193"/>
      <c r="W1217" s="193"/>
      <c r="X1217" s="193"/>
      <c r="Y1217" s="193"/>
      <c r="Z1217" s="193"/>
      <c r="AA1217" s="193"/>
      <c r="AB1217" s="193"/>
      <c r="AC1217" s="193"/>
      <c r="AD1217" s="193"/>
      <c r="AE1217" s="193"/>
      <c r="AF1217" s="193"/>
      <c r="AG1217" s="193"/>
      <c r="AH1217" s="193"/>
      <c r="AI1217" s="193"/>
      <c r="AJ1217" s="193"/>
      <c r="AK1217" s="193"/>
      <c r="AL1217" s="193"/>
    </row>
    <row r="1218" spans="7:38">
      <c r="G1218" s="193"/>
      <c r="H1218" s="193"/>
      <c r="I1218" s="193"/>
      <c r="J1218" s="193"/>
      <c r="K1218" s="193"/>
      <c r="L1218" s="193"/>
      <c r="M1218" s="193"/>
      <c r="N1218" s="193"/>
      <c r="O1218" s="193"/>
      <c r="P1218" s="193"/>
      <c r="Q1218" s="193"/>
      <c r="R1218" s="193"/>
      <c r="S1218" s="193"/>
      <c r="T1218" s="193"/>
      <c r="U1218" s="193"/>
      <c r="V1218" s="193"/>
      <c r="W1218" s="193"/>
      <c r="X1218" s="193"/>
      <c r="Y1218" s="193"/>
      <c r="Z1218" s="193"/>
      <c r="AA1218" s="193"/>
      <c r="AB1218" s="193"/>
      <c r="AC1218" s="193"/>
      <c r="AD1218" s="193"/>
      <c r="AE1218" s="193"/>
      <c r="AF1218" s="193"/>
      <c r="AG1218" s="193"/>
      <c r="AH1218" s="193"/>
      <c r="AI1218" s="193"/>
      <c r="AJ1218" s="193"/>
      <c r="AK1218" s="193"/>
      <c r="AL1218" s="193"/>
    </row>
    <row r="1219" spans="7:38">
      <c r="G1219" s="193"/>
      <c r="H1219" s="193"/>
      <c r="I1219" s="193"/>
      <c r="J1219" s="193"/>
      <c r="K1219" s="193"/>
      <c r="L1219" s="193"/>
      <c r="M1219" s="193"/>
      <c r="N1219" s="193"/>
      <c r="O1219" s="193"/>
      <c r="P1219" s="193"/>
      <c r="Q1219" s="193"/>
      <c r="R1219" s="193"/>
      <c r="S1219" s="193"/>
      <c r="T1219" s="193"/>
      <c r="U1219" s="193"/>
      <c r="V1219" s="193"/>
      <c r="W1219" s="193"/>
      <c r="X1219" s="193"/>
      <c r="Y1219" s="193"/>
      <c r="Z1219" s="193"/>
      <c r="AA1219" s="193"/>
      <c r="AB1219" s="193"/>
      <c r="AC1219" s="193"/>
      <c r="AD1219" s="193"/>
      <c r="AE1219" s="193"/>
      <c r="AF1219" s="193"/>
      <c r="AG1219" s="193"/>
      <c r="AH1219" s="193"/>
      <c r="AI1219" s="193"/>
      <c r="AJ1219" s="193"/>
      <c r="AK1219" s="193"/>
      <c r="AL1219" s="193"/>
    </row>
    <row r="1220" spans="7:38">
      <c r="G1220" s="193"/>
      <c r="H1220" s="193"/>
      <c r="I1220" s="193"/>
      <c r="J1220" s="193"/>
      <c r="K1220" s="193"/>
      <c r="L1220" s="193"/>
      <c r="M1220" s="193"/>
      <c r="N1220" s="193"/>
      <c r="O1220" s="193"/>
      <c r="P1220" s="193"/>
      <c r="Q1220" s="193"/>
      <c r="R1220" s="193"/>
      <c r="S1220" s="193"/>
      <c r="T1220" s="193"/>
      <c r="U1220" s="193"/>
      <c r="V1220" s="193"/>
      <c r="W1220" s="193"/>
      <c r="X1220" s="193"/>
      <c r="Y1220" s="193"/>
      <c r="Z1220" s="193"/>
      <c r="AA1220" s="193"/>
      <c r="AB1220" s="193"/>
      <c r="AC1220" s="193"/>
      <c r="AD1220" s="193"/>
      <c r="AE1220" s="193"/>
      <c r="AF1220" s="193"/>
      <c r="AG1220" s="193"/>
      <c r="AH1220" s="193"/>
      <c r="AI1220" s="193"/>
      <c r="AJ1220" s="193"/>
      <c r="AK1220" s="193"/>
      <c r="AL1220" s="193"/>
    </row>
    <row r="1221" spans="7:38">
      <c r="G1221" s="193"/>
      <c r="H1221" s="193"/>
      <c r="I1221" s="193"/>
      <c r="J1221" s="193"/>
      <c r="K1221" s="193"/>
      <c r="L1221" s="193"/>
      <c r="M1221" s="193"/>
      <c r="N1221" s="193"/>
      <c r="O1221" s="193"/>
      <c r="P1221" s="193"/>
      <c r="Q1221" s="193"/>
      <c r="R1221" s="193"/>
      <c r="S1221" s="193"/>
      <c r="T1221" s="193"/>
      <c r="U1221" s="193"/>
      <c r="V1221" s="193"/>
      <c r="W1221" s="193"/>
      <c r="X1221" s="193"/>
      <c r="Y1221" s="193"/>
      <c r="Z1221" s="193"/>
      <c r="AA1221" s="193"/>
      <c r="AB1221" s="193"/>
      <c r="AC1221" s="193"/>
      <c r="AD1221" s="193"/>
      <c r="AE1221" s="193"/>
      <c r="AF1221" s="193"/>
      <c r="AG1221" s="193"/>
      <c r="AH1221" s="193"/>
      <c r="AI1221" s="193"/>
      <c r="AJ1221" s="193"/>
      <c r="AK1221" s="193"/>
      <c r="AL1221" s="193"/>
    </row>
    <row r="1222" spans="7:38">
      <c r="G1222" s="193"/>
      <c r="H1222" s="193"/>
      <c r="I1222" s="193"/>
      <c r="J1222" s="193"/>
      <c r="K1222" s="193"/>
      <c r="L1222" s="193"/>
      <c r="M1222" s="193"/>
      <c r="N1222" s="193"/>
      <c r="O1222" s="193"/>
      <c r="P1222" s="193"/>
      <c r="Q1222" s="193"/>
      <c r="R1222" s="193"/>
      <c r="S1222" s="193"/>
      <c r="T1222" s="193"/>
      <c r="U1222" s="193"/>
      <c r="V1222" s="193"/>
      <c r="W1222" s="193"/>
      <c r="X1222" s="193"/>
      <c r="Y1222" s="193"/>
      <c r="Z1222" s="193"/>
      <c r="AA1222" s="193"/>
      <c r="AB1222" s="193"/>
      <c r="AC1222" s="193"/>
      <c r="AD1222" s="193"/>
      <c r="AE1222" s="193"/>
      <c r="AF1222" s="193"/>
      <c r="AG1222" s="193"/>
      <c r="AH1222" s="193"/>
      <c r="AI1222" s="193"/>
      <c r="AJ1222" s="193"/>
      <c r="AK1222" s="193"/>
      <c r="AL1222" s="193"/>
    </row>
    <row r="1223" spans="7:38">
      <c r="G1223" s="193"/>
      <c r="H1223" s="193"/>
      <c r="I1223" s="193"/>
      <c r="J1223" s="193"/>
      <c r="K1223" s="193"/>
      <c r="L1223" s="193"/>
      <c r="M1223" s="193"/>
      <c r="N1223" s="193"/>
      <c r="O1223" s="193"/>
      <c r="P1223" s="193"/>
      <c r="Q1223" s="193"/>
      <c r="R1223" s="193"/>
      <c r="S1223" s="193"/>
      <c r="T1223" s="193"/>
      <c r="U1223" s="193"/>
      <c r="V1223" s="193"/>
      <c r="W1223" s="193"/>
      <c r="X1223" s="193"/>
      <c r="Y1223" s="193"/>
      <c r="Z1223" s="193"/>
      <c r="AA1223" s="193"/>
      <c r="AB1223" s="193"/>
      <c r="AC1223" s="193"/>
      <c r="AD1223" s="193"/>
      <c r="AE1223" s="193"/>
      <c r="AF1223" s="193"/>
      <c r="AG1223" s="193"/>
      <c r="AH1223" s="193"/>
      <c r="AI1223" s="193"/>
      <c r="AJ1223" s="193"/>
      <c r="AK1223" s="193"/>
      <c r="AL1223" s="193"/>
    </row>
    <row r="1224" spans="7:38">
      <c r="G1224" s="193"/>
      <c r="H1224" s="193"/>
      <c r="I1224" s="193"/>
      <c r="J1224" s="193"/>
      <c r="K1224" s="193"/>
      <c r="L1224" s="193"/>
      <c r="M1224" s="193"/>
      <c r="N1224" s="193"/>
      <c r="O1224" s="193"/>
      <c r="P1224" s="193"/>
      <c r="Q1224" s="193"/>
      <c r="R1224" s="193"/>
      <c r="S1224" s="193"/>
      <c r="T1224" s="193"/>
      <c r="U1224" s="193"/>
      <c r="V1224" s="193"/>
      <c r="W1224" s="193"/>
      <c r="X1224" s="193"/>
      <c r="Y1224" s="193"/>
      <c r="Z1224" s="193"/>
      <c r="AA1224" s="193"/>
      <c r="AB1224" s="193"/>
      <c r="AC1224" s="193"/>
      <c r="AD1224" s="193"/>
      <c r="AE1224" s="193"/>
      <c r="AF1224" s="193"/>
      <c r="AG1224" s="193"/>
      <c r="AH1224" s="193"/>
      <c r="AI1224" s="193"/>
      <c r="AJ1224" s="193"/>
      <c r="AK1224" s="193"/>
      <c r="AL1224" s="193"/>
    </row>
    <row r="1225" spans="7:38">
      <c r="G1225" s="193"/>
      <c r="H1225" s="193"/>
      <c r="I1225" s="193"/>
      <c r="J1225" s="193"/>
      <c r="K1225" s="193"/>
      <c r="L1225" s="193"/>
      <c r="M1225" s="193"/>
      <c r="N1225" s="193"/>
      <c r="O1225" s="193"/>
      <c r="P1225" s="193"/>
      <c r="Q1225" s="193"/>
      <c r="R1225" s="193"/>
      <c r="S1225" s="193"/>
      <c r="T1225" s="193"/>
      <c r="U1225" s="193"/>
      <c r="V1225" s="193"/>
      <c r="W1225" s="193"/>
      <c r="X1225" s="193"/>
      <c r="Y1225" s="193"/>
      <c r="Z1225" s="193"/>
      <c r="AA1225" s="193"/>
      <c r="AB1225" s="193"/>
      <c r="AC1225" s="193"/>
      <c r="AD1225" s="193"/>
      <c r="AE1225" s="193"/>
      <c r="AF1225" s="193"/>
      <c r="AG1225" s="193"/>
      <c r="AH1225" s="193"/>
      <c r="AI1225" s="193"/>
      <c r="AJ1225" s="193"/>
      <c r="AK1225" s="193"/>
      <c r="AL1225" s="193"/>
    </row>
    <row r="1226" spans="7:38">
      <c r="G1226" s="193"/>
      <c r="H1226" s="193"/>
      <c r="I1226" s="193"/>
      <c r="J1226" s="193"/>
      <c r="K1226" s="193"/>
      <c r="L1226" s="193"/>
      <c r="M1226" s="193"/>
      <c r="N1226" s="193"/>
      <c r="O1226" s="193"/>
      <c r="P1226" s="193"/>
      <c r="Q1226" s="193"/>
      <c r="R1226" s="193"/>
      <c r="S1226" s="193"/>
      <c r="T1226" s="193"/>
      <c r="U1226" s="193"/>
      <c r="V1226" s="193"/>
      <c r="W1226" s="193"/>
      <c r="X1226" s="193"/>
      <c r="Y1226" s="193"/>
      <c r="Z1226" s="193"/>
      <c r="AA1226" s="193"/>
      <c r="AB1226" s="193"/>
      <c r="AC1226" s="193"/>
      <c r="AD1226" s="193"/>
      <c r="AE1226" s="193"/>
      <c r="AF1226" s="193"/>
      <c r="AG1226" s="193"/>
      <c r="AH1226" s="193"/>
      <c r="AI1226" s="193"/>
      <c r="AJ1226" s="193"/>
      <c r="AK1226" s="193"/>
      <c r="AL1226" s="193"/>
    </row>
    <row r="1227" spans="7:38">
      <c r="G1227" s="193"/>
      <c r="H1227" s="193"/>
      <c r="I1227" s="193"/>
      <c r="J1227" s="193"/>
      <c r="K1227" s="193"/>
      <c r="L1227" s="193"/>
      <c r="M1227" s="193"/>
      <c r="N1227" s="193"/>
      <c r="O1227" s="193"/>
      <c r="P1227" s="193"/>
      <c r="Q1227" s="193"/>
      <c r="R1227" s="193"/>
      <c r="S1227" s="193"/>
      <c r="T1227" s="193"/>
      <c r="U1227" s="193"/>
      <c r="V1227" s="193"/>
      <c r="W1227" s="193"/>
      <c r="X1227" s="193"/>
      <c r="Y1227" s="193"/>
      <c r="Z1227" s="193"/>
      <c r="AA1227" s="193"/>
      <c r="AB1227" s="193"/>
      <c r="AC1227" s="193"/>
      <c r="AD1227" s="193"/>
      <c r="AE1227" s="193"/>
      <c r="AF1227" s="193"/>
      <c r="AG1227" s="193"/>
      <c r="AH1227" s="193"/>
      <c r="AI1227" s="193"/>
      <c r="AJ1227" s="193"/>
      <c r="AK1227" s="193"/>
      <c r="AL1227" s="193"/>
    </row>
    <row r="1228" spans="7:38">
      <c r="G1228" s="193"/>
      <c r="H1228" s="193"/>
      <c r="I1228" s="193"/>
      <c r="J1228" s="193"/>
      <c r="K1228" s="193"/>
      <c r="L1228" s="193"/>
      <c r="M1228" s="193"/>
      <c r="N1228" s="193"/>
      <c r="O1228" s="193"/>
      <c r="P1228" s="193"/>
      <c r="Q1228" s="193"/>
      <c r="R1228" s="193"/>
      <c r="S1228" s="193"/>
      <c r="T1228" s="193"/>
      <c r="U1228" s="193"/>
      <c r="V1228" s="193"/>
      <c r="W1228" s="193"/>
      <c r="X1228" s="193"/>
      <c r="Y1228" s="193"/>
      <c r="Z1228" s="193"/>
      <c r="AA1228" s="193"/>
      <c r="AB1228" s="193"/>
      <c r="AC1228" s="193"/>
      <c r="AD1228" s="193"/>
      <c r="AE1228" s="193"/>
      <c r="AF1228" s="193"/>
      <c r="AG1228" s="193"/>
      <c r="AH1228" s="193"/>
      <c r="AI1228" s="193"/>
      <c r="AJ1228" s="193"/>
      <c r="AK1228" s="193"/>
      <c r="AL1228" s="193"/>
    </row>
    <row r="1229" spans="7:38">
      <c r="G1229" s="193"/>
      <c r="H1229" s="193"/>
      <c r="I1229" s="193"/>
      <c r="J1229" s="193"/>
      <c r="K1229" s="193"/>
      <c r="L1229" s="193"/>
      <c r="M1229" s="193"/>
      <c r="N1229" s="193"/>
      <c r="O1229" s="193"/>
      <c r="P1229" s="193"/>
      <c r="Q1229" s="193"/>
      <c r="R1229" s="193"/>
      <c r="S1229" s="193"/>
      <c r="T1229" s="193"/>
      <c r="U1229" s="193"/>
      <c r="V1229" s="193"/>
      <c r="W1229" s="193"/>
      <c r="X1229" s="193"/>
      <c r="Y1229" s="193"/>
      <c r="Z1229" s="193"/>
      <c r="AA1229" s="193"/>
      <c r="AB1229" s="193"/>
      <c r="AC1229" s="193"/>
      <c r="AD1229" s="193"/>
      <c r="AE1229" s="193"/>
      <c r="AF1229" s="193"/>
      <c r="AG1229" s="193"/>
      <c r="AH1229" s="193"/>
      <c r="AI1229" s="193"/>
      <c r="AJ1229" s="193"/>
      <c r="AK1229" s="193"/>
      <c r="AL1229" s="193"/>
    </row>
    <row r="1230" spans="7:38">
      <c r="G1230" s="193"/>
      <c r="H1230" s="193"/>
      <c r="I1230" s="193"/>
      <c r="J1230" s="193"/>
      <c r="K1230" s="193"/>
      <c r="L1230" s="193"/>
      <c r="M1230" s="193"/>
      <c r="N1230" s="193"/>
      <c r="O1230" s="193"/>
      <c r="P1230" s="193"/>
      <c r="Q1230" s="193"/>
      <c r="R1230" s="193"/>
      <c r="S1230" s="193"/>
      <c r="T1230" s="193"/>
      <c r="U1230" s="193"/>
      <c r="V1230" s="193"/>
      <c r="W1230" s="193"/>
      <c r="X1230" s="193"/>
      <c r="Y1230" s="193"/>
      <c r="Z1230" s="193"/>
      <c r="AA1230" s="193"/>
      <c r="AB1230" s="193"/>
      <c r="AC1230" s="193"/>
      <c r="AD1230" s="193"/>
      <c r="AE1230" s="193"/>
      <c r="AF1230" s="193"/>
      <c r="AG1230" s="193"/>
      <c r="AH1230" s="193"/>
      <c r="AI1230" s="193"/>
      <c r="AJ1230" s="193"/>
      <c r="AK1230" s="193"/>
      <c r="AL1230" s="193"/>
    </row>
    <row r="1231" spans="7:38">
      <c r="G1231" s="193"/>
      <c r="H1231" s="193"/>
      <c r="I1231" s="193"/>
      <c r="J1231" s="193"/>
      <c r="K1231" s="193"/>
      <c r="L1231" s="193"/>
      <c r="M1231" s="193"/>
      <c r="N1231" s="193"/>
      <c r="O1231" s="193"/>
      <c r="P1231" s="193"/>
      <c r="Q1231" s="193"/>
      <c r="R1231" s="193"/>
      <c r="S1231" s="193"/>
      <c r="T1231" s="193"/>
      <c r="U1231" s="193"/>
      <c r="V1231" s="193"/>
      <c r="W1231" s="193"/>
      <c r="X1231" s="193"/>
      <c r="Y1231" s="193"/>
      <c r="Z1231" s="193"/>
      <c r="AA1231" s="193"/>
      <c r="AB1231" s="193"/>
      <c r="AC1231" s="193"/>
      <c r="AD1231" s="193"/>
      <c r="AE1231" s="193"/>
      <c r="AF1231" s="193"/>
      <c r="AG1231" s="193"/>
      <c r="AH1231" s="193"/>
      <c r="AI1231" s="193"/>
      <c r="AJ1231" s="193"/>
      <c r="AK1231" s="193"/>
      <c r="AL1231" s="193"/>
    </row>
    <row r="1232" spans="7:38">
      <c r="G1232" s="193"/>
      <c r="H1232" s="193"/>
      <c r="I1232" s="193"/>
      <c r="J1232" s="193"/>
      <c r="K1232" s="193"/>
      <c r="L1232" s="193"/>
      <c r="M1232" s="193"/>
      <c r="N1232" s="193"/>
      <c r="O1232" s="193"/>
      <c r="P1232" s="193"/>
      <c r="Q1232" s="193"/>
      <c r="R1232" s="193"/>
      <c r="S1232" s="193"/>
      <c r="T1232" s="193"/>
      <c r="U1232" s="193"/>
      <c r="V1232" s="193"/>
      <c r="W1232" s="193"/>
      <c r="X1232" s="193"/>
      <c r="Y1232" s="193"/>
      <c r="Z1232" s="193"/>
      <c r="AA1232" s="193"/>
      <c r="AB1232" s="193"/>
      <c r="AC1232" s="193"/>
      <c r="AD1232" s="193"/>
      <c r="AE1232" s="193"/>
      <c r="AF1232" s="193"/>
      <c r="AG1232" s="193"/>
      <c r="AH1232" s="193"/>
      <c r="AI1232" s="193"/>
      <c r="AJ1232" s="193"/>
      <c r="AK1232" s="193"/>
      <c r="AL1232" s="193"/>
    </row>
    <row r="1233" spans="7:38">
      <c r="G1233" s="193"/>
      <c r="H1233" s="193"/>
      <c r="I1233" s="193"/>
      <c r="J1233" s="193"/>
      <c r="K1233" s="193"/>
      <c r="L1233" s="193"/>
      <c r="M1233" s="193"/>
      <c r="N1233" s="193"/>
      <c r="O1233" s="193"/>
      <c r="P1233" s="193"/>
      <c r="Q1233" s="193"/>
      <c r="R1233" s="193"/>
      <c r="S1233" s="193"/>
      <c r="T1233" s="193"/>
      <c r="U1233" s="193"/>
      <c r="V1233" s="193"/>
      <c r="W1233" s="193"/>
      <c r="X1233" s="193"/>
      <c r="Y1233" s="193"/>
      <c r="Z1233" s="193"/>
      <c r="AA1233" s="193"/>
      <c r="AB1233" s="193"/>
      <c r="AC1233" s="193"/>
      <c r="AD1233" s="193"/>
      <c r="AE1233" s="193"/>
      <c r="AF1233" s="193"/>
      <c r="AG1233" s="193"/>
      <c r="AH1233" s="193"/>
      <c r="AI1233" s="193"/>
      <c r="AJ1233" s="193"/>
      <c r="AK1233" s="193"/>
      <c r="AL1233" s="193"/>
    </row>
    <row r="1234" spans="7:38">
      <c r="G1234" s="193"/>
      <c r="H1234" s="193"/>
      <c r="I1234" s="193"/>
      <c r="J1234" s="193"/>
      <c r="K1234" s="193"/>
      <c r="L1234" s="193"/>
      <c r="M1234" s="193"/>
      <c r="N1234" s="193"/>
      <c r="O1234" s="193"/>
      <c r="P1234" s="193"/>
      <c r="Q1234" s="193"/>
      <c r="R1234" s="193"/>
      <c r="S1234" s="193"/>
      <c r="T1234" s="193"/>
      <c r="U1234" s="193"/>
      <c r="V1234" s="193"/>
      <c r="W1234" s="193"/>
      <c r="X1234" s="193"/>
      <c r="Y1234" s="193"/>
      <c r="Z1234" s="193"/>
      <c r="AA1234" s="193"/>
      <c r="AB1234" s="193"/>
      <c r="AC1234" s="193"/>
      <c r="AD1234" s="193"/>
      <c r="AE1234" s="193"/>
      <c r="AF1234" s="193"/>
      <c r="AG1234" s="193"/>
      <c r="AH1234" s="193"/>
      <c r="AI1234" s="193"/>
      <c r="AJ1234" s="193"/>
      <c r="AK1234" s="193"/>
      <c r="AL1234" s="193"/>
    </row>
    <row r="1235" spans="7:38">
      <c r="G1235" s="193"/>
      <c r="H1235" s="193"/>
      <c r="I1235" s="193"/>
      <c r="J1235" s="193"/>
      <c r="K1235" s="193"/>
      <c r="L1235" s="193"/>
      <c r="M1235" s="193"/>
      <c r="N1235" s="193"/>
      <c r="O1235" s="193"/>
      <c r="P1235" s="193"/>
      <c r="Q1235" s="193"/>
      <c r="R1235" s="193"/>
      <c r="S1235" s="193"/>
      <c r="T1235" s="193"/>
      <c r="U1235" s="193"/>
      <c r="V1235" s="193"/>
      <c r="W1235" s="193"/>
      <c r="X1235" s="193"/>
      <c r="Y1235" s="193"/>
      <c r="Z1235" s="193"/>
      <c r="AA1235" s="193"/>
      <c r="AB1235" s="193"/>
      <c r="AC1235" s="193"/>
      <c r="AD1235" s="193"/>
      <c r="AE1235" s="193"/>
      <c r="AF1235" s="193"/>
      <c r="AG1235" s="193"/>
      <c r="AH1235" s="193"/>
      <c r="AI1235" s="193"/>
      <c r="AJ1235" s="193"/>
      <c r="AK1235" s="193"/>
      <c r="AL1235" s="193"/>
    </row>
    <row r="1236" spans="7:38">
      <c r="G1236" s="193"/>
      <c r="H1236" s="193"/>
      <c r="I1236" s="193"/>
      <c r="J1236" s="193"/>
      <c r="K1236" s="193"/>
      <c r="L1236" s="193"/>
      <c r="M1236" s="193"/>
      <c r="N1236" s="193"/>
      <c r="O1236" s="193"/>
      <c r="P1236" s="193"/>
      <c r="Q1236" s="193"/>
      <c r="R1236" s="193"/>
      <c r="S1236" s="193"/>
      <c r="T1236" s="193"/>
      <c r="U1236" s="193"/>
      <c r="V1236" s="193"/>
      <c r="W1236" s="193"/>
      <c r="X1236" s="193"/>
      <c r="Y1236" s="193"/>
      <c r="Z1236" s="193"/>
      <c r="AA1236" s="193"/>
      <c r="AB1236" s="193"/>
      <c r="AC1236" s="193"/>
      <c r="AD1236" s="193"/>
      <c r="AE1236" s="193"/>
      <c r="AF1236" s="193"/>
      <c r="AG1236" s="193"/>
      <c r="AH1236" s="193"/>
      <c r="AI1236" s="193"/>
      <c r="AJ1236" s="193"/>
      <c r="AK1236" s="193"/>
      <c r="AL1236" s="193"/>
    </row>
    <row r="1237" spans="7:38">
      <c r="G1237" s="193"/>
      <c r="H1237" s="193"/>
      <c r="I1237" s="193"/>
      <c r="J1237" s="193"/>
      <c r="K1237" s="193"/>
      <c r="L1237" s="193"/>
      <c r="M1237" s="193"/>
      <c r="N1237" s="193"/>
      <c r="O1237" s="193"/>
      <c r="P1237" s="193"/>
      <c r="Q1237" s="193"/>
      <c r="R1237" s="193"/>
      <c r="S1237" s="193"/>
      <c r="T1237" s="193"/>
      <c r="U1237" s="193"/>
      <c r="V1237" s="193"/>
      <c r="W1237" s="193"/>
      <c r="X1237" s="193"/>
      <c r="Y1237" s="193"/>
      <c r="Z1237" s="193"/>
      <c r="AA1237" s="193"/>
      <c r="AB1237" s="193"/>
      <c r="AC1237" s="193"/>
      <c r="AD1237" s="193"/>
      <c r="AE1237" s="193"/>
      <c r="AF1237" s="193"/>
      <c r="AG1237" s="193"/>
      <c r="AH1237" s="193"/>
      <c r="AI1237" s="193"/>
      <c r="AJ1237" s="193"/>
      <c r="AK1237" s="193"/>
      <c r="AL1237" s="193"/>
    </row>
    <row r="1238" spans="7:38">
      <c r="G1238" s="193"/>
      <c r="H1238" s="193"/>
      <c r="I1238" s="193"/>
      <c r="J1238" s="193"/>
      <c r="K1238" s="193"/>
      <c r="L1238" s="193"/>
      <c r="M1238" s="193"/>
      <c r="N1238" s="193"/>
      <c r="O1238" s="193"/>
      <c r="P1238" s="193"/>
      <c r="Q1238" s="193"/>
      <c r="R1238" s="193"/>
      <c r="S1238" s="193"/>
      <c r="T1238" s="193"/>
      <c r="U1238" s="193"/>
      <c r="V1238" s="193"/>
      <c r="W1238" s="193"/>
      <c r="X1238" s="193"/>
      <c r="Y1238" s="193"/>
      <c r="Z1238" s="193"/>
      <c r="AA1238" s="193"/>
      <c r="AB1238" s="193"/>
      <c r="AC1238" s="193"/>
      <c r="AD1238" s="193"/>
      <c r="AE1238" s="193"/>
      <c r="AF1238" s="193"/>
      <c r="AG1238" s="193"/>
      <c r="AH1238" s="193"/>
      <c r="AI1238" s="193"/>
      <c r="AJ1238" s="193"/>
      <c r="AK1238" s="193"/>
      <c r="AL1238" s="193"/>
    </row>
    <row r="1239" spans="7:38">
      <c r="G1239" s="193"/>
      <c r="H1239" s="193"/>
      <c r="I1239" s="193"/>
      <c r="J1239" s="193"/>
      <c r="K1239" s="193"/>
      <c r="L1239" s="193"/>
      <c r="M1239" s="193"/>
      <c r="N1239" s="193"/>
      <c r="O1239" s="193"/>
      <c r="P1239" s="193"/>
      <c r="Q1239" s="193"/>
      <c r="R1239" s="193"/>
      <c r="S1239" s="193"/>
      <c r="T1239" s="193"/>
      <c r="U1239" s="193"/>
      <c r="V1239" s="193"/>
      <c r="W1239" s="193"/>
      <c r="X1239" s="193"/>
      <c r="Y1239" s="193"/>
      <c r="Z1239" s="193"/>
      <c r="AA1239" s="193"/>
      <c r="AB1239" s="193"/>
      <c r="AC1239" s="193"/>
      <c r="AD1239" s="193"/>
      <c r="AE1239" s="193"/>
      <c r="AF1239" s="193"/>
      <c r="AG1239" s="193"/>
      <c r="AH1239" s="193"/>
      <c r="AI1239" s="193"/>
      <c r="AJ1239" s="193"/>
      <c r="AK1239" s="193"/>
      <c r="AL1239" s="193"/>
    </row>
    <row r="1240" spans="7:38">
      <c r="G1240" s="193"/>
      <c r="H1240" s="193"/>
      <c r="I1240" s="193"/>
      <c r="J1240" s="193"/>
      <c r="K1240" s="193"/>
      <c r="L1240" s="193"/>
      <c r="M1240" s="193"/>
      <c r="N1240" s="193"/>
      <c r="O1240" s="193"/>
      <c r="P1240" s="193"/>
      <c r="Q1240" s="193"/>
      <c r="R1240" s="193"/>
      <c r="S1240" s="193"/>
      <c r="T1240" s="193"/>
      <c r="U1240" s="193"/>
      <c r="V1240" s="193"/>
      <c r="W1240" s="193"/>
      <c r="X1240" s="193"/>
      <c r="Y1240" s="193"/>
      <c r="Z1240" s="193"/>
      <c r="AA1240" s="193"/>
      <c r="AB1240" s="193"/>
      <c r="AC1240" s="193"/>
      <c r="AD1240" s="193"/>
      <c r="AE1240" s="193"/>
      <c r="AF1240" s="193"/>
      <c r="AG1240" s="193"/>
      <c r="AH1240" s="193"/>
      <c r="AI1240" s="193"/>
      <c r="AJ1240" s="193"/>
      <c r="AK1240" s="193"/>
      <c r="AL1240" s="193"/>
    </row>
    <row r="1241" spans="7:38">
      <c r="G1241" s="193"/>
      <c r="H1241" s="193"/>
      <c r="I1241" s="193"/>
      <c r="J1241" s="193"/>
      <c r="K1241" s="193"/>
      <c r="L1241" s="193"/>
      <c r="M1241" s="193"/>
      <c r="N1241" s="193"/>
      <c r="O1241" s="193"/>
      <c r="P1241" s="193"/>
      <c r="Q1241" s="193"/>
      <c r="R1241" s="193"/>
      <c r="S1241" s="193"/>
      <c r="T1241" s="193"/>
      <c r="U1241" s="193"/>
      <c r="V1241" s="193"/>
      <c r="W1241" s="193"/>
      <c r="X1241" s="193"/>
      <c r="Y1241" s="193"/>
      <c r="Z1241" s="193"/>
      <c r="AA1241" s="193"/>
      <c r="AB1241" s="193"/>
      <c r="AC1241" s="193"/>
      <c r="AD1241" s="193"/>
      <c r="AE1241" s="193"/>
      <c r="AF1241" s="193"/>
      <c r="AG1241" s="193"/>
      <c r="AH1241" s="193"/>
      <c r="AI1241" s="193"/>
      <c r="AJ1241" s="193"/>
      <c r="AK1241" s="193"/>
      <c r="AL1241" s="193"/>
    </row>
    <row r="1242" spans="7:38">
      <c r="G1242" s="193"/>
      <c r="H1242" s="193"/>
      <c r="I1242" s="193"/>
      <c r="J1242" s="193"/>
      <c r="K1242" s="193"/>
      <c r="L1242" s="193"/>
      <c r="M1242" s="193"/>
      <c r="N1242" s="193"/>
      <c r="O1242" s="193"/>
      <c r="P1242" s="193"/>
      <c r="Q1242" s="193"/>
      <c r="R1242" s="193"/>
      <c r="S1242" s="193"/>
      <c r="T1242" s="193"/>
      <c r="U1242" s="193"/>
      <c r="V1242" s="193"/>
      <c r="W1242" s="193"/>
      <c r="X1242" s="193"/>
      <c r="Y1242" s="193"/>
      <c r="Z1242" s="193"/>
      <c r="AA1242" s="193"/>
      <c r="AB1242" s="193"/>
      <c r="AC1242" s="193"/>
      <c r="AD1242" s="193"/>
      <c r="AE1242" s="193"/>
      <c r="AF1242" s="193"/>
      <c r="AG1242" s="193"/>
      <c r="AH1242" s="193"/>
      <c r="AI1242" s="193"/>
      <c r="AJ1242" s="193"/>
      <c r="AK1242" s="193"/>
      <c r="AL1242" s="193"/>
    </row>
    <row r="1243" spans="7:38">
      <c r="G1243" s="193"/>
      <c r="H1243" s="193"/>
      <c r="I1243" s="193"/>
      <c r="J1243" s="193"/>
      <c r="K1243" s="193"/>
      <c r="L1243" s="193"/>
      <c r="M1243" s="193"/>
      <c r="N1243" s="193"/>
      <c r="O1243" s="193"/>
      <c r="P1243" s="193"/>
      <c r="Q1243" s="193"/>
      <c r="R1243" s="193"/>
      <c r="S1243" s="193"/>
      <c r="T1243" s="193"/>
      <c r="U1243" s="193"/>
      <c r="V1243" s="193"/>
      <c r="W1243" s="193"/>
      <c r="X1243" s="193"/>
      <c r="Y1243" s="193"/>
      <c r="Z1243" s="193"/>
      <c r="AA1243" s="193"/>
      <c r="AB1243" s="193"/>
      <c r="AC1243" s="193"/>
      <c r="AD1243" s="193"/>
      <c r="AE1243" s="193"/>
      <c r="AF1243" s="193"/>
      <c r="AG1243" s="193"/>
      <c r="AH1243" s="193"/>
      <c r="AI1243" s="193"/>
      <c r="AJ1243" s="193"/>
      <c r="AK1243" s="193"/>
      <c r="AL1243" s="193"/>
    </row>
    <row r="1244" spans="7:38">
      <c r="G1244" s="193"/>
      <c r="H1244" s="193"/>
      <c r="I1244" s="193"/>
      <c r="J1244" s="193"/>
      <c r="K1244" s="193"/>
      <c r="L1244" s="193"/>
      <c r="M1244" s="193"/>
      <c r="N1244" s="193"/>
      <c r="O1244" s="193"/>
      <c r="P1244" s="193"/>
      <c r="Q1244" s="193"/>
      <c r="R1244" s="193"/>
      <c r="S1244" s="193"/>
      <c r="T1244" s="193"/>
      <c r="U1244" s="193"/>
      <c r="V1244" s="193"/>
      <c r="W1244" s="193"/>
      <c r="X1244" s="193"/>
      <c r="Y1244" s="193"/>
      <c r="Z1244" s="193"/>
      <c r="AA1244" s="193"/>
      <c r="AB1244" s="193"/>
      <c r="AC1244" s="193"/>
      <c r="AD1244" s="193"/>
      <c r="AE1244" s="193"/>
      <c r="AF1244" s="193"/>
      <c r="AG1244" s="193"/>
      <c r="AH1244" s="193"/>
      <c r="AI1244" s="193"/>
      <c r="AJ1244" s="193"/>
      <c r="AK1244" s="193"/>
      <c r="AL1244" s="193"/>
    </row>
  </sheetData>
  <mergeCells count="3">
    <mergeCell ref="G2:AL2"/>
    <mergeCell ref="G3:AL3"/>
    <mergeCell ref="G4:AL4"/>
  </mergeCells>
  <phoneticPr fontId="2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1"/>
  <dimension ref="A1:O61"/>
  <sheetViews>
    <sheetView topLeftCell="A11" zoomScaleNormal="100" workbookViewId="0">
      <selection activeCell="I2" sqref="I2:I27"/>
    </sheetView>
  </sheetViews>
  <sheetFormatPr defaultColWidth="17.375" defaultRowHeight="12"/>
  <cols>
    <col min="1" max="1" width="16.5" style="47" bestFit="1" customWidth="1"/>
    <col min="2" max="2" width="4.375" style="47" bestFit="1" customWidth="1"/>
    <col min="3" max="3" width="3.125" style="47" bestFit="1" customWidth="1"/>
    <col min="4" max="4" width="2.875" style="47" bestFit="1" customWidth="1"/>
    <col min="5" max="5" width="18.5" style="47" bestFit="1" customWidth="1"/>
    <col min="6" max="6" width="7.125" style="47" customWidth="1"/>
    <col min="7" max="7" width="9.75" style="47" bestFit="1" customWidth="1"/>
    <col min="8" max="8" width="5.625" style="47" bestFit="1" customWidth="1"/>
    <col min="9" max="9" width="9.75" style="47" bestFit="1" customWidth="1"/>
    <col min="10" max="10" width="8.125" style="47" customWidth="1"/>
    <col min="11" max="11" width="8.125" style="47" bestFit="1" customWidth="1"/>
    <col min="12" max="12" width="16.75" style="47" bestFit="1" customWidth="1"/>
    <col min="13" max="16384" width="17.375" style="47"/>
  </cols>
  <sheetData>
    <row r="1" spans="1:12" ht="15.75">
      <c r="A1" s="196" t="s">
        <v>38</v>
      </c>
      <c r="B1" s="196" t="s">
        <v>1340</v>
      </c>
      <c r="C1" s="196" t="s">
        <v>1341</v>
      </c>
      <c r="D1" s="196"/>
      <c r="E1" s="196" t="s">
        <v>39</v>
      </c>
      <c r="F1" s="196" t="s">
        <v>1286</v>
      </c>
      <c r="G1" s="196" t="s">
        <v>416</v>
      </c>
      <c r="H1" s="196" t="s">
        <v>417</v>
      </c>
      <c r="I1" s="196" t="s">
        <v>418</v>
      </c>
      <c r="J1" s="196" t="s">
        <v>419</v>
      </c>
      <c r="K1" s="196" t="s">
        <v>1342</v>
      </c>
      <c r="L1" s="196" t="s">
        <v>200</v>
      </c>
    </row>
    <row r="2" spans="1:12" ht="15">
      <c r="A2" s="201">
        <v>45874.854166666657</v>
      </c>
      <c r="B2" s="197" t="s">
        <v>135</v>
      </c>
      <c r="C2" s="197" t="s">
        <v>1338</v>
      </c>
      <c r="D2" s="197"/>
      <c r="E2" s="202" t="s">
        <v>1288</v>
      </c>
      <c r="F2" s="197" t="s">
        <v>766</v>
      </c>
      <c r="G2" s="197" t="s">
        <v>1339</v>
      </c>
      <c r="H2" s="197" t="s">
        <v>1287</v>
      </c>
      <c r="I2" s="197" t="s">
        <v>1343</v>
      </c>
      <c r="J2" s="197" t="s">
        <v>1287</v>
      </c>
      <c r="K2" s="197">
        <v>84.353700000000003</v>
      </c>
      <c r="L2" s="197" t="s">
        <v>1344</v>
      </c>
    </row>
    <row r="3" spans="1:12" ht="15">
      <c r="A3" s="201">
        <v>45874.90625</v>
      </c>
      <c r="B3" s="197" t="s">
        <v>135</v>
      </c>
      <c r="C3" s="197" t="s">
        <v>1345</v>
      </c>
      <c r="D3" s="197"/>
      <c r="E3" s="202" t="s">
        <v>1289</v>
      </c>
      <c r="F3" s="197" t="s">
        <v>1346</v>
      </c>
      <c r="G3" s="197">
        <v>55.2</v>
      </c>
      <c r="H3" s="197" t="s">
        <v>1287</v>
      </c>
      <c r="I3" s="197">
        <v>55.2</v>
      </c>
      <c r="J3" s="197" t="s">
        <v>1287</v>
      </c>
      <c r="K3" s="197">
        <v>70</v>
      </c>
      <c r="L3" s="197" t="s">
        <v>1347</v>
      </c>
    </row>
    <row r="4" spans="1:12" ht="15">
      <c r="A4" s="201">
        <v>45874.90625</v>
      </c>
      <c r="B4" s="197" t="s">
        <v>135</v>
      </c>
      <c r="C4" s="197" t="s">
        <v>1348</v>
      </c>
      <c r="D4" s="197"/>
      <c r="E4" s="202" t="s">
        <v>1290</v>
      </c>
      <c r="F4" s="197" t="s">
        <v>1346</v>
      </c>
      <c r="G4" s="197">
        <v>54.6</v>
      </c>
      <c r="H4" s="197" t="s">
        <v>1287</v>
      </c>
      <c r="I4" s="197">
        <v>54.6</v>
      </c>
      <c r="J4" s="197" t="s">
        <v>1287</v>
      </c>
      <c r="K4" s="197">
        <v>70</v>
      </c>
      <c r="L4" s="197" t="s">
        <v>1349</v>
      </c>
    </row>
    <row r="5" spans="1:12" ht="15">
      <c r="A5" s="201">
        <v>45874.916666666657</v>
      </c>
      <c r="B5" s="197" t="s">
        <v>135</v>
      </c>
      <c r="C5" s="197" t="s">
        <v>1350</v>
      </c>
      <c r="D5" s="197"/>
      <c r="E5" s="202" t="s">
        <v>1291</v>
      </c>
      <c r="F5" s="197" t="s">
        <v>765</v>
      </c>
      <c r="G5" s="197">
        <v>51.5</v>
      </c>
      <c r="H5" s="197" t="s">
        <v>1287</v>
      </c>
      <c r="I5" s="197">
        <v>50.8</v>
      </c>
      <c r="J5" s="197" t="s">
        <v>1287</v>
      </c>
      <c r="K5" s="197">
        <v>82.993200000000002</v>
      </c>
      <c r="L5" s="197" t="s">
        <v>1351</v>
      </c>
    </row>
    <row r="6" spans="1:12" ht="15">
      <c r="A6" s="201">
        <v>45874.916666666657</v>
      </c>
      <c r="B6" s="197" t="s">
        <v>135</v>
      </c>
      <c r="C6" s="197" t="s">
        <v>1352</v>
      </c>
      <c r="D6" s="197"/>
      <c r="E6" s="202" t="s">
        <v>1353</v>
      </c>
      <c r="F6" s="197" t="s">
        <v>765</v>
      </c>
      <c r="G6" s="197">
        <v>66.5</v>
      </c>
      <c r="H6" s="197" t="s">
        <v>1287</v>
      </c>
      <c r="I6" s="197">
        <v>67.5</v>
      </c>
      <c r="J6" s="197" t="s">
        <v>1287</v>
      </c>
      <c r="K6" s="197">
        <v>17.006799999999998</v>
      </c>
      <c r="L6" s="197" t="s">
        <v>1354</v>
      </c>
    </row>
    <row r="7" spans="1:12" ht="15">
      <c r="A7" s="201">
        <v>45874.916666666657</v>
      </c>
      <c r="B7" s="197" t="s">
        <v>135</v>
      </c>
      <c r="C7" s="197" t="s">
        <v>1355</v>
      </c>
      <c r="D7" s="197"/>
      <c r="E7" s="202" t="s">
        <v>1356</v>
      </c>
      <c r="F7" s="197" t="s">
        <v>765</v>
      </c>
      <c r="G7" s="197" t="s">
        <v>1287</v>
      </c>
      <c r="H7" s="197" t="s">
        <v>1287</v>
      </c>
      <c r="I7" s="197">
        <v>51.3</v>
      </c>
      <c r="J7" s="197" t="s">
        <v>1287</v>
      </c>
      <c r="K7" s="197">
        <v>14.965999999999999</v>
      </c>
      <c r="L7" s="197" t="s">
        <v>1357</v>
      </c>
    </row>
    <row r="8" spans="1:12" ht="15">
      <c r="A8" s="201">
        <v>45874.916666666657</v>
      </c>
      <c r="B8" s="197" t="s">
        <v>135</v>
      </c>
      <c r="C8" s="197" t="s">
        <v>1358</v>
      </c>
      <c r="D8" s="197"/>
      <c r="E8" s="202" t="s">
        <v>1359</v>
      </c>
      <c r="F8" s="197" t="s">
        <v>765</v>
      </c>
      <c r="G8" s="197" t="s">
        <v>1287</v>
      </c>
      <c r="H8" s="197" t="s">
        <v>1287</v>
      </c>
      <c r="I8" s="197">
        <v>47.2</v>
      </c>
      <c r="J8" s="197" t="s">
        <v>1287</v>
      </c>
      <c r="K8" s="197">
        <v>15.6463</v>
      </c>
      <c r="L8" s="197" t="s">
        <v>1360</v>
      </c>
    </row>
    <row r="9" spans="1:12" ht="15">
      <c r="A9" s="201">
        <v>45875.791666666657</v>
      </c>
      <c r="B9" s="197" t="s">
        <v>135</v>
      </c>
      <c r="C9" s="197" t="s">
        <v>1361</v>
      </c>
      <c r="D9" s="197"/>
      <c r="E9" s="202" t="s">
        <v>1292</v>
      </c>
      <c r="F9" s="198">
        <v>45870</v>
      </c>
      <c r="G9" s="197" t="s">
        <v>1287</v>
      </c>
      <c r="H9" s="197" t="s">
        <v>1287</v>
      </c>
      <c r="I9" s="199">
        <v>-3.7999999999999999E-2</v>
      </c>
      <c r="J9" s="197" t="s">
        <v>1287</v>
      </c>
      <c r="K9" s="197">
        <v>90.476200000000006</v>
      </c>
      <c r="L9" s="197" t="s">
        <v>1362</v>
      </c>
    </row>
    <row r="10" spans="1:12" ht="15">
      <c r="A10" s="201">
        <v>45876.854166666657</v>
      </c>
      <c r="B10" s="197" t="s">
        <v>135</v>
      </c>
      <c r="C10" s="197" t="s">
        <v>1363</v>
      </c>
      <c r="D10" s="197"/>
      <c r="E10" s="202" t="s">
        <v>1293</v>
      </c>
      <c r="F10" s="197" t="s">
        <v>1364</v>
      </c>
      <c r="G10" s="199">
        <v>0.02</v>
      </c>
      <c r="H10" s="197" t="s">
        <v>1287</v>
      </c>
      <c r="I10" s="199">
        <v>-1.4999999999999999E-2</v>
      </c>
      <c r="J10" s="197" t="s">
        <v>1287</v>
      </c>
      <c r="K10" s="197">
        <v>49.6599</v>
      </c>
      <c r="L10" s="197" t="s">
        <v>1365</v>
      </c>
    </row>
    <row r="11" spans="1:12" ht="15">
      <c r="A11" s="201">
        <v>45876.854166666657</v>
      </c>
      <c r="B11" s="197" t="s">
        <v>135</v>
      </c>
      <c r="C11" s="197" t="s">
        <v>1366</v>
      </c>
      <c r="D11" s="197"/>
      <c r="E11" s="202" t="s">
        <v>1294</v>
      </c>
      <c r="F11" s="197" t="s">
        <v>1364</v>
      </c>
      <c r="G11" s="199">
        <v>1.4999999999999999E-2</v>
      </c>
      <c r="H11" s="197" t="s">
        <v>1287</v>
      </c>
      <c r="I11" s="199">
        <v>6.6000000000000003E-2</v>
      </c>
      <c r="J11" s="197" t="s">
        <v>1287</v>
      </c>
      <c r="K11" s="197">
        <v>44.217700000000001</v>
      </c>
      <c r="L11" s="197" t="s">
        <v>1367</v>
      </c>
    </row>
    <row r="12" spans="1:12" ht="15">
      <c r="A12" s="201">
        <v>45876.854166666657</v>
      </c>
      <c r="B12" s="197" t="s">
        <v>135</v>
      </c>
      <c r="C12" s="197" t="s">
        <v>1368</v>
      </c>
      <c r="D12" s="197"/>
      <c r="E12" s="202" t="s">
        <v>1295</v>
      </c>
      <c r="F12" s="198">
        <v>45871</v>
      </c>
      <c r="G12" s="197" t="s">
        <v>1369</v>
      </c>
      <c r="H12" s="197" t="s">
        <v>1287</v>
      </c>
      <c r="I12" s="197" t="s">
        <v>1370</v>
      </c>
      <c r="J12" s="197" t="s">
        <v>1287</v>
      </c>
      <c r="K12" s="197">
        <v>98.639499999999998</v>
      </c>
      <c r="L12" s="197" t="s">
        <v>1371</v>
      </c>
    </row>
    <row r="13" spans="1:12" ht="15">
      <c r="A13" s="201">
        <v>45876.854166666657</v>
      </c>
      <c r="B13" s="197" t="s">
        <v>135</v>
      </c>
      <c r="C13" s="197" t="s">
        <v>1372</v>
      </c>
      <c r="D13" s="197"/>
      <c r="E13" s="202" t="s">
        <v>1296</v>
      </c>
      <c r="F13" s="198">
        <v>45871</v>
      </c>
      <c r="G13" s="197" t="s">
        <v>1287</v>
      </c>
      <c r="H13" s="197" t="s">
        <v>1287</v>
      </c>
      <c r="I13" s="197" t="s">
        <v>1373</v>
      </c>
      <c r="J13" s="197" t="s">
        <v>1287</v>
      </c>
      <c r="K13" s="197">
        <v>4.0816299999999996</v>
      </c>
      <c r="L13" s="197" t="s">
        <v>1374</v>
      </c>
    </row>
    <row r="14" spans="1:12" ht="15">
      <c r="A14" s="201">
        <v>45876.854166666657</v>
      </c>
      <c r="B14" s="197" t="s">
        <v>135</v>
      </c>
      <c r="C14" s="197" t="s">
        <v>1375</v>
      </c>
      <c r="D14" s="197"/>
      <c r="E14" s="202" t="s">
        <v>1297</v>
      </c>
      <c r="F14" s="198">
        <v>45864</v>
      </c>
      <c r="G14" s="197" t="s">
        <v>1376</v>
      </c>
      <c r="H14" s="197" t="s">
        <v>1287</v>
      </c>
      <c r="I14" s="197" t="s">
        <v>1377</v>
      </c>
      <c r="J14" s="197" t="s">
        <v>1287</v>
      </c>
      <c r="K14" s="197">
        <v>69.047600000000003</v>
      </c>
      <c r="L14" s="197" t="s">
        <v>1378</v>
      </c>
    </row>
    <row r="15" spans="1:12" ht="15">
      <c r="A15" s="201">
        <v>45876.916666666657</v>
      </c>
      <c r="B15" s="197" t="s">
        <v>135</v>
      </c>
      <c r="C15" s="197" t="s">
        <v>1379</v>
      </c>
      <c r="D15" s="197"/>
      <c r="E15" s="202" t="s">
        <v>1298</v>
      </c>
      <c r="F15" s="197" t="s">
        <v>766</v>
      </c>
      <c r="G15" s="199">
        <v>2E-3</v>
      </c>
      <c r="H15" s="197" t="s">
        <v>1287</v>
      </c>
      <c r="I15" s="199">
        <v>-3.0000000000000001E-3</v>
      </c>
      <c r="J15" s="197" t="s">
        <v>1287</v>
      </c>
      <c r="K15" s="197">
        <v>23.8095</v>
      </c>
      <c r="L15" s="197" t="s">
        <v>1380</v>
      </c>
    </row>
    <row r="16" spans="1:12" ht="15">
      <c r="A16" s="201">
        <v>45876.916666666657</v>
      </c>
      <c r="B16" s="197" t="s">
        <v>135</v>
      </c>
      <c r="C16" s="197" t="s">
        <v>1381</v>
      </c>
      <c r="D16" s="197"/>
      <c r="E16" s="202" t="s">
        <v>1299</v>
      </c>
      <c r="F16" s="197" t="s">
        <v>1382</v>
      </c>
      <c r="G16" s="199">
        <v>2E-3</v>
      </c>
      <c r="H16" s="197" t="s">
        <v>1287</v>
      </c>
      <c r="I16" s="199">
        <v>2E-3</v>
      </c>
      <c r="J16" s="197" t="s">
        <v>1287</v>
      </c>
      <c r="K16" s="197">
        <v>81.6327</v>
      </c>
      <c r="L16" s="197" t="s">
        <v>1383</v>
      </c>
    </row>
    <row r="17" spans="1:12" ht="15">
      <c r="A17" s="201">
        <v>45876.958333333343</v>
      </c>
      <c r="B17" s="197" t="s">
        <v>135</v>
      </c>
      <c r="C17" s="197" t="s">
        <v>1384</v>
      </c>
      <c r="D17" s="197"/>
      <c r="E17" s="202" t="s">
        <v>1300</v>
      </c>
      <c r="F17" s="197" t="s">
        <v>765</v>
      </c>
      <c r="G17" s="197" t="s">
        <v>1287</v>
      </c>
      <c r="H17" s="197" t="s">
        <v>1287</v>
      </c>
      <c r="I17" s="199">
        <v>3.0200000000000001E-2</v>
      </c>
      <c r="J17" s="197" t="s">
        <v>1287</v>
      </c>
      <c r="K17" s="197">
        <v>16.326499999999999</v>
      </c>
      <c r="L17" s="197" t="s">
        <v>1385</v>
      </c>
    </row>
    <row r="18" spans="1:12" ht="15">
      <c r="A18" s="201">
        <v>45877.125</v>
      </c>
      <c r="B18" s="197" t="s">
        <v>135</v>
      </c>
      <c r="C18" s="197" t="s">
        <v>1386</v>
      </c>
      <c r="D18" s="197"/>
      <c r="E18" s="202" t="s">
        <v>1301</v>
      </c>
      <c r="F18" s="197" t="s">
        <v>766</v>
      </c>
      <c r="G18" s="197" t="s">
        <v>1387</v>
      </c>
      <c r="H18" s="197" t="s">
        <v>1287</v>
      </c>
      <c r="I18" s="197" t="s">
        <v>1388</v>
      </c>
      <c r="J18" s="197" t="s">
        <v>1287</v>
      </c>
      <c r="K18" s="197">
        <v>46.258499999999998</v>
      </c>
      <c r="L18" s="197" t="s">
        <v>1389</v>
      </c>
    </row>
    <row r="19" spans="1:12" ht="15">
      <c r="A19" s="201">
        <v>45881.75</v>
      </c>
      <c r="B19" s="197" t="s">
        <v>135</v>
      </c>
      <c r="C19" s="197" t="s">
        <v>1390</v>
      </c>
      <c r="D19" s="197"/>
      <c r="E19" s="202" t="s">
        <v>1391</v>
      </c>
      <c r="F19" s="197" t="s">
        <v>765</v>
      </c>
      <c r="G19" s="197">
        <v>99</v>
      </c>
      <c r="H19" s="197" t="s">
        <v>1287</v>
      </c>
      <c r="I19" s="197">
        <v>98.6</v>
      </c>
      <c r="J19" s="197" t="s">
        <v>1287</v>
      </c>
      <c r="K19" s="197">
        <v>60.544199999999996</v>
      </c>
      <c r="L19" s="197" t="s">
        <v>1392</v>
      </c>
    </row>
    <row r="20" spans="1:12" ht="15">
      <c r="A20" s="201">
        <v>45881.854166666657</v>
      </c>
      <c r="B20" s="197" t="s">
        <v>135</v>
      </c>
      <c r="C20" s="197" t="s">
        <v>1393</v>
      </c>
      <c r="D20" s="197"/>
      <c r="E20" s="202" t="s">
        <v>1394</v>
      </c>
      <c r="F20" s="197" t="s">
        <v>765</v>
      </c>
      <c r="G20" s="197" t="s">
        <v>1287</v>
      </c>
      <c r="H20" s="197" t="s">
        <v>1287</v>
      </c>
      <c r="I20" s="199">
        <v>0.01</v>
      </c>
      <c r="J20" s="199">
        <v>1.0999999999999999E-2</v>
      </c>
      <c r="K20" s="197">
        <v>22.449000000000002</v>
      </c>
      <c r="L20" s="197" t="s">
        <v>1395</v>
      </c>
    </row>
    <row r="21" spans="1:12" ht="15">
      <c r="A21" s="201">
        <v>45881.854166666657</v>
      </c>
      <c r="B21" s="197" t="s">
        <v>135</v>
      </c>
      <c r="C21" s="197" t="s">
        <v>1396</v>
      </c>
      <c r="D21" s="197"/>
      <c r="E21" s="202" t="s">
        <v>1397</v>
      </c>
      <c r="F21" s="197" t="s">
        <v>765</v>
      </c>
      <c r="G21" s="197" t="s">
        <v>1287</v>
      </c>
      <c r="H21" s="197" t="s">
        <v>1287</v>
      </c>
      <c r="I21" s="199">
        <v>6.9999999999999993E-3</v>
      </c>
      <c r="J21" s="199">
        <v>8.0000000000000002E-3</v>
      </c>
      <c r="K21" s="197">
        <v>25.170100000000001</v>
      </c>
      <c r="L21" s="197" t="s">
        <v>1398</v>
      </c>
    </row>
    <row r="22" spans="1:12" ht="15">
      <c r="A22" s="201">
        <v>45881.854166666657</v>
      </c>
      <c r="B22" s="197" t="s">
        <v>135</v>
      </c>
      <c r="C22" s="197" t="s">
        <v>1399</v>
      </c>
      <c r="D22" s="197"/>
      <c r="E22" s="202" t="s">
        <v>1400</v>
      </c>
      <c r="F22" s="197" t="s">
        <v>765</v>
      </c>
      <c r="G22" s="199">
        <v>2E-3</v>
      </c>
      <c r="H22" s="197" t="s">
        <v>1287</v>
      </c>
      <c r="I22" s="199">
        <v>3.0000000000000001E-3</v>
      </c>
      <c r="J22" s="197" t="s">
        <v>1287</v>
      </c>
      <c r="K22" s="197">
        <v>97.278899999999993</v>
      </c>
      <c r="L22" s="197" t="s">
        <v>1401</v>
      </c>
    </row>
    <row r="23" spans="1:12" ht="15">
      <c r="A23" s="201">
        <v>45881.854166666657</v>
      </c>
      <c r="B23" s="197" t="s">
        <v>135</v>
      </c>
      <c r="C23" s="197" t="s">
        <v>1402</v>
      </c>
      <c r="D23" s="197"/>
      <c r="E23" s="202" t="s">
        <v>1403</v>
      </c>
      <c r="F23" s="197" t="s">
        <v>765</v>
      </c>
      <c r="G23" s="199">
        <v>3.0000000000000001E-3</v>
      </c>
      <c r="H23" s="197" t="s">
        <v>1287</v>
      </c>
      <c r="I23" s="199">
        <v>2E-3</v>
      </c>
      <c r="J23" s="197" t="s">
        <v>1287</v>
      </c>
      <c r="K23" s="197">
        <v>77.823099999999997</v>
      </c>
      <c r="L23" s="197" t="s">
        <v>1404</v>
      </c>
    </row>
    <row r="24" spans="1:12" ht="15">
      <c r="A24" s="201">
        <v>45881.854166666657</v>
      </c>
      <c r="B24" s="197" t="s">
        <v>135</v>
      </c>
      <c r="C24" s="197" t="s">
        <v>1405</v>
      </c>
      <c r="D24" s="197"/>
      <c r="E24" s="202" t="s">
        <v>1406</v>
      </c>
      <c r="F24" s="197" t="s">
        <v>765</v>
      </c>
      <c r="G24" s="199">
        <v>2.8000000000000001E-2</v>
      </c>
      <c r="H24" s="197" t="s">
        <v>1287</v>
      </c>
      <c r="I24" s="199">
        <v>2.7E-2</v>
      </c>
      <c r="J24" s="197" t="s">
        <v>1287</v>
      </c>
      <c r="K24" s="197">
        <v>95.918400000000005</v>
      </c>
      <c r="L24" s="197" t="s">
        <v>1407</v>
      </c>
    </row>
    <row r="25" spans="1:12" ht="15">
      <c r="A25" s="201">
        <v>45881.854166666657</v>
      </c>
      <c r="B25" s="197" t="s">
        <v>135</v>
      </c>
      <c r="C25" s="197" t="s">
        <v>1408</v>
      </c>
      <c r="D25" s="197"/>
      <c r="E25" s="202" t="s">
        <v>1409</v>
      </c>
      <c r="F25" s="197" t="s">
        <v>765</v>
      </c>
      <c r="G25" s="199">
        <v>0.03</v>
      </c>
      <c r="H25" s="197" t="s">
        <v>1287</v>
      </c>
      <c r="I25" s="199">
        <v>2.9000000000000001E-2</v>
      </c>
      <c r="J25" s="197" t="s">
        <v>1287</v>
      </c>
      <c r="K25" s="197">
        <v>75.510199999999998</v>
      </c>
      <c r="L25" s="197" t="s">
        <v>1410</v>
      </c>
    </row>
    <row r="26" spans="1:12" ht="15">
      <c r="A26" s="201">
        <v>45881.854166666657</v>
      </c>
      <c r="B26" s="197" t="s">
        <v>135</v>
      </c>
      <c r="C26" s="197" t="s">
        <v>1411</v>
      </c>
      <c r="D26" s="197"/>
      <c r="E26" s="202" t="s">
        <v>1412</v>
      </c>
      <c r="F26" s="197" t="s">
        <v>765</v>
      </c>
      <c r="G26" s="197" t="s">
        <v>1287</v>
      </c>
      <c r="H26" s="197" t="s">
        <v>1287</v>
      </c>
      <c r="I26" s="197">
        <v>322.56099999999998</v>
      </c>
      <c r="J26" s="197" t="s">
        <v>1287</v>
      </c>
      <c r="K26" s="197">
        <v>47.619</v>
      </c>
      <c r="L26" s="197" t="s">
        <v>1413</v>
      </c>
    </row>
    <row r="27" spans="1:12" ht="15">
      <c r="A27" s="201">
        <v>45881.854166666657</v>
      </c>
      <c r="B27" s="197" t="s">
        <v>135</v>
      </c>
      <c r="C27" s="197" t="s">
        <v>1414</v>
      </c>
      <c r="D27" s="197"/>
      <c r="E27" s="202" t="s">
        <v>1415</v>
      </c>
      <c r="F27" s="197" t="s">
        <v>765</v>
      </c>
      <c r="G27" s="197" t="s">
        <v>1287</v>
      </c>
      <c r="H27" s="197" t="s">
        <v>1287</v>
      </c>
      <c r="I27" s="197">
        <v>327.60000000000002</v>
      </c>
      <c r="J27" s="197" t="s">
        <v>1287</v>
      </c>
      <c r="K27" s="197">
        <v>53.741500000000002</v>
      </c>
      <c r="L27" s="197" t="s">
        <v>1416</v>
      </c>
    </row>
    <row r="28" spans="1:12" ht="15">
      <c r="A28" s="200"/>
      <c r="B28" s="200"/>
      <c r="C28" s="200"/>
      <c r="D28" s="200"/>
      <c r="E28" s="203"/>
      <c r="F28" s="200"/>
      <c r="G28" s="200"/>
      <c r="H28" s="200"/>
      <c r="I28" s="200"/>
      <c r="J28" s="200"/>
      <c r="K28" s="200"/>
      <c r="L28" s="200"/>
    </row>
    <row r="29" spans="1:12" ht="15">
      <c r="A29" s="200"/>
      <c r="B29" s="200"/>
      <c r="C29" s="200"/>
      <c r="D29" s="200"/>
      <c r="F29" s="200"/>
      <c r="G29" s="200"/>
      <c r="H29" s="200"/>
      <c r="I29" s="200"/>
      <c r="J29" s="200"/>
      <c r="K29" s="200"/>
      <c r="L29" s="200"/>
    </row>
    <row r="39" spans="13:13" ht="16.5">
      <c r="M39" s="5"/>
    </row>
    <row r="40" spans="13:13" ht="16.5">
      <c r="M40" s="5"/>
    </row>
    <row r="41" spans="13:13" ht="16.5">
      <c r="M41" s="5"/>
    </row>
    <row r="42" spans="13:13" ht="16.5">
      <c r="M42" s="5"/>
    </row>
    <row r="43" spans="13:13" ht="16.5">
      <c r="M43" s="5"/>
    </row>
    <row r="44" spans="13:13" ht="16.5">
      <c r="M44" s="5"/>
    </row>
    <row r="45" spans="13:13" ht="16.5">
      <c r="M45" s="5"/>
    </row>
    <row r="46" spans="13:13" ht="16.5">
      <c r="M46" s="5"/>
    </row>
    <row r="47" spans="13:13" ht="16.5">
      <c r="M47" s="5"/>
    </row>
    <row r="48" spans="13:13" ht="16.5">
      <c r="M48" s="5"/>
    </row>
    <row r="50" spans="1:15" ht="16.5">
      <c r="N50" s="5"/>
      <c r="O50" s="5"/>
    </row>
    <row r="51" spans="1:15" ht="16.5">
      <c r="N51" s="5"/>
      <c r="O51" s="5"/>
    </row>
    <row r="52" spans="1:15" s="5" customFormat="1" ht="16.5">
      <c r="A52" s="47"/>
      <c r="B52" s="47"/>
      <c r="C52" s="47"/>
      <c r="D52" s="47"/>
      <c r="E52" s="47"/>
      <c r="F52" s="47"/>
      <c r="G52" s="47"/>
      <c r="H52" s="47"/>
      <c r="I52" s="47"/>
      <c r="J52" s="47"/>
      <c r="K52" s="47"/>
      <c r="L52" s="47"/>
      <c r="M52" s="47"/>
    </row>
    <row r="53" spans="1:15" s="5" customFormat="1" ht="16.5">
      <c r="A53" s="47"/>
      <c r="B53" s="47"/>
      <c r="C53" s="47"/>
      <c r="D53" s="47"/>
      <c r="E53" s="47"/>
      <c r="F53" s="47"/>
      <c r="G53" s="47"/>
      <c r="H53" s="47"/>
      <c r="I53" s="47"/>
      <c r="J53" s="47"/>
      <c r="K53" s="47"/>
      <c r="L53" s="47"/>
      <c r="M53" s="47"/>
    </row>
    <row r="54" spans="1:15" s="5" customFormat="1" ht="16.5">
      <c r="A54" s="47"/>
      <c r="B54" s="47"/>
      <c r="C54" s="47"/>
      <c r="D54" s="47"/>
      <c r="E54" s="47"/>
      <c r="F54" s="47"/>
      <c r="G54" s="47"/>
      <c r="H54" s="47"/>
      <c r="I54" s="47"/>
      <c r="J54" s="47"/>
      <c r="K54" s="47"/>
      <c r="L54" s="47"/>
      <c r="M54" s="47"/>
    </row>
    <row r="55" spans="1:15" s="5" customFormat="1" ht="16.5">
      <c r="A55" s="47"/>
      <c r="B55" s="47"/>
      <c r="C55" s="47"/>
      <c r="D55" s="47"/>
      <c r="E55" s="47"/>
      <c r="F55" s="47"/>
      <c r="G55" s="47"/>
      <c r="H55" s="47"/>
      <c r="I55" s="47"/>
      <c r="J55" s="47"/>
      <c r="K55" s="47"/>
      <c r="L55" s="47"/>
      <c r="M55" s="47"/>
    </row>
    <row r="56" spans="1:15" s="5" customFormat="1" ht="16.5">
      <c r="A56" s="47"/>
      <c r="B56" s="47"/>
      <c r="C56" s="47"/>
      <c r="D56" s="47"/>
      <c r="E56" s="47"/>
      <c r="F56" s="47"/>
      <c r="G56" s="47"/>
      <c r="H56" s="47"/>
      <c r="I56" s="47"/>
      <c r="J56" s="47"/>
      <c r="K56" s="47"/>
      <c r="L56" s="47"/>
      <c r="M56" s="47"/>
    </row>
    <row r="57" spans="1:15" s="5" customFormat="1" ht="16.5">
      <c r="A57" s="47"/>
      <c r="B57" s="47"/>
      <c r="C57" s="47"/>
      <c r="D57" s="47"/>
      <c r="E57" s="47"/>
      <c r="F57" s="47"/>
      <c r="G57" s="47"/>
      <c r="H57" s="47"/>
      <c r="I57" s="47"/>
      <c r="J57" s="47"/>
      <c r="K57" s="47"/>
      <c r="L57" s="47"/>
      <c r="M57" s="47"/>
    </row>
    <row r="58" spans="1:15" s="5" customFormat="1" ht="16.5">
      <c r="A58" s="47"/>
      <c r="B58" s="47"/>
      <c r="C58" s="47"/>
      <c r="D58" s="47"/>
      <c r="E58" s="47"/>
      <c r="F58" s="47"/>
      <c r="G58" s="47"/>
      <c r="H58" s="47"/>
      <c r="I58" s="47"/>
      <c r="J58" s="47"/>
      <c r="K58" s="47"/>
      <c r="L58" s="47"/>
      <c r="M58" s="47"/>
    </row>
    <row r="59" spans="1:15" s="5" customFormat="1" ht="16.5">
      <c r="A59" s="47"/>
      <c r="B59" s="47"/>
      <c r="C59" s="47"/>
      <c r="D59" s="47"/>
      <c r="E59" s="47"/>
      <c r="F59" s="47"/>
      <c r="G59" s="47"/>
      <c r="H59" s="47"/>
      <c r="I59" s="47"/>
      <c r="J59" s="47"/>
      <c r="K59" s="47"/>
      <c r="L59" s="47"/>
      <c r="M59" s="47"/>
    </row>
    <row r="60" spans="1:15" s="5" customFormat="1" ht="16.5">
      <c r="A60" s="47"/>
      <c r="B60" s="47"/>
      <c r="C60" s="47"/>
      <c r="D60" s="47"/>
      <c r="E60" s="47"/>
      <c r="F60" s="47"/>
      <c r="G60" s="47"/>
      <c r="H60" s="47"/>
      <c r="I60" s="47"/>
      <c r="J60" s="47"/>
      <c r="K60" s="47"/>
      <c r="L60" s="47"/>
      <c r="M60" s="47"/>
      <c r="N60" s="47"/>
      <c r="O60" s="47"/>
    </row>
    <row r="61" spans="1:15" s="5" customFormat="1" ht="16.5">
      <c r="A61" s="47"/>
      <c r="B61" s="47"/>
      <c r="C61" s="47"/>
      <c r="D61" s="47"/>
      <c r="E61" s="47"/>
      <c r="F61" s="47"/>
      <c r="G61" s="47"/>
      <c r="H61" s="47"/>
      <c r="I61" s="47"/>
      <c r="J61" s="47"/>
      <c r="K61" s="47"/>
      <c r="L61" s="47"/>
      <c r="M61" s="47"/>
      <c r="N61" s="47"/>
      <c r="O61" s="47"/>
    </row>
  </sheetData>
  <phoneticPr fontId="47" type="noConversion"/>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B70AE-818A-4DA9-A813-88FAB7FBEEE3}">
  <sheetPr codeName="工作表8"/>
  <dimension ref="A1:K60"/>
  <sheetViews>
    <sheetView topLeftCell="A45" workbookViewId="0">
      <selection activeCell="P52" sqref="P52"/>
    </sheetView>
  </sheetViews>
  <sheetFormatPr defaultRowHeight="15.75"/>
  <cols>
    <col min="1" max="1" width="37.75" style="210" customWidth="1"/>
    <col min="2" max="2" width="15.5" style="210" customWidth="1"/>
    <col min="3" max="3" width="14.125" style="210" customWidth="1"/>
    <col min="4" max="4" width="13.125" style="210" customWidth="1"/>
    <col min="5" max="5" width="14.5" style="210" customWidth="1"/>
    <col min="6" max="6" width="8.375" style="210" customWidth="1"/>
    <col min="7" max="7" width="14.125" style="210" customWidth="1"/>
    <col min="8" max="8" width="13.125" style="210" customWidth="1"/>
    <col min="9" max="9" width="14.5" style="210" customWidth="1"/>
    <col min="10" max="10" width="8.375" style="210" customWidth="1"/>
    <col min="11" max="11" width="17.625" style="210" customWidth="1"/>
    <col min="12" max="16384" width="9" style="210"/>
  </cols>
  <sheetData>
    <row r="1" spans="1:11" ht="16.5">
      <c r="A1" s="469" t="s">
        <v>1474</v>
      </c>
      <c r="B1" s="469"/>
      <c r="C1" s="469"/>
      <c r="D1" s="469"/>
      <c r="E1" s="469"/>
      <c r="F1" s="469"/>
      <c r="G1" s="469"/>
      <c r="H1" s="469"/>
      <c r="I1" s="469"/>
      <c r="J1" s="469" t="s">
        <v>4064</v>
      </c>
      <c r="K1" s="469"/>
    </row>
    <row r="2" spans="1:11" ht="16.5">
      <c r="A2" s="468" t="s">
        <v>1475</v>
      </c>
      <c r="B2" s="469"/>
      <c r="C2" s="468" t="s">
        <v>1476</v>
      </c>
      <c r="D2" s="469"/>
      <c r="E2" s="469"/>
      <c r="F2" s="469"/>
      <c r="G2" s="468" t="s">
        <v>1477</v>
      </c>
      <c r="H2" s="469"/>
      <c r="I2" s="469"/>
      <c r="J2" s="469"/>
      <c r="K2" s="211" t="s">
        <v>1478</v>
      </c>
    </row>
    <row r="3" spans="1:11">
      <c r="A3" s="211" t="s">
        <v>1479</v>
      </c>
      <c r="B3" s="211" t="s">
        <v>1480</v>
      </c>
      <c r="C3" s="211" t="s">
        <v>1481</v>
      </c>
      <c r="D3" s="211" t="s">
        <v>1482</v>
      </c>
      <c r="E3" s="211" t="s">
        <v>1483</v>
      </c>
      <c r="F3" s="211" t="s">
        <v>1484</v>
      </c>
      <c r="G3" s="211" t="s">
        <v>1481</v>
      </c>
      <c r="H3" s="211" t="s">
        <v>1482</v>
      </c>
      <c r="I3" s="211" t="s">
        <v>1483</v>
      </c>
      <c r="J3" s="211" t="s">
        <v>1484</v>
      </c>
      <c r="K3" s="211" t="s">
        <v>1480</v>
      </c>
    </row>
    <row r="4" spans="1:11">
      <c r="A4" s="212" t="s">
        <v>1485</v>
      </c>
      <c r="B4" s="212">
        <v>184592101</v>
      </c>
      <c r="C4" s="212">
        <v>54453327</v>
      </c>
      <c r="D4" s="212">
        <v>52919919</v>
      </c>
      <c r="E4" s="212">
        <v>1533408</v>
      </c>
      <c r="F4" s="213">
        <v>51</v>
      </c>
      <c r="G4" s="212">
        <v>6810868</v>
      </c>
      <c r="H4" s="212">
        <v>8271414</v>
      </c>
      <c r="I4" s="212">
        <v>-1460546</v>
      </c>
      <c r="J4" s="213">
        <v>45</v>
      </c>
      <c r="K4" s="212">
        <v>62136573</v>
      </c>
    </row>
    <row r="5" spans="1:11">
      <c r="A5" s="212" t="s">
        <v>1486</v>
      </c>
      <c r="B5" s="212">
        <v>56278088</v>
      </c>
      <c r="C5" s="212">
        <v>16053961</v>
      </c>
      <c r="D5" s="212">
        <v>15446397</v>
      </c>
      <c r="E5" s="212">
        <v>607564</v>
      </c>
      <c r="F5" s="213">
        <v>51</v>
      </c>
      <c r="G5" s="212">
        <v>2698938</v>
      </c>
      <c r="H5" s="212">
        <v>3288037</v>
      </c>
      <c r="I5" s="212">
        <v>-589099</v>
      </c>
      <c r="J5" s="213">
        <v>45</v>
      </c>
      <c r="K5" s="212">
        <v>18790755</v>
      </c>
    </row>
    <row r="6" spans="1:11">
      <c r="A6" s="212" t="s">
        <v>1490</v>
      </c>
      <c r="B6" s="212">
        <v>20456239</v>
      </c>
      <c r="C6" s="212">
        <v>6545637</v>
      </c>
      <c r="D6" s="212">
        <v>6425854</v>
      </c>
      <c r="E6" s="212">
        <v>119783</v>
      </c>
      <c r="F6" s="213">
        <v>50</v>
      </c>
      <c r="G6" s="212">
        <v>618085</v>
      </c>
      <c r="H6" s="212">
        <v>871609</v>
      </c>
      <c r="I6" s="212">
        <v>-253524</v>
      </c>
      <c r="J6" s="213">
        <v>41</v>
      </c>
      <c r="K6" s="212">
        <v>5995054</v>
      </c>
    </row>
    <row r="7" spans="1:11">
      <c r="A7" s="212" t="s">
        <v>1487</v>
      </c>
      <c r="B7" s="212">
        <v>17816100</v>
      </c>
      <c r="C7" s="212">
        <v>5288489</v>
      </c>
      <c r="D7" s="212">
        <v>5155748</v>
      </c>
      <c r="E7" s="212">
        <v>132741</v>
      </c>
      <c r="F7" s="213">
        <v>51</v>
      </c>
      <c r="G7" s="212">
        <v>547970</v>
      </c>
      <c r="H7" s="212">
        <v>634214</v>
      </c>
      <c r="I7" s="212">
        <v>-86244</v>
      </c>
      <c r="J7" s="213">
        <v>46</v>
      </c>
      <c r="K7" s="212">
        <v>6189679</v>
      </c>
    </row>
    <row r="8" spans="1:11">
      <c r="A8" s="212" t="s">
        <v>1488</v>
      </c>
      <c r="B8" s="212">
        <v>16157731</v>
      </c>
      <c r="C8" s="212">
        <v>4866760</v>
      </c>
      <c r="D8" s="212">
        <v>4622762</v>
      </c>
      <c r="E8" s="212">
        <v>243998</v>
      </c>
      <c r="F8" s="213">
        <v>51</v>
      </c>
      <c r="G8" s="212">
        <v>562949</v>
      </c>
      <c r="H8" s="212">
        <v>662658</v>
      </c>
      <c r="I8" s="212">
        <v>-99709</v>
      </c>
      <c r="J8" s="213">
        <v>46</v>
      </c>
      <c r="K8" s="212">
        <v>5442602</v>
      </c>
    </row>
    <row r="9" spans="1:11">
      <c r="A9" s="212" t="s">
        <v>1439</v>
      </c>
      <c r="B9" s="212">
        <v>15526362</v>
      </c>
      <c r="C9" s="212">
        <v>4679229</v>
      </c>
      <c r="D9" s="212">
        <v>4733439</v>
      </c>
      <c r="E9" s="212">
        <v>-54210</v>
      </c>
      <c r="F9" s="213">
        <v>50</v>
      </c>
      <c r="G9" s="212">
        <v>496030</v>
      </c>
      <c r="H9" s="212">
        <v>672352</v>
      </c>
      <c r="I9" s="212">
        <v>-176322</v>
      </c>
      <c r="J9" s="213">
        <v>42</v>
      </c>
      <c r="K9" s="212">
        <v>4945312</v>
      </c>
    </row>
    <row r="10" spans="1:11">
      <c r="A10" s="212" t="s">
        <v>1489</v>
      </c>
      <c r="B10" s="212">
        <v>15411006</v>
      </c>
      <c r="C10" s="212">
        <v>4587228</v>
      </c>
      <c r="D10" s="212">
        <v>4287376</v>
      </c>
      <c r="E10" s="212">
        <v>299852</v>
      </c>
      <c r="F10" s="213">
        <v>52</v>
      </c>
      <c r="G10" s="212">
        <v>482451</v>
      </c>
      <c r="H10" s="212">
        <v>524834</v>
      </c>
      <c r="I10" s="212">
        <v>-42383</v>
      </c>
      <c r="J10" s="213">
        <v>48</v>
      </c>
      <c r="K10" s="212">
        <v>5529117</v>
      </c>
    </row>
    <row r="11" spans="1:11">
      <c r="A11" s="212" t="s">
        <v>1441</v>
      </c>
      <c r="B11" s="212">
        <v>12667871</v>
      </c>
      <c r="C11" s="212">
        <v>3840135</v>
      </c>
      <c r="D11" s="212">
        <v>3566737</v>
      </c>
      <c r="E11" s="212">
        <v>273398</v>
      </c>
      <c r="F11" s="213">
        <v>52</v>
      </c>
      <c r="G11" s="212">
        <v>416818</v>
      </c>
      <c r="H11" s="212">
        <v>408825</v>
      </c>
      <c r="I11" s="212">
        <v>7993</v>
      </c>
      <c r="J11" s="213">
        <v>50</v>
      </c>
      <c r="K11" s="212">
        <v>4435356</v>
      </c>
    </row>
    <row r="12" spans="1:11">
      <c r="A12" s="212" t="s">
        <v>1493</v>
      </c>
      <c r="B12" s="212">
        <v>10834990</v>
      </c>
      <c r="C12" s="212">
        <v>3325252</v>
      </c>
      <c r="D12" s="212">
        <v>3047494</v>
      </c>
      <c r="E12" s="212">
        <v>277758</v>
      </c>
      <c r="F12" s="213">
        <v>52</v>
      </c>
      <c r="G12" s="212">
        <v>375550</v>
      </c>
      <c r="H12" s="212">
        <v>516868</v>
      </c>
      <c r="I12" s="212">
        <v>-141318</v>
      </c>
      <c r="J12" s="213">
        <v>42</v>
      </c>
      <c r="K12" s="212">
        <v>3569826</v>
      </c>
    </row>
    <row r="13" spans="1:11">
      <c r="A13" s="212" t="s">
        <v>1491</v>
      </c>
      <c r="B13" s="212">
        <v>10590346</v>
      </c>
      <c r="C13" s="212">
        <v>2957332</v>
      </c>
      <c r="D13" s="212">
        <v>3101009</v>
      </c>
      <c r="E13" s="212">
        <v>-143677</v>
      </c>
      <c r="F13" s="213">
        <v>49</v>
      </c>
      <c r="G13" s="212">
        <v>273341</v>
      </c>
      <c r="H13" s="212">
        <v>346355</v>
      </c>
      <c r="I13" s="212">
        <v>-73014</v>
      </c>
      <c r="J13" s="213">
        <v>44</v>
      </c>
      <c r="K13" s="212">
        <v>3912309</v>
      </c>
    </row>
    <row r="14" spans="1:11">
      <c r="A14" s="212" t="s">
        <v>1492</v>
      </c>
      <c r="B14" s="212">
        <v>8853368</v>
      </c>
      <c r="C14" s="212">
        <v>2309304</v>
      </c>
      <c r="D14" s="212">
        <v>2533103</v>
      </c>
      <c r="E14" s="212">
        <v>-223799</v>
      </c>
      <c r="F14" s="213">
        <v>48</v>
      </c>
      <c r="G14" s="212">
        <v>338736</v>
      </c>
      <c r="H14" s="212">
        <v>345662</v>
      </c>
      <c r="I14" s="212">
        <v>-6926</v>
      </c>
      <c r="J14" s="213">
        <v>49</v>
      </c>
      <c r="K14" s="212">
        <v>3326563</v>
      </c>
    </row>
    <row r="17" spans="1:11" ht="16.5">
      <c r="A17" s="469" t="s">
        <v>1494</v>
      </c>
      <c r="B17" s="469"/>
      <c r="C17" s="469"/>
      <c r="D17" s="469"/>
      <c r="E17" s="469"/>
      <c r="F17" s="469"/>
      <c r="G17" s="469"/>
      <c r="H17" s="469"/>
      <c r="I17" s="469"/>
      <c r="J17" s="469" t="s">
        <v>4065</v>
      </c>
      <c r="K17" s="469"/>
    </row>
    <row r="18" spans="1:11" ht="16.5">
      <c r="A18" s="468" t="s">
        <v>1475</v>
      </c>
      <c r="B18" s="469"/>
      <c r="C18" s="468" t="s">
        <v>1476</v>
      </c>
      <c r="D18" s="469"/>
      <c r="E18" s="469"/>
      <c r="F18" s="469"/>
      <c r="G18" s="468" t="s">
        <v>1477</v>
      </c>
      <c r="H18" s="469"/>
      <c r="I18" s="469"/>
      <c r="J18" s="469"/>
      <c r="K18" s="211" t="s">
        <v>1478</v>
      </c>
    </row>
    <row r="19" spans="1:11">
      <c r="A19" s="211" t="s">
        <v>1495</v>
      </c>
      <c r="B19" s="211" t="s">
        <v>1480</v>
      </c>
      <c r="C19" s="211" t="s">
        <v>1481</v>
      </c>
      <c r="D19" s="211" t="s">
        <v>1482</v>
      </c>
      <c r="E19" s="211" t="s">
        <v>1483</v>
      </c>
      <c r="F19" s="211" t="s">
        <v>1484</v>
      </c>
      <c r="G19" s="211" t="s">
        <v>1481</v>
      </c>
      <c r="H19" s="211" t="s">
        <v>1482</v>
      </c>
      <c r="I19" s="211" t="s">
        <v>1483</v>
      </c>
      <c r="J19" s="211" t="s">
        <v>1484</v>
      </c>
      <c r="K19" s="211" t="s">
        <v>1480</v>
      </c>
    </row>
    <row r="20" spans="1:11">
      <c r="A20" s="212" t="s">
        <v>1485</v>
      </c>
      <c r="B20" s="212">
        <v>185295657</v>
      </c>
      <c r="C20" s="212">
        <v>54644610</v>
      </c>
      <c r="D20" s="212">
        <v>53075410</v>
      </c>
      <c r="E20" s="212">
        <v>1569200</v>
      </c>
      <c r="F20" s="213">
        <v>51</v>
      </c>
      <c r="G20" s="212">
        <v>6898280</v>
      </c>
      <c r="H20" s="212">
        <v>8420625</v>
      </c>
      <c r="I20" s="212">
        <v>-1522345</v>
      </c>
      <c r="J20" s="213">
        <v>45</v>
      </c>
      <c r="K20" s="212">
        <v>62256732</v>
      </c>
    </row>
    <row r="21" spans="1:11">
      <c r="A21" s="212" t="s">
        <v>1500</v>
      </c>
      <c r="B21" s="212">
        <v>8827438</v>
      </c>
      <c r="C21" s="212">
        <v>2722172</v>
      </c>
      <c r="D21" s="212">
        <v>3190266</v>
      </c>
      <c r="E21" s="212">
        <v>-468094</v>
      </c>
      <c r="F21" s="213">
        <v>46</v>
      </c>
      <c r="G21" s="212">
        <v>401776</v>
      </c>
      <c r="H21" s="212">
        <v>291701</v>
      </c>
      <c r="I21" s="212">
        <v>110075</v>
      </c>
      <c r="J21" s="213">
        <v>58</v>
      </c>
      <c r="K21" s="212">
        <v>2221523</v>
      </c>
    </row>
    <row r="22" spans="1:11">
      <c r="A22" s="212" t="s">
        <v>1499</v>
      </c>
      <c r="B22" s="212">
        <v>25972455</v>
      </c>
      <c r="C22" s="212">
        <v>7300084</v>
      </c>
      <c r="D22" s="212">
        <v>7664616</v>
      </c>
      <c r="E22" s="212">
        <v>-364532</v>
      </c>
      <c r="F22" s="213">
        <v>49</v>
      </c>
      <c r="G22" s="212">
        <v>1319482</v>
      </c>
      <c r="H22" s="212">
        <v>1196685</v>
      </c>
      <c r="I22" s="212">
        <v>122797</v>
      </c>
      <c r="J22" s="213">
        <v>52</v>
      </c>
      <c r="K22" s="212">
        <v>8491588</v>
      </c>
    </row>
    <row r="23" spans="1:11">
      <c r="A23" s="212" t="s">
        <v>1496</v>
      </c>
      <c r="B23" s="212">
        <v>64173315</v>
      </c>
      <c r="C23" s="212">
        <v>18957614</v>
      </c>
      <c r="D23" s="212">
        <v>18603297</v>
      </c>
      <c r="E23" s="212">
        <v>354317</v>
      </c>
      <c r="F23" s="213">
        <v>50</v>
      </c>
      <c r="G23" s="212">
        <v>2039522</v>
      </c>
      <c r="H23" s="212">
        <v>2888469</v>
      </c>
      <c r="I23" s="212">
        <v>-848947</v>
      </c>
      <c r="J23" s="213">
        <v>41</v>
      </c>
      <c r="K23" s="212">
        <v>21684413</v>
      </c>
    </row>
    <row r="24" spans="1:11">
      <c r="A24" s="212" t="s">
        <v>1498</v>
      </c>
      <c r="B24" s="212">
        <v>41445960</v>
      </c>
      <c r="C24" s="212">
        <v>12145259</v>
      </c>
      <c r="D24" s="212">
        <v>11226714</v>
      </c>
      <c r="E24" s="212">
        <v>918545</v>
      </c>
      <c r="F24" s="213">
        <v>52</v>
      </c>
      <c r="G24" s="212">
        <v>1587903</v>
      </c>
      <c r="H24" s="212">
        <v>2059089</v>
      </c>
      <c r="I24" s="212">
        <v>-471186</v>
      </c>
      <c r="J24" s="213">
        <v>44</v>
      </c>
      <c r="K24" s="212">
        <v>14426995</v>
      </c>
    </row>
    <row r="25" spans="1:11">
      <c r="A25" s="212" t="s">
        <v>1497</v>
      </c>
      <c r="B25" s="212">
        <v>44826663</v>
      </c>
      <c r="C25" s="212">
        <v>13496229</v>
      </c>
      <c r="D25" s="212">
        <v>12375924</v>
      </c>
      <c r="E25" s="212">
        <v>1120305</v>
      </c>
      <c r="F25" s="213">
        <v>52</v>
      </c>
      <c r="G25" s="212">
        <v>1547540</v>
      </c>
      <c r="H25" s="212">
        <v>1984323</v>
      </c>
      <c r="I25" s="212">
        <v>-436783</v>
      </c>
      <c r="J25" s="213">
        <v>44</v>
      </c>
      <c r="K25" s="212">
        <v>15422647</v>
      </c>
    </row>
    <row r="26" spans="1:11">
      <c r="A26" s="212" t="s">
        <v>1501</v>
      </c>
      <c r="B26" s="212">
        <v>49826</v>
      </c>
      <c r="C26" s="212">
        <v>23252</v>
      </c>
      <c r="D26" s="212">
        <v>14593</v>
      </c>
      <c r="E26" s="212">
        <v>8659</v>
      </c>
      <c r="F26" s="213">
        <v>61</v>
      </c>
      <c r="G26" s="212">
        <v>2057</v>
      </c>
      <c r="H26" s="212">
        <v>358</v>
      </c>
      <c r="I26" s="212">
        <v>1699</v>
      </c>
      <c r="J26" s="213">
        <v>85</v>
      </c>
      <c r="K26" s="212">
        <v>9566</v>
      </c>
    </row>
    <row r="29" spans="1:11" ht="16.5">
      <c r="A29" s="469" t="s">
        <v>1502</v>
      </c>
      <c r="B29" s="469"/>
      <c r="C29" s="469"/>
      <c r="D29" s="469"/>
      <c r="E29" s="469"/>
      <c r="F29" s="469"/>
      <c r="G29" s="469"/>
      <c r="H29" s="469"/>
      <c r="I29" s="469"/>
      <c r="J29" s="469" t="s">
        <v>4066</v>
      </c>
      <c r="K29" s="469"/>
    </row>
    <row r="30" spans="1:11" ht="16.5">
      <c r="A30" s="468" t="s">
        <v>1475</v>
      </c>
      <c r="B30" s="469"/>
      <c r="C30" s="468" t="s">
        <v>1476</v>
      </c>
      <c r="D30" s="469"/>
      <c r="E30" s="469"/>
      <c r="F30" s="469"/>
      <c r="G30" s="468" t="s">
        <v>1477</v>
      </c>
      <c r="H30" s="469"/>
      <c r="I30" s="469"/>
      <c r="J30" s="469"/>
      <c r="K30" s="211" t="s">
        <v>1478</v>
      </c>
    </row>
    <row r="31" spans="1:11">
      <c r="A31" s="211" t="s">
        <v>1503</v>
      </c>
      <c r="B31" s="211" t="s">
        <v>1480</v>
      </c>
      <c r="C31" s="211" t="s">
        <v>1481</v>
      </c>
      <c r="D31" s="211" t="s">
        <v>1482</v>
      </c>
      <c r="E31" s="211" t="s">
        <v>1483</v>
      </c>
      <c r="F31" s="211" t="s">
        <v>1484</v>
      </c>
      <c r="G31" s="211" t="s">
        <v>1481</v>
      </c>
      <c r="H31" s="211" t="s">
        <v>1482</v>
      </c>
      <c r="I31" s="211" t="s">
        <v>1483</v>
      </c>
      <c r="J31" s="211" t="s">
        <v>1484</v>
      </c>
      <c r="K31" s="211" t="s">
        <v>1480</v>
      </c>
    </row>
    <row r="32" spans="1:11">
      <c r="A32" s="212" t="s">
        <v>1485</v>
      </c>
      <c r="B32" s="212">
        <v>185295657</v>
      </c>
      <c r="C32" s="212">
        <v>54644610</v>
      </c>
      <c r="D32" s="212">
        <v>53075410</v>
      </c>
      <c r="E32" s="212">
        <v>1569200</v>
      </c>
      <c r="F32" s="213">
        <v>51</v>
      </c>
      <c r="G32" s="212">
        <v>6898280</v>
      </c>
      <c r="H32" s="212">
        <v>8420625</v>
      </c>
      <c r="I32" s="212">
        <v>-1522345</v>
      </c>
      <c r="J32" s="213">
        <v>45</v>
      </c>
      <c r="K32" s="212">
        <v>62256732</v>
      </c>
    </row>
    <row r="33" spans="1:11">
      <c r="A33" s="212" t="s">
        <v>1504</v>
      </c>
      <c r="B33" s="212">
        <v>142943160</v>
      </c>
      <c r="C33" s="212">
        <v>40712784</v>
      </c>
      <c r="D33" s="212">
        <v>40346356</v>
      </c>
      <c r="E33" s="212">
        <v>366428</v>
      </c>
      <c r="F33" s="213">
        <v>50</v>
      </c>
      <c r="G33" s="212">
        <v>5561759</v>
      </c>
      <c r="H33" s="212">
        <v>6744968</v>
      </c>
      <c r="I33" s="212">
        <v>-1183209</v>
      </c>
      <c r="J33" s="213">
        <v>45</v>
      </c>
      <c r="K33" s="212">
        <v>49577293</v>
      </c>
    </row>
    <row r="34" spans="1:11">
      <c r="A34" s="212" t="s">
        <v>1017</v>
      </c>
      <c r="B34" s="212">
        <v>2017417</v>
      </c>
      <c r="C34" s="212">
        <v>555924</v>
      </c>
      <c r="D34" s="212">
        <v>485002</v>
      </c>
      <c r="E34" s="212">
        <v>70922</v>
      </c>
      <c r="F34" s="213">
        <v>53</v>
      </c>
      <c r="G34" s="212">
        <v>108157</v>
      </c>
      <c r="H34" s="212">
        <v>142817</v>
      </c>
      <c r="I34" s="212">
        <v>-34660</v>
      </c>
      <c r="J34" s="213">
        <v>43</v>
      </c>
      <c r="K34" s="212">
        <v>725517</v>
      </c>
    </row>
    <row r="35" spans="1:11">
      <c r="A35" s="212" t="s">
        <v>1505</v>
      </c>
      <c r="B35" s="212">
        <v>15639382</v>
      </c>
      <c r="C35" s="212">
        <v>4422954</v>
      </c>
      <c r="D35" s="212">
        <v>4742652</v>
      </c>
      <c r="E35" s="212">
        <v>-319698</v>
      </c>
      <c r="F35" s="213">
        <v>48</v>
      </c>
      <c r="G35" s="212">
        <v>678721</v>
      </c>
      <c r="H35" s="212">
        <v>947635</v>
      </c>
      <c r="I35" s="212">
        <v>-268914</v>
      </c>
      <c r="J35" s="213">
        <v>42</v>
      </c>
      <c r="K35" s="212">
        <v>4847420</v>
      </c>
    </row>
    <row r="36" spans="1:11">
      <c r="A36" s="212" t="s">
        <v>1506</v>
      </c>
      <c r="B36" s="212">
        <v>55819928</v>
      </c>
      <c r="C36" s="212">
        <v>15513362</v>
      </c>
      <c r="D36" s="212">
        <v>15456844</v>
      </c>
      <c r="E36" s="212">
        <v>56518</v>
      </c>
      <c r="F36" s="213">
        <v>50</v>
      </c>
      <c r="G36" s="212">
        <v>2320102</v>
      </c>
      <c r="H36" s="212">
        <v>2722699</v>
      </c>
      <c r="I36" s="212">
        <v>-402597</v>
      </c>
      <c r="J36" s="213">
        <v>46</v>
      </c>
      <c r="K36" s="212">
        <v>19806921</v>
      </c>
    </row>
    <row r="37" spans="1:11">
      <c r="A37" s="212" t="s">
        <v>1507</v>
      </c>
      <c r="B37" s="212">
        <v>69466433</v>
      </c>
      <c r="C37" s="212">
        <v>20220544</v>
      </c>
      <c r="D37" s="212">
        <v>19661858</v>
      </c>
      <c r="E37" s="212">
        <v>558686</v>
      </c>
      <c r="F37" s="213">
        <v>51</v>
      </c>
      <c r="G37" s="212">
        <v>2454779</v>
      </c>
      <c r="H37" s="212">
        <v>2931817</v>
      </c>
      <c r="I37" s="212">
        <v>-477038</v>
      </c>
      <c r="J37" s="213">
        <v>46</v>
      </c>
      <c r="K37" s="212">
        <v>24197435</v>
      </c>
    </row>
    <row r="38" spans="1:11">
      <c r="A38" s="212" t="s">
        <v>1508</v>
      </c>
      <c r="B38" s="212">
        <v>29904564</v>
      </c>
      <c r="C38" s="212">
        <v>9541613</v>
      </c>
      <c r="D38" s="212">
        <v>9756962</v>
      </c>
      <c r="E38" s="212">
        <v>-215349</v>
      </c>
      <c r="F38" s="213">
        <v>49</v>
      </c>
      <c r="G38" s="212">
        <v>890772</v>
      </c>
      <c r="H38" s="212">
        <v>1045019</v>
      </c>
      <c r="I38" s="212">
        <v>-154247</v>
      </c>
      <c r="J38" s="213">
        <v>46</v>
      </c>
      <c r="K38" s="212">
        <v>8670198</v>
      </c>
    </row>
    <row r="39" spans="1:11">
      <c r="A39" s="212" t="s">
        <v>1509</v>
      </c>
      <c r="B39" s="212">
        <v>14456163</v>
      </c>
      <c r="C39" s="212">
        <v>4491382</v>
      </c>
      <c r="D39" s="212">
        <v>4395274</v>
      </c>
      <c r="E39" s="212">
        <v>96108</v>
      </c>
      <c r="F39" s="213">
        <v>51</v>
      </c>
      <c r="G39" s="212">
        <v>507137</v>
      </c>
      <c r="H39" s="212">
        <v>567333</v>
      </c>
      <c r="I39" s="212">
        <v>-60196</v>
      </c>
      <c r="J39" s="213">
        <v>47</v>
      </c>
      <c r="K39" s="212">
        <v>4495037</v>
      </c>
    </row>
    <row r="40" spans="1:11">
      <c r="A40" s="212" t="s">
        <v>1510</v>
      </c>
      <c r="B40" s="212">
        <v>12283072</v>
      </c>
      <c r="C40" s="212">
        <v>4026173</v>
      </c>
      <c r="D40" s="212">
        <v>4208798</v>
      </c>
      <c r="E40" s="212">
        <v>-182625</v>
      </c>
      <c r="F40" s="213">
        <v>49</v>
      </c>
      <c r="G40" s="212">
        <v>336280</v>
      </c>
      <c r="H40" s="212">
        <v>412412</v>
      </c>
      <c r="I40" s="212">
        <v>-76132</v>
      </c>
      <c r="J40" s="213">
        <v>45</v>
      </c>
      <c r="K40" s="212">
        <v>3299409</v>
      </c>
    </row>
    <row r="41" spans="1:11">
      <c r="A41" s="212" t="s">
        <v>1511</v>
      </c>
      <c r="B41" s="212">
        <v>3009777</v>
      </c>
      <c r="C41" s="212">
        <v>991379</v>
      </c>
      <c r="D41" s="212">
        <v>1118444</v>
      </c>
      <c r="E41" s="212">
        <v>-127065</v>
      </c>
      <c r="F41" s="213">
        <v>47</v>
      </c>
      <c r="G41" s="212">
        <v>46339</v>
      </c>
      <c r="H41" s="212">
        <v>63814</v>
      </c>
      <c r="I41" s="212">
        <v>-17475</v>
      </c>
      <c r="J41" s="213">
        <v>42</v>
      </c>
      <c r="K41" s="212">
        <v>789801</v>
      </c>
    </row>
    <row r="42" spans="1:11">
      <c r="A42" s="212" t="s">
        <v>1512</v>
      </c>
      <c r="B42" s="212">
        <v>94500</v>
      </c>
      <c r="C42" s="212">
        <v>19264</v>
      </c>
      <c r="D42" s="212">
        <v>26562</v>
      </c>
      <c r="E42" s="212">
        <v>-7298</v>
      </c>
      <c r="F42" s="213">
        <v>42</v>
      </c>
      <c r="G42" s="212">
        <v>150</v>
      </c>
      <c r="H42" s="212">
        <v>862</v>
      </c>
      <c r="I42" s="212">
        <v>-712</v>
      </c>
      <c r="J42" s="213">
        <v>15</v>
      </c>
      <c r="K42" s="212">
        <v>47662</v>
      </c>
    </row>
    <row r="43" spans="1:11">
      <c r="A43" s="212" t="s">
        <v>1513</v>
      </c>
      <c r="B43" s="212">
        <v>61052</v>
      </c>
      <c r="C43" s="212">
        <v>13415</v>
      </c>
      <c r="D43" s="212">
        <v>7884</v>
      </c>
      <c r="E43" s="212">
        <v>5531</v>
      </c>
      <c r="F43" s="213">
        <v>63</v>
      </c>
      <c r="G43" s="212">
        <v>866</v>
      </c>
      <c r="H43" s="212">
        <v>598</v>
      </c>
      <c r="I43" s="212">
        <v>268</v>
      </c>
      <c r="J43" s="213">
        <v>59</v>
      </c>
      <c r="K43" s="212">
        <v>38289</v>
      </c>
    </row>
    <row r="44" spans="1:11">
      <c r="A44" s="212" t="s">
        <v>1514</v>
      </c>
      <c r="B44" s="212">
        <v>12447933</v>
      </c>
      <c r="C44" s="212">
        <v>4390213</v>
      </c>
      <c r="D44" s="212">
        <v>2972092</v>
      </c>
      <c r="E44" s="212">
        <v>1418121</v>
      </c>
      <c r="F44" s="213">
        <v>60</v>
      </c>
      <c r="G44" s="212">
        <v>445749</v>
      </c>
      <c r="H44" s="212">
        <v>630638</v>
      </c>
      <c r="I44" s="212">
        <v>-184889</v>
      </c>
      <c r="J44" s="213">
        <v>41</v>
      </c>
      <c r="K44" s="212">
        <v>4009241</v>
      </c>
    </row>
    <row r="45" spans="1:11">
      <c r="A45" s="212"/>
      <c r="B45" s="212"/>
      <c r="C45" s="212"/>
      <c r="D45" s="212"/>
      <c r="E45" s="212"/>
      <c r="F45" s="213"/>
      <c r="G45" s="212"/>
      <c r="H45" s="212"/>
      <c r="I45" s="212"/>
      <c r="J45" s="213"/>
      <c r="K45" s="212"/>
    </row>
    <row r="47" spans="1:11" ht="16.5">
      <c r="A47" s="469" t="s">
        <v>2908</v>
      </c>
      <c r="B47" s="469"/>
      <c r="C47" s="469"/>
      <c r="D47" s="469"/>
      <c r="E47" s="469"/>
      <c r="F47" s="469"/>
      <c r="G47" s="469"/>
      <c r="H47" s="469"/>
      <c r="I47" s="469"/>
      <c r="J47" s="469" t="s">
        <v>4067</v>
      </c>
      <c r="K47" s="469"/>
    </row>
    <row r="48" spans="1:11" ht="16.5">
      <c r="A48" s="468" t="s">
        <v>1475</v>
      </c>
      <c r="B48" s="469"/>
      <c r="C48" s="468" t="s">
        <v>1476</v>
      </c>
      <c r="D48" s="469"/>
      <c r="E48" s="469"/>
      <c r="F48" s="469"/>
      <c r="G48" s="468" t="s">
        <v>1477</v>
      </c>
      <c r="H48" s="469"/>
      <c r="I48" s="469"/>
      <c r="J48" s="469"/>
      <c r="K48" s="211" t="s">
        <v>1478</v>
      </c>
    </row>
    <row r="49" spans="1:11">
      <c r="A49" s="211" t="s">
        <v>200</v>
      </c>
      <c r="B49" s="211" t="s">
        <v>1480</v>
      </c>
      <c r="C49" s="211" t="s">
        <v>1481</v>
      </c>
      <c r="D49" s="211" t="s">
        <v>1482</v>
      </c>
      <c r="E49" s="211" t="s">
        <v>1483</v>
      </c>
      <c r="F49" s="211" t="s">
        <v>1484</v>
      </c>
      <c r="G49" s="211" t="s">
        <v>1481</v>
      </c>
      <c r="H49" s="211" t="s">
        <v>1482</v>
      </c>
      <c r="I49" s="211" t="s">
        <v>1483</v>
      </c>
      <c r="J49" s="211" t="s">
        <v>1484</v>
      </c>
      <c r="K49" s="211" t="s">
        <v>1480</v>
      </c>
    </row>
    <row r="50" spans="1:11">
      <c r="A50" s="212" t="s">
        <v>1485</v>
      </c>
      <c r="B50" s="212">
        <v>185295657</v>
      </c>
      <c r="C50" s="212">
        <v>54644610</v>
      </c>
      <c r="D50" s="212">
        <v>53075410</v>
      </c>
      <c r="E50" s="212">
        <v>1569200</v>
      </c>
      <c r="F50" s="213">
        <v>51</v>
      </c>
      <c r="G50" s="212">
        <v>6898280</v>
      </c>
      <c r="H50" s="212">
        <v>8420625</v>
      </c>
      <c r="I50" s="212">
        <v>-1522345</v>
      </c>
      <c r="J50" s="213">
        <v>45</v>
      </c>
      <c r="K50" s="212">
        <v>62256732</v>
      </c>
    </row>
    <row r="51" spans="1:11">
      <c r="A51" s="212" t="s">
        <v>2945</v>
      </c>
      <c r="B51" s="212">
        <v>4387291</v>
      </c>
      <c r="C51" s="212">
        <v>1387801</v>
      </c>
      <c r="D51" s="212">
        <v>1483535</v>
      </c>
      <c r="E51" s="212">
        <v>-95734</v>
      </c>
      <c r="F51" s="213">
        <v>48</v>
      </c>
      <c r="G51" s="212">
        <v>163083</v>
      </c>
      <c r="H51" s="212">
        <v>197173</v>
      </c>
      <c r="I51" s="212">
        <v>-34090</v>
      </c>
      <c r="J51" s="213">
        <v>45</v>
      </c>
      <c r="K51" s="212">
        <v>1155699</v>
      </c>
    </row>
    <row r="52" spans="1:11">
      <c r="A52" s="212" t="s">
        <v>1546</v>
      </c>
      <c r="B52" s="212">
        <v>3758609</v>
      </c>
      <c r="C52" s="212">
        <v>1395538</v>
      </c>
      <c r="D52" s="212">
        <v>1092727</v>
      </c>
      <c r="E52" s="212">
        <v>302811</v>
      </c>
      <c r="F52" s="213">
        <v>56</v>
      </c>
      <c r="G52" s="212">
        <v>90803</v>
      </c>
      <c r="H52" s="212">
        <v>93472</v>
      </c>
      <c r="I52" s="212">
        <v>-2669</v>
      </c>
      <c r="J52" s="213">
        <v>49</v>
      </c>
      <c r="K52" s="212">
        <v>1086069</v>
      </c>
    </row>
    <row r="53" spans="1:11">
      <c r="A53" s="212" t="s">
        <v>1539</v>
      </c>
      <c r="B53" s="212">
        <v>3619558</v>
      </c>
      <c r="C53" s="212">
        <v>1288560</v>
      </c>
      <c r="D53" s="212">
        <v>841896</v>
      </c>
      <c r="E53" s="212">
        <v>446664</v>
      </c>
      <c r="F53" s="213">
        <v>60</v>
      </c>
      <c r="G53" s="212">
        <v>159141</v>
      </c>
      <c r="H53" s="212">
        <v>257477</v>
      </c>
      <c r="I53" s="212">
        <v>-98336</v>
      </c>
      <c r="J53" s="213">
        <v>38</v>
      </c>
      <c r="K53" s="212">
        <v>1072484</v>
      </c>
    </row>
    <row r="54" spans="1:11">
      <c r="A54" s="212" t="s">
        <v>1535</v>
      </c>
      <c r="B54" s="212">
        <v>3143978</v>
      </c>
      <c r="C54" s="212">
        <v>924435</v>
      </c>
      <c r="D54" s="212">
        <v>776448</v>
      </c>
      <c r="E54" s="212">
        <v>147987</v>
      </c>
      <c r="F54" s="213">
        <v>54</v>
      </c>
      <c r="G54" s="212">
        <v>178250</v>
      </c>
      <c r="H54" s="212">
        <v>177234</v>
      </c>
      <c r="I54" s="212">
        <v>1016</v>
      </c>
      <c r="J54" s="213">
        <v>50</v>
      </c>
      <c r="K54" s="212">
        <v>1087611</v>
      </c>
    </row>
    <row r="55" spans="1:11">
      <c r="A55" s="212" t="s">
        <v>3058</v>
      </c>
      <c r="B55" s="212">
        <v>3009288</v>
      </c>
      <c r="C55" s="212">
        <v>939273</v>
      </c>
      <c r="D55" s="212">
        <v>1044599</v>
      </c>
      <c r="E55" s="212">
        <v>-105326</v>
      </c>
      <c r="F55" s="213">
        <v>47</v>
      </c>
      <c r="G55" s="212">
        <v>82936</v>
      </c>
      <c r="H55" s="212">
        <v>163825</v>
      </c>
      <c r="I55" s="212">
        <v>-80889</v>
      </c>
      <c r="J55" s="213">
        <v>34</v>
      </c>
      <c r="K55" s="212">
        <v>778655</v>
      </c>
    </row>
    <row r="56" spans="1:11">
      <c r="A56" s="212" t="s">
        <v>1540</v>
      </c>
      <c r="B56" s="212">
        <v>2592075</v>
      </c>
      <c r="C56" s="212">
        <v>720757</v>
      </c>
      <c r="D56" s="212">
        <v>740145</v>
      </c>
      <c r="E56" s="212">
        <v>-19388</v>
      </c>
      <c r="F56" s="213">
        <v>49</v>
      </c>
      <c r="G56" s="212">
        <v>103936</v>
      </c>
      <c r="H56" s="212">
        <v>134278</v>
      </c>
      <c r="I56" s="212">
        <v>-30342</v>
      </c>
      <c r="J56" s="213">
        <v>44</v>
      </c>
      <c r="K56" s="212">
        <v>892959</v>
      </c>
    </row>
    <row r="57" spans="1:11">
      <c r="A57" s="212" t="s">
        <v>1513</v>
      </c>
      <c r="B57" s="212">
        <v>2342747</v>
      </c>
      <c r="C57" s="212">
        <v>607735</v>
      </c>
      <c r="D57" s="212">
        <v>592822</v>
      </c>
      <c r="E57" s="212">
        <v>14913</v>
      </c>
      <c r="F57" s="213">
        <v>51</v>
      </c>
      <c r="G57" s="212">
        <v>106836</v>
      </c>
      <c r="H57" s="212">
        <v>112310</v>
      </c>
      <c r="I57" s="212">
        <v>-5474</v>
      </c>
      <c r="J57" s="213">
        <v>49</v>
      </c>
      <c r="K57" s="212">
        <v>923044</v>
      </c>
    </row>
    <row r="58" spans="1:11">
      <c r="A58" s="212" t="s">
        <v>3452</v>
      </c>
      <c r="B58" s="212">
        <v>2170958</v>
      </c>
      <c r="C58" s="212">
        <v>740512</v>
      </c>
      <c r="D58" s="212">
        <v>560779</v>
      </c>
      <c r="E58" s="212">
        <v>179733</v>
      </c>
      <c r="F58" s="213">
        <v>57</v>
      </c>
      <c r="G58" s="212">
        <v>40721</v>
      </c>
      <c r="H58" s="212">
        <v>31990</v>
      </c>
      <c r="I58" s="212">
        <v>8731</v>
      </c>
      <c r="J58" s="213">
        <v>56</v>
      </c>
      <c r="K58" s="212">
        <v>796956</v>
      </c>
    </row>
    <row r="59" spans="1:11">
      <c r="A59" s="212" t="s">
        <v>1567</v>
      </c>
      <c r="B59" s="212">
        <v>2154652</v>
      </c>
      <c r="C59" s="212">
        <v>642320</v>
      </c>
      <c r="D59" s="212">
        <v>805249</v>
      </c>
      <c r="E59" s="212">
        <v>-162929</v>
      </c>
      <c r="F59" s="213">
        <v>44</v>
      </c>
      <c r="G59" s="212">
        <v>79350</v>
      </c>
      <c r="H59" s="212">
        <v>117645</v>
      </c>
      <c r="I59" s="212">
        <v>-38295</v>
      </c>
      <c r="J59" s="213">
        <v>40</v>
      </c>
      <c r="K59" s="212">
        <v>510088</v>
      </c>
    </row>
    <row r="60" spans="1:11">
      <c r="A60" s="212" t="s">
        <v>1541</v>
      </c>
      <c r="B60" s="212">
        <v>1919396</v>
      </c>
      <c r="C60" s="212">
        <v>529368</v>
      </c>
      <c r="D60" s="212">
        <v>531320</v>
      </c>
      <c r="E60" s="212">
        <v>-1952</v>
      </c>
      <c r="F60" s="213">
        <v>50</v>
      </c>
      <c r="G60" s="212">
        <v>68178</v>
      </c>
      <c r="H60" s="212">
        <v>103015</v>
      </c>
      <c r="I60" s="212">
        <v>-34837</v>
      </c>
      <c r="J60" s="213">
        <v>40</v>
      </c>
      <c r="K60" s="212">
        <v>687515</v>
      </c>
    </row>
  </sheetData>
  <mergeCells count="20">
    <mergeCell ref="A47:I47"/>
    <mergeCell ref="J47:K47"/>
    <mergeCell ref="A48:B48"/>
    <mergeCell ref="C48:F48"/>
    <mergeCell ref="G48:J48"/>
    <mergeCell ref="A30:B30"/>
    <mergeCell ref="C30:F30"/>
    <mergeCell ref="G30:J30"/>
    <mergeCell ref="A1:I1"/>
    <mergeCell ref="J1:K1"/>
    <mergeCell ref="A2:B2"/>
    <mergeCell ref="C2:F2"/>
    <mergeCell ref="G2:J2"/>
    <mergeCell ref="A17:I17"/>
    <mergeCell ref="J17:K17"/>
    <mergeCell ref="A18:B18"/>
    <mergeCell ref="C18:F18"/>
    <mergeCell ref="G18:J18"/>
    <mergeCell ref="A29:I29"/>
    <mergeCell ref="J29:K29"/>
  </mergeCells>
  <phoneticPr fontId="2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85CA-17FE-470F-B859-DB330913C2BD}">
  <sheetPr codeName="工作表9"/>
  <dimension ref="A1:AH2501"/>
  <sheetViews>
    <sheetView workbookViewId="0">
      <selection activeCell="I3" sqref="I3:AH33"/>
    </sheetView>
  </sheetViews>
  <sheetFormatPr defaultRowHeight="15.75"/>
  <cols>
    <col min="1" max="8" width="9" style="210"/>
    <col min="9" max="9" width="21" style="210" customWidth="1"/>
    <col min="10" max="10" width="9.625" style="210" customWidth="1"/>
    <col min="11" max="11" width="8" style="210" customWidth="1"/>
    <col min="12" max="12" width="12" style="210" customWidth="1"/>
    <col min="13" max="13" width="9" style="210" customWidth="1"/>
    <col min="14" max="17" width="2.875" style="210" customWidth="1"/>
    <col min="18" max="18" width="8.375" style="210" customWidth="1"/>
    <col min="19" max="19" width="10" style="210" customWidth="1"/>
    <col min="20" max="20" width="8.125" style="210" customWidth="1"/>
    <col min="21" max="21" width="8.875" style="210" customWidth="1"/>
    <col min="22" max="22" width="6.625" style="210" customWidth="1"/>
    <col min="23" max="23" width="7.375" style="210" customWidth="1"/>
    <col min="24" max="24" width="6.625" style="210" customWidth="1"/>
    <col min="25" max="26" width="11" style="210" customWidth="1"/>
    <col min="27" max="31" width="7.625" style="210" customWidth="1"/>
    <col min="32" max="32" width="5.875" style="210" customWidth="1"/>
    <col min="33" max="33" width="11.875" style="210" customWidth="1"/>
    <col min="34" max="34" width="8.875" style="210" customWidth="1"/>
    <col min="35" max="16384" width="9" style="210"/>
  </cols>
  <sheetData>
    <row r="1" spans="1:34">
      <c r="A1" s="210" t="s">
        <v>1282</v>
      </c>
      <c r="B1" s="210" t="s">
        <v>2897</v>
      </c>
      <c r="C1" s="210" t="s">
        <v>888</v>
      </c>
      <c r="D1" s="210" t="s">
        <v>2898</v>
      </c>
      <c r="E1" s="210" t="s">
        <v>2899</v>
      </c>
      <c r="F1" s="210" t="s">
        <v>2902</v>
      </c>
      <c r="G1" s="210" t="s">
        <v>2903</v>
      </c>
      <c r="H1" s="210" t="s">
        <v>2904</v>
      </c>
      <c r="I1" s="189" t="s">
        <v>1515</v>
      </c>
      <c r="J1" s="189" t="s">
        <v>200</v>
      </c>
      <c r="K1" s="189" t="s">
        <v>1516</v>
      </c>
      <c r="L1" s="189" t="s">
        <v>1495</v>
      </c>
      <c r="M1" s="189" t="s">
        <v>1503</v>
      </c>
      <c r="N1" s="189" t="s">
        <v>1517</v>
      </c>
      <c r="O1" s="189" t="s">
        <v>1513</v>
      </c>
      <c r="P1" s="189" t="s">
        <v>1518</v>
      </c>
      <c r="Q1" s="189" t="s">
        <v>1519</v>
      </c>
      <c r="R1" s="189" t="s">
        <v>1520</v>
      </c>
      <c r="S1" s="189" t="s">
        <v>1521</v>
      </c>
      <c r="T1" s="189" t="s">
        <v>1522</v>
      </c>
      <c r="U1" s="189" t="s">
        <v>1523</v>
      </c>
      <c r="V1" s="189" t="s">
        <v>1522</v>
      </c>
      <c r="W1" s="189" t="s">
        <v>1524</v>
      </c>
      <c r="X1" s="189" t="s">
        <v>1522</v>
      </c>
      <c r="Y1" s="189" t="s">
        <v>1525</v>
      </c>
      <c r="Z1" s="189" t="s">
        <v>1526</v>
      </c>
      <c r="AA1" s="189" t="s">
        <v>1527</v>
      </c>
      <c r="AB1" s="189" t="s">
        <v>1528</v>
      </c>
      <c r="AC1" s="189" t="s">
        <v>1529</v>
      </c>
      <c r="AD1" s="189" t="s">
        <v>1530</v>
      </c>
      <c r="AE1" s="189" t="s">
        <v>1531</v>
      </c>
      <c r="AF1" s="189" t="s">
        <v>1532</v>
      </c>
      <c r="AG1" s="189" t="s">
        <v>1533</v>
      </c>
      <c r="AH1" s="189" t="s">
        <v>1534</v>
      </c>
    </row>
    <row r="2" spans="1:34">
      <c r="K2" s="214"/>
      <c r="S2" s="214"/>
      <c r="Y2" s="214"/>
      <c r="Z2" s="214"/>
      <c r="AF2" s="212">
        <v>15994</v>
      </c>
      <c r="AG2" s="212">
        <v>43538566</v>
      </c>
    </row>
    <row r="3" spans="1:34" ht="16.5">
      <c r="A3" s="210" t="e" cm="1">
        <f t="array" aca="1" ref="A3" ca="1">_xll.BDP($I3,$A$1)</f>
        <v>#NAME?</v>
      </c>
      <c r="B3" s="210" t="e" cm="1">
        <f t="array" aca="1" ref="B3" ca="1">_xll.BDP($I3,$B$1)</f>
        <v>#NAME?</v>
      </c>
      <c r="C3" s="210" t="e" cm="1">
        <f t="array" aca="1" ref="C3" ca="1">_xll.BDP($I3,$C$1)</f>
        <v>#NAME?</v>
      </c>
      <c r="D3" s="210" t="e" cm="1">
        <f t="array" aca="1" ref="D3" ca="1">_xll.BDP($I3,$D$1)</f>
        <v>#NAME?</v>
      </c>
      <c r="E3" s="376" t="e" cm="1">
        <f t="array" aca="1" ref="E3" ca="1">_xll.BDP($I3,$E$1)</f>
        <v>#NAME?</v>
      </c>
      <c r="F3" s="376" t="e" cm="1">
        <f t="array" aca="1" ref="F3" ca="1">_xll.BDP($I3,$F$1)</f>
        <v>#NAME?</v>
      </c>
      <c r="G3" s="376" t="e" cm="1">
        <f t="array" aca="1" ref="G3" ca="1">_xll.BDP($I3,$G$1)</f>
        <v>#NAME?</v>
      </c>
      <c r="H3" s="376" t="e" cm="1">
        <f t="array" aca="1" ref="H3" ca="1">_xll.BDP($I3,$H$1)</f>
        <v>#NAME?</v>
      </c>
      <c r="I3" s="193" t="s">
        <v>3042</v>
      </c>
      <c r="J3" s="193" t="s">
        <v>2945</v>
      </c>
      <c r="K3" s="214">
        <v>5.95</v>
      </c>
      <c r="L3" s="193" t="s">
        <v>3043</v>
      </c>
      <c r="M3" s="193" t="s">
        <v>2932</v>
      </c>
      <c r="N3" s="193" t="s">
        <v>1452</v>
      </c>
      <c r="O3" s="193" t="s">
        <v>1513</v>
      </c>
      <c r="P3" s="193" t="s">
        <v>1518</v>
      </c>
      <c r="Q3" s="193" t="s">
        <v>936</v>
      </c>
      <c r="R3" s="193">
        <v>1000</v>
      </c>
      <c r="S3" s="214">
        <v>92.955001831054702</v>
      </c>
      <c r="T3" s="193">
        <v>0.40699999999999997</v>
      </c>
      <c r="U3" s="193">
        <v>6.4859999999999998</v>
      </c>
      <c r="V3" s="193">
        <v>-3</v>
      </c>
      <c r="W3" s="193">
        <v>176</v>
      </c>
      <c r="X3" s="193">
        <v>-1</v>
      </c>
      <c r="Y3" s="214">
        <v>93.931999206542997</v>
      </c>
      <c r="Z3" s="214">
        <v>92.535003662109403</v>
      </c>
      <c r="AA3" s="193">
        <v>251</v>
      </c>
      <c r="AB3" s="193">
        <v>249</v>
      </c>
      <c r="AC3" s="193">
        <v>233</v>
      </c>
      <c r="AD3" s="193">
        <v>254</v>
      </c>
      <c r="AE3" s="193">
        <v>176</v>
      </c>
      <c r="AF3" s="212">
        <v>168</v>
      </c>
      <c r="AG3" s="212">
        <v>702385</v>
      </c>
      <c r="AH3" s="193" t="s">
        <v>4031</v>
      </c>
    </row>
    <row r="4" spans="1:34" ht="16.5">
      <c r="A4" s="210" t="e" cm="1">
        <f t="array" aca="1" ref="A4" ca="1">_xll.BDP($I4,$A$1)</f>
        <v>#NAME?</v>
      </c>
      <c r="B4" s="210" t="e" cm="1">
        <f t="array" aca="1" ref="B4" ca="1">_xll.BDP($I4,$B$1)</f>
        <v>#NAME?</v>
      </c>
      <c r="C4" s="210" t="e" cm="1">
        <f t="array" aca="1" ref="C4" ca="1">_xll.BDP($I4,$C$1)</f>
        <v>#NAME?</v>
      </c>
      <c r="D4" s="210" t="e" cm="1">
        <f t="array" aca="1" ref="D4" ca="1">_xll.BDP($I4,$D$1)</f>
        <v>#NAME?</v>
      </c>
      <c r="E4" s="376" t="e" cm="1">
        <f t="array" aca="1" ref="E4" ca="1">_xll.BDP($I4,$E$1)</f>
        <v>#NAME?</v>
      </c>
      <c r="F4" s="376" t="e" cm="1">
        <f t="array" aca="1" ref="F4" ca="1">_xll.BDP($I4,$F$1)</f>
        <v>#NAME?</v>
      </c>
      <c r="G4" s="376" t="e" cm="1">
        <f t="array" aca="1" ref="G4" ca="1">_xll.BDP($I4,$G$1)</f>
        <v>#NAME?</v>
      </c>
      <c r="H4" s="376" t="e" cm="1">
        <f t="array" aca="1" ref="H4" ca="1">_xll.BDP($I4,$H$1)</f>
        <v>#NAME?</v>
      </c>
      <c r="I4" s="193" t="s">
        <v>3439</v>
      </c>
      <c r="J4" s="193" t="s">
        <v>3058</v>
      </c>
      <c r="K4" s="214">
        <v>5.625</v>
      </c>
      <c r="L4" s="193" t="s">
        <v>3309</v>
      </c>
      <c r="M4" s="193" t="s">
        <v>2962</v>
      </c>
      <c r="N4" s="193" t="s">
        <v>1452</v>
      </c>
      <c r="O4" s="193" t="s">
        <v>1513</v>
      </c>
      <c r="P4" s="193" t="s">
        <v>1518</v>
      </c>
      <c r="Q4" s="193" t="s">
        <v>936</v>
      </c>
      <c r="R4" s="193" t="s">
        <v>2922</v>
      </c>
      <c r="S4" s="214">
        <v>98.527000427246094</v>
      </c>
      <c r="T4" s="193">
        <v>0.224</v>
      </c>
      <c r="U4" s="193">
        <v>5.7279999999999998</v>
      </c>
      <c r="V4" s="193">
        <v>-2</v>
      </c>
      <c r="W4" s="193">
        <v>99</v>
      </c>
      <c r="X4" s="193">
        <v>0</v>
      </c>
      <c r="Y4" s="214">
        <v>99.908996582031193</v>
      </c>
      <c r="Z4" s="214">
        <v>98.265998840332003</v>
      </c>
      <c r="AA4" s="193">
        <v>173</v>
      </c>
      <c r="AB4" s="193">
        <v>173</v>
      </c>
      <c r="AC4" s="193">
        <v>168</v>
      </c>
      <c r="AD4" s="193">
        <v>176</v>
      </c>
      <c r="AE4" s="193">
        <v>99</v>
      </c>
      <c r="AF4" s="212">
        <v>151</v>
      </c>
      <c r="AG4" s="212">
        <v>621505</v>
      </c>
      <c r="AH4" s="193" t="s">
        <v>4032</v>
      </c>
    </row>
    <row r="5" spans="1:34" ht="16.5">
      <c r="A5" s="210" t="e" cm="1">
        <f t="array" aca="1" ref="A5" ca="1">_xll.BDP($I5,$A$1)</f>
        <v>#NAME?</v>
      </c>
      <c r="B5" s="210" t="e" cm="1">
        <f t="array" aca="1" ref="B5" ca="1">_xll.BDP($I5,$B$1)</f>
        <v>#NAME?</v>
      </c>
      <c r="C5" s="210" t="e" cm="1">
        <f t="array" aca="1" ref="C5" ca="1">_xll.BDP($I5,$C$1)</f>
        <v>#NAME?</v>
      </c>
      <c r="D5" s="210" t="e" cm="1">
        <f t="array" aca="1" ref="D5" ca="1">_xll.BDP($I5,$D$1)</f>
        <v>#NAME?</v>
      </c>
      <c r="E5" s="376" t="e" cm="1">
        <f t="array" aca="1" ref="E5" ca="1">_xll.BDP($I5,$E$1)</f>
        <v>#NAME?</v>
      </c>
      <c r="F5" s="376" t="e" cm="1">
        <f t="array" aca="1" ref="F5" ca="1">_xll.BDP($I5,$F$1)</f>
        <v>#NAME?</v>
      </c>
      <c r="G5" s="376" t="e" cm="1">
        <f t="array" aca="1" ref="G5" ca="1">_xll.BDP($I5,$G$1)</f>
        <v>#NAME?</v>
      </c>
      <c r="H5" s="376" t="e" cm="1">
        <f t="array" aca="1" ref="H5" ca="1">_xll.BDP($I5,$H$1)</f>
        <v>#NAME?</v>
      </c>
      <c r="I5" s="193" t="s">
        <v>3044</v>
      </c>
      <c r="J5" s="193" t="s">
        <v>2945</v>
      </c>
      <c r="K5" s="214">
        <v>5.2</v>
      </c>
      <c r="L5" s="193" t="s">
        <v>3045</v>
      </c>
      <c r="M5" s="193" t="s">
        <v>2932</v>
      </c>
      <c r="N5" s="193" t="s">
        <v>1452</v>
      </c>
      <c r="O5" s="193" t="s">
        <v>1513</v>
      </c>
      <c r="P5" s="193" t="s">
        <v>1172</v>
      </c>
      <c r="Q5" s="193" t="s">
        <v>936</v>
      </c>
      <c r="R5" s="193">
        <v>5000</v>
      </c>
      <c r="S5" s="214">
        <v>97.230003356933594</v>
      </c>
      <c r="T5" s="193">
        <v>0.12</v>
      </c>
      <c r="U5" s="193">
        <v>5.5679999999999996</v>
      </c>
      <c r="V5" s="193">
        <v>-2</v>
      </c>
      <c r="W5" s="193">
        <v>143</v>
      </c>
      <c r="X5" s="193">
        <v>-2</v>
      </c>
      <c r="Y5" s="214">
        <v>98.573997497558594</v>
      </c>
      <c r="Z5" s="214">
        <v>96.994003295898395</v>
      </c>
      <c r="AA5" s="193">
        <v>187</v>
      </c>
      <c r="AB5" s="193">
        <v>188</v>
      </c>
      <c r="AC5" s="193">
        <v>182</v>
      </c>
      <c r="AD5" s="193">
        <v>189</v>
      </c>
      <c r="AE5" s="193">
        <v>144</v>
      </c>
      <c r="AF5" s="212">
        <v>121</v>
      </c>
      <c r="AG5" s="212">
        <v>398164</v>
      </c>
      <c r="AH5" s="193" t="s">
        <v>4033</v>
      </c>
    </row>
    <row r="6" spans="1:34" ht="16.5">
      <c r="A6" s="210" t="e" cm="1">
        <f t="array" aca="1" ref="A6" ca="1">_xll.BDP($I6,$A$1)</f>
        <v>#NAME?</v>
      </c>
      <c r="B6" s="210" t="e" cm="1">
        <f t="array" aca="1" ref="B6" ca="1">_xll.BDP($I6,$B$1)</f>
        <v>#NAME?</v>
      </c>
      <c r="C6" s="210" t="e" cm="1">
        <f t="array" aca="1" ref="C6" ca="1">_xll.BDP($I6,$C$1)</f>
        <v>#NAME?</v>
      </c>
      <c r="D6" s="210" t="e" cm="1">
        <f t="array" aca="1" ref="D6" ca="1">_xll.BDP($I6,$D$1)</f>
        <v>#NAME?</v>
      </c>
      <c r="E6" s="376" t="e" cm="1">
        <f t="array" aca="1" ref="E6" ca="1">_xll.BDP($I6,$E$1)</f>
        <v>#NAME?</v>
      </c>
      <c r="F6" s="376" t="e" cm="1">
        <f t="array" aca="1" ref="F6" ca="1">_xll.BDP($I6,$F$1)</f>
        <v>#NAME?</v>
      </c>
      <c r="G6" s="376" t="e" cm="1">
        <f t="array" aca="1" ref="G6" ca="1">_xll.BDP($I6,$G$1)</f>
        <v>#NAME?</v>
      </c>
      <c r="H6" s="376" t="e" cm="1">
        <f t="array" aca="1" ref="H6" ca="1">_xll.BDP($I6,$H$1)</f>
        <v>#NAME?</v>
      </c>
      <c r="I6" s="193" t="s">
        <v>3927</v>
      </c>
      <c r="J6" s="193" t="s">
        <v>1546</v>
      </c>
      <c r="K6" s="214">
        <v>5.875</v>
      </c>
      <c r="L6" s="193" t="s">
        <v>3928</v>
      </c>
      <c r="M6" s="193" t="s">
        <v>2940</v>
      </c>
      <c r="N6" s="193" t="s">
        <v>1452</v>
      </c>
      <c r="O6" s="193" t="s">
        <v>1513</v>
      </c>
      <c r="P6" s="193" t="s">
        <v>1172</v>
      </c>
      <c r="Q6" s="193" t="s">
        <v>936</v>
      </c>
      <c r="R6" s="193">
        <v>5000</v>
      </c>
      <c r="S6" s="214">
        <v>99.677001953125</v>
      </c>
      <c r="T6" s="193">
        <v>-2.8000000000000001E-2</v>
      </c>
      <c r="U6" s="193">
        <v>5.8979999999999997</v>
      </c>
      <c r="V6" s="193">
        <v>0</v>
      </c>
      <c r="W6" s="193">
        <v>117</v>
      </c>
      <c r="X6" s="193">
        <v>2</v>
      </c>
      <c r="Y6" s="214">
        <v>100.79799652099599</v>
      </c>
      <c r="Z6" s="214">
        <v>99.494003295898395</v>
      </c>
      <c r="AA6" s="193">
        <v>191</v>
      </c>
      <c r="AB6" s="193">
        <v>190</v>
      </c>
      <c r="AC6" s="193">
        <v>187</v>
      </c>
      <c r="AD6" s="193">
        <v>194</v>
      </c>
      <c r="AE6" s="193">
        <v>117</v>
      </c>
      <c r="AF6" s="212">
        <v>218</v>
      </c>
      <c r="AG6" s="212">
        <v>395416</v>
      </c>
      <c r="AH6" s="193" t="s">
        <v>2978</v>
      </c>
    </row>
    <row r="7" spans="1:34" ht="16.5">
      <c r="A7" s="210" t="e" cm="1">
        <f t="array" aca="1" ref="A7" ca="1">_xll.BDP($I7,$A$1)</f>
        <v>#NAME?</v>
      </c>
      <c r="B7" s="210" t="e" cm="1">
        <f t="array" aca="1" ref="B7" ca="1">_xll.BDP($I7,$B$1)</f>
        <v>#NAME?</v>
      </c>
      <c r="C7" s="210" t="e" cm="1">
        <f t="array" aca="1" ref="C7" ca="1">_xll.BDP($I7,$C$1)</f>
        <v>#NAME?</v>
      </c>
      <c r="D7" s="210" t="e" cm="1">
        <f t="array" aca="1" ref="D7" ca="1">_xll.BDP($I7,$D$1)</f>
        <v>#NAME?</v>
      </c>
      <c r="E7" s="376" t="e" cm="1">
        <f t="array" aca="1" ref="E7" ca="1">_xll.BDP($I7,$E$1)</f>
        <v>#NAME?</v>
      </c>
      <c r="F7" s="376" t="e" cm="1">
        <f t="array" aca="1" ref="F7" ca="1">_xll.BDP($I7,$F$1)</f>
        <v>#NAME?</v>
      </c>
      <c r="G7" s="376" t="e" cm="1">
        <f t="array" aca="1" ref="G7" ca="1">_xll.BDP($I7,$G$1)</f>
        <v>#NAME?</v>
      </c>
      <c r="H7" s="376" t="e" cm="1">
        <f t="array" aca="1" ref="H7" ca="1">_xll.BDP($I7,$H$1)</f>
        <v>#NAME?</v>
      </c>
      <c r="I7" s="193" t="s">
        <v>3922</v>
      </c>
      <c r="J7" s="193" t="s">
        <v>1567</v>
      </c>
      <c r="K7" s="214">
        <v>5.45</v>
      </c>
      <c r="L7" s="193" t="s">
        <v>3309</v>
      </c>
      <c r="M7" s="193" t="s">
        <v>3464</v>
      </c>
      <c r="N7" s="193" t="s">
        <v>1452</v>
      </c>
      <c r="O7" s="193" t="s">
        <v>1513</v>
      </c>
      <c r="P7" s="193" t="s">
        <v>1518</v>
      </c>
      <c r="Q7" s="193" t="s">
        <v>936</v>
      </c>
      <c r="R7" s="193" t="s">
        <v>2922</v>
      </c>
      <c r="S7" s="214">
        <v>100.34799957275401</v>
      </c>
      <c r="T7" s="193">
        <v>0.27900000000000003</v>
      </c>
      <c r="U7" s="193">
        <v>5.4260000000000002</v>
      </c>
      <c r="V7" s="193">
        <v>-2</v>
      </c>
      <c r="W7" s="193">
        <v>69</v>
      </c>
      <c r="X7" s="193">
        <v>-1</v>
      </c>
      <c r="Y7" s="214">
        <v>101.626998901367</v>
      </c>
      <c r="Z7" s="214">
        <v>100.021003723145</v>
      </c>
      <c r="AA7" s="193">
        <v>142</v>
      </c>
      <c r="AB7" s="193">
        <v>142</v>
      </c>
      <c r="AC7" s="193">
        <v>140</v>
      </c>
      <c r="AD7" s="193">
        <v>145</v>
      </c>
      <c r="AE7" s="193">
        <v>69</v>
      </c>
      <c r="AF7" s="212">
        <v>100</v>
      </c>
      <c r="AG7" s="212">
        <v>393783</v>
      </c>
      <c r="AH7" s="193" t="s">
        <v>4034</v>
      </c>
    </row>
    <row r="8" spans="1:34" ht="16.5">
      <c r="A8" s="210" t="e" cm="1">
        <f t="array" aca="1" ref="A8" ca="1">_xll.BDP($I8,$A$1)</f>
        <v>#NAME?</v>
      </c>
      <c r="B8" s="210" t="e" cm="1">
        <f t="array" aca="1" ref="B8" ca="1">_xll.BDP($I8,$B$1)</f>
        <v>#NAME?</v>
      </c>
      <c r="C8" s="210" t="e" cm="1">
        <f t="array" aca="1" ref="C8" ca="1">_xll.BDP($I8,$C$1)</f>
        <v>#NAME?</v>
      </c>
      <c r="D8" s="210" t="e" cm="1">
        <f t="array" aca="1" ref="D8" ca="1">_xll.BDP($I8,$D$1)</f>
        <v>#NAME?</v>
      </c>
      <c r="E8" s="376" t="e" cm="1">
        <f t="array" aca="1" ref="E8" ca="1">_xll.BDP($I8,$E$1)</f>
        <v>#NAME?</v>
      </c>
      <c r="F8" s="376" t="e" cm="1">
        <f t="array" aca="1" ref="F8" ca="1">_xll.BDP($I8,$F$1)</f>
        <v>#NAME?</v>
      </c>
      <c r="G8" s="376" t="e" cm="1">
        <f t="array" aca="1" ref="G8" ca="1">_xll.BDP($I8,$G$1)</f>
        <v>#NAME?</v>
      </c>
      <c r="H8" s="376" t="e" cm="1">
        <f t="array" aca="1" ref="H8" ca="1">_xll.BDP($I8,$H$1)</f>
        <v>#NAME?</v>
      </c>
      <c r="I8" s="193" t="s">
        <v>3430</v>
      </c>
      <c r="J8" s="193" t="s">
        <v>3058</v>
      </c>
      <c r="K8" s="214">
        <v>4.875</v>
      </c>
      <c r="L8" s="193" t="s">
        <v>3431</v>
      </c>
      <c r="M8" s="193" t="s">
        <v>2962</v>
      </c>
      <c r="N8" s="193" t="s">
        <v>1452</v>
      </c>
      <c r="O8" s="193" t="s">
        <v>876</v>
      </c>
      <c r="P8" s="193" t="s">
        <v>1172</v>
      </c>
      <c r="Q8" s="193" t="s">
        <v>936</v>
      </c>
      <c r="R8" s="193" t="s">
        <v>2922</v>
      </c>
      <c r="S8" s="214">
        <v>100.112998962402</v>
      </c>
      <c r="T8" s="193">
        <v>-0.28799999999999998</v>
      </c>
      <c r="U8" s="193">
        <v>4.8600000000000003</v>
      </c>
      <c r="V8" s="193">
        <v>4</v>
      </c>
      <c r="W8" s="193">
        <v>73</v>
      </c>
      <c r="X8" s="193">
        <v>0</v>
      </c>
      <c r="Y8" s="214">
        <v>100.74299621582</v>
      </c>
      <c r="Z8" s="214">
        <v>99.972000122070298</v>
      </c>
      <c r="AA8" s="193">
        <v>116</v>
      </c>
      <c r="AB8" s="193">
        <v>117</v>
      </c>
      <c r="AC8" s="193">
        <v>115</v>
      </c>
      <c r="AD8" s="193">
        <v>118</v>
      </c>
      <c r="AE8" s="193">
        <v>73</v>
      </c>
      <c r="AF8" s="212">
        <v>98</v>
      </c>
      <c r="AG8" s="212">
        <v>341289</v>
      </c>
      <c r="AH8" s="193" t="s">
        <v>4035</v>
      </c>
    </row>
    <row r="9" spans="1:34" ht="16.5">
      <c r="A9" s="210" t="e" cm="1">
        <f t="array" aca="1" ref="A9" ca="1">_xll.BDP($I9,$A$1)</f>
        <v>#NAME?</v>
      </c>
      <c r="B9" s="210" t="e" cm="1">
        <f t="array" aca="1" ref="B9" ca="1">_xll.BDP($I9,$B$1)</f>
        <v>#NAME?</v>
      </c>
      <c r="C9" s="210" t="e" cm="1">
        <f t="array" aca="1" ref="C9" ca="1">_xll.BDP($I9,$C$1)</f>
        <v>#NAME?</v>
      </c>
      <c r="D9" s="210" t="e" cm="1">
        <f t="array" aca="1" ref="D9" ca="1">_xll.BDP($I9,$D$1)</f>
        <v>#NAME?</v>
      </c>
      <c r="E9" s="376" t="e" cm="1">
        <f t="array" aca="1" ref="E9" ca="1">_xll.BDP($I9,$E$1)</f>
        <v>#NAME?</v>
      </c>
      <c r="F9" s="376" t="e" cm="1">
        <f t="array" aca="1" ref="F9" ca="1">_xll.BDP($I9,$F$1)</f>
        <v>#NAME?</v>
      </c>
      <c r="G9" s="376" t="e" cm="1">
        <f t="array" aca="1" ref="G9" ca="1">_xll.BDP($I9,$G$1)</f>
        <v>#NAME?</v>
      </c>
      <c r="H9" s="376" t="e" cm="1">
        <f t="array" aca="1" ref="H9" ca="1">_xll.BDP($I9,$H$1)</f>
        <v>#NAME?</v>
      </c>
      <c r="I9" s="193" t="s">
        <v>3260</v>
      </c>
      <c r="J9" s="193" t="s">
        <v>1540</v>
      </c>
      <c r="K9" s="214">
        <v>4.9390000000000001</v>
      </c>
      <c r="L9" s="193" t="s">
        <v>3261</v>
      </c>
      <c r="M9" s="193" t="s">
        <v>2930</v>
      </c>
      <c r="N9" s="193" t="s">
        <v>1452</v>
      </c>
      <c r="O9" s="193" t="s">
        <v>1513</v>
      </c>
      <c r="P9" s="193" t="s">
        <v>1518</v>
      </c>
      <c r="Q9" s="193" t="s">
        <v>936</v>
      </c>
      <c r="R9" s="193" t="s">
        <v>2922</v>
      </c>
      <c r="S9" s="214">
        <v>99.194999694824205</v>
      </c>
      <c r="T9" s="193">
        <v>6.7000000000000004E-2</v>
      </c>
      <c r="U9" s="193">
        <v>5.0430000000000001</v>
      </c>
      <c r="V9" s="193">
        <v>-1</v>
      </c>
      <c r="W9" s="193">
        <v>91</v>
      </c>
      <c r="X9" s="193">
        <v>-1</v>
      </c>
      <c r="Y9" s="214">
        <v>99.804000854492202</v>
      </c>
      <c r="Z9" s="214">
        <v>99.099998474121094</v>
      </c>
      <c r="AA9" s="193">
        <v>134</v>
      </c>
      <c r="AB9" s="193">
        <v>135</v>
      </c>
      <c r="AC9" s="193">
        <v>132</v>
      </c>
      <c r="AD9" s="193">
        <v>134</v>
      </c>
      <c r="AE9" s="193">
        <v>92</v>
      </c>
      <c r="AF9" s="212">
        <v>83</v>
      </c>
      <c r="AG9" s="212">
        <v>334989</v>
      </c>
      <c r="AH9" s="193" t="s">
        <v>4036</v>
      </c>
    </row>
    <row r="10" spans="1:34" ht="16.5">
      <c r="A10" s="210" t="e" cm="1">
        <f t="array" aca="1" ref="A10" ca="1">_xll.BDP($I10,$A$1)</f>
        <v>#NAME?</v>
      </c>
      <c r="B10" s="210" t="e" cm="1">
        <f t="array" aca="1" ref="B10" ca="1">_xll.BDP($I10,$B$1)</f>
        <v>#NAME?</v>
      </c>
      <c r="C10" s="210" t="e" cm="1">
        <f t="array" aca="1" ref="C10" ca="1">_xll.BDP($I10,$C$1)</f>
        <v>#NAME?</v>
      </c>
      <c r="D10" s="210" t="e" cm="1">
        <f t="array" aca="1" ref="D10" ca="1">_xll.BDP($I10,$D$1)</f>
        <v>#NAME?</v>
      </c>
      <c r="E10" s="376" t="e" cm="1">
        <f t="array" aca="1" ref="E10" ca="1">_xll.BDP($I10,$E$1)</f>
        <v>#NAME?</v>
      </c>
      <c r="F10" s="376" t="e" cm="1">
        <f t="array" aca="1" ref="F10" ca="1">_xll.BDP($I10,$F$1)</f>
        <v>#NAME?</v>
      </c>
      <c r="G10" s="376" t="e" cm="1">
        <f t="array" aca="1" ref="G10" ca="1">_xll.BDP($I10,$G$1)</f>
        <v>#NAME?</v>
      </c>
      <c r="H10" s="376" t="e" cm="1">
        <f t="array" aca="1" ref="H10" ca="1">_xll.BDP($I10,$H$1)</f>
        <v>#NAME?</v>
      </c>
      <c r="I10" s="193" t="s">
        <v>4037</v>
      </c>
      <c r="J10" s="193" t="s">
        <v>3452</v>
      </c>
      <c r="K10" s="214">
        <v>4.0999999999999996</v>
      </c>
      <c r="L10" s="193" t="s">
        <v>4038</v>
      </c>
      <c r="M10" s="193" t="s">
        <v>4039</v>
      </c>
      <c r="N10" s="193" t="s">
        <v>1452</v>
      </c>
      <c r="O10" s="193" t="s">
        <v>1452</v>
      </c>
      <c r="P10" s="193" t="s">
        <v>1518</v>
      </c>
      <c r="Q10" s="193" t="s">
        <v>936</v>
      </c>
      <c r="R10" s="193">
        <v>5000</v>
      </c>
      <c r="S10" s="214">
        <v>99.990997314453097</v>
      </c>
      <c r="T10" s="193" t="s">
        <v>1536</v>
      </c>
      <c r="U10" s="193">
        <v>4.1020000000000003</v>
      </c>
      <c r="V10" s="193" t="s">
        <v>1536</v>
      </c>
      <c r="W10" s="193">
        <v>37</v>
      </c>
      <c r="X10" s="193" t="s">
        <v>1536</v>
      </c>
      <c r="Y10" s="214">
        <v>100.036003112793</v>
      </c>
      <c r="Z10" s="214">
        <v>99.888000488281193</v>
      </c>
      <c r="AA10" s="193">
        <v>66</v>
      </c>
      <c r="AB10" s="193">
        <v>69</v>
      </c>
      <c r="AC10" s="193">
        <v>67</v>
      </c>
      <c r="AD10" s="193">
        <v>69</v>
      </c>
      <c r="AE10" s="193">
        <v>37</v>
      </c>
      <c r="AF10" s="212">
        <v>86</v>
      </c>
      <c r="AG10" s="212">
        <v>310000</v>
      </c>
      <c r="AH10" s="193" t="s">
        <v>4040</v>
      </c>
    </row>
    <row r="11" spans="1:34" ht="16.5">
      <c r="A11" s="210" t="e" cm="1">
        <f t="array" aca="1" ref="A11" ca="1">_xll.BDP($I11,$A$1)</f>
        <v>#NAME?</v>
      </c>
      <c r="B11" s="210" t="e" cm="1">
        <f t="array" aca="1" ref="B11" ca="1">_xll.BDP($I11,$B$1)</f>
        <v>#NAME?</v>
      </c>
      <c r="C11" s="210" t="e" cm="1">
        <f t="array" aca="1" ref="C11" ca="1">_xll.BDP($I11,$C$1)</f>
        <v>#NAME?</v>
      </c>
      <c r="D11" s="210" t="e" cm="1">
        <f t="array" aca="1" ref="D11" ca="1">_xll.BDP($I11,$D$1)</f>
        <v>#NAME?</v>
      </c>
      <c r="E11" s="376" t="e" cm="1">
        <f t="array" aca="1" ref="E11" ca="1">_xll.BDP($I11,$E$1)</f>
        <v>#NAME?</v>
      </c>
      <c r="F11" s="376" t="e" cm="1">
        <f t="array" aca="1" ref="F11" ca="1">_xll.BDP($I11,$F$1)</f>
        <v>#NAME?</v>
      </c>
      <c r="G11" s="376" t="e" cm="1">
        <f t="array" aca="1" ref="G11" ca="1">_xll.BDP($I11,$G$1)</f>
        <v>#NAME?</v>
      </c>
      <c r="H11" s="376" t="e" cm="1">
        <f t="array" aca="1" ref="H11" ca="1">_xll.BDP($I11,$H$1)</f>
        <v>#NAME?</v>
      </c>
      <c r="I11" s="193" t="s">
        <v>3440</v>
      </c>
      <c r="J11" s="193" t="s">
        <v>3058</v>
      </c>
      <c r="K11" s="214">
        <v>5.75</v>
      </c>
      <c r="L11" s="193" t="s">
        <v>3441</v>
      </c>
      <c r="M11" s="193" t="s">
        <v>2962</v>
      </c>
      <c r="N11" s="193" t="s">
        <v>1452</v>
      </c>
      <c r="O11" s="193" t="s">
        <v>1513</v>
      </c>
      <c r="P11" s="193" t="s">
        <v>1172</v>
      </c>
      <c r="Q11" s="193" t="s">
        <v>936</v>
      </c>
      <c r="R11" s="193" t="s">
        <v>2922</v>
      </c>
      <c r="S11" s="214">
        <v>98.030998229980497</v>
      </c>
      <c r="T11" s="193">
        <v>0.121</v>
      </c>
      <c r="U11" s="193">
        <v>5.8780000000000001</v>
      </c>
      <c r="V11" s="193">
        <v>-1</v>
      </c>
      <c r="W11" s="193">
        <v>114</v>
      </c>
      <c r="X11" s="193">
        <v>0</v>
      </c>
      <c r="Y11" s="214">
        <v>99.747001647949205</v>
      </c>
      <c r="Z11" s="214">
        <v>97.639999389648395</v>
      </c>
      <c r="AA11" s="193">
        <v>195</v>
      </c>
      <c r="AB11" s="193">
        <v>198</v>
      </c>
      <c r="AC11" s="193">
        <v>192</v>
      </c>
      <c r="AD11" s="193">
        <v>190</v>
      </c>
      <c r="AE11" s="193">
        <v>114</v>
      </c>
      <c r="AF11" s="212">
        <v>72</v>
      </c>
      <c r="AG11" s="212">
        <v>309785</v>
      </c>
      <c r="AH11" s="193" t="s">
        <v>4041</v>
      </c>
    </row>
    <row r="12" spans="1:34" ht="16.5">
      <c r="A12" s="210" t="e" cm="1">
        <f t="array" aca="1" ref="A12" ca="1">_xll.BDP($I12,$A$1)</f>
        <v>#NAME?</v>
      </c>
      <c r="B12" s="210" t="e" cm="1">
        <f t="array" aca="1" ref="B12" ca="1">_xll.BDP($I12,$B$1)</f>
        <v>#NAME?</v>
      </c>
      <c r="C12" s="210" t="e" cm="1">
        <f t="array" aca="1" ref="C12" ca="1">_xll.BDP($I12,$C$1)</f>
        <v>#NAME?</v>
      </c>
      <c r="D12" s="210" t="e" cm="1">
        <f t="array" aca="1" ref="D12" ca="1">_xll.BDP($I12,$D$1)</f>
        <v>#NAME?</v>
      </c>
      <c r="E12" s="376" t="e" cm="1">
        <f t="array" aca="1" ref="E12" ca="1">_xll.BDP($I12,$E$1)</f>
        <v>#NAME?</v>
      </c>
      <c r="F12" s="376" t="e" cm="1">
        <f t="array" aca="1" ref="F12" ca="1">_xll.BDP($I12,$F$1)</f>
        <v>#NAME?</v>
      </c>
      <c r="G12" s="376" t="e" cm="1">
        <f t="array" aca="1" ref="G12" ca="1">_xll.BDP($I12,$G$1)</f>
        <v>#NAME?</v>
      </c>
      <c r="H12" s="376" t="e" cm="1">
        <f t="array" aca="1" ref="H12" ca="1">_xll.BDP($I12,$H$1)</f>
        <v>#NAME?</v>
      </c>
      <c r="I12" s="193" t="s">
        <v>3262</v>
      </c>
      <c r="J12" s="193" t="s">
        <v>1535</v>
      </c>
      <c r="K12" s="214">
        <v>4.8099999999999996</v>
      </c>
      <c r="L12" s="193" t="s">
        <v>3263</v>
      </c>
      <c r="M12" s="193" t="s">
        <v>2939</v>
      </c>
      <c r="N12" s="193" t="s">
        <v>1452</v>
      </c>
      <c r="O12" s="193" t="s">
        <v>1513</v>
      </c>
      <c r="P12" s="193" t="s">
        <v>1518</v>
      </c>
      <c r="Q12" s="193" t="s">
        <v>936</v>
      </c>
      <c r="R12" s="193" t="s">
        <v>2922</v>
      </c>
      <c r="S12" s="214">
        <v>99.349998474121094</v>
      </c>
      <c r="T12" s="193">
        <v>-1.2999999999999999E-2</v>
      </c>
      <c r="U12" s="193">
        <v>4.8929999999999998</v>
      </c>
      <c r="V12" s="193">
        <v>0</v>
      </c>
      <c r="W12" s="193">
        <v>76</v>
      </c>
      <c r="X12" s="193">
        <v>0</v>
      </c>
      <c r="Y12" s="214">
        <v>100.026000976562</v>
      </c>
      <c r="Z12" s="214">
        <v>99.349998474121094</v>
      </c>
      <c r="AA12" s="193">
        <v>119</v>
      </c>
      <c r="AB12" s="193">
        <v>120</v>
      </c>
      <c r="AC12" s="193">
        <v>117</v>
      </c>
      <c r="AD12" s="193">
        <v>119</v>
      </c>
      <c r="AE12" s="193">
        <v>76</v>
      </c>
      <c r="AF12" s="212">
        <v>61</v>
      </c>
      <c r="AG12" s="212">
        <v>242735</v>
      </c>
      <c r="AH12" s="193" t="s">
        <v>4042</v>
      </c>
    </row>
    <row r="13" spans="1:34" ht="16.5">
      <c r="A13" s="210" t="e" cm="1">
        <f t="array" aca="1" ref="A13" ca="1">_xll.BDP($I13,$A$1)</f>
        <v>#NAME?</v>
      </c>
      <c r="B13" s="210" t="e" cm="1">
        <f t="array" aca="1" ref="B13" ca="1">_xll.BDP($I13,$B$1)</f>
        <v>#NAME?</v>
      </c>
      <c r="C13" s="210" t="e" cm="1">
        <f t="array" aca="1" ref="C13" ca="1">_xll.BDP($I13,$C$1)</f>
        <v>#NAME?</v>
      </c>
      <c r="D13" s="210" t="e" cm="1">
        <f t="array" aca="1" ref="D13" ca="1">_xll.BDP($I13,$D$1)</f>
        <v>#NAME?</v>
      </c>
      <c r="E13" s="376" t="e" cm="1">
        <f t="array" aca="1" ref="E13" ca="1">_xll.BDP($I13,$E$1)</f>
        <v>#NAME?</v>
      </c>
      <c r="F13" s="376" t="e" cm="1">
        <f t="array" aca="1" ref="F13" ca="1">_xll.BDP($I13,$F$1)</f>
        <v>#NAME?</v>
      </c>
      <c r="G13" s="376" t="e" cm="1">
        <f t="array" aca="1" ref="G13" ca="1">_xll.BDP($I13,$G$1)</f>
        <v>#NAME?</v>
      </c>
      <c r="H13" s="376" t="e" cm="1">
        <f t="array" aca="1" ref="H13" ca="1">_xll.BDP($I13,$H$1)</f>
        <v>#NAME?</v>
      </c>
      <c r="I13" s="193" t="s">
        <v>3433</v>
      </c>
      <c r="J13" s="193" t="s">
        <v>3058</v>
      </c>
      <c r="K13" s="214">
        <v>4.2</v>
      </c>
      <c r="L13" s="193" t="s">
        <v>3434</v>
      </c>
      <c r="M13" s="193" t="s">
        <v>2962</v>
      </c>
      <c r="N13" s="193" t="s">
        <v>1452</v>
      </c>
      <c r="O13" s="193" t="s">
        <v>1513</v>
      </c>
      <c r="P13" s="193" t="s">
        <v>1518</v>
      </c>
      <c r="Q13" s="193" t="s">
        <v>936</v>
      </c>
      <c r="R13" s="193">
        <v>2000</v>
      </c>
      <c r="S13" s="214">
        <v>100.09100341796901</v>
      </c>
      <c r="T13" s="193">
        <v>-4.0000000000000001E-3</v>
      </c>
      <c r="U13" s="193">
        <v>4.1790000000000003</v>
      </c>
      <c r="V13" s="193">
        <v>0</v>
      </c>
      <c r="W13" s="193">
        <v>46</v>
      </c>
      <c r="X13" s="193">
        <v>0</v>
      </c>
      <c r="Y13" s="214">
        <v>100.40000152587901</v>
      </c>
      <c r="Z13" s="214">
        <v>100.024002075195</v>
      </c>
      <c r="AA13" s="193">
        <v>75</v>
      </c>
      <c r="AB13" s="193">
        <v>77</v>
      </c>
      <c r="AC13" s="193">
        <v>75</v>
      </c>
      <c r="AD13" s="193">
        <v>77</v>
      </c>
      <c r="AE13" s="193">
        <v>45</v>
      </c>
      <c r="AF13" s="212">
        <v>66</v>
      </c>
      <c r="AG13" s="212">
        <v>238329</v>
      </c>
      <c r="AH13" s="193" t="s">
        <v>2978</v>
      </c>
    </row>
    <row r="14" spans="1:34" ht="16.5">
      <c r="A14" s="210" t="e" cm="1">
        <f t="array" aca="1" ref="A14" ca="1">_xll.BDP($I14,$A$1)</f>
        <v>#NAME?</v>
      </c>
      <c r="B14" s="210" t="e" cm="1">
        <f t="array" aca="1" ref="B14" ca="1">_xll.BDP($I14,$B$1)</f>
        <v>#NAME?</v>
      </c>
      <c r="C14" s="210" t="e" cm="1">
        <f t="array" aca="1" ref="C14" ca="1">_xll.BDP($I14,$C$1)</f>
        <v>#NAME?</v>
      </c>
      <c r="D14" s="210" t="e" cm="1">
        <f t="array" aca="1" ref="D14" ca="1">_xll.BDP($I14,$D$1)</f>
        <v>#NAME?</v>
      </c>
      <c r="E14" s="376" t="e" cm="1">
        <f t="array" aca="1" ref="E14" ca="1">_xll.BDP($I14,$E$1)</f>
        <v>#NAME?</v>
      </c>
      <c r="F14" s="376" t="e" cm="1">
        <f t="array" aca="1" ref="F14" ca="1">_xll.BDP($I14,$F$1)</f>
        <v>#NAME?</v>
      </c>
      <c r="G14" s="376" t="e" cm="1">
        <f t="array" aca="1" ref="G14" ca="1">_xll.BDP($I14,$G$1)</f>
        <v>#NAME?</v>
      </c>
      <c r="H14" s="376" t="e" cm="1">
        <f t="array" aca="1" ref="H14" ca="1">_xll.BDP($I14,$H$1)</f>
        <v>#NAME?</v>
      </c>
      <c r="I14" s="193" t="s">
        <v>4043</v>
      </c>
      <c r="J14" s="193" t="s">
        <v>1546</v>
      </c>
      <c r="K14" s="214">
        <v>5</v>
      </c>
      <c r="L14" s="193" t="s">
        <v>2946</v>
      </c>
      <c r="M14" s="193" t="s">
        <v>2940</v>
      </c>
      <c r="N14" s="193" t="s">
        <v>1452</v>
      </c>
      <c r="O14" s="193" t="s">
        <v>1513</v>
      </c>
      <c r="P14" s="193" t="s">
        <v>1518</v>
      </c>
      <c r="Q14" s="193" t="s">
        <v>936</v>
      </c>
      <c r="R14" s="193">
        <v>2000</v>
      </c>
      <c r="S14" s="214">
        <v>98.838996887207003</v>
      </c>
      <c r="T14" s="193">
        <v>1.7000000000000001E-2</v>
      </c>
      <c r="U14" s="193">
        <v>5.1470000000000002</v>
      </c>
      <c r="V14" s="193">
        <v>0</v>
      </c>
      <c r="W14" s="193">
        <v>102</v>
      </c>
      <c r="X14" s="193">
        <v>0</v>
      </c>
      <c r="Y14" s="214">
        <v>99.486000061035199</v>
      </c>
      <c r="Z14" s="214">
        <v>98.745002746582003</v>
      </c>
      <c r="AA14" s="193">
        <v>144</v>
      </c>
      <c r="AB14" s="193">
        <v>145</v>
      </c>
      <c r="AC14" s="193">
        <v>141</v>
      </c>
      <c r="AD14" s="193">
        <v>146</v>
      </c>
      <c r="AE14" s="193">
        <v>101</v>
      </c>
      <c r="AF14" s="212">
        <v>128</v>
      </c>
      <c r="AG14" s="212">
        <v>225845</v>
      </c>
      <c r="AH14" s="193" t="s">
        <v>4035</v>
      </c>
    </row>
    <row r="15" spans="1:34" ht="16.5">
      <c r="A15" s="210" t="e" cm="1">
        <f t="array" aca="1" ref="A15" ca="1">_xll.BDP($I15,$A$1)</f>
        <v>#NAME?</v>
      </c>
      <c r="B15" s="210" t="e" cm="1">
        <f t="array" aca="1" ref="B15" ca="1">_xll.BDP($I15,$B$1)</f>
        <v>#NAME?</v>
      </c>
      <c r="C15" s="210" t="e" cm="1">
        <f t="array" aca="1" ref="C15" ca="1">_xll.BDP($I15,$C$1)</f>
        <v>#NAME?</v>
      </c>
      <c r="D15" s="210" t="e" cm="1">
        <f t="array" aca="1" ref="D15" ca="1">_xll.BDP($I15,$D$1)</f>
        <v>#NAME?</v>
      </c>
      <c r="E15" s="376" t="e" cm="1">
        <f t="array" aca="1" ref="E15" ca="1">_xll.BDP($I15,$E$1)</f>
        <v>#NAME?</v>
      </c>
      <c r="F15" s="376" t="e" cm="1">
        <f t="array" aca="1" ref="F15" ca="1">_xll.BDP($I15,$F$1)</f>
        <v>#NAME?</v>
      </c>
      <c r="G15" s="376" t="e" cm="1">
        <f t="array" aca="1" ref="G15" ca="1">_xll.BDP($I15,$G$1)</f>
        <v>#NAME?</v>
      </c>
      <c r="H15" s="376" t="e" cm="1">
        <f t="array" aca="1" ref="H15" ca="1">_xll.BDP($I15,$H$1)</f>
        <v>#NAME?</v>
      </c>
      <c r="I15" s="193" t="s">
        <v>4044</v>
      </c>
      <c r="J15" s="193" t="s">
        <v>3452</v>
      </c>
      <c r="K15" s="214">
        <v>5.45</v>
      </c>
      <c r="L15" s="193" t="s">
        <v>4045</v>
      </c>
      <c r="M15" s="193" t="s">
        <v>4039</v>
      </c>
      <c r="N15" s="193" t="s">
        <v>1452</v>
      </c>
      <c r="O15" s="193" t="s">
        <v>1513</v>
      </c>
      <c r="P15" s="193" t="s">
        <v>1518</v>
      </c>
      <c r="Q15" s="193" t="s">
        <v>936</v>
      </c>
      <c r="R15" s="193">
        <v>5000</v>
      </c>
      <c r="S15" s="214">
        <v>99.501998901367202</v>
      </c>
      <c r="T15" s="193" t="s">
        <v>1536</v>
      </c>
      <c r="U15" s="193">
        <v>5.484</v>
      </c>
      <c r="V15" s="193" t="s">
        <v>1536</v>
      </c>
      <c r="W15" s="193">
        <v>75</v>
      </c>
      <c r="X15" s="193" t="s">
        <v>1536</v>
      </c>
      <c r="Y15" s="214">
        <v>99.707000732421903</v>
      </c>
      <c r="Z15" s="214">
        <v>99.066001892089801</v>
      </c>
      <c r="AA15" s="193">
        <v>148</v>
      </c>
      <c r="AB15" s="193">
        <v>148</v>
      </c>
      <c r="AC15" s="193">
        <v>145</v>
      </c>
      <c r="AD15" s="193">
        <v>151</v>
      </c>
      <c r="AE15" s="193">
        <v>75</v>
      </c>
      <c r="AF15" s="212">
        <v>76</v>
      </c>
      <c r="AG15" s="212">
        <v>219310</v>
      </c>
      <c r="AH15" s="193" t="s">
        <v>4046</v>
      </c>
    </row>
    <row r="16" spans="1:34" ht="16.5">
      <c r="A16" s="210" t="e" cm="1">
        <f t="array" aca="1" ref="A16" ca="1">_xll.BDP($I16,$A$1)</f>
        <v>#NAME?</v>
      </c>
      <c r="B16" s="210" t="e" cm="1">
        <f t="array" aca="1" ref="B16" ca="1">_xll.BDP($I16,$B$1)</f>
        <v>#NAME?</v>
      </c>
      <c r="C16" s="210" t="e" cm="1">
        <f t="array" aca="1" ref="C16" ca="1">_xll.BDP($I16,$C$1)</f>
        <v>#NAME?</v>
      </c>
      <c r="D16" s="210" t="e" cm="1">
        <f t="array" aca="1" ref="D16" ca="1">_xll.BDP($I16,$D$1)</f>
        <v>#NAME?</v>
      </c>
      <c r="E16" s="376" t="e" cm="1">
        <f t="array" aca="1" ref="E16" ca="1">_xll.BDP($I16,$E$1)</f>
        <v>#NAME?</v>
      </c>
      <c r="F16" s="376" t="e" cm="1">
        <f t="array" aca="1" ref="F16" ca="1">_xll.BDP($I16,$F$1)</f>
        <v>#NAME?</v>
      </c>
      <c r="G16" s="376" t="e" cm="1">
        <f t="array" aca="1" ref="G16" ca="1">_xll.BDP($I16,$G$1)</f>
        <v>#NAME?</v>
      </c>
      <c r="H16" s="376" t="e" cm="1">
        <f t="array" aca="1" ref="H16" ca="1">_xll.BDP($I16,$H$1)</f>
        <v>#NAME?</v>
      </c>
      <c r="I16" s="193" t="s">
        <v>3923</v>
      </c>
      <c r="J16" s="193" t="s">
        <v>1567</v>
      </c>
      <c r="K16" s="214">
        <v>4.7</v>
      </c>
      <c r="L16" s="193" t="s">
        <v>3431</v>
      </c>
      <c r="M16" s="193" t="s">
        <v>3464</v>
      </c>
      <c r="N16" s="193" t="s">
        <v>1452</v>
      </c>
      <c r="O16" s="193" t="s">
        <v>1513</v>
      </c>
      <c r="P16" s="193" t="s">
        <v>1172</v>
      </c>
      <c r="Q16" s="193" t="s">
        <v>936</v>
      </c>
      <c r="R16" s="193" t="s">
        <v>2922</v>
      </c>
      <c r="S16" s="214">
        <v>100.41300201416</v>
      </c>
      <c r="T16" s="193">
        <v>-3.5000000000000003E-2</v>
      </c>
      <c r="U16" s="193">
        <v>4.6470000000000002</v>
      </c>
      <c r="V16" s="193">
        <v>0</v>
      </c>
      <c r="W16" s="193">
        <v>51</v>
      </c>
      <c r="X16" s="193">
        <v>0</v>
      </c>
      <c r="Y16" s="214">
        <v>101.20099639892599</v>
      </c>
      <c r="Z16" s="214">
        <v>100.32599639892599</v>
      </c>
      <c r="AA16" s="193">
        <v>95</v>
      </c>
      <c r="AB16" s="193">
        <v>96</v>
      </c>
      <c r="AC16" s="193">
        <v>95</v>
      </c>
      <c r="AD16" s="193">
        <v>96</v>
      </c>
      <c r="AE16" s="193">
        <v>53</v>
      </c>
      <c r="AF16" s="212">
        <v>67</v>
      </c>
      <c r="AG16" s="212">
        <v>209424</v>
      </c>
      <c r="AH16" s="193" t="s">
        <v>4047</v>
      </c>
    </row>
    <row r="17" spans="1:34" ht="16.5">
      <c r="A17" s="210" t="e" cm="1">
        <f t="array" aca="1" ref="A17" ca="1">_xll.BDP($I17,$A$1)</f>
        <v>#NAME?</v>
      </c>
      <c r="B17" s="210" t="e" cm="1">
        <f t="array" aca="1" ref="B17" ca="1">_xll.BDP($I17,$B$1)</f>
        <v>#NAME?</v>
      </c>
      <c r="C17" s="210" t="e" cm="1">
        <f t="array" aca="1" ref="C17" ca="1">_xll.BDP($I17,$C$1)</f>
        <v>#NAME?</v>
      </c>
      <c r="D17" s="210" t="e" cm="1">
        <f t="array" aca="1" ref="D17" ca="1">_xll.BDP($I17,$D$1)</f>
        <v>#NAME?</v>
      </c>
      <c r="E17" s="376" t="e" cm="1">
        <f t="array" aca="1" ref="E17" ca="1">_xll.BDP($I17,$E$1)</f>
        <v>#NAME?</v>
      </c>
      <c r="F17" s="376" t="e" cm="1">
        <f t="array" aca="1" ref="F17" ca="1">_xll.BDP($I17,$F$1)</f>
        <v>#NAME?</v>
      </c>
      <c r="G17" s="376" t="e" cm="1">
        <f t="array" aca="1" ref="G17" ca="1">_xll.BDP($I17,$G$1)</f>
        <v>#NAME?</v>
      </c>
      <c r="H17" s="376" t="e" cm="1">
        <f t="array" aca="1" ref="H17" ca="1">_xll.BDP($I17,$H$1)</f>
        <v>#NAME?</v>
      </c>
      <c r="I17" s="193" t="s">
        <v>3046</v>
      </c>
      <c r="J17" s="193" t="s">
        <v>2945</v>
      </c>
      <c r="K17" s="214">
        <v>6.1</v>
      </c>
      <c r="L17" s="193" t="s">
        <v>3047</v>
      </c>
      <c r="M17" s="193" t="s">
        <v>2932</v>
      </c>
      <c r="N17" s="193" t="s">
        <v>1452</v>
      </c>
      <c r="O17" s="193" t="s">
        <v>1513</v>
      </c>
      <c r="P17" s="193" t="s">
        <v>1518</v>
      </c>
      <c r="Q17" s="193" t="s">
        <v>936</v>
      </c>
      <c r="R17" s="193" t="s">
        <v>2922</v>
      </c>
      <c r="S17" s="214">
        <v>93.079002380371094</v>
      </c>
      <c r="T17" s="193">
        <v>0.74399999999999999</v>
      </c>
      <c r="U17" s="193">
        <v>6.593</v>
      </c>
      <c r="V17" s="193">
        <v>-6</v>
      </c>
      <c r="W17" s="193">
        <v>186</v>
      </c>
      <c r="X17" s="193">
        <v>-4</v>
      </c>
      <c r="Y17" s="214">
        <v>93.838996887207003</v>
      </c>
      <c r="Z17" s="214">
        <v>91.973098754882798</v>
      </c>
      <c r="AA17" s="193">
        <v>268</v>
      </c>
      <c r="AB17" s="193">
        <v>270</v>
      </c>
      <c r="AC17" s="193">
        <v>252</v>
      </c>
      <c r="AD17" s="193">
        <v>264</v>
      </c>
      <c r="AE17" s="193">
        <v>186</v>
      </c>
      <c r="AF17" s="212">
        <v>58</v>
      </c>
      <c r="AG17" s="212">
        <v>204051</v>
      </c>
      <c r="AH17" s="193" t="s">
        <v>4048</v>
      </c>
    </row>
    <row r="18" spans="1:34" ht="16.5">
      <c r="A18" s="210" t="e" cm="1">
        <f t="array" aca="1" ref="A18" ca="1">_xll.BDP($I18,$A$1)</f>
        <v>#NAME?</v>
      </c>
      <c r="B18" s="210" t="e" cm="1">
        <f t="array" aca="1" ref="B18" ca="1">_xll.BDP($I18,$B$1)</f>
        <v>#NAME?</v>
      </c>
      <c r="C18" s="210" t="e" cm="1">
        <f t="array" aca="1" ref="C18" ca="1">_xll.BDP($I18,$C$1)</f>
        <v>#NAME?</v>
      </c>
      <c r="D18" s="210" t="e" cm="1">
        <f t="array" aca="1" ref="D18" ca="1">_xll.BDP($I18,$D$1)</f>
        <v>#NAME?</v>
      </c>
      <c r="E18" s="376" t="e" cm="1">
        <f t="array" aca="1" ref="E18" ca="1">_xll.BDP($I18,$E$1)</f>
        <v>#NAME?</v>
      </c>
      <c r="F18" s="376" t="e" cm="1">
        <f t="array" aca="1" ref="F18" ca="1">_xll.BDP($I18,$F$1)</f>
        <v>#NAME?</v>
      </c>
      <c r="G18" s="376" t="e" cm="1">
        <f t="array" aca="1" ref="G18" ca="1">_xll.BDP($I18,$G$1)</f>
        <v>#NAME?</v>
      </c>
      <c r="H18" s="376" t="e" cm="1">
        <f t="array" aca="1" ref="H18" ca="1">_xll.BDP($I18,$H$1)</f>
        <v>#NAME?</v>
      </c>
      <c r="I18" s="193" t="s">
        <v>4049</v>
      </c>
      <c r="J18" s="193" t="s">
        <v>2945</v>
      </c>
      <c r="K18" s="214">
        <v>4.45</v>
      </c>
      <c r="L18" s="193" t="s">
        <v>4050</v>
      </c>
      <c r="M18" s="193" t="s">
        <v>2932</v>
      </c>
      <c r="N18" s="193" t="s">
        <v>1452</v>
      </c>
      <c r="O18" s="193" t="s">
        <v>1513</v>
      </c>
      <c r="P18" s="193" t="s">
        <v>1172</v>
      </c>
      <c r="Q18" s="193" t="s">
        <v>936</v>
      </c>
      <c r="R18" s="193" t="s">
        <v>2922</v>
      </c>
      <c r="S18" s="214">
        <v>98.353996276855497</v>
      </c>
      <c r="T18" s="193">
        <v>2.8000000000000001E-2</v>
      </c>
      <c r="U18" s="193">
        <v>4.8330000000000002</v>
      </c>
      <c r="V18" s="193">
        <v>-1</v>
      </c>
      <c r="W18" s="193">
        <v>111</v>
      </c>
      <c r="X18" s="193">
        <v>0</v>
      </c>
      <c r="Y18" s="214">
        <v>99.132003784179702</v>
      </c>
      <c r="Z18" s="214">
        <v>98.325996398925795</v>
      </c>
      <c r="AA18" s="193">
        <v>141</v>
      </c>
      <c r="AB18" s="193">
        <v>143</v>
      </c>
      <c r="AC18" s="193">
        <v>139</v>
      </c>
      <c r="AD18" s="193">
        <v>143</v>
      </c>
      <c r="AE18" s="193">
        <v>112</v>
      </c>
      <c r="AF18" s="212">
        <v>58</v>
      </c>
      <c r="AG18" s="212">
        <v>199817</v>
      </c>
      <c r="AH18" s="193" t="s">
        <v>4051</v>
      </c>
    </row>
    <row r="19" spans="1:34" ht="16.5">
      <c r="A19" s="210" t="e" cm="1">
        <f t="array" aca="1" ref="A19" ca="1">_xll.BDP($I19,$A$1)</f>
        <v>#NAME?</v>
      </c>
      <c r="B19" s="210" t="e" cm="1">
        <f t="array" aca="1" ref="B19" ca="1">_xll.BDP($I19,$B$1)</f>
        <v>#NAME?</v>
      </c>
      <c r="C19" s="210" t="e" cm="1">
        <f t="array" aca="1" ref="C19" ca="1">_xll.BDP($I19,$C$1)</f>
        <v>#NAME?</v>
      </c>
      <c r="D19" s="210" t="e" cm="1">
        <f t="array" aca="1" ref="D19" ca="1">_xll.BDP($I19,$D$1)</f>
        <v>#NAME?</v>
      </c>
      <c r="E19" s="376" t="e" cm="1">
        <f t="array" aca="1" ref="E19" ca="1">_xll.BDP($I19,$E$1)</f>
        <v>#NAME?</v>
      </c>
      <c r="F19" s="376" t="e" cm="1">
        <f t="array" aca="1" ref="F19" ca="1">_xll.BDP($I19,$F$1)</f>
        <v>#NAME?</v>
      </c>
      <c r="G19" s="376" t="e" cm="1">
        <f t="array" aca="1" ref="G19" ca="1">_xll.BDP($I19,$G$1)</f>
        <v>#NAME?</v>
      </c>
      <c r="H19" s="376" t="e" cm="1">
        <f t="array" aca="1" ref="H19" ca="1">_xll.BDP($I19,$H$1)</f>
        <v>#NAME?</v>
      </c>
      <c r="I19" s="193" t="s">
        <v>3435</v>
      </c>
      <c r="J19" s="193" t="s">
        <v>3058</v>
      </c>
      <c r="K19" s="214">
        <v>4.5999999999999996</v>
      </c>
      <c r="L19" s="193" t="s">
        <v>3436</v>
      </c>
      <c r="M19" s="193" t="s">
        <v>2962</v>
      </c>
      <c r="N19" s="193" t="s">
        <v>1452</v>
      </c>
      <c r="O19" s="193" t="s">
        <v>1513</v>
      </c>
      <c r="P19" s="193" t="s">
        <v>1518</v>
      </c>
      <c r="Q19" s="193" t="s">
        <v>936</v>
      </c>
      <c r="R19" s="193" t="s">
        <v>2922</v>
      </c>
      <c r="S19" s="214">
        <v>100.61199951171901</v>
      </c>
      <c r="T19" s="193">
        <v>-0.17</v>
      </c>
      <c r="U19" s="193">
        <v>4.4950000000000001</v>
      </c>
      <c r="V19" s="193">
        <v>3</v>
      </c>
      <c r="W19" s="193">
        <v>59</v>
      </c>
      <c r="X19" s="193">
        <v>2</v>
      </c>
      <c r="Y19" s="214">
        <v>101.057998657227</v>
      </c>
      <c r="Z19" s="214">
        <v>100.491996765137</v>
      </c>
      <c r="AA19" s="193">
        <v>97</v>
      </c>
      <c r="AB19" s="193">
        <v>99</v>
      </c>
      <c r="AC19" s="193">
        <v>97</v>
      </c>
      <c r="AD19" s="193">
        <v>98</v>
      </c>
      <c r="AE19" s="193">
        <v>61</v>
      </c>
      <c r="AF19" s="212">
        <v>52</v>
      </c>
      <c r="AG19" s="212">
        <v>198956</v>
      </c>
      <c r="AH19" s="193" t="s">
        <v>4035</v>
      </c>
    </row>
    <row r="20" spans="1:34" ht="16.5">
      <c r="A20" s="210" t="e" cm="1">
        <f t="array" aca="1" ref="A20" ca="1">_xll.BDP($I20,$A$1)</f>
        <v>#NAME?</v>
      </c>
      <c r="B20" s="210" t="e" cm="1">
        <f t="array" aca="1" ref="B20" ca="1">_xll.BDP($I20,$B$1)</f>
        <v>#NAME?</v>
      </c>
      <c r="C20" s="210" t="e" cm="1">
        <f t="array" aca="1" ref="C20" ca="1">_xll.BDP($I20,$C$1)</f>
        <v>#NAME?</v>
      </c>
      <c r="D20" s="210" t="e" cm="1">
        <f t="array" aca="1" ref="D20" ca="1">_xll.BDP($I20,$D$1)</f>
        <v>#NAME?</v>
      </c>
      <c r="E20" s="376" t="e" cm="1">
        <f t="array" aca="1" ref="E20" ca="1">_xll.BDP($I20,$E$1)</f>
        <v>#NAME?</v>
      </c>
      <c r="F20" s="376" t="e" cm="1">
        <f t="array" aca="1" ref="F20" ca="1">_xll.BDP($I20,$F$1)</f>
        <v>#NAME?</v>
      </c>
      <c r="G20" s="376" t="e" cm="1">
        <f t="array" aca="1" ref="G20" ca="1">_xll.BDP($I20,$G$1)</f>
        <v>#NAME?</v>
      </c>
      <c r="H20" s="376" t="e" cm="1">
        <f t="array" aca="1" ref="H20" ca="1">_xll.BDP($I20,$H$1)</f>
        <v>#NAME?</v>
      </c>
      <c r="I20" s="193" t="s">
        <v>3264</v>
      </c>
      <c r="J20" s="193" t="s">
        <v>1539</v>
      </c>
      <c r="K20" s="214">
        <v>4.8920000000000003</v>
      </c>
      <c r="L20" s="193" t="s">
        <v>3263</v>
      </c>
      <c r="M20" s="193" t="s">
        <v>2929</v>
      </c>
      <c r="N20" s="193" t="s">
        <v>1452</v>
      </c>
      <c r="O20" s="193" t="s">
        <v>1513</v>
      </c>
      <c r="P20" s="193" t="s">
        <v>1518</v>
      </c>
      <c r="Q20" s="193" t="s">
        <v>936</v>
      </c>
      <c r="R20" s="193" t="s">
        <v>2922</v>
      </c>
      <c r="S20" s="214">
        <v>99.216003417968807</v>
      </c>
      <c r="T20" s="193">
        <v>6.7000000000000004E-2</v>
      </c>
      <c r="U20" s="193">
        <v>4.9930000000000003</v>
      </c>
      <c r="V20" s="193">
        <v>-1</v>
      </c>
      <c r="W20" s="193">
        <v>86</v>
      </c>
      <c r="X20" s="193">
        <v>-1</v>
      </c>
      <c r="Y20" s="214">
        <v>99.984001159667997</v>
      </c>
      <c r="Z20" s="214">
        <v>99.119003295898395</v>
      </c>
      <c r="AA20" s="193">
        <v>129</v>
      </c>
      <c r="AB20" s="193">
        <v>130</v>
      </c>
      <c r="AC20" s="193">
        <v>127</v>
      </c>
      <c r="AD20" s="193">
        <v>129</v>
      </c>
      <c r="AE20" s="193">
        <v>87</v>
      </c>
      <c r="AF20" s="212">
        <v>51</v>
      </c>
      <c r="AG20" s="212">
        <v>197730</v>
      </c>
      <c r="AH20" s="193" t="s">
        <v>4036</v>
      </c>
    </row>
    <row r="21" spans="1:34" ht="16.5">
      <c r="A21" s="210" t="e" cm="1">
        <f t="array" aca="1" ref="A21" ca="1">_xll.BDP($I21,$A$1)</f>
        <v>#NAME?</v>
      </c>
      <c r="B21" s="210" t="e" cm="1">
        <f t="array" aca="1" ref="B21" ca="1">_xll.BDP($I21,$B$1)</f>
        <v>#NAME?</v>
      </c>
      <c r="C21" s="210" t="e" cm="1">
        <f t="array" aca="1" ref="C21" ca="1">_xll.BDP($I21,$C$1)</f>
        <v>#NAME?</v>
      </c>
      <c r="D21" s="210" t="e" cm="1">
        <f t="array" aca="1" ref="D21" ca="1">_xll.BDP($I21,$D$1)</f>
        <v>#NAME?</v>
      </c>
      <c r="E21" s="376" t="e" cm="1">
        <f t="array" aca="1" ref="E21" ca="1">_xll.BDP($I21,$E$1)</f>
        <v>#NAME?</v>
      </c>
      <c r="F21" s="376" t="e" cm="1">
        <f t="array" aca="1" ref="F21" ca="1">_xll.BDP($I21,$F$1)</f>
        <v>#NAME?</v>
      </c>
      <c r="G21" s="376" t="e" cm="1">
        <f t="array" aca="1" ref="G21" ca="1">_xll.BDP($I21,$G$1)</f>
        <v>#NAME?</v>
      </c>
      <c r="H21" s="376" t="e" cm="1">
        <f t="array" aca="1" ref="H21" ca="1">_xll.BDP($I21,$H$1)</f>
        <v>#NAME?</v>
      </c>
      <c r="I21" s="193" t="s">
        <v>3930</v>
      </c>
      <c r="J21" s="193" t="s">
        <v>1559</v>
      </c>
      <c r="K21" s="214">
        <v>5.133</v>
      </c>
      <c r="L21" s="193" t="s">
        <v>3931</v>
      </c>
      <c r="M21" s="193" t="s">
        <v>2953</v>
      </c>
      <c r="N21" s="193" t="s">
        <v>1452</v>
      </c>
      <c r="O21" s="193" t="s">
        <v>1513</v>
      </c>
      <c r="P21" s="193" t="s">
        <v>1518</v>
      </c>
      <c r="Q21" s="193" t="s">
        <v>936</v>
      </c>
      <c r="R21" s="193">
        <v>3000</v>
      </c>
      <c r="S21" s="214">
        <v>99.696998596191406</v>
      </c>
      <c r="T21" s="193">
        <v>-9.2999999999999999E-2</v>
      </c>
      <c r="U21" s="193">
        <v>5.1719999999999997</v>
      </c>
      <c r="V21" s="193">
        <v>1</v>
      </c>
      <c r="W21" s="193">
        <v>104</v>
      </c>
      <c r="X21" s="193">
        <v>2</v>
      </c>
      <c r="Y21" s="214">
        <v>100.51100158691401</v>
      </c>
      <c r="Z21" s="214">
        <v>99.519996643066406</v>
      </c>
      <c r="AA21" s="193">
        <v>147</v>
      </c>
      <c r="AB21" s="193">
        <v>148</v>
      </c>
      <c r="AC21" s="193">
        <v>145</v>
      </c>
      <c r="AD21" s="193">
        <v>147</v>
      </c>
      <c r="AE21" s="193">
        <v>104</v>
      </c>
      <c r="AF21" s="212">
        <v>70</v>
      </c>
      <c r="AG21" s="212">
        <v>197442</v>
      </c>
      <c r="AH21" s="193" t="s">
        <v>4035</v>
      </c>
    </row>
    <row r="22" spans="1:34" ht="16.5">
      <c r="A22" s="210" t="e" cm="1">
        <f t="array" aca="1" ref="A22" ca="1">_xll.BDP($I22,$A$1)</f>
        <v>#NAME?</v>
      </c>
      <c r="B22" s="210" t="e" cm="1">
        <f t="array" aca="1" ref="B22" ca="1">_xll.BDP($I22,$B$1)</f>
        <v>#NAME?</v>
      </c>
      <c r="C22" s="210" t="e" cm="1">
        <f t="array" aca="1" ref="C22" ca="1">_xll.BDP($I22,$C$1)</f>
        <v>#NAME?</v>
      </c>
      <c r="D22" s="210" t="e" cm="1">
        <f t="array" aca="1" ref="D22" ca="1">_xll.BDP($I22,$D$1)</f>
        <v>#NAME?</v>
      </c>
      <c r="E22" s="376" t="e" cm="1">
        <f t="array" aca="1" ref="E22" ca="1">_xll.BDP($I22,$E$1)</f>
        <v>#NAME?</v>
      </c>
      <c r="F22" s="376" t="e" cm="1">
        <f t="array" aca="1" ref="F22" ca="1">_xll.BDP($I22,$F$1)</f>
        <v>#NAME?</v>
      </c>
      <c r="G22" s="376" t="e" cm="1">
        <f t="array" aca="1" ref="G22" ca="1">_xll.BDP($I22,$G$1)</f>
        <v>#NAME?</v>
      </c>
      <c r="H22" s="376" t="e" cm="1">
        <f t="array" aca="1" ref="H22" ca="1">_xll.BDP($I22,$H$1)</f>
        <v>#NAME?</v>
      </c>
      <c r="I22" s="193" t="s">
        <v>3932</v>
      </c>
      <c r="J22" s="193" t="s">
        <v>1546</v>
      </c>
      <c r="K22" s="214">
        <v>6</v>
      </c>
      <c r="L22" s="193" t="s">
        <v>3933</v>
      </c>
      <c r="M22" s="193" t="s">
        <v>2940</v>
      </c>
      <c r="N22" s="193" t="s">
        <v>1452</v>
      </c>
      <c r="O22" s="193" t="s">
        <v>1513</v>
      </c>
      <c r="P22" s="193" t="s">
        <v>1518</v>
      </c>
      <c r="Q22" s="193" t="s">
        <v>936</v>
      </c>
      <c r="R22" s="193">
        <v>3000</v>
      </c>
      <c r="S22" s="214">
        <v>99.577003479003906</v>
      </c>
      <c r="T22" s="193">
        <v>4.4999999999999998E-2</v>
      </c>
      <c r="U22" s="193">
        <v>6.0279999999999996</v>
      </c>
      <c r="V22" s="193">
        <v>0</v>
      </c>
      <c r="W22" s="193">
        <v>129</v>
      </c>
      <c r="X22" s="193">
        <v>1</v>
      </c>
      <c r="Y22" s="214">
        <v>100.985000610352</v>
      </c>
      <c r="Z22" s="214">
        <v>99.397003173828097</v>
      </c>
      <c r="AA22" s="193">
        <v>211</v>
      </c>
      <c r="AB22" s="193">
        <v>214</v>
      </c>
      <c r="AC22" s="193">
        <v>210</v>
      </c>
      <c r="AD22" s="193">
        <v>206</v>
      </c>
      <c r="AE22" s="193">
        <v>130</v>
      </c>
      <c r="AF22" s="212">
        <v>113</v>
      </c>
      <c r="AG22" s="212">
        <v>183500</v>
      </c>
      <c r="AH22" s="193" t="s">
        <v>4035</v>
      </c>
    </row>
    <row r="23" spans="1:34" ht="16.5">
      <c r="A23" s="210" t="e" cm="1">
        <f t="array" aca="1" ref="A23" ca="1">_xll.BDP($I23,$A$1)</f>
        <v>#NAME?</v>
      </c>
      <c r="B23" s="210" t="e" cm="1">
        <f t="array" aca="1" ref="B23" ca="1">_xll.BDP($I23,$B$1)</f>
        <v>#NAME?</v>
      </c>
      <c r="C23" s="210" t="e" cm="1">
        <f t="array" aca="1" ref="C23" ca="1">_xll.BDP($I23,$C$1)</f>
        <v>#NAME?</v>
      </c>
      <c r="D23" s="210" t="e" cm="1">
        <f t="array" aca="1" ref="D23" ca="1">_xll.BDP($I23,$D$1)</f>
        <v>#NAME?</v>
      </c>
      <c r="E23" s="376" t="e" cm="1">
        <f t="array" aca="1" ref="E23" ca="1">_xll.BDP($I23,$E$1)</f>
        <v>#NAME?</v>
      </c>
      <c r="F23" s="376" t="e" cm="1">
        <f t="array" aca="1" ref="F23" ca="1">_xll.BDP($I23,$F$1)</f>
        <v>#NAME?</v>
      </c>
      <c r="G23" s="376" t="e" cm="1">
        <f t="array" aca="1" ref="G23" ca="1">_xll.BDP($I23,$G$1)</f>
        <v>#NAME?</v>
      </c>
      <c r="H23" s="376" t="e" cm="1">
        <f t="array" aca="1" ref="H23" ca="1">_xll.BDP($I23,$H$1)</f>
        <v>#NAME?</v>
      </c>
      <c r="I23" s="193" t="s">
        <v>3926</v>
      </c>
      <c r="J23" s="193" t="s">
        <v>1567</v>
      </c>
      <c r="K23" s="214">
        <v>4.0999999999999996</v>
      </c>
      <c r="L23" s="193" t="s">
        <v>3434</v>
      </c>
      <c r="M23" s="193" t="s">
        <v>3464</v>
      </c>
      <c r="N23" s="193" t="s">
        <v>1452</v>
      </c>
      <c r="O23" s="193" t="s">
        <v>1513</v>
      </c>
      <c r="P23" s="193" t="s">
        <v>1172</v>
      </c>
      <c r="Q23" s="193" t="s">
        <v>936</v>
      </c>
      <c r="R23" s="193">
        <v>4900</v>
      </c>
      <c r="S23" s="214">
        <v>100.203002929688</v>
      </c>
      <c r="T23" s="193">
        <v>8.6999999999999994E-2</v>
      </c>
      <c r="U23" s="193">
        <v>4.0540000000000003</v>
      </c>
      <c r="V23" s="193">
        <v>-2</v>
      </c>
      <c r="W23" s="193">
        <v>33</v>
      </c>
      <c r="X23" s="193">
        <v>-1</v>
      </c>
      <c r="Y23" s="214">
        <v>100.552001953125</v>
      </c>
      <c r="Z23" s="214">
        <v>100.115997314453</v>
      </c>
      <c r="AA23" s="193">
        <v>63</v>
      </c>
      <c r="AB23" s="193">
        <v>65</v>
      </c>
      <c r="AC23" s="193">
        <v>63</v>
      </c>
      <c r="AD23" s="193">
        <v>65</v>
      </c>
      <c r="AE23" s="193">
        <v>34</v>
      </c>
      <c r="AF23" s="212">
        <v>53</v>
      </c>
      <c r="AG23" s="212">
        <v>181055</v>
      </c>
      <c r="AH23" s="193" t="s">
        <v>4052</v>
      </c>
    </row>
    <row r="24" spans="1:34" ht="16.5">
      <c r="A24" s="210" t="e" cm="1">
        <f t="array" aca="1" ref="A24" ca="1">_xll.BDP($I24,$A$1)</f>
        <v>#NAME?</v>
      </c>
      <c r="B24" s="210" t="e" cm="1">
        <f t="array" aca="1" ref="B24" ca="1">_xll.BDP($I24,$B$1)</f>
        <v>#NAME?</v>
      </c>
      <c r="C24" s="210" t="e" cm="1">
        <f t="array" aca="1" ref="C24" ca="1">_xll.BDP($I24,$C$1)</f>
        <v>#NAME?</v>
      </c>
      <c r="D24" s="210" t="e" cm="1">
        <f t="array" aca="1" ref="D24" ca="1">_xll.BDP($I24,$D$1)</f>
        <v>#NAME?</v>
      </c>
      <c r="E24" s="376" t="e" cm="1">
        <f t="array" aca="1" ref="E24" ca="1">_xll.BDP($I24,$E$1)</f>
        <v>#NAME?</v>
      </c>
      <c r="F24" s="376" t="e" cm="1">
        <f t="array" aca="1" ref="F24" ca="1">_xll.BDP($I24,$F$1)</f>
        <v>#NAME?</v>
      </c>
      <c r="G24" s="376" t="e" cm="1">
        <f t="array" aca="1" ref="G24" ca="1">_xll.BDP($I24,$G$1)</f>
        <v>#NAME?</v>
      </c>
      <c r="H24" s="376" t="e" cm="1">
        <f t="array" aca="1" ref="H24" ca="1">_xll.BDP($I24,$H$1)</f>
        <v>#NAME?</v>
      </c>
      <c r="I24" s="193" t="s">
        <v>2975</v>
      </c>
      <c r="J24" s="193" t="s">
        <v>1513</v>
      </c>
      <c r="K24" s="214">
        <v>5.1740000000000004</v>
      </c>
      <c r="L24" s="193" t="s">
        <v>2976</v>
      </c>
      <c r="M24" s="193" t="s">
        <v>2937</v>
      </c>
      <c r="N24" s="193" t="s">
        <v>1452</v>
      </c>
      <c r="O24" s="193" t="s">
        <v>1513</v>
      </c>
      <c r="P24" s="193" t="s">
        <v>1172</v>
      </c>
      <c r="Q24" s="193" t="s">
        <v>936</v>
      </c>
      <c r="R24" s="193">
        <v>2488</v>
      </c>
      <c r="S24" s="214">
        <v>100.831001281738</v>
      </c>
      <c r="T24" s="193">
        <v>0</v>
      </c>
      <c r="U24" s="193">
        <v>5.0650000000000004</v>
      </c>
      <c r="V24" s="193">
        <v>0</v>
      </c>
      <c r="W24" s="193">
        <v>93</v>
      </c>
      <c r="X24" s="193">
        <v>0</v>
      </c>
      <c r="Y24" s="214">
        <v>101.518997192383</v>
      </c>
      <c r="Z24" s="214">
        <v>100.778999328613</v>
      </c>
      <c r="AA24" s="193">
        <v>138</v>
      </c>
      <c r="AB24" s="193">
        <v>138</v>
      </c>
      <c r="AC24" s="193">
        <v>137</v>
      </c>
      <c r="AD24" s="193">
        <v>138</v>
      </c>
      <c r="AE24" s="193">
        <v>95</v>
      </c>
      <c r="AF24" s="212">
        <v>55</v>
      </c>
      <c r="AG24" s="212">
        <v>178670</v>
      </c>
      <c r="AH24" s="193" t="s">
        <v>4053</v>
      </c>
    </row>
    <row r="25" spans="1:34" ht="16.5">
      <c r="A25" s="210" t="e" cm="1">
        <f t="array" aca="1" ref="A25" ca="1">_xll.BDP($I25,$A$1)</f>
        <v>#NAME?</v>
      </c>
      <c r="B25" s="210" t="e" cm="1">
        <f t="array" aca="1" ref="B25" ca="1">_xll.BDP($I25,$B$1)</f>
        <v>#NAME?</v>
      </c>
      <c r="C25" s="210" t="e" cm="1">
        <f t="array" aca="1" ref="C25" ca="1">_xll.BDP($I25,$C$1)</f>
        <v>#NAME?</v>
      </c>
      <c r="D25" s="210" t="e" cm="1">
        <f t="array" aca="1" ref="D25" ca="1">_xll.BDP($I25,$D$1)</f>
        <v>#NAME?</v>
      </c>
      <c r="E25" s="376" t="e" cm="1">
        <f t="array" aca="1" ref="E25" ca="1">_xll.BDP($I25,$E$1)</f>
        <v>#NAME?</v>
      </c>
      <c r="F25" s="376" t="e" cm="1">
        <f t="array" aca="1" ref="F25" ca="1">_xll.BDP($I25,$F$1)</f>
        <v>#NAME?</v>
      </c>
      <c r="G25" s="376" t="e" cm="1">
        <f t="array" aca="1" ref="G25" ca="1">_xll.BDP($I25,$G$1)</f>
        <v>#NAME?</v>
      </c>
      <c r="H25" s="376" t="e" cm="1">
        <f t="array" aca="1" ref="H25" ca="1">_xll.BDP($I25,$H$1)</f>
        <v>#NAME?</v>
      </c>
      <c r="I25" s="193" t="s">
        <v>3269</v>
      </c>
      <c r="J25" s="193" t="s">
        <v>1539</v>
      </c>
      <c r="K25" s="214">
        <v>4.3559999999999999</v>
      </c>
      <c r="L25" s="193" t="s">
        <v>3265</v>
      </c>
      <c r="M25" s="193" t="s">
        <v>2929</v>
      </c>
      <c r="N25" s="193" t="s">
        <v>1452</v>
      </c>
      <c r="O25" s="193" t="s">
        <v>1513</v>
      </c>
      <c r="P25" s="193" t="s">
        <v>1172</v>
      </c>
      <c r="Q25" s="193" t="s">
        <v>936</v>
      </c>
      <c r="R25" s="193" t="s">
        <v>2922</v>
      </c>
      <c r="S25" s="214">
        <v>99.573997497558594</v>
      </c>
      <c r="T25" s="193">
        <v>-0.313</v>
      </c>
      <c r="U25" s="193">
        <v>4.4530000000000003</v>
      </c>
      <c r="V25" s="193">
        <v>7</v>
      </c>
      <c r="W25" s="193">
        <v>73</v>
      </c>
      <c r="X25" s="193">
        <v>0</v>
      </c>
      <c r="Y25" s="214">
        <v>99.887001037597699</v>
      </c>
      <c r="Z25" s="214">
        <v>99.431999206542997</v>
      </c>
      <c r="AA25" s="193">
        <v>103</v>
      </c>
      <c r="AB25" s="193">
        <v>105</v>
      </c>
      <c r="AC25" s="193">
        <v>102</v>
      </c>
      <c r="AD25" s="193">
        <v>103</v>
      </c>
      <c r="AE25" s="193">
        <v>73</v>
      </c>
      <c r="AF25" s="212">
        <v>39</v>
      </c>
      <c r="AG25" s="212">
        <v>178210</v>
      </c>
      <c r="AH25" s="193" t="s">
        <v>2978</v>
      </c>
    </row>
    <row r="26" spans="1:34" ht="16.5">
      <c r="A26" s="210" t="e" cm="1">
        <f t="array" aca="1" ref="A26" ca="1">_xll.BDP($I26,$A$1)</f>
        <v>#NAME?</v>
      </c>
      <c r="B26" s="210" t="e" cm="1">
        <f t="array" aca="1" ref="B26" ca="1">_xll.BDP($I26,$B$1)</f>
        <v>#NAME?</v>
      </c>
      <c r="C26" s="210" t="e" cm="1">
        <f t="array" aca="1" ref="C26" ca="1">_xll.BDP($I26,$C$1)</f>
        <v>#NAME?</v>
      </c>
      <c r="D26" s="210" t="e" cm="1">
        <f t="array" aca="1" ref="D26" ca="1">_xll.BDP($I26,$D$1)</f>
        <v>#NAME?</v>
      </c>
      <c r="E26" s="376" t="e" cm="1">
        <f t="array" aca="1" ref="E26" ca="1">_xll.BDP($I26,$E$1)</f>
        <v>#NAME?</v>
      </c>
      <c r="F26" s="376" t="e" cm="1">
        <f t="array" aca="1" ref="F26" ca="1">_xll.BDP($I26,$F$1)</f>
        <v>#NAME?</v>
      </c>
      <c r="G26" s="376" t="e" cm="1">
        <f t="array" aca="1" ref="G26" ca="1">_xll.BDP($I26,$G$1)</f>
        <v>#NAME?</v>
      </c>
      <c r="H26" s="376" t="e" cm="1">
        <f t="array" aca="1" ref="H26" ca="1">_xll.BDP($I26,$H$1)</f>
        <v>#NAME?</v>
      </c>
      <c r="I26" s="193" t="s">
        <v>3924</v>
      </c>
      <c r="J26" s="193" t="s">
        <v>1567</v>
      </c>
      <c r="K26" s="214">
        <v>5.7</v>
      </c>
      <c r="L26" s="193" t="s">
        <v>3925</v>
      </c>
      <c r="M26" s="193" t="s">
        <v>3464</v>
      </c>
      <c r="N26" s="193" t="s">
        <v>1452</v>
      </c>
      <c r="O26" s="193" t="s">
        <v>1513</v>
      </c>
      <c r="P26" s="193" t="s">
        <v>1518</v>
      </c>
      <c r="Q26" s="193" t="s">
        <v>936</v>
      </c>
      <c r="R26" s="193">
        <v>1000</v>
      </c>
      <c r="S26" s="214">
        <v>101.598999023438</v>
      </c>
      <c r="T26" s="193">
        <v>0.39800000000000002</v>
      </c>
      <c r="U26" s="193">
        <v>5.6040000000000001</v>
      </c>
      <c r="V26" s="193">
        <v>-2</v>
      </c>
      <c r="W26" s="193">
        <v>87</v>
      </c>
      <c r="X26" s="193">
        <v>-1</v>
      </c>
      <c r="Y26" s="214">
        <v>102.96800231933599</v>
      </c>
      <c r="Z26" s="214">
        <v>101.20099639892599</v>
      </c>
      <c r="AA26" s="193">
        <v>174</v>
      </c>
      <c r="AB26" s="193">
        <v>182</v>
      </c>
      <c r="AC26" s="193">
        <v>181</v>
      </c>
      <c r="AD26" s="193">
        <v>162</v>
      </c>
      <c r="AE26" s="193">
        <v>87</v>
      </c>
      <c r="AF26" s="212">
        <v>43</v>
      </c>
      <c r="AG26" s="212">
        <v>166295</v>
      </c>
      <c r="AH26" s="193" t="s">
        <v>4032</v>
      </c>
    </row>
    <row r="27" spans="1:34" ht="16.5">
      <c r="A27" s="210" t="e" cm="1">
        <f t="array" aca="1" ref="A27" ca="1">_xll.BDP($I27,$A$1)</f>
        <v>#NAME?</v>
      </c>
      <c r="B27" s="210" t="e" cm="1">
        <f t="array" aca="1" ref="B27" ca="1">_xll.BDP($I27,$B$1)</f>
        <v>#NAME?</v>
      </c>
      <c r="C27" s="210" t="e" cm="1">
        <f t="array" aca="1" ref="C27" ca="1">_xll.BDP($I27,$C$1)</f>
        <v>#NAME?</v>
      </c>
      <c r="D27" s="210" t="e" cm="1">
        <f t="array" aca="1" ref="D27" ca="1">_xll.BDP($I27,$D$1)</f>
        <v>#NAME?</v>
      </c>
      <c r="E27" s="376" t="e" cm="1">
        <f t="array" aca="1" ref="E27" ca="1">_xll.BDP($I27,$E$1)</f>
        <v>#NAME?</v>
      </c>
      <c r="F27" s="376" t="e" cm="1">
        <f t="array" aca="1" ref="F27" ca="1">_xll.BDP($I27,$F$1)</f>
        <v>#NAME?</v>
      </c>
      <c r="G27" s="376" t="e" cm="1">
        <f t="array" aca="1" ref="G27" ca="1">_xll.BDP($I27,$G$1)</f>
        <v>#NAME?</v>
      </c>
      <c r="H27" s="376" t="e" cm="1">
        <f t="array" aca="1" ref="H27" ca="1">_xll.BDP($I27,$H$1)</f>
        <v>#NAME?</v>
      </c>
      <c r="I27" s="193" t="s">
        <v>4054</v>
      </c>
      <c r="J27" s="193" t="s">
        <v>3452</v>
      </c>
      <c r="K27" s="214">
        <v>4.6500000000000004</v>
      </c>
      <c r="L27" s="193" t="s">
        <v>4055</v>
      </c>
      <c r="M27" s="193" t="s">
        <v>4039</v>
      </c>
      <c r="N27" s="193" t="s">
        <v>1452</v>
      </c>
      <c r="O27" s="193" t="s">
        <v>1513</v>
      </c>
      <c r="P27" s="193" t="s">
        <v>1518</v>
      </c>
      <c r="Q27" s="193" t="s">
        <v>936</v>
      </c>
      <c r="R27" s="193">
        <v>1000</v>
      </c>
      <c r="S27" s="214">
        <v>99.769996643066406</v>
      </c>
      <c r="T27" s="193" t="s">
        <v>1536</v>
      </c>
      <c r="U27" s="193">
        <v>4.6790000000000003</v>
      </c>
      <c r="V27" s="193" t="s">
        <v>1536</v>
      </c>
      <c r="W27" s="193">
        <v>54</v>
      </c>
      <c r="X27" s="193" t="s">
        <v>1536</v>
      </c>
      <c r="Y27" s="214">
        <v>99.873001098632798</v>
      </c>
      <c r="Z27" s="214">
        <v>99.581001281738295</v>
      </c>
      <c r="AA27" s="193">
        <v>97</v>
      </c>
      <c r="AB27" s="193">
        <v>98</v>
      </c>
      <c r="AC27" s="193">
        <v>96</v>
      </c>
      <c r="AD27" s="193">
        <v>99</v>
      </c>
      <c r="AE27" s="193">
        <v>54</v>
      </c>
      <c r="AF27" s="212">
        <v>61</v>
      </c>
      <c r="AG27" s="212">
        <v>163000</v>
      </c>
      <c r="AH27" s="193" t="s">
        <v>4056</v>
      </c>
    </row>
    <row r="28" spans="1:34" ht="16.5">
      <c r="A28" s="210" t="e" cm="1">
        <f t="array" aca="1" ref="A28" ca="1">_xll.BDP($I28,$A$1)</f>
        <v>#NAME?</v>
      </c>
      <c r="B28" s="210" t="e" cm="1">
        <f t="array" aca="1" ref="B28" ca="1">_xll.BDP($I28,$B$1)</f>
        <v>#NAME?</v>
      </c>
      <c r="C28" s="210" t="e" cm="1">
        <f t="array" aca="1" ref="C28" ca="1">_xll.BDP($I28,$C$1)</f>
        <v>#NAME?</v>
      </c>
      <c r="D28" s="210" t="e" cm="1">
        <f t="array" aca="1" ref="D28" ca="1">_xll.BDP($I28,$D$1)</f>
        <v>#NAME?</v>
      </c>
      <c r="E28" s="376" t="e" cm="1">
        <f t="array" aca="1" ref="E28" ca="1">_xll.BDP($I28,$E$1)</f>
        <v>#NAME?</v>
      </c>
      <c r="F28" s="376" t="e" cm="1">
        <f t="array" aca="1" ref="F28" ca="1">_xll.BDP($I28,$F$1)</f>
        <v>#NAME?</v>
      </c>
      <c r="G28" s="376" t="e" cm="1">
        <f t="array" aca="1" ref="G28" ca="1">_xll.BDP($I28,$G$1)</f>
        <v>#NAME?</v>
      </c>
      <c r="H28" s="376" t="e" cm="1">
        <f t="array" aca="1" ref="H28" ca="1">_xll.BDP($I28,$H$1)</f>
        <v>#NAME?</v>
      </c>
      <c r="I28" s="193" t="s">
        <v>4057</v>
      </c>
      <c r="J28" s="193" t="s">
        <v>3452</v>
      </c>
      <c r="K28" s="214">
        <v>5.55</v>
      </c>
      <c r="L28" s="193" t="s">
        <v>4058</v>
      </c>
      <c r="M28" s="193" t="s">
        <v>4039</v>
      </c>
      <c r="N28" s="193" t="s">
        <v>1452</v>
      </c>
      <c r="O28" s="193" t="s">
        <v>1519</v>
      </c>
      <c r="P28" s="193" t="s">
        <v>1518</v>
      </c>
      <c r="Q28" s="193" t="s">
        <v>1450</v>
      </c>
      <c r="R28" s="193">
        <v>1000</v>
      </c>
      <c r="S28" s="214">
        <v>99.0469970703125</v>
      </c>
      <c r="T28" s="193" t="s">
        <v>1536</v>
      </c>
      <c r="U28" s="193">
        <v>5.61</v>
      </c>
      <c r="V28" s="193" t="s">
        <v>1536</v>
      </c>
      <c r="W28" s="193">
        <v>87</v>
      </c>
      <c r="X28" s="193" t="s">
        <v>1536</v>
      </c>
      <c r="Y28" s="214">
        <v>99.616996765136705</v>
      </c>
      <c r="Z28" s="214">
        <v>99.015998840332003</v>
      </c>
      <c r="AA28" s="193">
        <v>169</v>
      </c>
      <c r="AB28" s="193">
        <v>171</v>
      </c>
      <c r="AC28" s="193">
        <v>167</v>
      </c>
      <c r="AD28" s="193">
        <v>163</v>
      </c>
      <c r="AE28" s="193">
        <v>88</v>
      </c>
      <c r="AF28" s="212">
        <v>55</v>
      </c>
      <c r="AG28" s="212">
        <v>162000</v>
      </c>
      <c r="AH28" s="193" t="s">
        <v>4059</v>
      </c>
    </row>
    <row r="29" spans="1:34" ht="16.5">
      <c r="A29" s="210" t="e" cm="1">
        <f t="array" aca="1" ref="A29" ca="1">_xll.BDP($I29,$A$1)</f>
        <v>#NAME?</v>
      </c>
      <c r="B29" s="210" t="e" cm="1">
        <f t="array" aca="1" ref="B29" ca="1">_xll.BDP($I29,$B$1)</f>
        <v>#NAME?</v>
      </c>
      <c r="C29" s="210" t="e" cm="1">
        <f t="array" aca="1" ref="C29" ca="1">_xll.BDP($I29,$C$1)</f>
        <v>#NAME?</v>
      </c>
      <c r="D29" s="210" t="e" cm="1">
        <f t="array" aca="1" ref="D29" ca="1">_xll.BDP($I29,$D$1)</f>
        <v>#NAME?</v>
      </c>
      <c r="E29" s="376" t="e" cm="1">
        <f t="array" aca="1" ref="E29" ca="1">_xll.BDP($I29,$E$1)</f>
        <v>#NAME?</v>
      </c>
      <c r="F29" s="376" t="e" cm="1">
        <f t="array" aca="1" ref="F29" ca="1">_xll.BDP($I29,$F$1)</f>
        <v>#NAME?</v>
      </c>
      <c r="G29" s="376" t="e" cm="1">
        <f t="array" aca="1" ref="G29" ca="1">_xll.BDP($I29,$G$1)</f>
        <v>#NAME?</v>
      </c>
      <c r="H29" s="376" t="e" cm="1">
        <f t="array" aca="1" ref="H29" ca="1">_xll.BDP($I29,$H$1)</f>
        <v>#NAME?</v>
      </c>
      <c r="I29" s="193" t="s">
        <v>3437</v>
      </c>
      <c r="J29" s="193" t="s">
        <v>3058</v>
      </c>
      <c r="K29" s="214">
        <v>5.5</v>
      </c>
      <c r="L29" s="193" t="s">
        <v>3438</v>
      </c>
      <c r="M29" s="193" t="s">
        <v>2962</v>
      </c>
      <c r="N29" s="193" t="s">
        <v>1452</v>
      </c>
      <c r="O29" s="193" t="s">
        <v>1452</v>
      </c>
      <c r="P29" s="193" t="s">
        <v>1518</v>
      </c>
      <c r="Q29" s="193" t="s">
        <v>936</v>
      </c>
      <c r="R29" s="193" t="s">
        <v>2922</v>
      </c>
      <c r="S29" s="214">
        <v>98.718002319335895</v>
      </c>
      <c r="T29" s="193">
        <v>0.42499999999999999</v>
      </c>
      <c r="U29" s="193">
        <v>5.6070000000000002</v>
      </c>
      <c r="V29" s="193">
        <v>-4</v>
      </c>
      <c r="W29" s="193">
        <v>90</v>
      </c>
      <c r="X29" s="193">
        <v>-2</v>
      </c>
      <c r="Y29" s="214">
        <v>99.514999389648395</v>
      </c>
      <c r="Z29" s="214">
        <v>98.292999267578097</v>
      </c>
      <c r="AA29" s="193">
        <v>160</v>
      </c>
      <c r="AB29" s="193">
        <v>159</v>
      </c>
      <c r="AC29" s="193">
        <v>155</v>
      </c>
      <c r="AD29" s="193">
        <v>163</v>
      </c>
      <c r="AE29" s="193">
        <v>90</v>
      </c>
      <c r="AF29" s="212">
        <v>53</v>
      </c>
      <c r="AG29" s="212">
        <v>161356</v>
      </c>
      <c r="AH29" s="193" t="s">
        <v>4035</v>
      </c>
    </row>
    <row r="30" spans="1:34" ht="16.5">
      <c r="A30" s="210" t="e" cm="1">
        <f t="array" aca="1" ref="A30" ca="1">_xll.BDP($I30,$A$1)</f>
        <v>#NAME?</v>
      </c>
      <c r="B30" s="210" t="e" cm="1">
        <f t="array" aca="1" ref="B30" ca="1">_xll.BDP($I30,$B$1)</f>
        <v>#NAME?</v>
      </c>
      <c r="C30" s="210" t="e" cm="1">
        <f t="array" aca="1" ref="C30" ca="1">_xll.BDP($I30,$C$1)</f>
        <v>#NAME?</v>
      </c>
      <c r="D30" s="210" t="e" cm="1">
        <f t="array" aca="1" ref="D30" ca="1">_xll.BDP($I30,$D$1)</f>
        <v>#NAME?</v>
      </c>
      <c r="E30" s="376" t="e" cm="1">
        <f t="array" aca="1" ref="E30" ca="1">_xll.BDP($I30,$E$1)</f>
        <v>#NAME?</v>
      </c>
      <c r="F30" s="376" t="e" cm="1">
        <f t="array" aca="1" ref="F30" ca="1">_xll.BDP($I30,$F$1)</f>
        <v>#NAME?</v>
      </c>
      <c r="G30" s="376" t="e" cm="1">
        <f t="array" aca="1" ref="G30" ca="1">_xll.BDP($I30,$G$1)</f>
        <v>#NAME?</v>
      </c>
      <c r="H30" s="376" t="e" cm="1">
        <f t="array" aca="1" ref="H30" ca="1">_xll.BDP($I30,$H$1)</f>
        <v>#NAME?</v>
      </c>
      <c r="I30" s="193" t="s">
        <v>4060</v>
      </c>
      <c r="J30" s="193" t="s">
        <v>3452</v>
      </c>
      <c r="K30" s="214">
        <v>3.9</v>
      </c>
      <c r="L30" s="193" t="s">
        <v>4061</v>
      </c>
      <c r="M30" s="193" t="s">
        <v>4039</v>
      </c>
      <c r="N30" s="193" t="s">
        <v>1452</v>
      </c>
      <c r="O30" s="193" t="s">
        <v>1513</v>
      </c>
      <c r="P30" s="193" t="s">
        <v>1172</v>
      </c>
      <c r="Q30" s="193" t="s">
        <v>936</v>
      </c>
      <c r="R30" s="193" t="s">
        <v>2922</v>
      </c>
      <c r="S30" s="214">
        <v>100.08699798584</v>
      </c>
      <c r="T30" s="193" t="s">
        <v>1536</v>
      </c>
      <c r="U30" s="193">
        <v>3.8690000000000002</v>
      </c>
      <c r="V30" s="193" t="s">
        <v>1536</v>
      </c>
      <c r="W30" s="193">
        <v>26</v>
      </c>
      <c r="X30" s="193" t="s">
        <v>1536</v>
      </c>
      <c r="Y30" s="214">
        <v>100.276000976562</v>
      </c>
      <c r="Z30" s="214">
        <v>99.987998962402301</v>
      </c>
      <c r="AA30" s="193">
        <v>49</v>
      </c>
      <c r="AB30" s="193">
        <v>51</v>
      </c>
      <c r="AC30" s="193">
        <v>49</v>
      </c>
      <c r="AD30" s="193">
        <v>51</v>
      </c>
      <c r="AE30" s="193">
        <v>26</v>
      </c>
      <c r="AF30" s="212">
        <v>47</v>
      </c>
      <c r="AG30" s="212">
        <v>159500</v>
      </c>
      <c r="AH30" s="193" t="s">
        <v>4040</v>
      </c>
    </row>
    <row r="31" spans="1:34" ht="16.5">
      <c r="A31" s="210" t="e" cm="1">
        <f t="array" aca="1" ref="A31" ca="1">_xll.BDP($I31,$A$1)</f>
        <v>#NAME?</v>
      </c>
      <c r="B31" s="210" t="e" cm="1">
        <f t="array" aca="1" ref="B31" ca="1">_xll.BDP($I31,$B$1)</f>
        <v>#NAME?</v>
      </c>
      <c r="C31" s="210" t="e" cm="1">
        <f t="array" aca="1" ref="C31" ca="1">_xll.BDP($I31,$C$1)</f>
        <v>#NAME?</v>
      </c>
      <c r="D31" s="210" t="e" cm="1">
        <f t="array" aca="1" ref="D31" ca="1">_xll.BDP($I31,$D$1)</f>
        <v>#NAME?</v>
      </c>
      <c r="E31" s="376" t="e" cm="1">
        <f t="array" aca="1" ref="E31" ca="1">_xll.BDP($I31,$E$1)</f>
        <v>#NAME?</v>
      </c>
      <c r="F31" s="376" t="e" cm="1">
        <f t="array" aca="1" ref="F31" ca="1">_xll.BDP($I31,$F$1)</f>
        <v>#NAME?</v>
      </c>
      <c r="G31" s="376" t="e" cm="1">
        <f t="array" aca="1" ref="G31" ca="1">_xll.BDP($I31,$G$1)</f>
        <v>#NAME?</v>
      </c>
      <c r="H31" s="376" t="e" cm="1">
        <f t="array" aca="1" ref="H31" ca="1">_xll.BDP($I31,$H$1)</f>
        <v>#NAME?</v>
      </c>
      <c r="I31" s="193" t="s">
        <v>4062</v>
      </c>
      <c r="J31" s="193" t="s">
        <v>1546</v>
      </c>
      <c r="K31" s="214">
        <v>4.75</v>
      </c>
      <c r="L31" s="193" t="s">
        <v>3686</v>
      </c>
      <c r="M31" s="193" t="s">
        <v>2940</v>
      </c>
      <c r="N31" s="193" t="s">
        <v>1452</v>
      </c>
      <c r="O31" s="193" t="s">
        <v>1513</v>
      </c>
      <c r="P31" s="193" t="s">
        <v>1518</v>
      </c>
      <c r="Q31" s="193" t="s">
        <v>936</v>
      </c>
      <c r="R31" s="193">
        <v>3000</v>
      </c>
      <c r="S31" s="214">
        <v>99.726997375488295</v>
      </c>
      <c r="T31" s="193">
        <v>0.156</v>
      </c>
      <c r="U31" s="193">
        <v>4.7939999999999996</v>
      </c>
      <c r="V31" s="193">
        <v>-3</v>
      </c>
      <c r="W31" s="193">
        <v>89</v>
      </c>
      <c r="X31" s="193">
        <v>-1</v>
      </c>
      <c r="Y31" s="214">
        <v>100.19400024414099</v>
      </c>
      <c r="Z31" s="214">
        <v>99.570999145507798</v>
      </c>
      <c r="AA31" s="193">
        <v>125</v>
      </c>
      <c r="AB31" s="193">
        <v>127</v>
      </c>
      <c r="AC31" s="193">
        <v>124</v>
      </c>
      <c r="AD31" s="193">
        <v>127</v>
      </c>
      <c r="AE31" s="193">
        <v>88</v>
      </c>
      <c r="AF31" s="212">
        <v>115</v>
      </c>
      <c r="AG31" s="212">
        <v>157525</v>
      </c>
      <c r="AH31" s="193" t="s">
        <v>4035</v>
      </c>
    </row>
    <row r="32" spans="1:34" ht="16.5">
      <c r="A32" s="210" t="e" cm="1">
        <f t="array" aca="1" ref="A32" ca="1">_xll.BDP($I32,$A$1)</f>
        <v>#NAME?</v>
      </c>
      <c r="B32" s="210" t="e" cm="1">
        <f t="array" aca="1" ref="B32" ca="1">_xll.BDP($I32,$B$1)</f>
        <v>#NAME?</v>
      </c>
      <c r="C32" s="210" t="e" cm="1">
        <f t="array" aca="1" ref="C32" ca="1">_xll.BDP($I32,$C$1)</f>
        <v>#NAME?</v>
      </c>
      <c r="D32" s="210" t="e" cm="1">
        <f t="array" aca="1" ref="D32" ca="1">_xll.BDP($I32,$D$1)</f>
        <v>#NAME?</v>
      </c>
      <c r="E32" s="376" t="e" cm="1">
        <f t="array" aca="1" ref="E32" ca="1">_xll.BDP($I32,$E$1)</f>
        <v>#NAME?</v>
      </c>
      <c r="F32" s="376" t="e" cm="1">
        <f t="array" aca="1" ref="F32" ca="1">_xll.BDP($I32,$F$1)</f>
        <v>#NAME?</v>
      </c>
      <c r="G32" s="376" t="e" cm="1">
        <f t="array" aca="1" ref="G32" ca="1">_xll.BDP($I32,$G$1)</f>
        <v>#NAME?</v>
      </c>
      <c r="H32" s="376" t="e" cm="1">
        <f t="array" aca="1" ref="H32" ca="1">_xll.BDP($I32,$H$1)</f>
        <v>#NAME?</v>
      </c>
      <c r="I32" s="193" t="s">
        <v>3929</v>
      </c>
      <c r="J32" s="193" t="s">
        <v>1567</v>
      </c>
      <c r="K32" s="214">
        <v>5.35</v>
      </c>
      <c r="L32" s="193" t="s">
        <v>3438</v>
      </c>
      <c r="M32" s="193" t="s">
        <v>3464</v>
      </c>
      <c r="N32" s="193" t="s">
        <v>1452</v>
      </c>
      <c r="O32" s="193" t="s">
        <v>1513</v>
      </c>
      <c r="P32" s="193" t="s">
        <v>1172</v>
      </c>
      <c r="Q32" s="193" t="s">
        <v>936</v>
      </c>
      <c r="R32" s="193" t="s">
        <v>2922</v>
      </c>
      <c r="S32" s="214">
        <v>100.744003295898</v>
      </c>
      <c r="T32" s="193">
        <v>8.4000000000000005E-2</v>
      </c>
      <c r="U32" s="193">
        <v>5.2880000000000003</v>
      </c>
      <c r="V32" s="193">
        <v>-1</v>
      </c>
      <c r="W32" s="193">
        <v>58</v>
      </c>
      <c r="X32" s="193">
        <v>0</v>
      </c>
      <c r="Y32" s="214">
        <v>101.77700042724599</v>
      </c>
      <c r="Z32" s="214">
        <v>100.623001098633</v>
      </c>
      <c r="AA32" s="193">
        <v>128</v>
      </c>
      <c r="AB32" s="193">
        <v>127</v>
      </c>
      <c r="AC32" s="193">
        <v>125</v>
      </c>
      <c r="AD32" s="193">
        <v>130</v>
      </c>
      <c r="AE32" s="193">
        <v>60</v>
      </c>
      <c r="AF32" s="212">
        <v>42</v>
      </c>
      <c r="AG32" s="212">
        <v>156675</v>
      </c>
      <c r="AH32" s="193" t="s">
        <v>4034</v>
      </c>
    </row>
    <row r="33" spans="1:34" ht="16.5">
      <c r="A33" s="210" t="e" cm="1">
        <f t="array" aca="1" ref="A33" ca="1">_xll.BDP($I33,$A$1)</f>
        <v>#NAME?</v>
      </c>
      <c r="B33" s="210" t="e" cm="1">
        <f t="array" aca="1" ref="B33" ca="1">_xll.BDP($I33,$B$1)</f>
        <v>#NAME?</v>
      </c>
      <c r="C33" s="210" t="e" cm="1">
        <f t="array" aca="1" ref="C33" ca="1">_xll.BDP($I33,$C$1)</f>
        <v>#NAME?</v>
      </c>
      <c r="D33" s="210" t="e" cm="1">
        <f t="array" aca="1" ref="D33" ca="1">_xll.BDP($I33,$D$1)</f>
        <v>#NAME?</v>
      </c>
      <c r="E33" s="376" t="e" cm="1">
        <f t="array" aca="1" ref="E33" ca="1">_xll.BDP($I33,$E$1)</f>
        <v>#NAME?</v>
      </c>
      <c r="F33" s="376" t="e" cm="1">
        <f t="array" aca="1" ref="F33" ca="1">_xll.BDP($I33,$F$1)</f>
        <v>#NAME?</v>
      </c>
      <c r="G33" s="376" t="e" cm="1">
        <f t="array" aca="1" ref="G33" ca="1">_xll.BDP($I33,$G$1)</f>
        <v>#NAME?</v>
      </c>
      <c r="H33" s="376" t="e" cm="1">
        <f t="array" aca="1" ref="H33" ca="1">_xll.BDP($I33,$H$1)</f>
        <v>#NAME?</v>
      </c>
      <c r="I33" s="193" t="s">
        <v>3934</v>
      </c>
      <c r="J33" s="193" t="s">
        <v>1559</v>
      </c>
      <c r="K33" s="214">
        <v>4.6189999999999998</v>
      </c>
      <c r="L33" s="193" t="s">
        <v>3935</v>
      </c>
      <c r="M33" s="193" t="s">
        <v>2953</v>
      </c>
      <c r="N33" s="193" t="s">
        <v>1452</v>
      </c>
      <c r="O33" s="193" t="s">
        <v>1452</v>
      </c>
      <c r="P33" s="193" t="s">
        <v>1518</v>
      </c>
      <c r="Q33" s="193" t="s">
        <v>936</v>
      </c>
      <c r="R33" s="193" t="s">
        <v>2922</v>
      </c>
      <c r="S33" s="214">
        <v>100.05100250244099</v>
      </c>
      <c r="T33" s="193">
        <v>7.3999999999999996E-2</v>
      </c>
      <c r="U33" s="193">
        <v>4.6070000000000002</v>
      </c>
      <c r="V33" s="193">
        <v>-2</v>
      </c>
      <c r="W33" s="193">
        <v>88</v>
      </c>
      <c r="X33" s="193">
        <v>0</v>
      </c>
      <c r="Y33" s="214">
        <v>100.44899749755901</v>
      </c>
      <c r="Z33" s="214">
        <v>99.977500915527301</v>
      </c>
      <c r="AA33" s="193">
        <v>118</v>
      </c>
      <c r="AB33" s="193">
        <v>120</v>
      </c>
      <c r="AC33" s="193">
        <v>118</v>
      </c>
      <c r="AD33" s="193">
        <v>118</v>
      </c>
      <c r="AE33" s="193">
        <v>89</v>
      </c>
      <c r="AF33" s="212">
        <v>43</v>
      </c>
      <c r="AG33" s="212">
        <v>153744</v>
      </c>
      <c r="AH33" s="193" t="s">
        <v>4063</v>
      </c>
    </row>
    <row r="34" spans="1:34" ht="16.5">
      <c r="A34" s="210" t="e" cm="1">
        <f t="array" aca="1" ref="A34" ca="1">_xll.BDP($I34,$A$1)</f>
        <v>#NAME?</v>
      </c>
      <c r="B34" s="210" t="e" cm="1">
        <f t="array" aca="1" ref="B34" ca="1">_xll.BDP($I34,$B$1)</f>
        <v>#NAME?</v>
      </c>
      <c r="C34" s="210" t="e" cm="1">
        <f t="array" aca="1" ref="C34" ca="1">_xll.BDP($I34,$C$1)</f>
        <v>#NAME?</v>
      </c>
      <c r="D34" s="210" t="e" cm="1">
        <f t="array" aca="1" ref="D34" ca="1">_xll.BDP($I34,$D$1)</f>
        <v>#NAME?</v>
      </c>
      <c r="E34" s="376" t="e" cm="1">
        <f t="array" aca="1" ref="E34" ca="1">_xll.BDP($I34,$E$1)</f>
        <v>#NAME?</v>
      </c>
      <c r="F34" s="376" t="e" cm="1">
        <f t="array" aca="1" ref="F34" ca="1">_xll.BDP($I34,$F$1)</f>
        <v>#NAME?</v>
      </c>
      <c r="G34" s="376" t="e" cm="1">
        <f t="array" aca="1" ref="G34" ca="1">_xll.BDP($I34,$G$1)</f>
        <v>#NAME?</v>
      </c>
      <c r="H34" s="376" t="e" cm="1">
        <f t="array" aca="1" ref="H34" ca="1">_xll.BDP($I34,$H$1)</f>
        <v>#NAME?</v>
      </c>
      <c r="I34" s="193" t="s">
        <v>3269</v>
      </c>
      <c r="J34" s="193" t="s">
        <v>1539</v>
      </c>
      <c r="K34" s="214">
        <v>4.3559999999999999</v>
      </c>
      <c r="L34" s="193" t="s">
        <v>3265</v>
      </c>
      <c r="M34" s="193" t="s">
        <v>2929</v>
      </c>
      <c r="N34" s="193" t="s">
        <v>1452</v>
      </c>
      <c r="O34" s="193" t="s">
        <v>1513</v>
      </c>
      <c r="P34" s="193" t="s">
        <v>1518</v>
      </c>
      <c r="Q34" s="193" t="s">
        <v>936</v>
      </c>
      <c r="R34" s="193" t="s">
        <v>2922</v>
      </c>
      <c r="S34" s="214">
        <v>99.627998352050795</v>
      </c>
      <c r="T34" s="193">
        <v>-0.17199999999999999</v>
      </c>
      <c r="U34" s="193">
        <v>4.4400000000000004</v>
      </c>
      <c r="V34" s="193">
        <v>4</v>
      </c>
      <c r="W34" s="193">
        <v>72</v>
      </c>
      <c r="X34" s="193">
        <v>0</v>
      </c>
      <c r="Y34" s="214">
        <v>99.800003051757798</v>
      </c>
      <c r="Z34" s="214">
        <v>99.439002990722699</v>
      </c>
      <c r="AA34" s="193">
        <v>101</v>
      </c>
      <c r="AB34" s="193">
        <v>103</v>
      </c>
      <c r="AC34" s="193">
        <v>101</v>
      </c>
      <c r="AD34" s="193">
        <v>101</v>
      </c>
      <c r="AE34" s="193">
        <v>72</v>
      </c>
      <c r="AF34" s="212">
        <v>55</v>
      </c>
      <c r="AG34" s="212">
        <v>220060</v>
      </c>
      <c r="AH34" s="193" t="s">
        <v>3432</v>
      </c>
    </row>
    <row r="35" spans="1:34">
      <c r="E35" s="376"/>
      <c r="F35" s="376"/>
      <c r="G35" s="376"/>
      <c r="H35" s="376"/>
      <c r="I35" s="210" t="s">
        <v>2975</v>
      </c>
      <c r="J35" s="210" t="s">
        <v>1513</v>
      </c>
      <c r="K35" s="214">
        <v>5.1740000000000004</v>
      </c>
      <c r="L35" s="210" t="s">
        <v>2976</v>
      </c>
      <c r="M35" s="210" t="s">
        <v>2937</v>
      </c>
      <c r="N35" s="210" t="s">
        <v>1452</v>
      </c>
      <c r="O35" s="210" t="s">
        <v>1452</v>
      </c>
      <c r="P35" s="210" t="s">
        <v>1518</v>
      </c>
      <c r="Q35" s="210" t="s">
        <v>936</v>
      </c>
      <c r="R35" s="210">
        <v>1500</v>
      </c>
      <c r="S35" s="214">
        <v>101.304000854492</v>
      </c>
      <c r="T35" s="210" t="s">
        <v>1536</v>
      </c>
      <c r="U35" s="210">
        <v>5.0039999999999996</v>
      </c>
      <c r="V35" s="210" t="s">
        <v>1536</v>
      </c>
      <c r="W35" s="210">
        <v>92</v>
      </c>
      <c r="X35" s="210" t="s">
        <v>1536</v>
      </c>
      <c r="Y35" s="214">
        <v>102.49299621582</v>
      </c>
      <c r="Z35" s="214">
        <v>101.07900238037099</v>
      </c>
      <c r="AA35" s="210">
        <v>135</v>
      </c>
      <c r="AB35" s="210">
        <v>135</v>
      </c>
      <c r="AC35" s="210">
        <v>134</v>
      </c>
      <c r="AE35" s="210">
        <v>92</v>
      </c>
      <c r="AF35" s="212">
        <v>51</v>
      </c>
      <c r="AG35" s="212">
        <v>172620</v>
      </c>
      <c r="AH35" s="210" t="s">
        <v>3432</v>
      </c>
    </row>
    <row r="36" spans="1:34">
      <c r="E36" s="376"/>
      <c r="F36" s="376"/>
      <c r="G36" s="376"/>
      <c r="H36" s="376"/>
      <c r="I36" s="210" t="s">
        <v>3443</v>
      </c>
      <c r="J36" s="210" t="s">
        <v>3308</v>
      </c>
      <c r="K36" s="214">
        <v>3.9</v>
      </c>
      <c r="L36" s="210" t="s">
        <v>3444</v>
      </c>
      <c r="M36" s="210" t="s">
        <v>2953</v>
      </c>
      <c r="N36" s="210" t="s">
        <v>1452</v>
      </c>
      <c r="O36" s="210" t="s">
        <v>1513</v>
      </c>
      <c r="P36" s="210" t="s">
        <v>1518</v>
      </c>
      <c r="Q36" s="210" t="s">
        <v>936</v>
      </c>
      <c r="R36" s="210">
        <v>1000</v>
      </c>
      <c r="S36" s="214">
        <v>99.588996887207003</v>
      </c>
      <c r="T36" s="210" t="s">
        <v>1536</v>
      </c>
      <c r="U36" s="210">
        <v>4.0460000000000003</v>
      </c>
      <c r="V36" s="210" t="s">
        <v>1536</v>
      </c>
      <c r="W36" s="210">
        <v>47</v>
      </c>
      <c r="X36" s="210" t="s">
        <v>1536</v>
      </c>
      <c r="Y36" s="214">
        <v>99.916999816894503</v>
      </c>
      <c r="Z36" s="214">
        <v>99.522003173828097</v>
      </c>
      <c r="AA36" s="210">
        <v>70</v>
      </c>
      <c r="AB36" s="210">
        <v>72</v>
      </c>
      <c r="AC36" s="210">
        <v>70</v>
      </c>
      <c r="AD36" s="210">
        <v>71</v>
      </c>
      <c r="AE36" s="210">
        <v>46</v>
      </c>
      <c r="AF36" s="212">
        <v>62</v>
      </c>
      <c r="AG36" s="212">
        <v>171725</v>
      </c>
      <c r="AH36" s="210" t="s">
        <v>3432</v>
      </c>
    </row>
    <row r="37" spans="1:34">
      <c r="E37" s="376"/>
      <c r="F37" s="376"/>
      <c r="G37" s="376"/>
      <c r="H37" s="376"/>
      <c r="I37" s="210" t="s">
        <v>3013</v>
      </c>
      <c r="J37" s="210" t="s">
        <v>2989</v>
      </c>
      <c r="K37" s="214">
        <v>4.9000000000000004</v>
      </c>
      <c r="L37" s="210" t="s">
        <v>3014</v>
      </c>
      <c r="M37" s="210" t="s">
        <v>2953</v>
      </c>
      <c r="N37" s="210" t="s">
        <v>1452</v>
      </c>
      <c r="O37" s="210" t="s">
        <v>876</v>
      </c>
      <c r="P37" s="210" t="s">
        <v>1172</v>
      </c>
      <c r="Q37" s="210" t="s">
        <v>936</v>
      </c>
      <c r="R37" s="210">
        <v>3000</v>
      </c>
      <c r="S37" s="214">
        <v>94.093498229980497</v>
      </c>
      <c r="T37" s="210" t="s">
        <v>1536</v>
      </c>
      <c r="U37" s="210">
        <v>5.3819999999999997</v>
      </c>
      <c r="V37" s="210" t="s">
        <v>1536</v>
      </c>
      <c r="W37" s="210">
        <v>75</v>
      </c>
      <c r="X37" s="210" t="s">
        <v>1536</v>
      </c>
      <c r="Y37" s="214">
        <v>96.481002807617202</v>
      </c>
      <c r="Z37" s="214">
        <v>94.083999633789105</v>
      </c>
      <c r="AA37" s="210">
        <v>142</v>
      </c>
      <c r="AB37" s="210">
        <v>142</v>
      </c>
      <c r="AC37" s="210">
        <v>133</v>
      </c>
      <c r="AD37" s="210">
        <v>144</v>
      </c>
      <c r="AE37" s="210">
        <v>75</v>
      </c>
      <c r="AF37" s="212">
        <v>48</v>
      </c>
      <c r="AG37" s="212">
        <v>169543</v>
      </c>
      <c r="AH37" s="210" t="s">
        <v>3432</v>
      </c>
    </row>
    <row r="38" spans="1:34">
      <c r="E38" s="376"/>
      <c r="F38" s="376"/>
      <c r="G38" s="376"/>
      <c r="H38" s="376"/>
      <c r="I38" s="210" t="s">
        <v>3267</v>
      </c>
      <c r="J38" s="210" t="s">
        <v>1540</v>
      </c>
      <c r="K38" s="214">
        <v>4.1529999999999996</v>
      </c>
      <c r="L38" s="210" t="s">
        <v>3268</v>
      </c>
      <c r="M38" s="210" t="s">
        <v>2930</v>
      </c>
      <c r="N38" s="210" t="s">
        <v>1452</v>
      </c>
      <c r="O38" s="210" t="s">
        <v>1513</v>
      </c>
      <c r="P38" s="210" t="s">
        <v>1172</v>
      </c>
      <c r="Q38" s="210" t="s">
        <v>936</v>
      </c>
      <c r="R38" s="210" t="s">
        <v>2922</v>
      </c>
      <c r="S38" s="214">
        <v>99.665000915527301</v>
      </c>
      <c r="T38" s="210" t="s">
        <v>1536</v>
      </c>
      <c r="U38" s="210">
        <v>4.274</v>
      </c>
      <c r="V38" s="210" t="s">
        <v>1536</v>
      </c>
      <c r="W38" s="210">
        <v>68</v>
      </c>
      <c r="X38" s="210" t="s">
        <v>1536</v>
      </c>
      <c r="Y38" s="214">
        <v>100.07700347900401</v>
      </c>
      <c r="Z38" s="214">
        <v>99.665000915527301</v>
      </c>
      <c r="AA38" s="210">
        <v>91</v>
      </c>
      <c r="AB38" s="210">
        <v>93</v>
      </c>
      <c r="AC38" s="210">
        <v>91</v>
      </c>
      <c r="AE38" s="210">
        <v>68</v>
      </c>
      <c r="AF38" s="212">
        <v>46</v>
      </c>
      <c r="AG38" s="212">
        <v>159577</v>
      </c>
      <c r="AH38" s="210" t="s">
        <v>3432</v>
      </c>
    </row>
    <row r="39" spans="1:34">
      <c r="E39" s="376"/>
      <c r="F39" s="376"/>
      <c r="G39" s="376"/>
      <c r="H39" s="376"/>
      <c r="I39" s="210" t="s">
        <v>3445</v>
      </c>
      <c r="J39" s="210" t="s">
        <v>1568</v>
      </c>
      <c r="K39" s="214">
        <v>4.95</v>
      </c>
      <c r="L39" s="210" t="s">
        <v>3431</v>
      </c>
      <c r="M39" s="210" t="s">
        <v>2935</v>
      </c>
      <c r="N39" s="210" t="s">
        <v>1452</v>
      </c>
      <c r="O39" s="210" t="s">
        <v>1513</v>
      </c>
      <c r="P39" s="210" t="s">
        <v>1518</v>
      </c>
      <c r="Q39" s="210" t="s">
        <v>936</v>
      </c>
      <c r="R39" s="210" t="s">
        <v>2922</v>
      </c>
      <c r="S39" s="214">
        <v>99.248001098632798</v>
      </c>
      <c r="T39" s="210" t="s">
        <v>1536</v>
      </c>
      <c r="U39" s="210">
        <v>5.0449999999999999</v>
      </c>
      <c r="V39" s="210" t="s">
        <v>1536</v>
      </c>
      <c r="W39" s="210">
        <v>96</v>
      </c>
      <c r="X39" s="210" t="s">
        <v>1536</v>
      </c>
      <c r="Y39" s="214">
        <v>100.782997131348</v>
      </c>
      <c r="Z39" s="214">
        <v>99.248001098632798</v>
      </c>
      <c r="AA39" s="210">
        <v>137</v>
      </c>
      <c r="AB39" s="210">
        <v>138</v>
      </c>
      <c r="AC39" s="210">
        <v>135</v>
      </c>
      <c r="AD39" s="210">
        <v>139</v>
      </c>
      <c r="AE39" s="210">
        <v>95</v>
      </c>
      <c r="AF39" s="212">
        <v>48</v>
      </c>
      <c r="AG39" s="212">
        <v>154924</v>
      </c>
      <c r="AH39" s="210" t="s">
        <v>3432</v>
      </c>
    </row>
    <row r="40" spans="1:34">
      <c r="E40" s="376"/>
      <c r="F40" s="376"/>
      <c r="G40" s="376"/>
      <c r="H40" s="376"/>
      <c r="I40" s="210" t="s">
        <v>3446</v>
      </c>
      <c r="J40" s="210" t="s">
        <v>3442</v>
      </c>
      <c r="K40" s="214">
        <v>4.4000000000000004</v>
      </c>
      <c r="L40" s="210" t="s">
        <v>3447</v>
      </c>
      <c r="M40" s="210" t="s">
        <v>2932</v>
      </c>
      <c r="N40" s="210" t="s">
        <v>1452</v>
      </c>
      <c r="O40" s="210" t="s">
        <v>1513</v>
      </c>
      <c r="P40" s="210" t="s">
        <v>1518</v>
      </c>
      <c r="Q40" s="210" t="s">
        <v>936</v>
      </c>
      <c r="R40" s="210">
        <v>2000</v>
      </c>
      <c r="S40" s="214">
        <v>80.339996337890597</v>
      </c>
      <c r="T40" s="210" t="s">
        <v>1536</v>
      </c>
      <c r="U40" s="210">
        <v>5.96</v>
      </c>
      <c r="V40" s="210" t="s">
        <v>1536</v>
      </c>
      <c r="W40" s="210">
        <v>130</v>
      </c>
      <c r="X40" s="210" t="s">
        <v>1536</v>
      </c>
      <c r="Y40" s="214">
        <v>81.164001464843807</v>
      </c>
      <c r="Z40" s="214">
        <v>80.339996337890597</v>
      </c>
      <c r="AA40" s="210">
        <v>198</v>
      </c>
      <c r="AB40" s="210">
        <v>198</v>
      </c>
      <c r="AC40" s="210">
        <v>167</v>
      </c>
      <c r="AD40" s="210">
        <v>202</v>
      </c>
      <c r="AE40" s="210">
        <v>131</v>
      </c>
      <c r="AF40" s="212">
        <v>44</v>
      </c>
      <c r="AG40" s="212">
        <v>154054</v>
      </c>
      <c r="AH40" s="210" t="s">
        <v>3432</v>
      </c>
    </row>
    <row r="41" spans="1:34">
      <c r="E41" s="376"/>
      <c r="F41" s="376"/>
      <c r="G41" s="376"/>
      <c r="H41" s="376"/>
      <c r="I41" s="210" t="s">
        <v>3448</v>
      </c>
      <c r="J41" s="210" t="s">
        <v>3034</v>
      </c>
      <c r="K41" s="214">
        <v>4.9279999999999999</v>
      </c>
      <c r="L41" s="210" t="s">
        <v>2931</v>
      </c>
      <c r="M41" s="210" t="s">
        <v>2961</v>
      </c>
      <c r="N41" s="210" t="s">
        <v>1452</v>
      </c>
      <c r="O41" s="210" t="s">
        <v>876</v>
      </c>
      <c r="P41" s="210" t="s">
        <v>1172</v>
      </c>
      <c r="Q41" s="210" t="s">
        <v>936</v>
      </c>
      <c r="R41" s="210">
        <v>3269</v>
      </c>
      <c r="S41" s="214">
        <v>100.30899810791</v>
      </c>
      <c r="T41" s="210" t="s">
        <v>1536</v>
      </c>
      <c r="U41" s="210">
        <v>4.8879999999999999</v>
      </c>
      <c r="V41" s="210" t="s">
        <v>1536</v>
      </c>
      <c r="W41" s="210">
        <v>81</v>
      </c>
      <c r="X41" s="210" t="s">
        <v>1536</v>
      </c>
      <c r="Y41" s="214">
        <v>101.528999328613</v>
      </c>
      <c r="Z41" s="214">
        <v>100.21900177002</v>
      </c>
      <c r="AA41" s="210">
        <v>123</v>
      </c>
      <c r="AB41" s="210">
        <v>124</v>
      </c>
      <c r="AC41" s="210">
        <v>121</v>
      </c>
      <c r="AD41" s="210">
        <v>125</v>
      </c>
      <c r="AE41" s="210">
        <v>80</v>
      </c>
      <c r="AF41" s="212">
        <v>45</v>
      </c>
      <c r="AG41" s="212">
        <v>150731</v>
      </c>
      <c r="AH41" s="210" t="s">
        <v>3432</v>
      </c>
    </row>
    <row r="42" spans="1:34">
      <c r="E42" s="376"/>
      <c r="F42" s="376"/>
      <c r="G42" s="376"/>
      <c r="H42" s="376"/>
      <c r="I42" s="210" t="s">
        <v>3449</v>
      </c>
      <c r="J42" s="210" t="s">
        <v>2945</v>
      </c>
      <c r="K42" s="214">
        <v>5.875</v>
      </c>
      <c r="L42" s="210" t="s">
        <v>3450</v>
      </c>
      <c r="M42" s="210" t="s">
        <v>2932</v>
      </c>
      <c r="N42" s="210" t="s">
        <v>1452</v>
      </c>
      <c r="O42" s="210" t="s">
        <v>1452</v>
      </c>
      <c r="P42" s="210" t="s">
        <v>1518</v>
      </c>
      <c r="Q42" s="210" t="s">
        <v>936</v>
      </c>
      <c r="R42" s="210" t="s">
        <v>2922</v>
      </c>
      <c r="S42" s="214">
        <v>95.998001098632798</v>
      </c>
      <c r="T42" s="210" t="s">
        <v>1536</v>
      </c>
      <c r="U42" s="210">
        <v>6.2279999999999998</v>
      </c>
      <c r="V42" s="210" t="s">
        <v>1536</v>
      </c>
      <c r="W42" s="210">
        <v>159</v>
      </c>
      <c r="X42" s="210" t="s">
        <v>1536</v>
      </c>
      <c r="Y42" s="214">
        <v>99.741996765136705</v>
      </c>
      <c r="Z42" s="214">
        <v>95.998001098632798</v>
      </c>
      <c r="AA42" s="210">
        <v>228</v>
      </c>
      <c r="AB42" s="210">
        <v>225</v>
      </c>
      <c r="AC42" s="210">
        <v>216</v>
      </c>
      <c r="AD42" s="210">
        <v>230</v>
      </c>
      <c r="AE42" s="210">
        <v>159</v>
      </c>
      <c r="AF42" s="212">
        <v>43</v>
      </c>
      <c r="AG42" s="212">
        <v>150436</v>
      </c>
      <c r="AH42" s="210" t="s">
        <v>3432</v>
      </c>
    </row>
    <row r="43" spans="1:34">
      <c r="E43" s="376"/>
      <c r="F43" s="376"/>
      <c r="G43" s="376"/>
      <c r="H43" s="376"/>
      <c r="I43" s="210" t="s">
        <v>3451</v>
      </c>
      <c r="J43" s="210" t="s">
        <v>3452</v>
      </c>
      <c r="K43" s="214">
        <v>3.95</v>
      </c>
      <c r="L43" s="210" t="s">
        <v>3453</v>
      </c>
      <c r="M43" s="210" t="s">
        <v>3454</v>
      </c>
      <c r="N43" s="210" t="s">
        <v>1452</v>
      </c>
      <c r="O43" s="210" t="s">
        <v>1513</v>
      </c>
      <c r="P43" s="210" t="s">
        <v>1518</v>
      </c>
      <c r="Q43" s="210" t="s">
        <v>936</v>
      </c>
      <c r="R43" s="210">
        <v>2700</v>
      </c>
      <c r="S43" s="214">
        <v>80.524002075195298</v>
      </c>
      <c r="T43" s="210" t="s">
        <v>1536</v>
      </c>
      <c r="U43" s="210">
        <v>5.3319999999999999</v>
      </c>
      <c r="V43" s="210" t="s">
        <v>1536</v>
      </c>
      <c r="W43" s="210">
        <v>66</v>
      </c>
      <c r="X43" s="210" t="s">
        <v>1536</v>
      </c>
      <c r="Y43" s="214">
        <v>82.365997314453097</v>
      </c>
      <c r="Z43" s="214">
        <v>80.524002075195298</v>
      </c>
      <c r="AA43" s="210">
        <v>135</v>
      </c>
      <c r="AB43" s="210">
        <v>135</v>
      </c>
      <c r="AC43" s="210">
        <v>114</v>
      </c>
      <c r="AD43" s="210">
        <v>138</v>
      </c>
      <c r="AE43" s="210">
        <v>67</v>
      </c>
      <c r="AF43" s="212">
        <v>44</v>
      </c>
      <c r="AG43" s="212">
        <v>149256</v>
      </c>
      <c r="AH43" s="210" t="s">
        <v>3432</v>
      </c>
    </row>
    <row r="44" spans="1:34">
      <c r="E44" s="376"/>
      <c r="F44" s="376"/>
      <c r="G44" s="376"/>
      <c r="H44" s="376"/>
      <c r="I44" s="210" t="s">
        <v>3455</v>
      </c>
      <c r="J44" s="210" t="s">
        <v>2943</v>
      </c>
      <c r="K44" s="214">
        <v>5.7</v>
      </c>
      <c r="L44" s="210" t="s">
        <v>3052</v>
      </c>
      <c r="M44" s="210" t="s">
        <v>2928</v>
      </c>
      <c r="N44" s="210" t="s">
        <v>1452</v>
      </c>
      <c r="O44" s="210" t="s">
        <v>1513</v>
      </c>
      <c r="P44" s="210" t="s">
        <v>1518</v>
      </c>
      <c r="Q44" s="210" t="s">
        <v>936</v>
      </c>
      <c r="R44" s="210">
        <v>5000</v>
      </c>
      <c r="S44" s="214">
        <v>103.90599822998</v>
      </c>
      <c r="T44" s="210" t="s">
        <v>1536</v>
      </c>
      <c r="U44" s="210">
        <v>5.4320000000000004</v>
      </c>
      <c r="V44" s="210" t="s">
        <v>1536</v>
      </c>
      <c r="W44" s="210">
        <v>77</v>
      </c>
      <c r="X44" s="210" t="s">
        <v>1536</v>
      </c>
      <c r="Y44" s="214">
        <v>106.16300201416</v>
      </c>
      <c r="Z44" s="214">
        <v>103.81500244140599</v>
      </c>
      <c r="AA44" s="210">
        <v>149</v>
      </c>
      <c r="AB44" s="210">
        <v>148</v>
      </c>
      <c r="AC44" s="210">
        <v>150</v>
      </c>
      <c r="AD44" s="210">
        <v>151</v>
      </c>
      <c r="AE44" s="210">
        <v>77</v>
      </c>
      <c r="AF44" s="212">
        <v>36</v>
      </c>
      <c r="AG44" s="212">
        <v>146144</v>
      </c>
      <c r="AH44" s="210" t="s">
        <v>3432</v>
      </c>
    </row>
    <row r="45" spans="1:34">
      <c r="E45" s="376"/>
      <c r="F45" s="376"/>
      <c r="G45" s="376"/>
      <c r="H45" s="376"/>
      <c r="I45" s="210" t="s">
        <v>3456</v>
      </c>
      <c r="J45" s="210" t="s">
        <v>3355</v>
      </c>
      <c r="K45" s="214">
        <v>5.15</v>
      </c>
      <c r="L45" s="210" t="s">
        <v>3082</v>
      </c>
      <c r="M45" s="210" t="s">
        <v>2942</v>
      </c>
      <c r="N45" s="210" t="s">
        <v>1452</v>
      </c>
      <c r="O45" s="210" t="s">
        <v>1513</v>
      </c>
      <c r="P45" s="210" t="s">
        <v>1172</v>
      </c>
      <c r="Q45" s="210" t="s">
        <v>936</v>
      </c>
      <c r="R45" s="210">
        <v>3000</v>
      </c>
      <c r="S45" s="214">
        <v>98.837997436523395</v>
      </c>
      <c r="T45" s="210" t="s">
        <v>1536</v>
      </c>
      <c r="U45" s="210">
        <v>5.298</v>
      </c>
      <c r="V45" s="210" t="s">
        <v>1536</v>
      </c>
      <c r="W45" s="210">
        <v>120</v>
      </c>
      <c r="X45" s="210" t="s">
        <v>1536</v>
      </c>
      <c r="Y45" s="214">
        <v>99.011001586914105</v>
      </c>
      <c r="Z45" s="214">
        <v>98.837997436523395</v>
      </c>
      <c r="AA45" s="210">
        <v>160</v>
      </c>
      <c r="AB45" s="210">
        <v>161</v>
      </c>
      <c r="AC45" s="210">
        <v>157</v>
      </c>
      <c r="AD45" s="210">
        <v>163</v>
      </c>
      <c r="AE45" s="210">
        <v>117</v>
      </c>
      <c r="AF45" s="212">
        <v>39</v>
      </c>
      <c r="AG45" s="212">
        <v>142000</v>
      </c>
      <c r="AH45" s="210" t="s">
        <v>3432</v>
      </c>
    </row>
    <row r="46" spans="1:34">
      <c r="E46" s="376"/>
      <c r="F46" s="376"/>
      <c r="G46" s="376"/>
      <c r="H46" s="376"/>
      <c r="I46" s="210" t="s">
        <v>3457</v>
      </c>
      <c r="J46" s="210" t="s">
        <v>1538</v>
      </c>
      <c r="K46" s="214">
        <v>3</v>
      </c>
      <c r="L46" s="210" t="s">
        <v>3458</v>
      </c>
      <c r="M46" s="210" t="s">
        <v>2956</v>
      </c>
      <c r="N46" s="210" t="s">
        <v>1452</v>
      </c>
      <c r="O46" s="210" t="s">
        <v>1452</v>
      </c>
      <c r="P46" s="210" t="s">
        <v>1518</v>
      </c>
      <c r="Q46" s="210" t="s">
        <v>936</v>
      </c>
      <c r="R46" s="210">
        <v>1010</v>
      </c>
      <c r="S46" s="214">
        <v>99.072196960449205</v>
      </c>
      <c r="T46" s="210" t="s">
        <v>1536</v>
      </c>
      <c r="U46" s="210">
        <v>3.9820000000000002</v>
      </c>
      <c r="V46" s="210" t="s">
        <v>1536</v>
      </c>
      <c r="W46" s="210">
        <v>40</v>
      </c>
      <c r="X46" s="210" t="s">
        <v>1536</v>
      </c>
      <c r="Y46" s="214">
        <v>99.168998718261705</v>
      </c>
      <c r="Z46" s="214">
        <v>99.066001892089801</v>
      </c>
      <c r="AA46" s="210">
        <v>35</v>
      </c>
      <c r="AB46" s="210">
        <v>38</v>
      </c>
      <c r="AC46" s="210">
        <v>37</v>
      </c>
      <c r="AD46" s="210">
        <v>38</v>
      </c>
      <c r="AE46" s="210">
        <v>30</v>
      </c>
      <c r="AF46" s="212">
        <v>40</v>
      </c>
      <c r="AG46" s="212">
        <v>140589</v>
      </c>
      <c r="AH46" s="210" t="s">
        <v>3432</v>
      </c>
    </row>
    <row r="47" spans="1:34">
      <c r="E47" s="376"/>
      <c r="F47" s="376"/>
      <c r="G47" s="376"/>
      <c r="H47" s="376"/>
      <c r="I47" s="210" t="s">
        <v>3459</v>
      </c>
      <c r="J47" s="210" t="s">
        <v>3051</v>
      </c>
      <c r="K47" s="214">
        <v>4.3</v>
      </c>
      <c r="L47" s="210" t="s">
        <v>3434</v>
      </c>
      <c r="M47" s="210" t="s">
        <v>2950</v>
      </c>
      <c r="N47" s="210" t="s">
        <v>1452</v>
      </c>
      <c r="O47" s="210" t="s">
        <v>1452</v>
      </c>
      <c r="P47" s="210" t="s">
        <v>1518</v>
      </c>
      <c r="Q47" s="210" t="s">
        <v>936</v>
      </c>
      <c r="R47" s="210">
        <v>2000</v>
      </c>
      <c r="S47" s="214">
        <v>99.525299072265597</v>
      </c>
      <c r="T47" s="210" t="s">
        <v>1536</v>
      </c>
      <c r="U47" s="210">
        <v>4.4059999999999997</v>
      </c>
      <c r="V47" s="210" t="s">
        <v>1536</v>
      </c>
      <c r="W47" s="210">
        <v>72</v>
      </c>
      <c r="X47" s="210" t="s">
        <v>1536</v>
      </c>
      <c r="Y47" s="214">
        <v>99.998001098632798</v>
      </c>
      <c r="Z47" s="214">
        <v>99.484001159667997</v>
      </c>
      <c r="AA47" s="210">
        <v>100</v>
      </c>
      <c r="AB47" s="210">
        <v>102</v>
      </c>
      <c r="AC47" s="210">
        <v>99</v>
      </c>
      <c r="AD47" s="210">
        <v>102</v>
      </c>
      <c r="AE47" s="210">
        <v>71</v>
      </c>
      <c r="AF47" s="212">
        <v>46</v>
      </c>
      <c r="AG47" s="212">
        <v>140434</v>
      </c>
      <c r="AH47" s="210" t="s">
        <v>3432</v>
      </c>
    </row>
    <row r="48" spans="1:34">
      <c r="E48" s="376"/>
      <c r="F48" s="376"/>
      <c r="G48" s="376"/>
      <c r="H48" s="376"/>
      <c r="I48" s="210" t="s">
        <v>3460</v>
      </c>
      <c r="J48" s="210" t="s">
        <v>3461</v>
      </c>
      <c r="K48" s="214">
        <v>3.1</v>
      </c>
      <c r="L48" s="210" t="s">
        <v>3077</v>
      </c>
      <c r="M48" s="210" t="s">
        <v>2932</v>
      </c>
      <c r="N48" s="210" t="s">
        <v>1452</v>
      </c>
      <c r="O48" s="210" t="s">
        <v>1513</v>
      </c>
      <c r="P48" s="210" t="s">
        <v>1172</v>
      </c>
      <c r="Q48" s="210" t="s">
        <v>936</v>
      </c>
      <c r="R48" s="210">
        <v>2034</v>
      </c>
      <c r="S48" s="214">
        <v>64.740997314453097</v>
      </c>
      <c r="T48" s="210" t="s">
        <v>1536</v>
      </c>
      <c r="U48" s="210">
        <v>5.718</v>
      </c>
      <c r="V48" s="210" t="s">
        <v>1536</v>
      </c>
      <c r="W48" s="210">
        <v>105</v>
      </c>
      <c r="X48" s="210" t="s">
        <v>1536</v>
      </c>
      <c r="Y48" s="214">
        <v>66.438003540039105</v>
      </c>
      <c r="Z48" s="214">
        <v>64.740997314453097</v>
      </c>
      <c r="AA48" s="210">
        <v>173</v>
      </c>
      <c r="AB48" s="210">
        <v>174</v>
      </c>
      <c r="AC48" s="210">
        <v>127</v>
      </c>
      <c r="AD48" s="210">
        <v>176</v>
      </c>
      <c r="AE48" s="210">
        <v>106</v>
      </c>
      <c r="AF48" s="212">
        <v>37</v>
      </c>
      <c r="AG48" s="212">
        <v>134941</v>
      </c>
      <c r="AH48" s="210" t="s">
        <v>3432</v>
      </c>
    </row>
    <row r="49" spans="5:34">
      <c r="E49" s="376"/>
      <c r="F49" s="376"/>
      <c r="G49" s="376"/>
      <c r="H49" s="376"/>
      <c r="I49" s="210" t="s">
        <v>3462</v>
      </c>
      <c r="J49" s="210" t="s">
        <v>3423</v>
      </c>
      <c r="K49" s="214">
        <v>4.375</v>
      </c>
      <c r="L49" s="210" t="s">
        <v>3444</v>
      </c>
      <c r="M49" s="210" t="s">
        <v>2932</v>
      </c>
      <c r="N49" s="210" t="s">
        <v>1452</v>
      </c>
      <c r="O49" s="210" t="s">
        <v>1513</v>
      </c>
      <c r="P49" s="210" t="s">
        <v>1172</v>
      </c>
      <c r="Q49" s="210" t="s">
        <v>936</v>
      </c>
      <c r="R49" s="210" t="s">
        <v>2922</v>
      </c>
      <c r="S49" s="214">
        <v>99.625</v>
      </c>
      <c r="T49" s="210" t="s">
        <v>1536</v>
      </c>
      <c r="U49" s="210">
        <v>4.508</v>
      </c>
      <c r="V49" s="210" t="s">
        <v>1536</v>
      </c>
      <c r="W49" s="210">
        <v>91</v>
      </c>
      <c r="X49" s="210" t="s">
        <v>1536</v>
      </c>
      <c r="Y49" s="214">
        <v>100.08599853515599</v>
      </c>
      <c r="Z49" s="214">
        <v>99.625</v>
      </c>
      <c r="AA49" s="210">
        <v>114</v>
      </c>
      <c r="AB49" s="210">
        <v>116</v>
      </c>
      <c r="AC49" s="210">
        <v>114</v>
      </c>
      <c r="AD49" s="210">
        <v>116</v>
      </c>
      <c r="AE49" s="210">
        <v>91</v>
      </c>
      <c r="AF49" s="212">
        <v>39</v>
      </c>
      <c r="AG49" s="212">
        <v>128100</v>
      </c>
      <c r="AH49" s="210" t="s">
        <v>3432</v>
      </c>
    </row>
    <row r="50" spans="5:34">
      <c r="E50" s="376"/>
      <c r="F50" s="376"/>
      <c r="G50" s="376"/>
      <c r="H50" s="376"/>
      <c r="I50" s="210" t="s">
        <v>3463</v>
      </c>
      <c r="J50" s="210" t="s">
        <v>1567</v>
      </c>
      <c r="K50" s="214">
        <v>5.25</v>
      </c>
      <c r="L50" s="210" t="s">
        <v>3089</v>
      </c>
      <c r="M50" s="210" t="s">
        <v>3464</v>
      </c>
      <c r="N50" s="210" t="s">
        <v>1452</v>
      </c>
      <c r="O50" s="210" t="s">
        <v>1513</v>
      </c>
      <c r="P50" s="210" t="s">
        <v>1518</v>
      </c>
      <c r="Q50" s="210" t="s">
        <v>936</v>
      </c>
      <c r="R50" s="210">
        <v>1044</v>
      </c>
      <c r="S50" s="214">
        <v>99.469001770019503</v>
      </c>
      <c r="T50" s="210" t="s">
        <v>1536</v>
      </c>
      <c r="U50" s="210">
        <v>5.2859999999999996</v>
      </c>
      <c r="V50" s="210" t="s">
        <v>1536</v>
      </c>
      <c r="W50" s="210">
        <v>62</v>
      </c>
      <c r="X50" s="210" t="s">
        <v>1536</v>
      </c>
      <c r="Y50" s="214">
        <v>101.064002990723</v>
      </c>
      <c r="Z50" s="214">
        <v>99.093002319335895</v>
      </c>
      <c r="AA50" s="210">
        <v>133</v>
      </c>
      <c r="AB50" s="210">
        <v>133</v>
      </c>
      <c r="AC50" s="210">
        <v>130</v>
      </c>
      <c r="AD50" s="210">
        <v>136</v>
      </c>
      <c r="AE50" s="210">
        <v>62</v>
      </c>
      <c r="AF50" s="212">
        <v>36</v>
      </c>
      <c r="AG50" s="212">
        <v>127087</v>
      </c>
      <c r="AH50" s="210" t="s">
        <v>3432</v>
      </c>
    </row>
    <row r="51" spans="5:34">
      <c r="E51" s="376"/>
      <c r="F51" s="376"/>
      <c r="G51" s="376"/>
      <c r="H51" s="376"/>
      <c r="I51" s="210" t="s">
        <v>3072</v>
      </c>
      <c r="J51" s="210" t="s">
        <v>3073</v>
      </c>
      <c r="K51" s="214">
        <v>5.55</v>
      </c>
      <c r="L51" s="210" t="s">
        <v>3074</v>
      </c>
      <c r="M51" s="210" t="s">
        <v>2936</v>
      </c>
      <c r="N51" s="210" t="s">
        <v>1452</v>
      </c>
      <c r="O51" s="210" t="s">
        <v>1513</v>
      </c>
      <c r="P51" s="210" t="s">
        <v>1172</v>
      </c>
      <c r="Q51" s="210" t="s">
        <v>936</v>
      </c>
      <c r="R51" s="210">
        <v>2500</v>
      </c>
      <c r="S51" s="214">
        <v>100.07399749755901</v>
      </c>
      <c r="T51" s="210" t="s">
        <v>1536</v>
      </c>
      <c r="U51" s="210">
        <v>5.5439999999999996</v>
      </c>
      <c r="V51" s="210" t="s">
        <v>1536</v>
      </c>
      <c r="W51" s="210">
        <v>88</v>
      </c>
      <c r="X51" s="210" t="s">
        <v>1536</v>
      </c>
      <c r="Y51" s="214">
        <v>102.12400054931599</v>
      </c>
      <c r="Z51" s="214">
        <v>100.07399749755901</v>
      </c>
      <c r="AA51" s="210">
        <v>158</v>
      </c>
      <c r="AB51" s="210">
        <v>158</v>
      </c>
      <c r="AC51" s="210">
        <v>155</v>
      </c>
      <c r="AD51" s="210">
        <v>162</v>
      </c>
      <c r="AE51" s="210">
        <v>88</v>
      </c>
      <c r="AF51" s="212">
        <v>35</v>
      </c>
      <c r="AG51" s="212">
        <v>126444</v>
      </c>
      <c r="AH51" s="210" t="s">
        <v>3432</v>
      </c>
    </row>
    <row r="52" spans="5:34">
      <c r="E52" s="376"/>
      <c r="F52" s="376"/>
      <c r="G52" s="376"/>
      <c r="H52" s="376"/>
      <c r="I52" s="210" t="s">
        <v>3465</v>
      </c>
      <c r="J52" s="210" t="s">
        <v>3466</v>
      </c>
      <c r="K52" s="214">
        <v>1.75</v>
      </c>
      <c r="L52" s="210" t="s">
        <v>3467</v>
      </c>
      <c r="M52" s="210" t="s">
        <v>2962</v>
      </c>
      <c r="N52" s="210" t="s">
        <v>1452</v>
      </c>
      <c r="O52" s="210" t="s">
        <v>1513</v>
      </c>
      <c r="P52" s="210" t="s">
        <v>1172</v>
      </c>
      <c r="Q52" s="210" t="s">
        <v>936</v>
      </c>
      <c r="R52" s="210">
        <v>1610</v>
      </c>
      <c r="S52" s="214">
        <v>97.844001770019503</v>
      </c>
      <c r="T52" s="210" t="s">
        <v>1536</v>
      </c>
      <c r="U52" s="210">
        <v>4.0199999999999996</v>
      </c>
      <c r="V52" s="210" t="s">
        <v>1536</v>
      </c>
      <c r="W52" s="210">
        <v>42</v>
      </c>
      <c r="X52" s="210" t="s">
        <v>1536</v>
      </c>
      <c r="Y52" s="214">
        <v>98.090599060058594</v>
      </c>
      <c r="Z52" s="214">
        <v>97.844001770019503</v>
      </c>
      <c r="AA52" s="210">
        <v>37</v>
      </c>
      <c r="AB52" s="210">
        <v>40</v>
      </c>
      <c r="AC52" s="210">
        <v>39</v>
      </c>
      <c r="AD52" s="210">
        <v>40</v>
      </c>
      <c r="AE52" s="210">
        <v>32</v>
      </c>
      <c r="AF52" s="212">
        <v>38</v>
      </c>
      <c r="AG52" s="212">
        <v>125609</v>
      </c>
      <c r="AH52" s="210" t="s">
        <v>3432</v>
      </c>
    </row>
    <row r="53" spans="5:34">
      <c r="E53" s="376"/>
      <c r="F53" s="376"/>
      <c r="G53" s="376"/>
      <c r="H53" s="376"/>
      <c r="I53" s="210" t="s">
        <v>3468</v>
      </c>
      <c r="J53" s="210" t="s">
        <v>3308</v>
      </c>
      <c r="K53" s="214">
        <v>3.8</v>
      </c>
      <c r="L53" s="210" t="s">
        <v>3469</v>
      </c>
      <c r="M53" s="210" t="s">
        <v>2953</v>
      </c>
      <c r="N53" s="210" t="s">
        <v>1452</v>
      </c>
      <c r="O53" s="210" t="s">
        <v>1513</v>
      </c>
      <c r="P53" s="210" t="s">
        <v>1172</v>
      </c>
      <c r="Q53" s="210" t="s">
        <v>936</v>
      </c>
      <c r="R53" s="210" t="s">
        <v>2922</v>
      </c>
      <c r="S53" s="214">
        <v>99.675003051757798</v>
      </c>
      <c r="T53" s="210" t="s">
        <v>1536</v>
      </c>
      <c r="U53" s="210">
        <v>3.9689999999999999</v>
      </c>
      <c r="V53" s="210" t="s">
        <v>1536</v>
      </c>
      <c r="W53" s="210">
        <v>37</v>
      </c>
      <c r="X53" s="210" t="s">
        <v>1536</v>
      </c>
      <c r="Y53" s="214">
        <v>99.940002441406193</v>
      </c>
      <c r="Z53" s="214">
        <v>99.675003051757798</v>
      </c>
      <c r="AA53" s="210">
        <v>57</v>
      </c>
      <c r="AB53" s="210">
        <v>58</v>
      </c>
      <c r="AC53" s="210">
        <v>57</v>
      </c>
      <c r="AD53" s="210">
        <v>58</v>
      </c>
      <c r="AE53" s="210">
        <v>37</v>
      </c>
      <c r="AF53" s="212">
        <v>40</v>
      </c>
      <c r="AG53" s="212">
        <v>125194</v>
      </c>
      <c r="AH53" s="210" t="s">
        <v>3432</v>
      </c>
    </row>
    <row r="54" spans="5:34">
      <c r="E54" s="376"/>
      <c r="F54" s="376"/>
      <c r="G54" s="376"/>
      <c r="H54" s="376"/>
      <c r="I54" s="210" t="s">
        <v>3470</v>
      </c>
      <c r="J54" s="210" t="s">
        <v>3412</v>
      </c>
      <c r="K54" s="214">
        <v>4.2</v>
      </c>
      <c r="L54" s="210" t="s">
        <v>3471</v>
      </c>
      <c r="M54" s="210" t="s">
        <v>3472</v>
      </c>
      <c r="N54" s="210" t="s">
        <v>1452</v>
      </c>
      <c r="O54" s="210" t="s">
        <v>1513</v>
      </c>
      <c r="P54" s="210" t="s">
        <v>1518</v>
      </c>
      <c r="Q54" s="210" t="s">
        <v>936</v>
      </c>
      <c r="R54" s="210">
        <v>5000</v>
      </c>
      <c r="S54" s="214">
        <v>99.308197021484403</v>
      </c>
      <c r="T54" s="210" t="s">
        <v>1536</v>
      </c>
      <c r="U54" s="210">
        <v>4.3159999999999998</v>
      </c>
      <c r="V54" s="210" t="s">
        <v>1536</v>
      </c>
      <c r="W54" s="210">
        <v>45</v>
      </c>
      <c r="X54" s="210" t="s">
        <v>1536</v>
      </c>
      <c r="Y54" s="214">
        <v>99.418998718261705</v>
      </c>
      <c r="Z54" s="214">
        <v>99.222000122070298</v>
      </c>
      <c r="AA54" s="210">
        <v>80</v>
      </c>
      <c r="AB54" s="210">
        <v>82</v>
      </c>
      <c r="AC54" s="210">
        <v>80</v>
      </c>
      <c r="AD54" s="210">
        <v>82</v>
      </c>
      <c r="AE54" s="210">
        <v>44</v>
      </c>
      <c r="AF54" s="212">
        <v>33</v>
      </c>
      <c r="AG54" s="212">
        <v>124950</v>
      </c>
      <c r="AH54" s="210" t="s">
        <v>3432</v>
      </c>
    </row>
    <row r="55" spans="5:34">
      <c r="E55" s="376"/>
      <c r="F55" s="376"/>
      <c r="G55" s="376"/>
      <c r="H55" s="376"/>
      <c r="I55" s="210" t="s">
        <v>3473</v>
      </c>
      <c r="J55" s="210" t="s">
        <v>1540</v>
      </c>
      <c r="K55" s="214">
        <v>1.948</v>
      </c>
      <c r="L55" s="210" t="s">
        <v>3474</v>
      </c>
      <c r="M55" s="210" t="s">
        <v>2930</v>
      </c>
      <c r="N55" s="210" t="s">
        <v>1452</v>
      </c>
      <c r="O55" s="210" t="s">
        <v>876</v>
      </c>
      <c r="P55" s="210" t="s">
        <v>1518</v>
      </c>
      <c r="Q55" s="210" t="s">
        <v>936</v>
      </c>
      <c r="R55" s="210" t="s">
        <v>2922</v>
      </c>
      <c r="S55" s="214">
        <v>97.878402709960895</v>
      </c>
      <c r="T55" s="210" t="s">
        <v>1536</v>
      </c>
      <c r="U55" s="210">
        <v>4.21</v>
      </c>
      <c r="V55" s="210" t="s">
        <v>1536</v>
      </c>
      <c r="W55" s="210">
        <v>63</v>
      </c>
      <c r="X55" s="210" t="s">
        <v>1536</v>
      </c>
      <c r="Y55" s="214">
        <v>97.930801391601605</v>
      </c>
      <c r="Z55" s="214">
        <v>97.804000854492202</v>
      </c>
      <c r="AA55" s="210">
        <v>58</v>
      </c>
      <c r="AB55" s="210">
        <v>61</v>
      </c>
      <c r="AC55" s="210">
        <v>59</v>
      </c>
      <c r="AD55" s="210">
        <v>58</v>
      </c>
      <c r="AE55" s="210">
        <v>53</v>
      </c>
      <c r="AF55" s="212">
        <v>37</v>
      </c>
      <c r="AG55" s="212">
        <v>122959</v>
      </c>
      <c r="AH55" s="210" t="s">
        <v>3432</v>
      </c>
    </row>
    <row r="56" spans="5:34">
      <c r="E56" s="376"/>
      <c r="F56" s="376"/>
      <c r="G56" s="376"/>
      <c r="H56" s="376"/>
      <c r="I56" s="210" t="s">
        <v>3475</v>
      </c>
      <c r="J56" s="210" t="s">
        <v>3097</v>
      </c>
      <c r="K56" s="214">
        <v>5.8049999999999997</v>
      </c>
      <c r="L56" s="210" t="s">
        <v>3476</v>
      </c>
      <c r="M56" s="210" t="s">
        <v>2942</v>
      </c>
      <c r="N56" s="210" t="s">
        <v>1452</v>
      </c>
      <c r="O56" s="210" t="s">
        <v>876</v>
      </c>
      <c r="P56" s="210" t="s">
        <v>1172</v>
      </c>
      <c r="Q56" s="210" t="s">
        <v>936</v>
      </c>
      <c r="R56" s="210">
        <v>4835</v>
      </c>
      <c r="S56" s="214">
        <v>99.761299133300795</v>
      </c>
      <c r="T56" s="210" t="s">
        <v>1536</v>
      </c>
      <c r="U56" s="210">
        <v>5.8230000000000004</v>
      </c>
      <c r="V56" s="210" t="s">
        <v>1536</v>
      </c>
      <c r="W56" s="210">
        <v>117</v>
      </c>
      <c r="X56" s="210" t="s">
        <v>1536</v>
      </c>
      <c r="Y56" s="214">
        <v>102.16600036621099</v>
      </c>
      <c r="Z56" s="214">
        <v>99.761299133300795</v>
      </c>
      <c r="AA56" s="210">
        <v>187</v>
      </c>
      <c r="AB56" s="210">
        <v>185</v>
      </c>
      <c r="AC56" s="210">
        <v>182</v>
      </c>
      <c r="AD56" s="210">
        <v>191</v>
      </c>
      <c r="AE56" s="210">
        <v>119</v>
      </c>
      <c r="AF56" s="212">
        <v>36</v>
      </c>
      <c r="AG56" s="212">
        <v>121346</v>
      </c>
      <c r="AH56" s="210" t="s">
        <v>3432</v>
      </c>
    </row>
    <row r="57" spans="5:34">
      <c r="E57" s="376"/>
      <c r="F57" s="376"/>
      <c r="G57" s="376"/>
      <c r="H57" s="376"/>
      <c r="I57" s="210" t="s">
        <v>3316</v>
      </c>
      <c r="J57" s="210" t="s">
        <v>1513</v>
      </c>
      <c r="K57" s="214">
        <v>4.5030000000000001</v>
      </c>
      <c r="L57" s="210" t="s">
        <v>3317</v>
      </c>
      <c r="M57" s="210" t="s">
        <v>2937</v>
      </c>
      <c r="N57" s="210" t="s">
        <v>1452</v>
      </c>
      <c r="O57" s="210" t="s">
        <v>1513</v>
      </c>
      <c r="P57" s="210" t="s">
        <v>1518</v>
      </c>
      <c r="Q57" s="210" t="s">
        <v>936</v>
      </c>
      <c r="R57" s="210">
        <v>1950</v>
      </c>
      <c r="S57" s="214">
        <v>100.16600036621099</v>
      </c>
      <c r="T57" s="210" t="s">
        <v>1536</v>
      </c>
      <c r="U57" s="210">
        <v>4.4630000000000001</v>
      </c>
      <c r="V57" s="210" t="s">
        <v>1536</v>
      </c>
      <c r="W57" s="210">
        <v>76</v>
      </c>
      <c r="X57" s="210" t="s">
        <v>1536</v>
      </c>
      <c r="Y57" s="214">
        <v>100.70400238037099</v>
      </c>
      <c r="Z57" s="214">
        <v>100.129997253418</v>
      </c>
      <c r="AA57" s="210">
        <v>105</v>
      </c>
      <c r="AB57" s="210">
        <v>107</v>
      </c>
      <c r="AC57" s="210">
        <v>105</v>
      </c>
      <c r="AD57" s="210">
        <v>105</v>
      </c>
      <c r="AE57" s="210">
        <v>76</v>
      </c>
      <c r="AF57" s="212">
        <v>39</v>
      </c>
      <c r="AG57" s="212">
        <v>120018</v>
      </c>
      <c r="AH57" s="210" t="s">
        <v>3432</v>
      </c>
    </row>
    <row r="58" spans="5:34">
      <c r="E58" s="376"/>
      <c r="F58" s="376"/>
      <c r="G58" s="376"/>
      <c r="H58" s="376"/>
      <c r="I58" s="210" t="s">
        <v>3081</v>
      </c>
      <c r="J58" s="210" t="s">
        <v>1542</v>
      </c>
      <c r="K58" s="214">
        <v>6.2</v>
      </c>
      <c r="L58" s="210" t="s">
        <v>3052</v>
      </c>
      <c r="M58" s="210" t="s">
        <v>2934</v>
      </c>
      <c r="N58" s="210" t="s">
        <v>1452</v>
      </c>
      <c r="O58" s="210" t="s">
        <v>1513</v>
      </c>
      <c r="P58" s="210" t="s">
        <v>1172</v>
      </c>
      <c r="Q58" s="210" t="s">
        <v>936</v>
      </c>
      <c r="R58" s="210">
        <v>1000</v>
      </c>
      <c r="S58" s="214">
        <v>103.029998779297</v>
      </c>
      <c r="T58" s="210" t="s">
        <v>1536</v>
      </c>
      <c r="U58" s="210">
        <v>5.9779999999999998</v>
      </c>
      <c r="V58" s="210" t="s">
        <v>1536</v>
      </c>
      <c r="W58" s="210">
        <v>131</v>
      </c>
      <c r="X58" s="210" t="s">
        <v>1536</v>
      </c>
      <c r="Y58" s="214">
        <v>105.666999816895</v>
      </c>
      <c r="Z58" s="214">
        <v>102.75299835205099</v>
      </c>
      <c r="AA58" s="210">
        <v>204</v>
      </c>
      <c r="AB58" s="210">
        <v>203</v>
      </c>
      <c r="AC58" s="210">
        <v>204</v>
      </c>
      <c r="AD58" s="210">
        <v>207</v>
      </c>
      <c r="AE58" s="210">
        <v>132</v>
      </c>
      <c r="AF58" s="212">
        <v>33</v>
      </c>
      <c r="AG58" s="212">
        <v>119647</v>
      </c>
      <c r="AH58" s="210" t="s">
        <v>3432</v>
      </c>
    </row>
    <row r="59" spans="5:34">
      <c r="E59" s="376"/>
      <c r="F59" s="376"/>
      <c r="G59" s="376"/>
      <c r="H59" s="376"/>
      <c r="I59" s="210" t="s">
        <v>3477</v>
      </c>
      <c r="J59" s="210" t="s">
        <v>3442</v>
      </c>
      <c r="K59" s="214">
        <v>3.5</v>
      </c>
      <c r="L59" s="210" t="s">
        <v>3478</v>
      </c>
      <c r="M59" s="210" t="s">
        <v>2932</v>
      </c>
      <c r="N59" s="210" t="s">
        <v>1452</v>
      </c>
      <c r="O59" s="210" t="s">
        <v>1452</v>
      </c>
      <c r="P59" s="210" t="s">
        <v>1518</v>
      </c>
      <c r="Q59" s="210" t="s">
        <v>936</v>
      </c>
      <c r="R59" s="210">
        <v>2000</v>
      </c>
      <c r="S59" s="214">
        <v>96.265998840332003</v>
      </c>
      <c r="T59" s="210" t="s">
        <v>1536</v>
      </c>
      <c r="U59" s="210">
        <v>4.6189999999999998</v>
      </c>
      <c r="V59" s="210" t="s">
        <v>1536</v>
      </c>
      <c r="W59" s="210">
        <v>93</v>
      </c>
      <c r="X59" s="210" t="s">
        <v>1536</v>
      </c>
      <c r="Y59" s="214">
        <v>97.677001953125</v>
      </c>
      <c r="Z59" s="214">
        <v>96.155998229980497</v>
      </c>
      <c r="AA59" s="210">
        <v>126</v>
      </c>
      <c r="AB59" s="210">
        <v>128</v>
      </c>
      <c r="AC59" s="210">
        <v>124</v>
      </c>
      <c r="AD59" s="210">
        <v>128</v>
      </c>
      <c r="AE59" s="210">
        <v>100</v>
      </c>
      <c r="AF59" s="212">
        <v>39</v>
      </c>
      <c r="AG59" s="212">
        <v>119535</v>
      </c>
      <c r="AH59" s="210" t="s">
        <v>3432</v>
      </c>
    </row>
    <row r="60" spans="5:34">
      <c r="E60" s="376"/>
      <c r="F60" s="376"/>
      <c r="G60" s="376"/>
      <c r="H60" s="376"/>
      <c r="I60" s="210" t="s">
        <v>3479</v>
      </c>
      <c r="J60" s="210" t="s">
        <v>3050</v>
      </c>
      <c r="K60" s="214">
        <v>4.7939999999999996</v>
      </c>
      <c r="L60" s="210" t="s">
        <v>3480</v>
      </c>
      <c r="M60" s="210" t="s">
        <v>2953</v>
      </c>
      <c r="N60" s="210" t="s">
        <v>1452</v>
      </c>
      <c r="O60" s="210" t="s">
        <v>876</v>
      </c>
      <c r="P60" s="210" t="s">
        <v>1518</v>
      </c>
      <c r="Q60" s="210" t="s">
        <v>936</v>
      </c>
      <c r="R60" s="210">
        <v>4000</v>
      </c>
      <c r="S60" s="214">
        <v>99.892997741699205</v>
      </c>
      <c r="T60" s="210" t="s">
        <v>1536</v>
      </c>
      <c r="U60" s="210">
        <v>4.8070000000000004</v>
      </c>
      <c r="V60" s="210" t="s">
        <v>1536</v>
      </c>
      <c r="W60" s="210">
        <v>73</v>
      </c>
      <c r="X60" s="210" t="s">
        <v>1536</v>
      </c>
      <c r="Y60" s="214">
        <v>101.66600036621099</v>
      </c>
      <c r="Z60" s="214">
        <v>99.847999572753906</v>
      </c>
      <c r="AA60" s="210">
        <v>114</v>
      </c>
      <c r="AB60" s="210">
        <v>116</v>
      </c>
      <c r="AC60" s="210">
        <v>113</v>
      </c>
      <c r="AD60" s="210">
        <v>116</v>
      </c>
      <c r="AE60" s="210">
        <v>72</v>
      </c>
      <c r="AF60" s="212">
        <v>37</v>
      </c>
      <c r="AG60" s="212">
        <v>117108</v>
      </c>
      <c r="AH60" s="210" t="s">
        <v>3432</v>
      </c>
    </row>
    <row r="61" spans="5:34">
      <c r="E61" s="376"/>
      <c r="F61" s="376"/>
      <c r="G61" s="376"/>
      <c r="H61" s="376"/>
      <c r="I61" s="210" t="s">
        <v>3481</v>
      </c>
      <c r="J61" s="210" t="s">
        <v>3442</v>
      </c>
      <c r="K61" s="214">
        <v>4.55</v>
      </c>
      <c r="L61" s="210" t="s">
        <v>2955</v>
      </c>
      <c r="M61" s="210" t="s">
        <v>2932</v>
      </c>
      <c r="N61" s="210" t="s">
        <v>1452</v>
      </c>
      <c r="O61" s="210" t="s">
        <v>1513</v>
      </c>
      <c r="P61" s="210" t="s">
        <v>1518</v>
      </c>
      <c r="Q61" s="210" t="s">
        <v>936</v>
      </c>
      <c r="R61" s="210">
        <v>1500</v>
      </c>
      <c r="S61" s="214">
        <v>99.327003479003906</v>
      </c>
      <c r="T61" s="210" t="s">
        <v>1536</v>
      </c>
      <c r="U61" s="210">
        <v>4.694</v>
      </c>
      <c r="V61" s="210" t="s">
        <v>1536</v>
      </c>
      <c r="W61" s="210">
        <v>99</v>
      </c>
      <c r="X61" s="210" t="s">
        <v>1536</v>
      </c>
      <c r="Y61" s="214">
        <v>100.957000732422</v>
      </c>
      <c r="Z61" s="214">
        <v>99.327003479003906</v>
      </c>
      <c r="AA61" s="210">
        <v>126</v>
      </c>
      <c r="AB61" s="210">
        <v>128</v>
      </c>
      <c r="AC61" s="210">
        <v>125</v>
      </c>
      <c r="AD61" s="210">
        <v>128</v>
      </c>
      <c r="AE61" s="210">
        <v>96</v>
      </c>
      <c r="AF61" s="212">
        <v>36</v>
      </c>
      <c r="AG61" s="212">
        <v>116865</v>
      </c>
      <c r="AH61" s="210" t="s">
        <v>3432</v>
      </c>
    </row>
    <row r="62" spans="5:34">
      <c r="E62" s="376"/>
      <c r="F62" s="376"/>
      <c r="G62" s="376"/>
      <c r="H62" s="376"/>
      <c r="I62" s="210" t="s">
        <v>3099</v>
      </c>
      <c r="J62" s="210" t="s">
        <v>1574</v>
      </c>
      <c r="K62" s="214">
        <v>2.4500000000000002</v>
      </c>
      <c r="L62" s="210" t="s">
        <v>3100</v>
      </c>
      <c r="M62" s="210" t="s">
        <v>2940</v>
      </c>
      <c r="N62" s="210" t="s">
        <v>1452</v>
      </c>
      <c r="O62" s="210" t="s">
        <v>1452</v>
      </c>
      <c r="P62" s="210" t="s">
        <v>1518</v>
      </c>
      <c r="Q62" s="210" t="s">
        <v>936</v>
      </c>
      <c r="R62" s="210">
        <v>1550</v>
      </c>
      <c r="S62" s="214">
        <v>98.379997253417997</v>
      </c>
      <c r="T62" s="210" t="s">
        <v>1536</v>
      </c>
      <c r="U62" s="210">
        <v>4.1390000000000002</v>
      </c>
      <c r="V62" s="210" t="s">
        <v>1536</v>
      </c>
      <c r="W62" s="210">
        <v>56</v>
      </c>
      <c r="X62" s="210" t="s">
        <v>1536</v>
      </c>
      <c r="Y62" s="214">
        <v>98.478996276855497</v>
      </c>
      <c r="Z62" s="214">
        <v>98.379997253417997</v>
      </c>
      <c r="AA62" s="210">
        <v>52</v>
      </c>
      <c r="AB62" s="210">
        <v>54</v>
      </c>
      <c r="AC62" s="210">
        <v>53</v>
      </c>
      <c r="AD62" s="210">
        <v>54</v>
      </c>
      <c r="AE62" s="210">
        <v>46</v>
      </c>
      <c r="AF62" s="212">
        <v>35</v>
      </c>
      <c r="AG62" s="212">
        <v>114659</v>
      </c>
      <c r="AH62" s="210" t="s">
        <v>3432</v>
      </c>
    </row>
    <row r="63" spans="5:34">
      <c r="E63" s="376"/>
      <c r="F63" s="376"/>
      <c r="G63" s="376"/>
      <c r="H63" s="376"/>
      <c r="I63" s="210" t="s">
        <v>3482</v>
      </c>
      <c r="J63" s="210" t="s">
        <v>2966</v>
      </c>
      <c r="K63" s="214">
        <v>4.1360000000000001</v>
      </c>
      <c r="L63" s="210" t="s">
        <v>3483</v>
      </c>
      <c r="M63" s="210" t="s">
        <v>3041</v>
      </c>
      <c r="N63" s="210" t="s">
        <v>1452</v>
      </c>
      <c r="O63" s="210" t="s">
        <v>1513</v>
      </c>
      <c r="P63" s="210" t="s">
        <v>1172</v>
      </c>
      <c r="Q63" s="210" t="s">
        <v>936</v>
      </c>
      <c r="R63" s="210" t="s">
        <v>2922</v>
      </c>
      <c r="S63" s="214">
        <v>99.593002319335895</v>
      </c>
      <c r="T63" s="210" t="s">
        <v>1536</v>
      </c>
      <c r="U63" s="210">
        <v>4.2830000000000004</v>
      </c>
      <c r="V63" s="210" t="s">
        <v>1536</v>
      </c>
      <c r="W63" s="210">
        <v>69</v>
      </c>
      <c r="X63" s="210" t="s">
        <v>1536</v>
      </c>
      <c r="Y63" s="214">
        <v>100.01300048828099</v>
      </c>
      <c r="Z63" s="214">
        <v>99.593002319335895</v>
      </c>
      <c r="AA63" s="210">
        <v>91</v>
      </c>
      <c r="AB63" s="210">
        <v>94</v>
      </c>
      <c r="AC63" s="210">
        <v>92</v>
      </c>
      <c r="AD63" s="210">
        <v>91</v>
      </c>
      <c r="AE63" s="210">
        <v>68</v>
      </c>
      <c r="AF63" s="212">
        <v>31</v>
      </c>
      <c r="AG63" s="212">
        <v>109806</v>
      </c>
      <c r="AH63" s="210" t="s">
        <v>3432</v>
      </c>
    </row>
    <row r="64" spans="5:34">
      <c r="E64" s="376"/>
      <c r="F64" s="376"/>
      <c r="G64" s="376"/>
      <c r="H64" s="376"/>
      <c r="I64" s="210" t="s">
        <v>3484</v>
      </c>
      <c r="J64" s="210" t="s">
        <v>3442</v>
      </c>
      <c r="K64" s="214">
        <v>4.75</v>
      </c>
      <c r="L64" s="210" t="s">
        <v>3485</v>
      </c>
      <c r="M64" s="210" t="s">
        <v>2932</v>
      </c>
      <c r="N64" s="210" t="s">
        <v>1452</v>
      </c>
      <c r="O64" s="210" t="s">
        <v>1452</v>
      </c>
      <c r="P64" s="210" t="s">
        <v>1518</v>
      </c>
      <c r="Q64" s="210" t="s">
        <v>936</v>
      </c>
      <c r="R64" s="210">
        <v>2000</v>
      </c>
      <c r="S64" s="214">
        <v>100.09300231933599</v>
      </c>
      <c r="T64" s="210" t="s">
        <v>1536</v>
      </c>
      <c r="U64" s="210">
        <v>4.7249999999999996</v>
      </c>
      <c r="V64" s="210" t="s">
        <v>1536</v>
      </c>
      <c r="W64" s="210">
        <v>104</v>
      </c>
      <c r="X64" s="210" t="s">
        <v>1536</v>
      </c>
      <c r="Y64" s="214">
        <v>101.970001220703</v>
      </c>
      <c r="Z64" s="214">
        <v>99.9739990234375</v>
      </c>
      <c r="AA64" s="210">
        <v>135</v>
      </c>
      <c r="AB64" s="210">
        <v>137</v>
      </c>
      <c r="AC64" s="210">
        <v>135</v>
      </c>
      <c r="AD64" s="210">
        <v>137</v>
      </c>
      <c r="AE64" s="210">
        <v>107</v>
      </c>
      <c r="AF64" s="212">
        <v>36</v>
      </c>
      <c r="AG64" s="212">
        <v>105544</v>
      </c>
      <c r="AH64" s="210" t="s">
        <v>3432</v>
      </c>
    </row>
    <row r="65" spans="5:34">
      <c r="E65" s="376"/>
      <c r="F65" s="376"/>
      <c r="G65" s="376"/>
      <c r="H65" s="376"/>
      <c r="I65" s="210" t="s">
        <v>3486</v>
      </c>
      <c r="J65" s="210" t="s">
        <v>3412</v>
      </c>
      <c r="K65" s="214">
        <v>4.5204693405825829</v>
      </c>
      <c r="L65" s="210" t="s">
        <v>3487</v>
      </c>
      <c r="M65" s="210" t="s">
        <v>3472</v>
      </c>
      <c r="N65" s="210" t="s">
        <v>1452</v>
      </c>
      <c r="O65" s="210" t="s">
        <v>1452</v>
      </c>
      <c r="P65" s="210" t="s">
        <v>1518</v>
      </c>
      <c r="Q65" s="210" t="s">
        <v>936</v>
      </c>
      <c r="R65" s="210">
        <v>4550</v>
      </c>
      <c r="S65" s="214">
        <v>100.373001098633</v>
      </c>
      <c r="T65" s="210" t="s">
        <v>1536</v>
      </c>
      <c r="U65" s="210" t="s">
        <v>1536</v>
      </c>
      <c r="V65" s="210" t="s">
        <v>1536</v>
      </c>
      <c r="W65" s="210">
        <v>27</v>
      </c>
      <c r="X65" s="210" t="s">
        <v>1536</v>
      </c>
      <c r="Y65" s="214">
        <v>100.50700378418</v>
      </c>
      <c r="Z65" s="214">
        <v>100.37200164794901</v>
      </c>
      <c r="AA65" s="210" t="s">
        <v>1536</v>
      </c>
      <c r="AB65" s="210" t="s">
        <v>1536</v>
      </c>
      <c r="AC65" s="210" t="s">
        <v>1536</v>
      </c>
      <c r="AD65" s="210">
        <v>28</v>
      </c>
      <c r="AE65" s="210" t="s">
        <v>1536</v>
      </c>
      <c r="AF65" s="212">
        <v>39</v>
      </c>
      <c r="AG65" s="212">
        <v>105450</v>
      </c>
      <c r="AH65" s="210" t="s">
        <v>3432</v>
      </c>
    </row>
    <row r="66" spans="5:34">
      <c r="E66" s="376"/>
      <c r="F66" s="376"/>
      <c r="G66" s="376"/>
      <c r="H66" s="376"/>
      <c r="I66" s="210" t="s">
        <v>3488</v>
      </c>
      <c r="J66" s="210" t="s">
        <v>1628</v>
      </c>
      <c r="K66" s="214">
        <v>4.0999999999999996</v>
      </c>
      <c r="L66" s="210" t="s">
        <v>3471</v>
      </c>
      <c r="M66" s="210" t="s">
        <v>2962</v>
      </c>
      <c r="N66" s="210" t="s">
        <v>1452</v>
      </c>
      <c r="O66" s="210" t="s">
        <v>1452</v>
      </c>
      <c r="P66" s="210" t="s">
        <v>1518</v>
      </c>
      <c r="Q66" s="210" t="s">
        <v>936</v>
      </c>
      <c r="R66" s="210">
        <v>3000</v>
      </c>
      <c r="S66" s="214">
        <v>99.006500244140597</v>
      </c>
      <c r="T66" s="210" t="s">
        <v>1536</v>
      </c>
      <c r="U66" s="210">
        <v>4.266</v>
      </c>
      <c r="V66" s="210" t="s">
        <v>1536</v>
      </c>
      <c r="W66" s="210">
        <v>40</v>
      </c>
      <c r="X66" s="210" t="s">
        <v>1536</v>
      </c>
      <c r="Y66" s="214">
        <v>100.029998779297</v>
      </c>
      <c r="Z66" s="214">
        <v>99.006500244140597</v>
      </c>
      <c r="AA66" s="210">
        <v>75</v>
      </c>
      <c r="AB66" s="210">
        <v>77</v>
      </c>
      <c r="AC66" s="210">
        <v>75</v>
      </c>
      <c r="AD66" s="210">
        <v>77</v>
      </c>
      <c r="AE66" s="210">
        <v>39</v>
      </c>
      <c r="AF66" s="212">
        <v>64</v>
      </c>
      <c r="AG66" s="212">
        <v>105030</v>
      </c>
      <c r="AH66" s="210" t="s">
        <v>3432</v>
      </c>
    </row>
    <row r="67" spans="5:34">
      <c r="E67" s="376"/>
      <c r="F67" s="376"/>
      <c r="G67" s="376"/>
      <c r="H67" s="376"/>
      <c r="I67" s="210" t="s">
        <v>3068</v>
      </c>
      <c r="J67" s="210" t="s">
        <v>2970</v>
      </c>
      <c r="K67" s="214">
        <v>5.625</v>
      </c>
      <c r="L67" s="210" t="s">
        <v>3069</v>
      </c>
      <c r="M67" s="210" t="s">
        <v>2971</v>
      </c>
      <c r="N67" s="210" t="s">
        <v>1452</v>
      </c>
      <c r="O67" s="210" t="s">
        <v>1513</v>
      </c>
      <c r="P67" s="210" t="s">
        <v>1518</v>
      </c>
      <c r="Q67" s="210" t="s">
        <v>936</v>
      </c>
      <c r="R67" s="210">
        <v>5000</v>
      </c>
      <c r="S67" s="214">
        <v>99.539001464843807</v>
      </c>
      <c r="T67" s="210" t="s">
        <v>1536</v>
      </c>
      <c r="U67" s="210">
        <v>5.657</v>
      </c>
      <c r="V67" s="210" t="s">
        <v>1536</v>
      </c>
      <c r="W67" s="210">
        <v>99</v>
      </c>
      <c r="X67" s="210" t="s">
        <v>1536</v>
      </c>
      <c r="Y67" s="214">
        <v>102.43800354003901</v>
      </c>
      <c r="Z67" s="214">
        <v>99.539001464843807</v>
      </c>
      <c r="AA67" s="210">
        <v>170</v>
      </c>
      <c r="AB67" s="210">
        <v>170</v>
      </c>
      <c r="AC67" s="210">
        <v>167</v>
      </c>
      <c r="AD67" s="210">
        <v>173</v>
      </c>
      <c r="AE67" s="210">
        <v>99</v>
      </c>
      <c r="AF67" s="212">
        <v>27</v>
      </c>
      <c r="AG67" s="212">
        <v>103647</v>
      </c>
      <c r="AH67" s="210" t="s">
        <v>3432</v>
      </c>
    </row>
    <row r="68" spans="5:34">
      <c r="E68" s="376"/>
      <c r="F68" s="376"/>
      <c r="G68" s="376"/>
      <c r="H68" s="376"/>
      <c r="I68" s="210" t="s">
        <v>3489</v>
      </c>
      <c r="J68" s="210" t="s">
        <v>1546</v>
      </c>
      <c r="K68" s="214">
        <v>5.25</v>
      </c>
      <c r="L68" s="210" t="s">
        <v>3490</v>
      </c>
      <c r="M68" s="210" t="s">
        <v>2940</v>
      </c>
      <c r="N68" s="210" t="s">
        <v>1452</v>
      </c>
      <c r="O68" s="210" t="s">
        <v>1513</v>
      </c>
      <c r="P68" s="210" t="s">
        <v>1518</v>
      </c>
      <c r="Q68" s="210" t="s">
        <v>936</v>
      </c>
      <c r="R68" s="210">
        <v>3000</v>
      </c>
      <c r="S68" s="214">
        <v>101.42400360107401</v>
      </c>
      <c r="T68" s="210" t="s">
        <v>1536</v>
      </c>
      <c r="U68" s="210">
        <v>5.0540000000000003</v>
      </c>
      <c r="V68" s="210" t="s">
        <v>1536</v>
      </c>
      <c r="W68" s="210">
        <v>97</v>
      </c>
      <c r="X68" s="210" t="s">
        <v>1536</v>
      </c>
      <c r="Y68" s="214">
        <v>102.05899810791</v>
      </c>
      <c r="Z68" s="214">
        <v>101.42400360107401</v>
      </c>
      <c r="AA68" s="210">
        <v>143</v>
      </c>
      <c r="AB68" s="210">
        <v>144</v>
      </c>
      <c r="AC68" s="210">
        <v>143</v>
      </c>
      <c r="AD68" s="210">
        <v>144</v>
      </c>
      <c r="AE68" s="210">
        <v>102</v>
      </c>
      <c r="AF68" s="212">
        <v>31</v>
      </c>
      <c r="AG68" s="212">
        <v>102832</v>
      </c>
      <c r="AH68" s="210" t="s">
        <v>3432</v>
      </c>
    </row>
    <row r="69" spans="5:34">
      <c r="E69" s="376"/>
      <c r="F69" s="376"/>
      <c r="G69" s="376"/>
      <c r="H69" s="376"/>
      <c r="I69" s="210" t="s">
        <v>3491</v>
      </c>
      <c r="J69" s="210" t="s">
        <v>1535</v>
      </c>
      <c r="K69" s="214">
        <v>6.07</v>
      </c>
      <c r="L69" s="210" t="s">
        <v>3492</v>
      </c>
      <c r="M69" s="210" t="s">
        <v>2939</v>
      </c>
      <c r="N69" s="210" t="s">
        <v>1452</v>
      </c>
      <c r="O69" s="210" t="s">
        <v>1452</v>
      </c>
      <c r="P69" s="210" t="s">
        <v>1518</v>
      </c>
      <c r="Q69" s="210" t="s">
        <v>936</v>
      </c>
      <c r="R69" s="210" t="s">
        <v>2922</v>
      </c>
      <c r="S69" s="214">
        <v>101.754997253418</v>
      </c>
      <c r="T69" s="210" t="s">
        <v>1536</v>
      </c>
      <c r="U69" s="210">
        <v>4.202</v>
      </c>
      <c r="V69" s="210" t="s">
        <v>1536</v>
      </c>
      <c r="W69" s="210">
        <v>62</v>
      </c>
      <c r="X69" s="210" t="s">
        <v>1536</v>
      </c>
      <c r="Y69" s="214">
        <v>101.918998718262</v>
      </c>
      <c r="Z69" s="214">
        <v>101.754997253418</v>
      </c>
      <c r="AA69" s="210">
        <v>57</v>
      </c>
      <c r="AB69" s="210">
        <v>60</v>
      </c>
      <c r="AC69" s="210">
        <v>60</v>
      </c>
      <c r="AE69" s="210">
        <v>52</v>
      </c>
      <c r="AF69" s="212">
        <v>30</v>
      </c>
      <c r="AG69" s="212">
        <v>102133</v>
      </c>
      <c r="AH69" s="210" t="s">
        <v>3432</v>
      </c>
    </row>
    <row r="70" spans="5:34">
      <c r="E70" s="376"/>
      <c r="F70" s="376"/>
      <c r="G70" s="376"/>
      <c r="H70" s="376"/>
      <c r="I70" s="210" t="s">
        <v>3493</v>
      </c>
      <c r="J70" s="210" t="s">
        <v>3034</v>
      </c>
      <c r="K70" s="214">
        <v>4.109</v>
      </c>
      <c r="L70" s="210" t="s">
        <v>3494</v>
      </c>
      <c r="M70" s="210" t="s">
        <v>2961</v>
      </c>
      <c r="N70" s="210" t="s">
        <v>1452</v>
      </c>
      <c r="O70" s="210" t="s">
        <v>1513</v>
      </c>
      <c r="P70" s="210" t="s">
        <v>1172</v>
      </c>
      <c r="Q70" s="210" t="s">
        <v>936</v>
      </c>
      <c r="R70" s="210" t="s">
        <v>2922</v>
      </c>
      <c r="S70" s="214">
        <v>99.929000854492202</v>
      </c>
      <c r="T70" s="210" t="s">
        <v>1536</v>
      </c>
      <c r="U70" s="210">
        <v>4.1340000000000003</v>
      </c>
      <c r="V70" s="210" t="s">
        <v>1536</v>
      </c>
      <c r="W70" s="210">
        <v>54</v>
      </c>
      <c r="X70" s="210" t="s">
        <v>1536</v>
      </c>
      <c r="Y70" s="214">
        <v>100.57700347900401</v>
      </c>
      <c r="Z70" s="214">
        <v>99.929000854492202</v>
      </c>
      <c r="AA70" s="210">
        <v>77</v>
      </c>
      <c r="AB70" s="210">
        <v>79</v>
      </c>
      <c r="AC70" s="210">
        <v>77</v>
      </c>
      <c r="AD70" s="210">
        <v>79</v>
      </c>
      <c r="AE70" s="210">
        <v>53</v>
      </c>
      <c r="AF70" s="212">
        <v>33</v>
      </c>
      <c r="AG70" s="212">
        <v>101467</v>
      </c>
      <c r="AH70" s="210" t="s">
        <v>3432</v>
      </c>
    </row>
    <row r="71" spans="5:34">
      <c r="E71" s="376"/>
      <c r="F71" s="376"/>
      <c r="G71" s="376"/>
      <c r="H71" s="376"/>
      <c r="I71" s="210" t="s">
        <v>3495</v>
      </c>
      <c r="J71" s="210" t="s">
        <v>1543</v>
      </c>
      <c r="K71" s="214">
        <v>3.4689999999999999</v>
      </c>
      <c r="L71" s="210" t="s">
        <v>3496</v>
      </c>
      <c r="M71" s="210" t="s">
        <v>3310</v>
      </c>
      <c r="N71" s="210" t="s">
        <v>1452</v>
      </c>
      <c r="O71" s="210" t="s">
        <v>1513</v>
      </c>
      <c r="P71" s="210" t="s">
        <v>1518</v>
      </c>
      <c r="Q71" s="210" t="s">
        <v>936</v>
      </c>
      <c r="R71" s="210" t="s">
        <v>2922</v>
      </c>
      <c r="S71" s="214">
        <v>91.577102661132798</v>
      </c>
      <c r="T71" s="210" t="s">
        <v>1536</v>
      </c>
      <c r="U71" s="210">
        <v>4.6870000000000003</v>
      </c>
      <c r="V71" s="210" t="s">
        <v>1536</v>
      </c>
      <c r="W71" s="210">
        <v>61</v>
      </c>
      <c r="X71" s="210" t="s">
        <v>1536</v>
      </c>
      <c r="Y71" s="214">
        <v>92.757102966308594</v>
      </c>
      <c r="Z71" s="214">
        <v>91.527000427246094</v>
      </c>
      <c r="AA71" s="210">
        <v>109</v>
      </c>
      <c r="AB71" s="210">
        <v>111</v>
      </c>
      <c r="AC71" s="210">
        <v>103</v>
      </c>
      <c r="AD71" s="210">
        <v>111</v>
      </c>
      <c r="AE71" s="210">
        <v>70</v>
      </c>
      <c r="AF71" s="212">
        <v>35</v>
      </c>
      <c r="AG71" s="212">
        <v>100772</v>
      </c>
      <c r="AH71" s="210" t="s">
        <v>3432</v>
      </c>
    </row>
    <row r="72" spans="5:34">
      <c r="E72" s="376"/>
      <c r="F72" s="376"/>
      <c r="G72" s="376"/>
      <c r="H72" s="376"/>
      <c r="I72" s="210" t="s">
        <v>3497</v>
      </c>
      <c r="J72" s="210" t="s">
        <v>3498</v>
      </c>
      <c r="K72" s="214">
        <v>5</v>
      </c>
      <c r="L72" s="210" t="s">
        <v>3499</v>
      </c>
      <c r="M72" s="210" t="s">
        <v>2940</v>
      </c>
      <c r="N72" s="210" t="s">
        <v>1452</v>
      </c>
      <c r="O72" s="210" t="s">
        <v>876</v>
      </c>
      <c r="P72" s="210" t="s">
        <v>1172</v>
      </c>
      <c r="Q72" s="210" t="s">
        <v>936</v>
      </c>
      <c r="R72" s="210">
        <v>2000</v>
      </c>
      <c r="S72" s="214">
        <v>100.26000213623</v>
      </c>
      <c r="T72" s="210" t="s">
        <v>1536</v>
      </c>
      <c r="U72" s="210">
        <v>4.968</v>
      </c>
      <c r="V72" s="210" t="s">
        <v>1536</v>
      </c>
      <c r="W72" s="210">
        <v>89</v>
      </c>
      <c r="X72" s="210" t="s">
        <v>1536</v>
      </c>
      <c r="Y72" s="214">
        <v>101.68800354003901</v>
      </c>
      <c r="Z72" s="214">
        <v>100.18499755859401</v>
      </c>
      <c r="AA72" s="210">
        <v>130</v>
      </c>
      <c r="AB72" s="210">
        <v>131</v>
      </c>
      <c r="AC72" s="210">
        <v>129</v>
      </c>
      <c r="AD72" s="210">
        <v>131</v>
      </c>
      <c r="AE72" s="210">
        <v>88</v>
      </c>
      <c r="AF72" s="212">
        <v>28</v>
      </c>
      <c r="AG72" s="212">
        <v>100631</v>
      </c>
      <c r="AH72" s="210" t="s">
        <v>3432</v>
      </c>
    </row>
    <row r="73" spans="5:34">
      <c r="E73" s="376"/>
      <c r="F73" s="376"/>
      <c r="G73" s="376"/>
      <c r="H73" s="376"/>
      <c r="I73" s="210" t="s">
        <v>3500</v>
      </c>
      <c r="J73" s="210" t="s">
        <v>1574</v>
      </c>
      <c r="K73" s="214">
        <v>3</v>
      </c>
      <c r="L73" s="210" t="s">
        <v>3501</v>
      </c>
      <c r="M73" s="210" t="s">
        <v>2940</v>
      </c>
      <c r="N73" s="210" t="s">
        <v>1452</v>
      </c>
      <c r="O73" s="210" t="s">
        <v>1513</v>
      </c>
      <c r="P73" s="210" t="s">
        <v>1518</v>
      </c>
      <c r="Q73" s="210" t="s">
        <v>936</v>
      </c>
      <c r="R73" s="210" t="s">
        <v>2922</v>
      </c>
      <c r="S73" s="214">
        <v>96.614997863769503</v>
      </c>
      <c r="T73" s="210" t="s">
        <v>1536</v>
      </c>
      <c r="U73" s="210">
        <v>4.2169999999999996</v>
      </c>
      <c r="V73" s="210" t="s">
        <v>1536</v>
      </c>
      <c r="W73" s="210">
        <v>64</v>
      </c>
      <c r="X73" s="210" t="s">
        <v>1536</v>
      </c>
      <c r="Y73" s="214">
        <v>96.825996398925795</v>
      </c>
      <c r="Z73" s="214">
        <v>96.530998229980497</v>
      </c>
      <c r="AA73" s="210">
        <v>87</v>
      </c>
      <c r="AB73" s="210">
        <v>89</v>
      </c>
      <c r="AC73" s="210">
        <v>85</v>
      </c>
      <c r="AD73" s="210">
        <v>89</v>
      </c>
      <c r="AE73" s="210">
        <v>64</v>
      </c>
      <c r="AF73" s="212">
        <v>28</v>
      </c>
      <c r="AG73" s="212">
        <v>97740</v>
      </c>
      <c r="AH73" s="210" t="s">
        <v>3432</v>
      </c>
    </row>
    <row r="74" spans="5:34">
      <c r="E74" s="376"/>
      <c r="F74" s="376"/>
      <c r="G74" s="376"/>
      <c r="H74" s="376"/>
      <c r="I74" s="210" t="s">
        <v>3088</v>
      </c>
      <c r="J74" s="210" t="s">
        <v>1555</v>
      </c>
      <c r="K74" s="214">
        <v>6.05</v>
      </c>
      <c r="L74" s="210" t="s">
        <v>3089</v>
      </c>
      <c r="M74" s="210" t="s">
        <v>2953</v>
      </c>
      <c r="N74" s="210" t="s">
        <v>1452</v>
      </c>
      <c r="O74" s="210" t="s">
        <v>1513</v>
      </c>
      <c r="P74" s="210" t="s">
        <v>1518</v>
      </c>
      <c r="Q74" s="210" t="s">
        <v>936</v>
      </c>
      <c r="R74" s="210">
        <v>1000</v>
      </c>
      <c r="S74" s="214">
        <v>101.057998657227</v>
      </c>
      <c r="T74" s="210" t="s">
        <v>1536</v>
      </c>
      <c r="U74" s="210">
        <v>5.9729999999999999</v>
      </c>
      <c r="V74" s="210" t="s">
        <v>1536</v>
      </c>
      <c r="W74" s="210">
        <v>131</v>
      </c>
      <c r="X74" s="210" t="s">
        <v>1536</v>
      </c>
      <c r="Y74" s="214">
        <v>104.776000976562</v>
      </c>
      <c r="Z74" s="214">
        <v>101.057998657227</v>
      </c>
      <c r="AA74" s="210">
        <v>203</v>
      </c>
      <c r="AB74" s="210">
        <v>202</v>
      </c>
      <c r="AC74" s="210">
        <v>200</v>
      </c>
      <c r="AD74" s="210">
        <v>206</v>
      </c>
      <c r="AE74" s="210">
        <v>131</v>
      </c>
      <c r="AF74" s="212">
        <v>30</v>
      </c>
      <c r="AG74" s="212">
        <v>96266</v>
      </c>
      <c r="AH74" s="210" t="s">
        <v>3432</v>
      </c>
    </row>
    <row r="75" spans="5:34">
      <c r="E75" s="376"/>
      <c r="F75" s="376"/>
      <c r="G75" s="376"/>
      <c r="H75" s="376"/>
      <c r="I75" s="210" t="s">
        <v>3502</v>
      </c>
      <c r="J75" s="210" t="s">
        <v>3498</v>
      </c>
      <c r="K75" s="214">
        <v>4.4000000000000004</v>
      </c>
      <c r="L75" s="210" t="s">
        <v>3503</v>
      </c>
      <c r="M75" s="210" t="s">
        <v>2940</v>
      </c>
      <c r="N75" s="210" t="s">
        <v>1452</v>
      </c>
      <c r="O75" s="210" t="s">
        <v>1452</v>
      </c>
      <c r="P75" s="210" t="s">
        <v>1518</v>
      </c>
      <c r="Q75" s="210" t="s">
        <v>936</v>
      </c>
      <c r="R75" s="210">
        <v>4500</v>
      </c>
      <c r="S75" s="214">
        <v>99.9136962890625</v>
      </c>
      <c r="T75" s="210" t="s">
        <v>1536</v>
      </c>
      <c r="U75" s="210">
        <v>4.4189999999999996</v>
      </c>
      <c r="V75" s="210" t="s">
        <v>1536</v>
      </c>
      <c r="W75" s="210">
        <v>73</v>
      </c>
      <c r="X75" s="210" t="s">
        <v>1536</v>
      </c>
      <c r="Y75" s="214">
        <v>100.61499786377</v>
      </c>
      <c r="Z75" s="214">
        <v>99.811996459960895</v>
      </c>
      <c r="AA75" s="210">
        <v>100</v>
      </c>
      <c r="AB75" s="210">
        <v>102</v>
      </c>
      <c r="AC75" s="210">
        <v>100</v>
      </c>
      <c r="AD75" s="210">
        <v>102</v>
      </c>
      <c r="AE75" s="210">
        <v>70</v>
      </c>
      <c r="AF75" s="212">
        <v>34</v>
      </c>
      <c r="AG75" s="212">
        <v>96215</v>
      </c>
      <c r="AH75" s="210" t="s">
        <v>3432</v>
      </c>
    </row>
    <row r="76" spans="5:34">
      <c r="E76" s="376"/>
      <c r="F76" s="376"/>
      <c r="G76" s="376"/>
      <c r="H76" s="376"/>
      <c r="I76" s="210" t="s">
        <v>3504</v>
      </c>
      <c r="J76" s="210" t="s">
        <v>1546</v>
      </c>
      <c r="K76" s="214">
        <v>5.5</v>
      </c>
      <c r="L76" s="210" t="s">
        <v>3505</v>
      </c>
      <c r="M76" s="210" t="s">
        <v>2940</v>
      </c>
      <c r="N76" s="210" t="s">
        <v>1452</v>
      </c>
      <c r="O76" s="210" t="s">
        <v>1513</v>
      </c>
      <c r="P76" s="210" t="s">
        <v>1172</v>
      </c>
      <c r="Q76" s="210" t="s">
        <v>936</v>
      </c>
      <c r="R76" s="210">
        <v>1700</v>
      </c>
      <c r="S76" s="214">
        <v>96.950996398925795</v>
      </c>
      <c r="T76" s="210" t="s">
        <v>1536</v>
      </c>
      <c r="U76" s="210">
        <v>5.718</v>
      </c>
      <c r="V76" s="210" t="s">
        <v>1536</v>
      </c>
      <c r="W76" s="210">
        <v>105</v>
      </c>
      <c r="X76" s="210" t="s">
        <v>1536</v>
      </c>
      <c r="Y76" s="214">
        <v>99.978996276855497</v>
      </c>
      <c r="Z76" s="214">
        <v>96.913002014160199</v>
      </c>
      <c r="AA76" s="210">
        <v>176</v>
      </c>
      <c r="AB76" s="210">
        <v>176</v>
      </c>
      <c r="AC76" s="210">
        <v>169</v>
      </c>
      <c r="AD76" s="210">
        <v>180</v>
      </c>
      <c r="AE76" s="210">
        <v>106</v>
      </c>
      <c r="AF76" s="212">
        <v>44</v>
      </c>
      <c r="AG76" s="212">
        <v>96060</v>
      </c>
      <c r="AH76" s="210" t="s">
        <v>3432</v>
      </c>
    </row>
    <row r="77" spans="5:34">
      <c r="E77" s="376"/>
      <c r="F77" s="376"/>
      <c r="G77" s="376"/>
      <c r="H77" s="376"/>
      <c r="I77" s="210" t="s">
        <v>3506</v>
      </c>
      <c r="J77" s="210" t="s">
        <v>3507</v>
      </c>
      <c r="K77" s="214">
        <v>5.7</v>
      </c>
      <c r="L77" s="210" t="s">
        <v>3508</v>
      </c>
      <c r="M77" s="210" t="s">
        <v>2953</v>
      </c>
      <c r="N77" s="210" t="s">
        <v>1452</v>
      </c>
      <c r="O77" s="210" t="s">
        <v>1513</v>
      </c>
      <c r="P77" s="210" t="s">
        <v>1518</v>
      </c>
      <c r="Q77" s="210" t="s">
        <v>936</v>
      </c>
      <c r="R77" s="210">
        <v>1896</v>
      </c>
      <c r="S77" s="214">
        <v>100.20099639892599</v>
      </c>
      <c r="T77" s="210" t="s">
        <v>1536</v>
      </c>
      <c r="U77" s="210">
        <v>5.6849999999999996</v>
      </c>
      <c r="V77" s="210" t="s">
        <v>1536</v>
      </c>
      <c r="W77" s="210">
        <v>101</v>
      </c>
      <c r="X77" s="210" t="s">
        <v>1536</v>
      </c>
      <c r="Y77" s="214">
        <v>103.764999389648</v>
      </c>
      <c r="Z77" s="214">
        <v>100.20099639892599</v>
      </c>
      <c r="AA77" s="210">
        <v>173</v>
      </c>
      <c r="AB77" s="210">
        <v>172</v>
      </c>
      <c r="AC77" s="210">
        <v>170</v>
      </c>
      <c r="AD77" s="210">
        <v>176</v>
      </c>
      <c r="AE77" s="210">
        <v>102</v>
      </c>
      <c r="AF77" s="212">
        <v>30</v>
      </c>
      <c r="AG77" s="212">
        <v>95824</v>
      </c>
      <c r="AH77" s="210" t="s">
        <v>3432</v>
      </c>
    </row>
    <row r="78" spans="5:34">
      <c r="E78" s="376"/>
      <c r="F78" s="376"/>
      <c r="G78" s="376"/>
      <c r="H78" s="376"/>
      <c r="I78" s="210" t="s">
        <v>3509</v>
      </c>
      <c r="J78" s="210" t="s">
        <v>1564</v>
      </c>
      <c r="K78" s="214">
        <v>5.5</v>
      </c>
      <c r="L78" s="210" t="s">
        <v>3510</v>
      </c>
      <c r="M78" s="210" t="s">
        <v>2928</v>
      </c>
      <c r="N78" s="210" t="s">
        <v>1452</v>
      </c>
      <c r="O78" s="210" t="s">
        <v>1513</v>
      </c>
      <c r="P78" s="210" t="s">
        <v>1518</v>
      </c>
      <c r="Q78" s="210" t="s">
        <v>936</v>
      </c>
      <c r="R78" s="210">
        <v>4100</v>
      </c>
      <c r="S78" s="214">
        <v>102.05599975585901</v>
      </c>
      <c r="T78" s="210" t="s">
        <v>1536</v>
      </c>
      <c r="U78" s="210">
        <v>5.3579999999999997</v>
      </c>
      <c r="V78" s="210" t="s">
        <v>1536</v>
      </c>
      <c r="W78" s="210">
        <v>69</v>
      </c>
      <c r="X78" s="210" t="s">
        <v>1536</v>
      </c>
      <c r="Y78" s="214">
        <v>104</v>
      </c>
      <c r="Z78" s="214">
        <v>102.05599975585901</v>
      </c>
      <c r="AA78" s="210">
        <v>140</v>
      </c>
      <c r="AB78" s="210">
        <v>140</v>
      </c>
      <c r="AC78" s="210">
        <v>139</v>
      </c>
      <c r="AD78" s="210">
        <v>143</v>
      </c>
      <c r="AE78" s="210">
        <v>69</v>
      </c>
      <c r="AF78" s="212">
        <v>24</v>
      </c>
      <c r="AG78" s="212">
        <v>94808</v>
      </c>
      <c r="AH78" s="210" t="s">
        <v>3432</v>
      </c>
    </row>
    <row r="79" spans="5:34">
      <c r="E79" s="376"/>
      <c r="F79" s="376"/>
      <c r="G79" s="376"/>
      <c r="H79" s="376"/>
      <c r="I79" s="210" t="s">
        <v>3101</v>
      </c>
      <c r="J79" s="210" t="s">
        <v>2972</v>
      </c>
      <c r="K79" s="214">
        <v>5.95</v>
      </c>
      <c r="L79" s="210" t="s">
        <v>3102</v>
      </c>
      <c r="M79" s="210" t="s">
        <v>2936</v>
      </c>
      <c r="N79" s="210" t="s">
        <v>1452</v>
      </c>
      <c r="O79" s="210" t="s">
        <v>1513</v>
      </c>
      <c r="P79" s="210" t="s">
        <v>1518</v>
      </c>
      <c r="Q79" s="210" t="s">
        <v>936</v>
      </c>
      <c r="R79" s="210">
        <v>1400</v>
      </c>
      <c r="S79" s="214">
        <v>104.67099761962901</v>
      </c>
      <c r="T79" s="210" t="s">
        <v>1536</v>
      </c>
      <c r="U79" s="210">
        <v>5.6219999999999999</v>
      </c>
      <c r="V79" s="210" t="s">
        <v>1536</v>
      </c>
      <c r="W79" s="210">
        <v>95</v>
      </c>
      <c r="X79" s="210" t="s">
        <v>1536</v>
      </c>
      <c r="Y79" s="214">
        <v>107.58399963378901</v>
      </c>
      <c r="Z79" s="214">
        <v>104.65000152587901</v>
      </c>
      <c r="AA79" s="210">
        <v>167</v>
      </c>
      <c r="AB79" s="210">
        <v>167</v>
      </c>
      <c r="AC79" s="210">
        <v>169</v>
      </c>
      <c r="AD79" s="210">
        <v>170</v>
      </c>
      <c r="AE79" s="210">
        <v>96</v>
      </c>
      <c r="AF79" s="212">
        <v>29</v>
      </c>
      <c r="AG79" s="212">
        <v>94542</v>
      </c>
      <c r="AH79" s="210" t="s">
        <v>3432</v>
      </c>
    </row>
    <row r="80" spans="5:34">
      <c r="E80" s="376"/>
      <c r="F80" s="376"/>
      <c r="G80" s="376"/>
      <c r="H80" s="376"/>
      <c r="I80" s="210" t="s">
        <v>3511</v>
      </c>
      <c r="J80" s="210" t="s">
        <v>3512</v>
      </c>
      <c r="K80" s="214">
        <v>5.65</v>
      </c>
      <c r="L80" s="210" t="s">
        <v>3513</v>
      </c>
      <c r="M80" s="210" t="s">
        <v>2942</v>
      </c>
      <c r="N80" s="210" t="s">
        <v>1452</v>
      </c>
      <c r="O80" s="210" t="s">
        <v>1513</v>
      </c>
      <c r="P80" s="210" t="s">
        <v>1172</v>
      </c>
      <c r="Q80" s="210" t="s">
        <v>936</v>
      </c>
      <c r="R80" s="210">
        <v>2000</v>
      </c>
      <c r="S80" s="214">
        <v>94.25</v>
      </c>
      <c r="T80" s="210" t="s">
        <v>1536</v>
      </c>
      <c r="U80" s="210">
        <v>6.6310000000000002</v>
      </c>
      <c r="V80" s="210" t="s">
        <v>1536</v>
      </c>
      <c r="W80" s="210">
        <v>254</v>
      </c>
      <c r="X80" s="210" t="s">
        <v>1536</v>
      </c>
      <c r="Y80" s="214">
        <v>98.928001403808594</v>
      </c>
      <c r="Z80" s="214">
        <v>94.25</v>
      </c>
      <c r="AA80" s="210">
        <v>309</v>
      </c>
      <c r="AB80" s="210">
        <v>310</v>
      </c>
      <c r="AC80" s="210">
        <v>297</v>
      </c>
      <c r="AD80" s="210">
        <v>311</v>
      </c>
      <c r="AE80" s="210">
        <v>271</v>
      </c>
      <c r="AF80" s="212">
        <v>35</v>
      </c>
      <c r="AG80" s="212">
        <v>94314</v>
      </c>
      <c r="AH80" s="210" t="s">
        <v>3432</v>
      </c>
    </row>
    <row r="81" spans="5:34">
      <c r="E81" s="376"/>
      <c r="F81" s="376"/>
      <c r="G81" s="376"/>
      <c r="H81" s="376"/>
      <c r="I81" s="210" t="s">
        <v>3514</v>
      </c>
      <c r="J81" s="210" t="s">
        <v>1567</v>
      </c>
      <c r="K81" s="214">
        <v>4.5</v>
      </c>
      <c r="L81" s="210" t="s">
        <v>3318</v>
      </c>
      <c r="M81" s="210" t="s">
        <v>3464</v>
      </c>
      <c r="N81" s="210" t="s">
        <v>1452</v>
      </c>
      <c r="O81" s="210" t="s">
        <v>876</v>
      </c>
      <c r="P81" s="210" t="s">
        <v>1518</v>
      </c>
      <c r="Q81" s="210" t="s">
        <v>936</v>
      </c>
      <c r="R81" s="210">
        <v>1035</v>
      </c>
      <c r="S81" s="214">
        <v>99.649597167968807</v>
      </c>
      <c r="T81" s="210" t="s">
        <v>1536</v>
      </c>
      <c r="U81" s="210">
        <v>4.5449999999999999</v>
      </c>
      <c r="V81" s="210" t="s">
        <v>1536</v>
      </c>
      <c r="W81" s="210">
        <v>47</v>
      </c>
      <c r="X81" s="210" t="s">
        <v>1536</v>
      </c>
      <c r="Y81" s="214">
        <v>100.956001281738</v>
      </c>
      <c r="Z81" s="214">
        <v>99.614997863769503</v>
      </c>
      <c r="AA81" s="210">
        <v>90</v>
      </c>
      <c r="AB81" s="210">
        <v>92</v>
      </c>
      <c r="AC81" s="210">
        <v>89</v>
      </c>
      <c r="AD81" s="210">
        <v>92</v>
      </c>
      <c r="AE81" s="210">
        <v>49</v>
      </c>
      <c r="AF81" s="212">
        <v>34</v>
      </c>
      <c r="AG81" s="212">
        <v>93555</v>
      </c>
      <c r="AH81" s="210" t="s">
        <v>3432</v>
      </c>
    </row>
    <row r="82" spans="5:34">
      <c r="E82" s="376"/>
      <c r="F82" s="376"/>
      <c r="G82" s="376"/>
      <c r="H82" s="376"/>
      <c r="I82" s="210" t="s">
        <v>3515</v>
      </c>
      <c r="J82" s="210" t="s">
        <v>3407</v>
      </c>
      <c r="K82" s="214">
        <v>4.95</v>
      </c>
      <c r="L82" s="210" t="s">
        <v>3082</v>
      </c>
      <c r="M82" s="210" t="s">
        <v>2932</v>
      </c>
      <c r="N82" s="210" t="s">
        <v>1452</v>
      </c>
      <c r="O82" s="210" t="s">
        <v>1513</v>
      </c>
      <c r="P82" s="210" t="s">
        <v>1172</v>
      </c>
      <c r="Q82" s="210" t="s">
        <v>936</v>
      </c>
      <c r="R82" s="210" t="s">
        <v>2922</v>
      </c>
      <c r="S82" s="214">
        <v>99.079002380371094</v>
      </c>
      <c r="T82" s="210" t="s">
        <v>1536</v>
      </c>
      <c r="U82" s="210">
        <v>5.0659999999999998</v>
      </c>
      <c r="V82" s="210" t="s">
        <v>1536</v>
      </c>
      <c r="W82" s="210">
        <v>97</v>
      </c>
      <c r="X82" s="210" t="s">
        <v>1536</v>
      </c>
      <c r="Y82" s="214">
        <v>100.022003173828</v>
      </c>
      <c r="Z82" s="214">
        <v>99.079002380371094</v>
      </c>
      <c r="AA82" s="210">
        <v>137</v>
      </c>
      <c r="AB82" s="210">
        <v>138</v>
      </c>
      <c r="AC82" s="210">
        <v>134</v>
      </c>
      <c r="AD82" s="210">
        <v>140</v>
      </c>
      <c r="AE82" s="210">
        <v>94</v>
      </c>
      <c r="AF82" s="212">
        <v>38</v>
      </c>
      <c r="AG82" s="212">
        <v>93485</v>
      </c>
      <c r="AH82" s="210" t="s">
        <v>3432</v>
      </c>
    </row>
    <row r="83" spans="5:34">
      <c r="E83" s="376"/>
      <c r="F83" s="376"/>
      <c r="G83" s="376"/>
      <c r="H83" s="376"/>
      <c r="I83" s="210" t="s">
        <v>3516</v>
      </c>
      <c r="J83" s="210" t="s">
        <v>3308</v>
      </c>
      <c r="K83" s="214">
        <v>4.5918388711924667</v>
      </c>
      <c r="L83" s="210" t="s">
        <v>3469</v>
      </c>
      <c r="M83" s="210" t="s">
        <v>2953</v>
      </c>
      <c r="N83" s="210" t="s">
        <v>1452</v>
      </c>
      <c r="O83" s="210" t="s">
        <v>1452</v>
      </c>
      <c r="P83" s="210" t="s">
        <v>1518</v>
      </c>
      <c r="Q83" s="210" t="s">
        <v>936</v>
      </c>
      <c r="R83" s="210">
        <v>4707</v>
      </c>
      <c r="S83" s="214">
        <v>100.18099975585901</v>
      </c>
      <c r="T83" s="210" t="s">
        <v>1536</v>
      </c>
      <c r="U83" s="210" t="s">
        <v>1536</v>
      </c>
      <c r="V83" s="210" t="s">
        <v>1536</v>
      </c>
      <c r="W83" s="210">
        <v>44</v>
      </c>
      <c r="X83" s="210" t="s">
        <v>1536</v>
      </c>
      <c r="Y83" s="214">
        <v>100.18099975585901</v>
      </c>
      <c r="Z83" s="214">
        <v>100.126998901367</v>
      </c>
      <c r="AA83" s="210" t="s">
        <v>1536</v>
      </c>
      <c r="AB83" s="210" t="s">
        <v>1536</v>
      </c>
      <c r="AC83" s="210" t="s">
        <v>1536</v>
      </c>
      <c r="AD83" s="210">
        <v>45</v>
      </c>
      <c r="AE83" s="210" t="s">
        <v>1536</v>
      </c>
      <c r="AF83" s="212">
        <v>39</v>
      </c>
      <c r="AG83" s="212">
        <v>92004</v>
      </c>
      <c r="AH83" s="210" t="s">
        <v>3432</v>
      </c>
    </row>
    <row r="84" spans="5:34">
      <c r="E84" s="376"/>
      <c r="F84" s="376"/>
      <c r="G84" s="376"/>
      <c r="H84" s="376"/>
      <c r="I84" s="210" t="s">
        <v>3517</v>
      </c>
      <c r="J84" s="210" t="s">
        <v>2943</v>
      </c>
      <c r="K84" s="214">
        <v>4.95</v>
      </c>
      <c r="L84" s="210" t="s">
        <v>2933</v>
      </c>
      <c r="M84" s="210" t="s">
        <v>2928</v>
      </c>
      <c r="N84" s="210" t="s">
        <v>1452</v>
      </c>
      <c r="O84" s="210" t="s">
        <v>1452</v>
      </c>
      <c r="P84" s="210" t="s">
        <v>1518</v>
      </c>
      <c r="Q84" s="210" t="s">
        <v>936</v>
      </c>
      <c r="R84" s="210">
        <v>1000</v>
      </c>
      <c r="S84" s="214">
        <v>101.666999816895</v>
      </c>
      <c r="T84" s="210" t="s">
        <v>1536</v>
      </c>
      <c r="U84" s="210">
        <v>4.7320000000000002</v>
      </c>
      <c r="V84" s="210" t="s">
        <v>1536</v>
      </c>
      <c r="W84" s="210">
        <v>65</v>
      </c>
      <c r="X84" s="210" t="s">
        <v>1536</v>
      </c>
      <c r="Y84" s="214">
        <v>102.87799835205099</v>
      </c>
      <c r="Z84" s="214">
        <v>101.63500213623</v>
      </c>
      <c r="AA84" s="210">
        <v>109</v>
      </c>
      <c r="AB84" s="210">
        <v>110</v>
      </c>
      <c r="AC84" s="210">
        <v>109</v>
      </c>
      <c r="AD84" s="210">
        <v>110</v>
      </c>
      <c r="AE84" s="210">
        <v>67</v>
      </c>
      <c r="AF84" s="212">
        <v>31</v>
      </c>
      <c r="AG84" s="212">
        <v>91592</v>
      </c>
      <c r="AH84" s="210" t="s">
        <v>3432</v>
      </c>
    </row>
    <row r="85" spans="5:34">
      <c r="E85" s="376"/>
      <c r="F85" s="376"/>
      <c r="G85" s="376"/>
      <c r="H85" s="376"/>
      <c r="I85" s="210" t="s">
        <v>3518</v>
      </c>
      <c r="J85" s="210" t="s">
        <v>3353</v>
      </c>
      <c r="K85" s="214">
        <v>4.8</v>
      </c>
      <c r="L85" s="210" t="s">
        <v>3431</v>
      </c>
      <c r="M85" s="210" t="s">
        <v>2940</v>
      </c>
      <c r="N85" s="210" t="s">
        <v>1452</v>
      </c>
      <c r="O85" s="210" t="s">
        <v>1452</v>
      </c>
      <c r="P85" s="210" t="s">
        <v>1518</v>
      </c>
      <c r="Q85" s="210" t="s">
        <v>936</v>
      </c>
      <c r="R85" s="210">
        <v>1000</v>
      </c>
      <c r="S85" s="214">
        <v>99.513000488281193</v>
      </c>
      <c r="T85" s="210" t="s">
        <v>1536</v>
      </c>
      <c r="U85" s="210">
        <v>4.8620000000000001</v>
      </c>
      <c r="V85" s="210" t="s">
        <v>1536</v>
      </c>
      <c r="W85" s="210">
        <v>77</v>
      </c>
      <c r="X85" s="210" t="s">
        <v>1536</v>
      </c>
      <c r="Y85" s="214">
        <v>99.513000488281193</v>
      </c>
      <c r="Z85" s="214">
        <v>99.466003417968807</v>
      </c>
      <c r="AA85" s="210">
        <v>118</v>
      </c>
      <c r="AB85" s="210">
        <v>119</v>
      </c>
      <c r="AC85" s="210">
        <v>116</v>
      </c>
      <c r="AD85" s="210">
        <v>120</v>
      </c>
      <c r="AE85" s="210">
        <v>76</v>
      </c>
      <c r="AF85" s="212">
        <v>28</v>
      </c>
      <c r="AG85" s="212">
        <v>90565</v>
      </c>
      <c r="AH85" s="210" t="s">
        <v>3432</v>
      </c>
    </row>
    <row r="86" spans="5:34">
      <c r="E86" s="376"/>
      <c r="F86" s="376"/>
      <c r="G86" s="376"/>
      <c r="H86" s="376"/>
      <c r="I86" s="210" t="s">
        <v>3519</v>
      </c>
      <c r="J86" s="210" t="s">
        <v>1583</v>
      </c>
      <c r="K86" s="214">
        <v>4.9000000000000004</v>
      </c>
      <c r="L86" s="210" t="s">
        <v>3520</v>
      </c>
      <c r="M86" s="210" t="s">
        <v>3521</v>
      </c>
      <c r="N86" s="210" t="s">
        <v>1452</v>
      </c>
      <c r="O86" s="210" t="s">
        <v>1513</v>
      </c>
      <c r="P86" s="210" t="s">
        <v>1518</v>
      </c>
      <c r="Q86" s="210" t="s">
        <v>936</v>
      </c>
      <c r="R86" s="210">
        <v>1030</v>
      </c>
      <c r="S86" s="214">
        <v>103.014999389648</v>
      </c>
      <c r="T86" s="210" t="s">
        <v>1536</v>
      </c>
      <c r="U86" s="210">
        <v>4.4980000000000002</v>
      </c>
      <c r="V86" s="210" t="s">
        <v>1536</v>
      </c>
      <c r="W86" s="210">
        <v>40</v>
      </c>
      <c r="X86" s="210" t="s">
        <v>1536</v>
      </c>
      <c r="Y86" s="214">
        <v>104.217002868652</v>
      </c>
      <c r="Z86" s="214">
        <v>103.014999389648</v>
      </c>
      <c r="AA86" s="210">
        <v>86</v>
      </c>
      <c r="AB86" s="210">
        <v>87</v>
      </c>
      <c r="AC86" s="210">
        <v>86</v>
      </c>
      <c r="AD86" s="210">
        <v>87</v>
      </c>
      <c r="AE86" s="210">
        <v>45</v>
      </c>
      <c r="AF86" s="212">
        <v>24</v>
      </c>
      <c r="AG86" s="212">
        <v>89119</v>
      </c>
      <c r="AH86" s="210" t="s">
        <v>3432</v>
      </c>
    </row>
    <row r="87" spans="5:34">
      <c r="E87" s="376"/>
      <c r="F87" s="376"/>
      <c r="G87" s="376"/>
      <c r="H87" s="376"/>
      <c r="I87" s="210" t="s">
        <v>3522</v>
      </c>
      <c r="J87" s="210" t="s">
        <v>2966</v>
      </c>
      <c r="K87" s="214">
        <v>7.1609999999999996</v>
      </c>
      <c r="L87" s="210" t="s">
        <v>3523</v>
      </c>
      <c r="M87" s="210" t="s">
        <v>2947</v>
      </c>
      <c r="N87" s="210" t="s">
        <v>1452</v>
      </c>
      <c r="O87" s="210" t="s">
        <v>1513</v>
      </c>
      <c r="P87" s="210" t="s">
        <v>1518</v>
      </c>
      <c r="Q87" s="210" t="s">
        <v>936</v>
      </c>
      <c r="R87" s="210" t="s">
        <v>2922</v>
      </c>
      <c r="S87" s="214">
        <v>108.192001342773</v>
      </c>
      <c r="T87" s="210" t="s">
        <v>1536</v>
      </c>
      <c r="U87" s="210">
        <v>4.2169999999999996</v>
      </c>
      <c r="V87" s="210" t="s">
        <v>1536</v>
      </c>
      <c r="W87" s="210">
        <v>64</v>
      </c>
      <c r="X87" s="210" t="s">
        <v>1536</v>
      </c>
      <c r="Y87" s="214">
        <v>108.458000183105</v>
      </c>
      <c r="Z87" s="214">
        <v>108.05300140380901</v>
      </c>
      <c r="AA87" s="210">
        <v>86</v>
      </c>
      <c r="AB87" s="210">
        <v>89</v>
      </c>
      <c r="AC87" s="210">
        <v>91</v>
      </c>
      <c r="AE87" s="210">
        <v>64</v>
      </c>
      <c r="AF87" s="212">
        <v>26</v>
      </c>
      <c r="AG87" s="212">
        <v>88085</v>
      </c>
      <c r="AH87" s="210" t="s">
        <v>3432</v>
      </c>
    </row>
    <row r="88" spans="5:34">
      <c r="E88" s="376"/>
      <c r="F88" s="376"/>
      <c r="G88" s="376"/>
      <c r="H88" s="376"/>
      <c r="I88" s="210" t="s">
        <v>3524</v>
      </c>
      <c r="J88" s="210" t="s">
        <v>1616</v>
      </c>
      <c r="K88" s="214">
        <v>4.25</v>
      </c>
      <c r="L88" s="210" t="s">
        <v>3525</v>
      </c>
      <c r="M88" s="210" t="s">
        <v>2961</v>
      </c>
      <c r="N88" s="210" t="s">
        <v>1452</v>
      </c>
      <c r="O88" s="210" t="s">
        <v>1513</v>
      </c>
      <c r="P88" s="210" t="s">
        <v>1518</v>
      </c>
      <c r="Q88" s="210" t="s">
        <v>936</v>
      </c>
      <c r="R88" s="210">
        <v>3700</v>
      </c>
      <c r="S88" s="214">
        <v>97.703201293945298</v>
      </c>
      <c r="T88" s="210" t="s">
        <v>1536</v>
      </c>
      <c r="U88" s="210">
        <v>4.6379999999999999</v>
      </c>
      <c r="V88" s="210" t="s">
        <v>1536</v>
      </c>
      <c r="W88" s="210">
        <v>77</v>
      </c>
      <c r="X88" s="210" t="s">
        <v>1536</v>
      </c>
      <c r="Y88" s="214">
        <v>98.708999633789105</v>
      </c>
      <c r="Z88" s="214">
        <v>97.549003601074205</v>
      </c>
      <c r="AA88" s="210">
        <v>113</v>
      </c>
      <c r="AB88" s="210">
        <v>115</v>
      </c>
      <c r="AC88" s="210">
        <v>111</v>
      </c>
      <c r="AD88" s="210">
        <v>115</v>
      </c>
      <c r="AE88" s="210">
        <v>77</v>
      </c>
      <c r="AF88" s="212">
        <v>42</v>
      </c>
      <c r="AG88" s="212">
        <v>84989</v>
      </c>
      <c r="AH88" s="210" t="s">
        <v>3432</v>
      </c>
    </row>
    <row r="89" spans="5:34">
      <c r="E89" s="376"/>
      <c r="F89" s="376"/>
      <c r="G89" s="376"/>
      <c r="H89" s="376"/>
      <c r="I89" s="210" t="s">
        <v>3095</v>
      </c>
      <c r="J89" s="210" t="s">
        <v>1558</v>
      </c>
      <c r="K89" s="214">
        <v>5.75</v>
      </c>
      <c r="L89" s="210" t="s">
        <v>3096</v>
      </c>
      <c r="M89" s="210" t="s">
        <v>2939</v>
      </c>
      <c r="N89" s="210" t="s">
        <v>1452</v>
      </c>
      <c r="O89" s="210" t="s">
        <v>1452</v>
      </c>
      <c r="P89" s="210" t="s">
        <v>1518</v>
      </c>
      <c r="Q89" s="210" t="s">
        <v>936</v>
      </c>
      <c r="R89" s="210">
        <v>3200</v>
      </c>
      <c r="S89" s="214">
        <v>103.649002075195</v>
      </c>
      <c r="T89" s="210" t="s">
        <v>1536</v>
      </c>
      <c r="U89" s="210">
        <v>5.4960000000000004</v>
      </c>
      <c r="V89" s="210" t="s">
        <v>1536</v>
      </c>
      <c r="W89" s="210">
        <v>84</v>
      </c>
      <c r="X89" s="210" t="s">
        <v>1536</v>
      </c>
      <c r="Y89" s="214">
        <v>106.17800140380901</v>
      </c>
      <c r="Z89" s="214">
        <v>103.427001953125</v>
      </c>
      <c r="AA89" s="210">
        <v>156</v>
      </c>
      <c r="AB89" s="210">
        <v>155</v>
      </c>
      <c r="AC89" s="210">
        <v>157</v>
      </c>
      <c r="AD89" s="210">
        <v>159</v>
      </c>
      <c r="AE89" s="210">
        <v>85</v>
      </c>
      <c r="AF89" s="212">
        <v>28</v>
      </c>
      <c r="AG89" s="212">
        <v>84826</v>
      </c>
      <c r="AH89" s="210" t="s">
        <v>3432</v>
      </c>
    </row>
    <row r="90" spans="5:34">
      <c r="E90" s="376"/>
      <c r="F90" s="376"/>
      <c r="G90" s="376"/>
      <c r="H90" s="376"/>
      <c r="I90" s="210" t="s">
        <v>3526</v>
      </c>
      <c r="J90" s="210" t="s">
        <v>3527</v>
      </c>
      <c r="K90" s="214">
        <v>4.8499999999999996</v>
      </c>
      <c r="L90" s="210" t="s">
        <v>2931</v>
      </c>
      <c r="M90" s="210" t="s">
        <v>2968</v>
      </c>
      <c r="N90" s="210" t="s">
        <v>1452</v>
      </c>
      <c r="O90" s="210" t="s">
        <v>1452</v>
      </c>
      <c r="P90" s="210" t="s">
        <v>1518</v>
      </c>
      <c r="Q90" s="210" t="s">
        <v>936</v>
      </c>
      <c r="R90" s="210">
        <v>3600</v>
      </c>
      <c r="S90" s="214">
        <v>101.18099975585901</v>
      </c>
      <c r="T90" s="210" t="s">
        <v>1536</v>
      </c>
      <c r="U90" s="210">
        <v>4.6950000000000003</v>
      </c>
      <c r="V90" s="210" t="s">
        <v>1536</v>
      </c>
      <c r="W90" s="210">
        <v>62</v>
      </c>
      <c r="X90" s="210" t="s">
        <v>1536</v>
      </c>
      <c r="Y90" s="214">
        <v>102.51699829101599</v>
      </c>
      <c r="Z90" s="214">
        <v>101.056999206543</v>
      </c>
      <c r="AA90" s="210">
        <v>105</v>
      </c>
      <c r="AB90" s="210">
        <v>106</v>
      </c>
      <c r="AC90" s="210">
        <v>104</v>
      </c>
      <c r="AD90" s="210">
        <v>105</v>
      </c>
      <c r="AE90" s="210">
        <v>62</v>
      </c>
      <c r="AF90" s="212">
        <v>25</v>
      </c>
      <c r="AG90" s="212">
        <v>83790</v>
      </c>
      <c r="AH90" s="210" t="s">
        <v>3432</v>
      </c>
    </row>
    <row r="91" spans="5:34">
      <c r="E91" s="376"/>
      <c r="F91" s="376"/>
      <c r="G91" s="376"/>
      <c r="H91" s="376"/>
      <c r="I91" s="210" t="s">
        <v>3528</v>
      </c>
      <c r="J91" s="210" t="s">
        <v>1513</v>
      </c>
      <c r="K91" s="214">
        <v>6.02</v>
      </c>
      <c r="L91" s="210" t="s">
        <v>3529</v>
      </c>
      <c r="M91" s="210" t="s">
        <v>2932</v>
      </c>
      <c r="N91" s="210" t="s">
        <v>1452</v>
      </c>
      <c r="O91" s="210" t="s">
        <v>1513</v>
      </c>
      <c r="P91" s="210" t="s">
        <v>1518</v>
      </c>
      <c r="Q91" s="210" t="s">
        <v>936</v>
      </c>
      <c r="R91" s="210" t="s">
        <v>2922</v>
      </c>
      <c r="S91" s="214">
        <v>104.81199645996099</v>
      </c>
      <c r="T91" s="210" t="s">
        <v>1536</v>
      </c>
      <c r="U91" s="210">
        <v>5.351</v>
      </c>
      <c r="V91" s="210" t="s">
        <v>1536</v>
      </c>
      <c r="W91" s="210">
        <v>126</v>
      </c>
      <c r="X91" s="210" t="s">
        <v>1536</v>
      </c>
      <c r="Y91" s="214">
        <v>105.93699645996099</v>
      </c>
      <c r="Z91" s="214">
        <v>104.768997192383</v>
      </c>
      <c r="AA91" s="210">
        <v>172</v>
      </c>
      <c r="AB91" s="210">
        <v>172</v>
      </c>
      <c r="AC91" s="210">
        <v>175</v>
      </c>
      <c r="AE91" s="210">
        <v>130</v>
      </c>
      <c r="AF91" s="212">
        <v>27</v>
      </c>
      <c r="AG91" s="212">
        <v>83774</v>
      </c>
      <c r="AH91" s="210" t="s">
        <v>3432</v>
      </c>
    </row>
    <row r="92" spans="5:34">
      <c r="E92" s="376"/>
      <c r="F92" s="376"/>
      <c r="G92" s="376"/>
      <c r="H92" s="376"/>
      <c r="I92" s="210" t="s">
        <v>3075</v>
      </c>
      <c r="J92" s="210" t="s">
        <v>1452</v>
      </c>
      <c r="K92" s="214">
        <v>6</v>
      </c>
      <c r="L92" s="210" t="s">
        <v>3062</v>
      </c>
      <c r="M92" s="210" t="s">
        <v>2942</v>
      </c>
      <c r="N92" s="210" t="s">
        <v>1452</v>
      </c>
      <c r="O92" s="210" t="s">
        <v>1513</v>
      </c>
      <c r="P92" s="210" t="s">
        <v>1518</v>
      </c>
      <c r="Q92" s="210" t="s">
        <v>936</v>
      </c>
      <c r="R92" s="210">
        <v>4200</v>
      </c>
      <c r="S92" s="214">
        <v>101.455001831055</v>
      </c>
      <c r="T92" s="210" t="s">
        <v>1536</v>
      </c>
      <c r="U92" s="210">
        <v>5.6630000000000003</v>
      </c>
      <c r="V92" s="210" t="s">
        <v>1536</v>
      </c>
      <c r="W92" s="210">
        <v>197</v>
      </c>
      <c r="X92" s="210" t="s">
        <v>1536</v>
      </c>
      <c r="Y92" s="214">
        <v>101.98000335693401</v>
      </c>
      <c r="Z92" s="214">
        <v>101.26000213623</v>
      </c>
      <c r="AA92" s="210">
        <v>225</v>
      </c>
      <c r="AB92" s="210">
        <v>228</v>
      </c>
      <c r="AC92" s="210">
        <v>227</v>
      </c>
      <c r="AE92" s="210">
        <v>197</v>
      </c>
      <c r="AF92" s="212">
        <v>26</v>
      </c>
      <c r="AG92" s="212">
        <v>83561</v>
      </c>
      <c r="AH92" s="210" t="s">
        <v>3432</v>
      </c>
    </row>
    <row r="93" spans="5:34">
      <c r="E93" s="376"/>
      <c r="F93" s="376"/>
      <c r="G93" s="376"/>
      <c r="H93" s="376"/>
      <c r="I93" s="210" t="s">
        <v>3530</v>
      </c>
      <c r="J93" s="210" t="s">
        <v>3531</v>
      </c>
      <c r="K93" s="214">
        <v>5.25</v>
      </c>
      <c r="L93" s="210" t="s">
        <v>2931</v>
      </c>
      <c r="M93" s="210" t="s">
        <v>2932</v>
      </c>
      <c r="N93" s="210" t="s">
        <v>1452</v>
      </c>
      <c r="O93" s="210" t="s">
        <v>1452</v>
      </c>
      <c r="P93" s="210" t="s">
        <v>1518</v>
      </c>
      <c r="Q93" s="210" t="s">
        <v>936</v>
      </c>
      <c r="R93" s="210">
        <v>2810</v>
      </c>
      <c r="S93" s="214">
        <v>101.149002075195</v>
      </c>
      <c r="T93" s="210" t="s">
        <v>1536</v>
      </c>
      <c r="U93" s="210">
        <v>5.0960000000000001</v>
      </c>
      <c r="V93" s="210" t="s">
        <v>1536</v>
      </c>
      <c r="W93" s="210">
        <v>102</v>
      </c>
      <c r="X93" s="210" t="s">
        <v>1536</v>
      </c>
      <c r="Y93" s="214">
        <v>102.445999145508</v>
      </c>
      <c r="Z93" s="214">
        <v>101.112998962402</v>
      </c>
      <c r="AA93" s="210">
        <v>145</v>
      </c>
      <c r="AB93" s="210">
        <v>145</v>
      </c>
      <c r="AC93" s="210">
        <v>144</v>
      </c>
      <c r="AD93" s="210">
        <v>146</v>
      </c>
      <c r="AE93" s="210">
        <v>102</v>
      </c>
      <c r="AF93" s="212">
        <v>25</v>
      </c>
      <c r="AG93" s="212">
        <v>83166</v>
      </c>
      <c r="AH93" s="210" t="s">
        <v>3432</v>
      </c>
    </row>
    <row r="94" spans="5:34">
      <c r="E94" s="376"/>
      <c r="F94" s="376"/>
      <c r="G94" s="376"/>
      <c r="H94" s="376"/>
      <c r="I94" s="210" t="s">
        <v>3049</v>
      </c>
      <c r="J94" s="210" t="s">
        <v>3033</v>
      </c>
      <c r="K94" s="214">
        <v>4.8499999999999996</v>
      </c>
      <c r="L94" s="210" t="s">
        <v>2931</v>
      </c>
      <c r="M94" s="210" t="s">
        <v>2940</v>
      </c>
      <c r="N94" s="210" t="s">
        <v>1452</v>
      </c>
      <c r="O94" s="210" t="s">
        <v>1513</v>
      </c>
      <c r="P94" s="210" t="s">
        <v>1518</v>
      </c>
      <c r="Q94" s="210" t="s">
        <v>936</v>
      </c>
      <c r="R94" s="210" t="s">
        <v>2922</v>
      </c>
      <c r="S94" s="214">
        <v>98.862998962402301</v>
      </c>
      <c r="T94" s="210" t="s">
        <v>1536</v>
      </c>
      <c r="U94" s="210">
        <v>4.9950000000000001</v>
      </c>
      <c r="V94" s="210" t="s">
        <v>1536</v>
      </c>
      <c r="W94" s="210">
        <v>92</v>
      </c>
      <c r="X94" s="210" t="s">
        <v>1536</v>
      </c>
      <c r="Y94" s="214">
        <v>100.15699768066401</v>
      </c>
      <c r="Z94" s="214">
        <v>98.612998962402301</v>
      </c>
      <c r="AA94" s="210">
        <v>133</v>
      </c>
      <c r="AB94" s="210">
        <v>134</v>
      </c>
      <c r="AC94" s="210">
        <v>131</v>
      </c>
      <c r="AD94" s="210">
        <v>135</v>
      </c>
      <c r="AE94" s="210">
        <v>91</v>
      </c>
      <c r="AF94" s="212">
        <v>35</v>
      </c>
      <c r="AG94" s="212">
        <v>82823</v>
      </c>
      <c r="AH94" s="210" t="s">
        <v>3432</v>
      </c>
    </row>
    <row r="95" spans="5:34">
      <c r="E95" s="376"/>
      <c r="F95" s="376"/>
      <c r="G95" s="376"/>
      <c r="H95" s="376"/>
      <c r="I95" s="210" t="s">
        <v>3532</v>
      </c>
      <c r="J95" s="210" t="s">
        <v>3375</v>
      </c>
      <c r="K95" s="214">
        <v>4.3</v>
      </c>
      <c r="L95" s="210" t="s">
        <v>3533</v>
      </c>
      <c r="M95" s="210" t="s">
        <v>3534</v>
      </c>
      <c r="N95" s="210" t="s">
        <v>1452</v>
      </c>
      <c r="O95" s="210" t="s">
        <v>1513</v>
      </c>
      <c r="P95" s="210" t="s">
        <v>1518</v>
      </c>
      <c r="Q95" s="210" t="s">
        <v>936</v>
      </c>
      <c r="R95" s="210">
        <v>2700</v>
      </c>
      <c r="S95" s="214">
        <v>99.729400634765597</v>
      </c>
      <c r="T95" s="210" t="s">
        <v>1536</v>
      </c>
      <c r="U95" s="210">
        <v>4.3609999999999998</v>
      </c>
      <c r="V95" s="210" t="s">
        <v>1536</v>
      </c>
      <c r="W95" s="210">
        <v>67</v>
      </c>
      <c r="X95" s="210" t="s">
        <v>1536</v>
      </c>
      <c r="Y95" s="214">
        <v>99.892997741699205</v>
      </c>
      <c r="Z95" s="214">
        <v>99.556297302246094</v>
      </c>
      <c r="AA95" s="210">
        <v>96</v>
      </c>
      <c r="AB95" s="210">
        <v>98</v>
      </c>
      <c r="AC95" s="210">
        <v>95</v>
      </c>
      <c r="AD95" s="210">
        <v>98</v>
      </c>
      <c r="AE95" s="210">
        <v>67</v>
      </c>
      <c r="AF95" s="212">
        <v>47</v>
      </c>
      <c r="AG95" s="212">
        <v>82400</v>
      </c>
      <c r="AH95" s="210" t="s">
        <v>3432</v>
      </c>
    </row>
    <row r="96" spans="5:34">
      <c r="E96" s="376"/>
      <c r="F96" s="376"/>
      <c r="G96" s="376"/>
      <c r="H96" s="376"/>
      <c r="I96" s="210" t="s">
        <v>3535</v>
      </c>
      <c r="J96" s="210" t="s">
        <v>3442</v>
      </c>
      <c r="K96" s="214">
        <v>5.45</v>
      </c>
      <c r="L96" s="210" t="s">
        <v>3536</v>
      </c>
      <c r="M96" s="210" t="s">
        <v>2932</v>
      </c>
      <c r="N96" s="210" t="s">
        <v>1452</v>
      </c>
      <c r="O96" s="210" t="s">
        <v>1513</v>
      </c>
      <c r="P96" s="210" t="s">
        <v>1518</v>
      </c>
      <c r="Q96" s="210" t="s">
        <v>936</v>
      </c>
      <c r="R96" s="210" t="s">
        <v>2922</v>
      </c>
      <c r="S96" s="214">
        <v>101.61799621582</v>
      </c>
      <c r="T96" s="210" t="s">
        <v>1536</v>
      </c>
      <c r="U96" s="210">
        <v>5.2030000000000003</v>
      </c>
      <c r="V96" s="210" t="s">
        <v>1536</v>
      </c>
      <c r="W96" s="210">
        <v>111</v>
      </c>
      <c r="X96" s="210" t="s">
        <v>1536</v>
      </c>
      <c r="Y96" s="214">
        <v>101.998001098633</v>
      </c>
      <c r="Z96" s="214">
        <v>101.61799621582</v>
      </c>
      <c r="AA96" s="210">
        <v>162</v>
      </c>
      <c r="AB96" s="210">
        <v>163</v>
      </c>
      <c r="AC96" s="210">
        <v>162</v>
      </c>
      <c r="AD96" s="210">
        <v>164</v>
      </c>
      <c r="AE96" s="210">
        <v>123</v>
      </c>
      <c r="AF96" s="212">
        <v>26</v>
      </c>
      <c r="AG96" s="212">
        <v>81814</v>
      </c>
      <c r="AH96" s="210" t="s">
        <v>3432</v>
      </c>
    </row>
    <row r="97" spans="5:34">
      <c r="E97" s="376"/>
      <c r="F97" s="376"/>
      <c r="G97" s="376"/>
      <c r="H97" s="376"/>
      <c r="I97" s="210" t="s">
        <v>3537</v>
      </c>
      <c r="J97" s="210" t="s">
        <v>1616</v>
      </c>
      <c r="K97" s="214">
        <v>4.625</v>
      </c>
      <c r="L97" s="210" t="s">
        <v>3538</v>
      </c>
      <c r="M97" s="210" t="s">
        <v>2961</v>
      </c>
      <c r="N97" s="210" t="s">
        <v>1452</v>
      </c>
      <c r="O97" s="210" t="s">
        <v>1452</v>
      </c>
      <c r="P97" s="210" t="s">
        <v>1518</v>
      </c>
      <c r="Q97" s="210" t="s">
        <v>936</v>
      </c>
      <c r="R97" s="210">
        <v>3700</v>
      </c>
      <c r="S97" s="214">
        <v>97.778396606445298</v>
      </c>
      <c r="T97" s="210" t="s">
        <v>1536</v>
      </c>
      <c r="U97" s="210">
        <v>4.9089999999999998</v>
      </c>
      <c r="V97" s="210" t="s">
        <v>1536</v>
      </c>
      <c r="W97" s="210">
        <v>83</v>
      </c>
      <c r="X97" s="210" t="s">
        <v>1536</v>
      </c>
      <c r="Y97" s="214">
        <v>98.306999206542997</v>
      </c>
      <c r="Z97" s="214">
        <v>97.778396606445298</v>
      </c>
      <c r="AA97" s="210">
        <v>124</v>
      </c>
      <c r="AB97" s="210">
        <v>125</v>
      </c>
      <c r="AC97" s="210">
        <v>121</v>
      </c>
      <c r="AD97" s="210">
        <v>126</v>
      </c>
      <c r="AE97" s="210">
        <v>82</v>
      </c>
      <c r="AF97" s="212">
        <v>30</v>
      </c>
      <c r="AG97" s="212">
        <v>81540</v>
      </c>
      <c r="AH97" s="210" t="s">
        <v>3432</v>
      </c>
    </row>
    <row r="98" spans="5:34">
      <c r="E98" s="376"/>
      <c r="F98" s="376"/>
      <c r="G98" s="376"/>
      <c r="H98" s="376"/>
      <c r="I98" s="210" t="s">
        <v>2951</v>
      </c>
      <c r="J98" s="210" t="s">
        <v>1535</v>
      </c>
      <c r="K98" s="214">
        <v>5.5759999999999996</v>
      </c>
      <c r="L98" s="210" t="s">
        <v>2952</v>
      </c>
      <c r="M98" s="210" t="s">
        <v>2953</v>
      </c>
      <c r="N98" s="210" t="s">
        <v>1452</v>
      </c>
      <c r="O98" s="210" t="s">
        <v>1513</v>
      </c>
      <c r="P98" s="210" t="s">
        <v>1518</v>
      </c>
      <c r="Q98" s="210" t="s">
        <v>936</v>
      </c>
      <c r="R98" s="210">
        <v>1500</v>
      </c>
      <c r="S98" s="214">
        <v>103.65899658203099</v>
      </c>
      <c r="T98" s="210" t="s">
        <v>1536</v>
      </c>
      <c r="U98" s="210">
        <v>5.093</v>
      </c>
      <c r="V98" s="210" t="s">
        <v>1536</v>
      </c>
      <c r="W98" s="210">
        <v>101</v>
      </c>
      <c r="X98" s="210" t="s">
        <v>1536</v>
      </c>
      <c r="Y98" s="214">
        <v>105.080001831055</v>
      </c>
      <c r="Z98" s="214">
        <v>103.65899658203099</v>
      </c>
      <c r="AA98" s="210">
        <v>144</v>
      </c>
      <c r="AB98" s="210">
        <v>145</v>
      </c>
      <c r="AC98" s="210">
        <v>146</v>
      </c>
      <c r="AE98" s="210">
        <v>102</v>
      </c>
      <c r="AF98" s="212">
        <v>34</v>
      </c>
      <c r="AG98" s="212">
        <v>81369</v>
      </c>
      <c r="AH98" s="210" t="s">
        <v>3432</v>
      </c>
    </row>
    <row r="99" spans="5:34">
      <c r="E99" s="376"/>
      <c r="F99" s="376"/>
      <c r="G99" s="376"/>
      <c r="H99" s="376"/>
      <c r="I99" s="210" t="s">
        <v>3085</v>
      </c>
      <c r="J99" s="210" t="s">
        <v>3086</v>
      </c>
      <c r="K99" s="214">
        <v>5.5</v>
      </c>
      <c r="L99" s="210" t="s">
        <v>3087</v>
      </c>
      <c r="M99" s="210" t="s">
        <v>2953</v>
      </c>
      <c r="N99" s="210" t="s">
        <v>1452</v>
      </c>
      <c r="O99" s="210" t="s">
        <v>1513</v>
      </c>
      <c r="P99" s="210" t="s">
        <v>1518</v>
      </c>
      <c r="Q99" s="210" t="s">
        <v>936</v>
      </c>
      <c r="R99" s="210">
        <v>1896</v>
      </c>
      <c r="S99" s="214">
        <v>100.630996704102</v>
      </c>
      <c r="T99" s="210" t="s">
        <v>1536</v>
      </c>
      <c r="U99" s="210">
        <v>5.4560000000000004</v>
      </c>
      <c r="V99" s="210" t="s">
        <v>1536</v>
      </c>
      <c r="W99" s="210">
        <v>79</v>
      </c>
      <c r="X99" s="210" t="s">
        <v>1536</v>
      </c>
      <c r="Y99" s="214">
        <v>103.953002929688</v>
      </c>
      <c r="Z99" s="214">
        <v>100.630996704102</v>
      </c>
      <c r="AA99" s="210">
        <v>150</v>
      </c>
      <c r="AB99" s="210">
        <v>149</v>
      </c>
      <c r="AC99" s="210">
        <v>147</v>
      </c>
      <c r="AD99" s="210">
        <v>153</v>
      </c>
      <c r="AE99" s="210">
        <v>79</v>
      </c>
      <c r="AF99" s="212">
        <v>21</v>
      </c>
      <c r="AG99" s="212">
        <v>80796</v>
      </c>
      <c r="AH99" s="210" t="s">
        <v>3432</v>
      </c>
    </row>
    <row r="100" spans="5:34">
      <c r="E100" s="376"/>
      <c r="F100" s="376"/>
      <c r="G100" s="376"/>
      <c r="H100" s="376"/>
      <c r="I100" s="210" t="s">
        <v>3539</v>
      </c>
      <c r="J100" s="210" t="s">
        <v>1538</v>
      </c>
      <c r="K100" s="214">
        <v>4.8920000000000003</v>
      </c>
      <c r="L100" s="210" t="s">
        <v>3540</v>
      </c>
      <c r="M100" s="210" t="s">
        <v>2956</v>
      </c>
      <c r="N100" s="210" t="s">
        <v>1452</v>
      </c>
      <c r="O100" s="210" t="s">
        <v>1452</v>
      </c>
      <c r="P100" s="210" t="s">
        <v>1518</v>
      </c>
      <c r="Q100" s="210" t="s">
        <v>936</v>
      </c>
      <c r="R100" s="210">
        <v>2000</v>
      </c>
      <c r="S100" s="214">
        <v>100.095001220703</v>
      </c>
      <c r="T100" s="210" t="s">
        <v>1536</v>
      </c>
      <c r="U100" s="210">
        <v>4.8789999999999996</v>
      </c>
      <c r="V100" s="210" t="s">
        <v>1536</v>
      </c>
      <c r="W100" s="210">
        <v>79</v>
      </c>
      <c r="X100" s="210" t="s">
        <v>1536</v>
      </c>
      <c r="Y100" s="214">
        <v>101.040000915527</v>
      </c>
      <c r="Z100" s="214">
        <v>100.005996704102</v>
      </c>
      <c r="AA100" s="210">
        <v>120</v>
      </c>
      <c r="AB100" s="210">
        <v>121</v>
      </c>
      <c r="AC100" s="210">
        <v>119</v>
      </c>
      <c r="AE100" s="210">
        <v>78</v>
      </c>
      <c r="AF100" s="212">
        <v>28</v>
      </c>
      <c r="AG100" s="212">
        <v>79906</v>
      </c>
      <c r="AH100" s="210" t="s">
        <v>3432</v>
      </c>
    </row>
    <row r="101" spans="5:34">
      <c r="E101" s="376"/>
      <c r="F101" s="376"/>
      <c r="G101" s="376"/>
      <c r="H101" s="376"/>
      <c r="I101" s="210" t="s">
        <v>3541</v>
      </c>
      <c r="J101" s="210" t="s">
        <v>1564</v>
      </c>
      <c r="K101" s="214">
        <v>4.25</v>
      </c>
      <c r="L101" s="210" t="s">
        <v>3032</v>
      </c>
      <c r="M101" s="210" t="s">
        <v>2928</v>
      </c>
      <c r="N101" s="210" t="s">
        <v>1452</v>
      </c>
      <c r="O101" s="210" t="s">
        <v>1452</v>
      </c>
      <c r="P101" s="210" t="s">
        <v>1518</v>
      </c>
      <c r="Q101" s="210" t="s">
        <v>936</v>
      </c>
      <c r="R101" s="210">
        <v>2000</v>
      </c>
      <c r="S101" s="214">
        <v>100.098999023438</v>
      </c>
      <c r="T101" s="210" t="s">
        <v>1536</v>
      </c>
      <c r="U101" s="210">
        <v>4.2270000000000003</v>
      </c>
      <c r="V101" s="210" t="s">
        <v>1536</v>
      </c>
      <c r="W101" s="210">
        <v>54</v>
      </c>
      <c r="X101" s="210" t="s">
        <v>1536</v>
      </c>
      <c r="Y101" s="214">
        <v>100.967002868652</v>
      </c>
      <c r="Z101" s="214">
        <v>100.098999023438</v>
      </c>
      <c r="AA101" s="210">
        <v>81</v>
      </c>
      <c r="AB101" s="210">
        <v>82</v>
      </c>
      <c r="AC101" s="210">
        <v>81</v>
      </c>
      <c r="AD101" s="210">
        <v>83</v>
      </c>
      <c r="AE101" s="210">
        <v>50</v>
      </c>
      <c r="AF101" s="212">
        <v>26</v>
      </c>
      <c r="AG101" s="212">
        <v>79856</v>
      </c>
      <c r="AH101" s="210" t="s">
        <v>3432</v>
      </c>
    </row>
    <row r="102" spans="5:34">
      <c r="E102" s="376"/>
      <c r="F102" s="376"/>
      <c r="G102" s="376"/>
      <c r="H102" s="376"/>
      <c r="I102" s="210" t="s">
        <v>3542</v>
      </c>
      <c r="J102" s="210" t="s">
        <v>3543</v>
      </c>
      <c r="K102" s="214">
        <v>5.5</v>
      </c>
      <c r="L102" s="210" t="s">
        <v>3076</v>
      </c>
      <c r="M102" s="210" t="s">
        <v>2940</v>
      </c>
      <c r="N102" s="210" t="s">
        <v>1452</v>
      </c>
      <c r="O102" s="210" t="s">
        <v>1452</v>
      </c>
      <c r="P102" s="210" t="s">
        <v>1518</v>
      </c>
      <c r="Q102" s="210" t="s">
        <v>936</v>
      </c>
      <c r="R102" s="210">
        <v>2600</v>
      </c>
      <c r="S102" s="214">
        <v>101.86399841308599</v>
      </c>
      <c r="T102" s="210" t="s">
        <v>1536</v>
      </c>
      <c r="U102" s="210">
        <v>5.2519999999999998</v>
      </c>
      <c r="V102" s="210" t="s">
        <v>1536</v>
      </c>
      <c r="W102" s="210">
        <v>117</v>
      </c>
      <c r="X102" s="210" t="s">
        <v>1536</v>
      </c>
      <c r="Y102" s="214">
        <v>103.19499969482401</v>
      </c>
      <c r="Z102" s="214">
        <v>101.580001831055</v>
      </c>
      <c r="AA102" s="210">
        <v>161</v>
      </c>
      <c r="AB102" s="210">
        <v>161</v>
      </c>
      <c r="AC102" s="210">
        <v>161</v>
      </c>
      <c r="AD102" s="210">
        <v>162</v>
      </c>
      <c r="AE102" s="210">
        <v>118</v>
      </c>
      <c r="AF102" s="212">
        <v>35</v>
      </c>
      <c r="AG102" s="212">
        <v>79603</v>
      </c>
      <c r="AH102" s="210" t="s">
        <v>3432</v>
      </c>
    </row>
    <row r="103" spans="5:34">
      <c r="E103" s="376"/>
      <c r="F103" s="376"/>
      <c r="G103" s="376"/>
      <c r="H103" s="376"/>
      <c r="I103" s="210" t="s">
        <v>3093</v>
      </c>
      <c r="J103" s="210" t="s">
        <v>2989</v>
      </c>
      <c r="K103" s="214">
        <v>4.7</v>
      </c>
      <c r="L103" s="210" t="s">
        <v>3094</v>
      </c>
      <c r="M103" s="210" t="s">
        <v>2953</v>
      </c>
      <c r="N103" s="210" t="s">
        <v>1452</v>
      </c>
      <c r="O103" s="210" t="s">
        <v>1513</v>
      </c>
      <c r="P103" s="210" t="s">
        <v>1172</v>
      </c>
      <c r="Q103" s="210" t="s">
        <v>936</v>
      </c>
      <c r="R103" s="210">
        <v>4300</v>
      </c>
      <c r="S103" s="214">
        <v>99.614997863769503</v>
      </c>
      <c r="T103" s="210" t="s">
        <v>1536</v>
      </c>
      <c r="U103" s="210">
        <v>4.7469999999999999</v>
      </c>
      <c r="V103" s="210" t="s">
        <v>1536</v>
      </c>
      <c r="W103" s="210">
        <v>65</v>
      </c>
      <c r="X103" s="210" t="s">
        <v>1536</v>
      </c>
      <c r="Y103" s="214">
        <v>100.63500213623</v>
      </c>
      <c r="Z103" s="214">
        <v>99.063301086425795</v>
      </c>
      <c r="AA103" s="210">
        <v>105</v>
      </c>
      <c r="AB103" s="210">
        <v>106</v>
      </c>
      <c r="AC103" s="210">
        <v>104</v>
      </c>
      <c r="AD103" s="210">
        <v>108</v>
      </c>
      <c r="AE103" s="210">
        <v>63</v>
      </c>
      <c r="AF103" s="212">
        <v>23</v>
      </c>
      <c r="AG103" s="212">
        <v>79535</v>
      </c>
      <c r="AH103" s="210" t="s">
        <v>3432</v>
      </c>
    </row>
    <row r="104" spans="5:34">
      <c r="E104" s="376"/>
      <c r="F104" s="376"/>
      <c r="G104" s="376"/>
      <c r="H104" s="376"/>
      <c r="I104" s="210" t="s">
        <v>3046</v>
      </c>
      <c r="J104" s="210" t="s">
        <v>2945</v>
      </c>
      <c r="K104" s="214">
        <v>6.1</v>
      </c>
      <c r="L104" s="210" t="s">
        <v>3047</v>
      </c>
      <c r="M104" s="210" t="s">
        <v>2932</v>
      </c>
      <c r="N104" s="210" t="s">
        <v>1452</v>
      </c>
      <c r="O104" s="210" t="s">
        <v>876</v>
      </c>
      <c r="P104" s="210" t="s">
        <v>1518</v>
      </c>
      <c r="Q104" s="210" t="s">
        <v>936</v>
      </c>
      <c r="R104" s="210" t="s">
        <v>2922</v>
      </c>
      <c r="S104" s="214">
        <v>95.068801879882798</v>
      </c>
      <c r="T104" s="210" t="s">
        <v>1536</v>
      </c>
      <c r="U104" s="210">
        <v>6.4450000000000003</v>
      </c>
      <c r="V104" s="210" t="s">
        <v>1536</v>
      </c>
      <c r="W104" s="210">
        <v>179</v>
      </c>
      <c r="X104" s="210" t="s">
        <v>1536</v>
      </c>
      <c r="Y104" s="214">
        <v>99.091003417968807</v>
      </c>
      <c r="Z104" s="214">
        <v>95.068801879882798</v>
      </c>
      <c r="AA104" s="210">
        <v>258</v>
      </c>
      <c r="AB104" s="210">
        <v>262</v>
      </c>
      <c r="AC104" s="210">
        <v>248</v>
      </c>
      <c r="AD104" s="210">
        <v>254</v>
      </c>
      <c r="AE104" s="210">
        <v>179</v>
      </c>
      <c r="AF104" s="212">
        <v>27</v>
      </c>
      <c r="AG104" s="212">
        <v>78879</v>
      </c>
      <c r="AH104" s="210" t="s">
        <v>3432</v>
      </c>
    </row>
    <row r="105" spans="5:34">
      <c r="E105" s="376"/>
      <c r="F105" s="376"/>
      <c r="G105" s="376"/>
      <c r="H105" s="376"/>
      <c r="I105" s="210" t="s">
        <v>3055</v>
      </c>
      <c r="J105" s="210" t="s">
        <v>3050</v>
      </c>
      <c r="K105" s="214">
        <v>4.8940000000000001</v>
      </c>
      <c r="L105" s="210" t="s">
        <v>3056</v>
      </c>
      <c r="M105" s="210" t="s">
        <v>2953</v>
      </c>
      <c r="N105" s="210" t="s">
        <v>1452</v>
      </c>
      <c r="O105" s="210" t="s">
        <v>1452</v>
      </c>
      <c r="P105" s="210" t="s">
        <v>1518</v>
      </c>
      <c r="Q105" s="210" t="s">
        <v>936</v>
      </c>
      <c r="R105" s="210">
        <v>4000</v>
      </c>
      <c r="S105" s="214">
        <v>99.345001220703097</v>
      </c>
      <c r="T105" s="210" t="s">
        <v>1536</v>
      </c>
      <c r="U105" s="210">
        <v>4.9669999999999996</v>
      </c>
      <c r="V105" s="210" t="s">
        <v>1536</v>
      </c>
      <c r="W105" s="210">
        <v>89</v>
      </c>
      <c r="X105" s="210" t="s">
        <v>1536</v>
      </c>
      <c r="Y105" s="214">
        <v>101.574996948242</v>
      </c>
      <c r="Z105" s="214">
        <v>99.345001220703097</v>
      </c>
      <c r="AA105" s="210">
        <v>121</v>
      </c>
      <c r="AB105" s="210">
        <v>121</v>
      </c>
      <c r="AC105" s="210">
        <v>119</v>
      </c>
      <c r="AD105" s="210">
        <v>126</v>
      </c>
      <c r="AE105" s="210">
        <v>77</v>
      </c>
      <c r="AF105" s="212">
        <v>25</v>
      </c>
      <c r="AG105" s="212">
        <v>78605</v>
      </c>
      <c r="AH105" s="210" t="s">
        <v>3432</v>
      </c>
    </row>
    <row r="106" spans="5:34">
      <c r="E106" s="376"/>
      <c r="F106" s="376"/>
      <c r="G106" s="376"/>
      <c r="H106" s="376"/>
      <c r="I106" s="210" t="s">
        <v>3544</v>
      </c>
      <c r="J106" s="210" t="s">
        <v>1539</v>
      </c>
      <c r="K106" s="214">
        <v>4.734</v>
      </c>
      <c r="L106" s="210" t="s">
        <v>3545</v>
      </c>
      <c r="M106" s="210" t="s">
        <v>2928</v>
      </c>
      <c r="N106" s="210" t="s">
        <v>1452</v>
      </c>
      <c r="O106" s="210" t="s">
        <v>1513</v>
      </c>
      <c r="P106" s="210" t="s">
        <v>1518</v>
      </c>
      <c r="Q106" s="210" t="s">
        <v>936</v>
      </c>
      <c r="R106" s="210">
        <v>1300</v>
      </c>
      <c r="S106" s="214">
        <v>101.646003723145</v>
      </c>
      <c r="T106" s="210" t="s">
        <v>1536</v>
      </c>
      <c r="U106" s="210">
        <v>4.3419999999999996</v>
      </c>
      <c r="V106" s="210" t="s">
        <v>1536</v>
      </c>
      <c r="W106" s="210">
        <v>64</v>
      </c>
      <c r="X106" s="210" t="s">
        <v>1536</v>
      </c>
      <c r="Y106" s="214">
        <v>102.101997375488</v>
      </c>
      <c r="Z106" s="214">
        <v>101.582000732422</v>
      </c>
      <c r="AA106" s="210">
        <v>94</v>
      </c>
      <c r="AB106" s="210">
        <v>96</v>
      </c>
      <c r="AC106" s="210">
        <v>95</v>
      </c>
      <c r="AD106" s="210">
        <v>94</v>
      </c>
      <c r="AE106" s="210">
        <v>65</v>
      </c>
      <c r="AF106" s="212">
        <v>22</v>
      </c>
      <c r="AG106" s="212">
        <v>78105</v>
      </c>
      <c r="AH106" s="210" t="s">
        <v>3432</v>
      </c>
    </row>
    <row r="107" spans="5:34">
      <c r="E107" s="376"/>
      <c r="F107" s="376"/>
      <c r="G107" s="376"/>
      <c r="H107" s="376"/>
      <c r="I107" s="210" t="s">
        <v>3546</v>
      </c>
      <c r="J107" s="210" t="s">
        <v>1540</v>
      </c>
      <c r="K107" s="214">
        <v>6.484</v>
      </c>
      <c r="L107" s="210" t="s">
        <v>3547</v>
      </c>
      <c r="M107" s="210" t="s">
        <v>2930</v>
      </c>
      <c r="N107" s="210" t="s">
        <v>1452</v>
      </c>
      <c r="O107" s="210" t="s">
        <v>1513</v>
      </c>
      <c r="P107" s="210" t="s">
        <v>1518</v>
      </c>
      <c r="Q107" s="210" t="s">
        <v>936</v>
      </c>
      <c r="R107" s="210" t="s">
        <v>2922</v>
      </c>
      <c r="S107" s="214">
        <v>106.30300140380901</v>
      </c>
      <c r="T107" s="210" t="s">
        <v>1536</v>
      </c>
      <c r="U107" s="210">
        <v>4.2069999999999999</v>
      </c>
      <c r="V107" s="210" t="s">
        <v>1536</v>
      </c>
      <c r="W107" s="210">
        <v>63</v>
      </c>
      <c r="X107" s="210" t="s">
        <v>1536</v>
      </c>
      <c r="Y107" s="214">
        <v>106.612998962402</v>
      </c>
      <c r="Z107" s="214">
        <v>106.177001953125</v>
      </c>
      <c r="AA107" s="210">
        <v>85</v>
      </c>
      <c r="AB107" s="210">
        <v>88</v>
      </c>
      <c r="AC107" s="210">
        <v>89</v>
      </c>
      <c r="AE107" s="210">
        <v>63</v>
      </c>
      <c r="AF107" s="212">
        <v>20</v>
      </c>
      <c r="AG107" s="212">
        <v>78008</v>
      </c>
      <c r="AH107" s="210" t="s">
        <v>3432</v>
      </c>
    </row>
    <row r="108" spans="5:34">
      <c r="E108" s="376"/>
      <c r="F108" s="376"/>
      <c r="G108" s="376"/>
      <c r="H108" s="376"/>
      <c r="I108" s="210" t="s">
        <v>3548</v>
      </c>
      <c r="J108" s="210" t="s">
        <v>3442</v>
      </c>
      <c r="K108" s="214">
        <v>5.6</v>
      </c>
      <c r="L108" s="210" t="s">
        <v>3040</v>
      </c>
      <c r="M108" s="210" t="s">
        <v>2932</v>
      </c>
      <c r="N108" s="210" t="s">
        <v>1452</v>
      </c>
      <c r="O108" s="210" t="s">
        <v>1452</v>
      </c>
      <c r="P108" s="210" t="s">
        <v>1518</v>
      </c>
      <c r="Q108" s="210" t="s">
        <v>936</v>
      </c>
      <c r="R108" s="210">
        <v>1200</v>
      </c>
      <c r="S108" s="214">
        <v>102.962997436523</v>
      </c>
      <c r="T108" s="210" t="s">
        <v>1536</v>
      </c>
      <c r="U108" s="210">
        <v>5.0960000000000001</v>
      </c>
      <c r="V108" s="210" t="s">
        <v>1536</v>
      </c>
      <c r="W108" s="210">
        <v>100</v>
      </c>
      <c r="X108" s="210" t="s">
        <v>1536</v>
      </c>
      <c r="Y108" s="214">
        <v>105.744003295898</v>
      </c>
      <c r="Z108" s="214">
        <v>102.962997436523</v>
      </c>
      <c r="AA108" s="210">
        <v>157</v>
      </c>
      <c r="AB108" s="210">
        <v>159</v>
      </c>
      <c r="AC108" s="210">
        <v>159</v>
      </c>
      <c r="AD108" s="210">
        <v>159</v>
      </c>
      <c r="AE108" s="210">
        <v>120</v>
      </c>
      <c r="AF108" s="212">
        <v>21</v>
      </c>
      <c r="AG108" s="212">
        <v>76628</v>
      </c>
      <c r="AH108" s="210" t="s">
        <v>3432</v>
      </c>
    </row>
    <row r="109" spans="5:34">
      <c r="E109" s="376"/>
      <c r="F109" s="376"/>
      <c r="G109" s="376"/>
      <c r="H109" s="376"/>
      <c r="I109" s="210" t="s">
        <v>3272</v>
      </c>
      <c r="J109" s="210" t="s">
        <v>1541</v>
      </c>
      <c r="K109" s="214">
        <v>6.25</v>
      </c>
      <c r="L109" s="210" t="s">
        <v>2954</v>
      </c>
      <c r="M109" s="210" t="s">
        <v>2950</v>
      </c>
      <c r="N109" s="210" t="s">
        <v>1452</v>
      </c>
      <c r="O109" s="210" t="s">
        <v>1452</v>
      </c>
      <c r="P109" s="210" t="s">
        <v>1518</v>
      </c>
      <c r="Q109" s="210" t="s">
        <v>936</v>
      </c>
      <c r="R109" s="210">
        <v>2374</v>
      </c>
      <c r="S109" s="214">
        <v>101.708000183105</v>
      </c>
      <c r="T109" s="210" t="s">
        <v>1536</v>
      </c>
      <c r="U109" s="210">
        <v>5.8339999999999996</v>
      </c>
      <c r="V109" s="210" t="s">
        <v>1536</v>
      </c>
      <c r="W109" s="210">
        <v>217</v>
      </c>
      <c r="X109" s="210" t="s">
        <v>1536</v>
      </c>
      <c r="Y109" s="214">
        <v>101.949996948242</v>
      </c>
      <c r="Z109" s="214">
        <v>101.625</v>
      </c>
      <c r="AA109" s="210">
        <v>244</v>
      </c>
      <c r="AB109" s="210">
        <v>244</v>
      </c>
      <c r="AC109" s="210">
        <v>246</v>
      </c>
      <c r="AD109" s="210">
        <v>245</v>
      </c>
      <c r="AE109" s="210">
        <v>214</v>
      </c>
      <c r="AF109" s="212">
        <v>24</v>
      </c>
      <c r="AG109" s="212">
        <v>76564</v>
      </c>
      <c r="AH109" s="210" t="s">
        <v>3432</v>
      </c>
    </row>
    <row r="110" spans="5:34">
      <c r="E110" s="376"/>
      <c r="F110" s="376"/>
      <c r="G110" s="376"/>
      <c r="H110" s="376"/>
      <c r="I110" s="210" t="s">
        <v>3549</v>
      </c>
      <c r="J110" s="210" t="s">
        <v>3442</v>
      </c>
      <c r="K110" s="214">
        <v>5.625</v>
      </c>
      <c r="L110" s="210" t="s">
        <v>3550</v>
      </c>
      <c r="M110" s="210" t="s">
        <v>2932</v>
      </c>
      <c r="N110" s="210" t="s">
        <v>1452</v>
      </c>
      <c r="O110" s="210" t="s">
        <v>1513</v>
      </c>
      <c r="P110" s="210" t="s">
        <v>1518</v>
      </c>
      <c r="Q110" s="210" t="s">
        <v>936</v>
      </c>
      <c r="R110" s="210">
        <v>5000</v>
      </c>
      <c r="S110" s="214">
        <v>103.18399810791</v>
      </c>
      <c r="T110" s="210" t="s">
        <v>1536</v>
      </c>
      <c r="U110" s="210">
        <v>5.1109999999999998</v>
      </c>
      <c r="V110" s="210" t="s">
        <v>1536</v>
      </c>
      <c r="W110" s="210">
        <v>102</v>
      </c>
      <c r="X110" s="210" t="s">
        <v>1536</v>
      </c>
      <c r="Y110" s="214">
        <v>103.83399963378901</v>
      </c>
      <c r="Z110" s="214">
        <v>103.18399810791</v>
      </c>
      <c r="AA110" s="210">
        <v>156</v>
      </c>
      <c r="AB110" s="210">
        <v>158</v>
      </c>
      <c r="AC110" s="210">
        <v>158</v>
      </c>
      <c r="AD110" s="210">
        <v>158</v>
      </c>
      <c r="AE110" s="210">
        <v>118</v>
      </c>
      <c r="AF110" s="212">
        <v>20</v>
      </c>
      <c r="AG110" s="212">
        <v>76511</v>
      </c>
      <c r="AH110" s="210" t="s">
        <v>3432</v>
      </c>
    </row>
    <row r="111" spans="5:34">
      <c r="E111" s="376"/>
      <c r="F111" s="376"/>
      <c r="G111" s="376"/>
      <c r="H111" s="376"/>
      <c r="I111" s="210" t="s">
        <v>3551</v>
      </c>
      <c r="J111" s="210" t="s">
        <v>3312</v>
      </c>
      <c r="K111" s="214">
        <v>5.25</v>
      </c>
      <c r="L111" s="210" t="s">
        <v>3552</v>
      </c>
      <c r="M111" s="210" t="s">
        <v>2985</v>
      </c>
      <c r="N111" s="210" t="s">
        <v>1452</v>
      </c>
      <c r="O111" s="210" t="s">
        <v>1452</v>
      </c>
      <c r="P111" s="210" t="s">
        <v>1518</v>
      </c>
      <c r="Q111" s="210" t="s">
        <v>936</v>
      </c>
      <c r="R111" s="210">
        <v>1250</v>
      </c>
      <c r="S111" s="214">
        <v>98.850997924804702</v>
      </c>
      <c r="T111" s="210" t="s">
        <v>1536</v>
      </c>
      <c r="U111" s="210">
        <v>5.3280000000000003</v>
      </c>
      <c r="V111" s="210" t="s">
        <v>1536</v>
      </c>
      <c r="W111" s="210">
        <v>66</v>
      </c>
      <c r="X111" s="210" t="s">
        <v>1536</v>
      </c>
      <c r="Y111" s="214">
        <v>101.54599761962901</v>
      </c>
      <c r="Z111" s="214">
        <v>98.850997924804702</v>
      </c>
      <c r="AA111" s="210">
        <v>137</v>
      </c>
      <c r="AB111" s="210">
        <v>137</v>
      </c>
      <c r="AC111" s="210">
        <v>133</v>
      </c>
      <c r="AD111" s="210">
        <v>140</v>
      </c>
      <c r="AE111" s="210">
        <v>67</v>
      </c>
      <c r="AF111" s="212">
        <v>18</v>
      </c>
      <c r="AG111" s="212">
        <v>76500</v>
      </c>
      <c r="AH111" s="210" t="s">
        <v>3432</v>
      </c>
    </row>
    <row r="112" spans="5:34">
      <c r="E112" s="376"/>
      <c r="F112" s="376"/>
      <c r="G112" s="376"/>
      <c r="H112" s="376"/>
      <c r="I112" s="210" t="s">
        <v>3553</v>
      </c>
      <c r="J112" s="210" t="s">
        <v>1555</v>
      </c>
      <c r="K112" s="214">
        <v>5.3</v>
      </c>
      <c r="L112" s="210" t="s">
        <v>3318</v>
      </c>
      <c r="M112" s="210" t="s">
        <v>2953</v>
      </c>
      <c r="N112" s="210" t="s">
        <v>1452</v>
      </c>
      <c r="O112" s="210" t="s">
        <v>1452</v>
      </c>
      <c r="P112" s="210" t="s">
        <v>1518</v>
      </c>
      <c r="Q112" s="210" t="s">
        <v>936</v>
      </c>
      <c r="R112" s="210">
        <v>2900</v>
      </c>
      <c r="S112" s="214">
        <v>102.28199768066401</v>
      </c>
      <c r="T112" s="210" t="s">
        <v>1536</v>
      </c>
      <c r="U112" s="210">
        <v>4.99</v>
      </c>
      <c r="V112" s="210" t="s">
        <v>1536</v>
      </c>
      <c r="W112" s="210">
        <v>90</v>
      </c>
      <c r="X112" s="210" t="s">
        <v>1536</v>
      </c>
      <c r="Y112" s="214">
        <v>103.11199951171901</v>
      </c>
      <c r="Z112" s="214">
        <v>102.03099822998</v>
      </c>
      <c r="AA112" s="210">
        <v>135</v>
      </c>
      <c r="AB112" s="210">
        <v>136</v>
      </c>
      <c r="AC112" s="210">
        <v>135</v>
      </c>
      <c r="AD112" s="210">
        <v>136</v>
      </c>
      <c r="AE112" s="210">
        <v>93</v>
      </c>
      <c r="AF112" s="212">
        <v>26</v>
      </c>
      <c r="AG112" s="212">
        <v>76200</v>
      </c>
      <c r="AH112" s="210" t="s">
        <v>3432</v>
      </c>
    </row>
    <row r="113" spans="5:34">
      <c r="E113" s="376"/>
      <c r="F113" s="376"/>
      <c r="G113" s="376"/>
      <c r="H113" s="376"/>
      <c r="I113" s="210" t="s">
        <v>3554</v>
      </c>
      <c r="J113" s="210" t="s">
        <v>3555</v>
      </c>
      <c r="K113" s="214">
        <v>4.9000000000000004</v>
      </c>
      <c r="L113" s="210" t="s">
        <v>3103</v>
      </c>
      <c r="M113" s="210" t="s">
        <v>3041</v>
      </c>
      <c r="N113" s="210" t="s">
        <v>1452</v>
      </c>
      <c r="O113" s="210" t="s">
        <v>876</v>
      </c>
      <c r="P113" s="210" t="s">
        <v>1172</v>
      </c>
      <c r="Q113" s="210" t="s">
        <v>936</v>
      </c>
      <c r="R113" s="210">
        <v>2000</v>
      </c>
      <c r="S113" s="214">
        <v>102.85500335693401</v>
      </c>
      <c r="T113" s="210" t="s">
        <v>1536</v>
      </c>
      <c r="U113" s="210">
        <v>4.4930000000000003</v>
      </c>
      <c r="V113" s="210" t="s">
        <v>1536</v>
      </c>
      <c r="W113" s="210">
        <v>41</v>
      </c>
      <c r="X113" s="210" t="s">
        <v>1536</v>
      </c>
      <c r="Y113" s="214">
        <v>104.10500335693401</v>
      </c>
      <c r="Z113" s="214">
        <v>102.556999206543</v>
      </c>
      <c r="AA113" s="210">
        <v>90</v>
      </c>
      <c r="AB113" s="210">
        <v>92</v>
      </c>
      <c r="AC113" s="210">
        <v>91</v>
      </c>
      <c r="AD113" s="210">
        <v>92</v>
      </c>
      <c r="AE113" s="210">
        <v>51</v>
      </c>
      <c r="AF113" s="212">
        <v>27</v>
      </c>
      <c r="AG113" s="212">
        <v>75918</v>
      </c>
      <c r="AH113" s="210" t="s">
        <v>3432</v>
      </c>
    </row>
    <row r="114" spans="5:34">
      <c r="E114" s="376"/>
      <c r="F114" s="376"/>
      <c r="G114" s="376"/>
      <c r="H114" s="376"/>
      <c r="I114" s="210" t="s">
        <v>3061</v>
      </c>
      <c r="J114" s="210" t="s">
        <v>1452</v>
      </c>
      <c r="K114" s="214">
        <v>6.2</v>
      </c>
      <c r="L114" s="210" t="s">
        <v>3062</v>
      </c>
      <c r="M114" s="210" t="s">
        <v>2942</v>
      </c>
      <c r="N114" s="210" t="s">
        <v>1452</v>
      </c>
      <c r="O114" s="210" t="s">
        <v>1452</v>
      </c>
      <c r="P114" s="210" t="s">
        <v>1518</v>
      </c>
      <c r="Q114" s="210" t="s">
        <v>936</v>
      </c>
      <c r="R114" s="210">
        <v>1100</v>
      </c>
      <c r="S114" s="214">
        <v>101.018997192383</v>
      </c>
      <c r="T114" s="210" t="s">
        <v>1536</v>
      </c>
      <c r="U114" s="210">
        <v>6.0620000000000003</v>
      </c>
      <c r="V114" s="210" t="s">
        <v>1536</v>
      </c>
      <c r="W114" s="210">
        <v>197</v>
      </c>
      <c r="X114" s="210" t="s">
        <v>1536</v>
      </c>
      <c r="Y114" s="214">
        <v>101.875</v>
      </c>
      <c r="Z114" s="214">
        <v>101.018997192383</v>
      </c>
      <c r="AA114" s="210">
        <v>239</v>
      </c>
      <c r="AB114" s="210">
        <v>239</v>
      </c>
      <c r="AC114" s="210">
        <v>238</v>
      </c>
      <c r="AE114" s="210">
        <v>196</v>
      </c>
      <c r="AF114" s="212">
        <v>29</v>
      </c>
      <c r="AG114" s="212">
        <v>75663</v>
      </c>
      <c r="AH114" s="210" t="s">
        <v>3432</v>
      </c>
    </row>
    <row r="115" spans="5:34">
      <c r="E115" s="376"/>
      <c r="F115" s="376"/>
      <c r="G115" s="376"/>
      <c r="H115" s="376"/>
      <c r="I115" s="210" t="s">
        <v>3053</v>
      </c>
      <c r="J115" s="210" t="s">
        <v>1564</v>
      </c>
      <c r="K115" s="214">
        <v>4.9000000000000004</v>
      </c>
      <c r="L115" s="210" t="s">
        <v>2931</v>
      </c>
      <c r="M115" s="210" t="s">
        <v>2928</v>
      </c>
      <c r="N115" s="210" t="s">
        <v>1452</v>
      </c>
      <c r="O115" s="210" t="s">
        <v>1513</v>
      </c>
      <c r="P115" s="210" t="s">
        <v>1518</v>
      </c>
      <c r="Q115" s="210" t="s">
        <v>936</v>
      </c>
      <c r="R115" s="210" t="s">
        <v>2922</v>
      </c>
      <c r="S115" s="214">
        <v>101.731002807617</v>
      </c>
      <c r="T115" s="210" t="s">
        <v>1536</v>
      </c>
      <c r="U115" s="210">
        <v>4.6740000000000004</v>
      </c>
      <c r="V115" s="210" t="s">
        <v>1536</v>
      </c>
      <c r="W115" s="210">
        <v>59</v>
      </c>
      <c r="X115" s="210" t="s">
        <v>1536</v>
      </c>
      <c r="Y115" s="214">
        <v>102.83599853515599</v>
      </c>
      <c r="Z115" s="214">
        <v>101.584999084473</v>
      </c>
      <c r="AA115" s="210">
        <v>102</v>
      </c>
      <c r="AB115" s="210">
        <v>103</v>
      </c>
      <c r="AC115" s="210">
        <v>102</v>
      </c>
      <c r="AD115" s="210">
        <v>103</v>
      </c>
      <c r="AE115" s="210">
        <v>60</v>
      </c>
      <c r="AF115" s="212">
        <v>23</v>
      </c>
      <c r="AG115" s="212">
        <v>75391</v>
      </c>
      <c r="AH115" s="210" t="s">
        <v>3432</v>
      </c>
    </row>
    <row r="116" spans="5:34">
      <c r="E116" s="376"/>
      <c r="F116" s="376"/>
      <c r="G116" s="376"/>
      <c r="H116" s="376"/>
      <c r="I116" s="210" t="s">
        <v>3556</v>
      </c>
      <c r="J116" s="210" t="s">
        <v>3442</v>
      </c>
      <c r="K116" s="214">
        <v>5.15</v>
      </c>
      <c r="L116" s="210" t="s">
        <v>3557</v>
      </c>
      <c r="M116" s="210" t="s">
        <v>2932</v>
      </c>
      <c r="N116" s="210" t="s">
        <v>1452</v>
      </c>
      <c r="O116" s="210" t="s">
        <v>1452</v>
      </c>
      <c r="P116" s="210" t="s">
        <v>1518</v>
      </c>
      <c r="Q116" s="210" t="s">
        <v>936</v>
      </c>
      <c r="R116" s="210">
        <v>1800</v>
      </c>
      <c r="S116" s="214">
        <v>99.327003479003906</v>
      </c>
      <c r="T116" s="210" t="s">
        <v>1536</v>
      </c>
      <c r="U116" s="210">
        <v>5.2450000000000001</v>
      </c>
      <c r="V116" s="210" t="s">
        <v>1536</v>
      </c>
      <c r="W116" s="210">
        <v>117</v>
      </c>
      <c r="X116" s="210" t="s">
        <v>1536</v>
      </c>
      <c r="Y116" s="214">
        <v>100.021003723145</v>
      </c>
      <c r="Z116" s="214">
        <v>99.281997680664105</v>
      </c>
      <c r="AA116" s="210">
        <v>164</v>
      </c>
      <c r="AB116" s="210">
        <v>166</v>
      </c>
      <c r="AC116" s="210">
        <v>162</v>
      </c>
      <c r="AD116" s="210">
        <v>167</v>
      </c>
      <c r="AE116" s="210">
        <v>124</v>
      </c>
      <c r="AF116" s="212">
        <v>26</v>
      </c>
      <c r="AG116" s="212">
        <v>75224</v>
      </c>
      <c r="AH116" s="210" t="s">
        <v>3432</v>
      </c>
    </row>
    <row r="117" spans="5:34">
      <c r="E117" s="376"/>
      <c r="F117" s="376"/>
      <c r="G117" s="376"/>
      <c r="H117" s="376"/>
      <c r="I117" s="210" t="s">
        <v>3558</v>
      </c>
      <c r="J117" s="210" t="s">
        <v>2945</v>
      </c>
      <c r="K117" s="214">
        <v>3.85</v>
      </c>
      <c r="L117" s="210" t="s">
        <v>3559</v>
      </c>
      <c r="M117" s="210" t="s">
        <v>2932</v>
      </c>
      <c r="N117" s="210" t="s">
        <v>1452</v>
      </c>
      <c r="O117" s="210" t="s">
        <v>1452</v>
      </c>
      <c r="P117" s="210" t="s">
        <v>1518</v>
      </c>
      <c r="Q117" s="210" t="s">
        <v>936</v>
      </c>
      <c r="R117" s="210">
        <v>4800</v>
      </c>
      <c r="S117" s="214">
        <v>66.152000427246094</v>
      </c>
      <c r="T117" s="210" t="s">
        <v>1536</v>
      </c>
      <c r="U117" s="210">
        <v>6.2560000000000002</v>
      </c>
      <c r="V117" s="210" t="s">
        <v>1536</v>
      </c>
      <c r="W117" s="210">
        <v>159</v>
      </c>
      <c r="X117" s="210" t="s">
        <v>1536</v>
      </c>
      <c r="Y117" s="214">
        <v>68.748001098632798</v>
      </c>
      <c r="Z117" s="214">
        <v>66.152000427246094</v>
      </c>
      <c r="AA117" s="210">
        <v>235</v>
      </c>
      <c r="AB117" s="210">
        <v>236</v>
      </c>
      <c r="AC117" s="210">
        <v>172</v>
      </c>
      <c r="AD117" s="210">
        <v>233</v>
      </c>
      <c r="AE117" s="210">
        <v>160</v>
      </c>
      <c r="AF117" s="212">
        <v>17</v>
      </c>
      <c r="AG117" s="212">
        <v>75000</v>
      </c>
      <c r="AH117" s="210" t="s">
        <v>3432</v>
      </c>
    </row>
    <row r="118" spans="5:34">
      <c r="E118" s="376"/>
      <c r="F118" s="376"/>
      <c r="G118" s="376"/>
      <c r="H118" s="376"/>
      <c r="I118" s="210" t="s">
        <v>3266</v>
      </c>
      <c r="J118" s="210" t="s">
        <v>2963</v>
      </c>
      <c r="K118" s="214">
        <v>5.1970000000000001</v>
      </c>
      <c r="L118" s="210" t="s">
        <v>2976</v>
      </c>
      <c r="M118" s="210" t="s">
        <v>2935</v>
      </c>
      <c r="N118" s="210" t="s">
        <v>1452</v>
      </c>
      <c r="O118" s="210" t="s">
        <v>1513</v>
      </c>
      <c r="P118" s="210" t="s">
        <v>1518</v>
      </c>
      <c r="Q118" s="210" t="s">
        <v>936</v>
      </c>
      <c r="R118" s="210">
        <v>2200</v>
      </c>
      <c r="S118" s="214">
        <v>99.319000244140597</v>
      </c>
      <c r="T118" s="210" t="s">
        <v>1536</v>
      </c>
      <c r="U118" s="210">
        <v>5.2859999999999996</v>
      </c>
      <c r="V118" s="210" t="s">
        <v>1536</v>
      </c>
      <c r="W118" s="210">
        <v>120</v>
      </c>
      <c r="X118" s="210" t="s">
        <v>1536</v>
      </c>
      <c r="Y118" s="214">
        <v>100.61499786377</v>
      </c>
      <c r="Z118" s="214">
        <v>99.292999267578097</v>
      </c>
      <c r="AA118" s="210">
        <v>163</v>
      </c>
      <c r="AB118" s="210">
        <v>163</v>
      </c>
      <c r="AC118" s="210">
        <v>160</v>
      </c>
      <c r="AE118" s="210">
        <v>120</v>
      </c>
      <c r="AF118" s="212">
        <v>27</v>
      </c>
      <c r="AG118" s="212">
        <v>74493</v>
      </c>
      <c r="AH118" s="210" t="s">
        <v>3432</v>
      </c>
    </row>
    <row r="119" spans="5:34">
      <c r="E119" s="376"/>
      <c r="F119" s="376"/>
      <c r="G119" s="376"/>
      <c r="H119" s="376"/>
      <c r="I119" s="210" t="s">
        <v>3560</v>
      </c>
      <c r="J119" s="210" t="s">
        <v>1543</v>
      </c>
      <c r="K119" s="214">
        <v>4.9000000000000004</v>
      </c>
      <c r="L119" s="210" t="s">
        <v>3561</v>
      </c>
      <c r="M119" s="210" t="s">
        <v>2953</v>
      </c>
      <c r="N119" s="210" t="s">
        <v>1452</v>
      </c>
      <c r="O119" s="210" t="s">
        <v>1513</v>
      </c>
      <c r="P119" s="210" t="s">
        <v>1518</v>
      </c>
      <c r="Q119" s="210" t="s">
        <v>936</v>
      </c>
      <c r="R119" s="210">
        <v>2000</v>
      </c>
      <c r="S119" s="214">
        <v>99.253997802734403</v>
      </c>
      <c r="T119" s="210" t="s">
        <v>1536</v>
      </c>
      <c r="U119" s="210">
        <v>4.9820000000000002</v>
      </c>
      <c r="V119" s="210" t="s">
        <v>1536</v>
      </c>
      <c r="W119" s="210">
        <v>89</v>
      </c>
      <c r="X119" s="210" t="s">
        <v>1536</v>
      </c>
      <c r="Y119" s="214">
        <v>100.80999755859401</v>
      </c>
      <c r="Z119" s="214">
        <v>98.829002380371094</v>
      </c>
      <c r="AA119" s="210">
        <v>119</v>
      </c>
      <c r="AB119" s="210">
        <v>120</v>
      </c>
      <c r="AC119" s="210">
        <v>117</v>
      </c>
      <c r="AD119" s="210">
        <v>125</v>
      </c>
      <c r="AE119" s="210">
        <v>75</v>
      </c>
      <c r="AF119" s="212">
        <v>19</v>
      </c>
      <c r="AG119" s="212">
        <v>74383</v>
      </c>
      <c r="AH119" s="210" t="s">
        <v>3432</v>
      </c>
    </row>
    <row r="120" spans="5:34">
      <c r="E120" s="376"/>
      <c r="F120" s="376"/>
      <c r="G120" s="376"/>
      <c r="H120" s="376"/>
      <c r="I120" s="210" t="s">
        <v>2994</v>
      </c>
      <c r="J120" s="210" t="s">
        <v>1562</v>
      </c>
      <c r="K120" s="214">
        <v>5.4</v>
      </c>
      <c r="L120" s="210" t="s">
        <v>2931</v>
      </c>
      <c r="M120" s="210" t="s">
        <v>2932</v>
      </c>
      <c r="N120" s="210" t="s">
        <v>1452</v>
      </c>
      <c r="O120" s="210" t="s">
        <v>876</v>
      </c>
      <c r="P120" s="210" t="s">
        <v>1172</v>
      </c>
      <c r="Q120" s="210" t="s">
        <v>936</v>
      </c>
      <c r="R120" s="210">
        <v>1000</v>
      </c>
      <c r="S120" s="214">
        <v>100.45200347900401</v>
      </c>
      <c r="T120" s="210" t="s">
        <v>1536</v>
      </c>
      <c r="U120" s="210">
        <v>5.3369999999999997</v>
      </c>
      <c r="V120" s="210" t="s">
        <v>1536</v>
      </c>
      <c r="W120" s="210">
        <v>126</v>
      </c>
      <c r="X120" s="210" t="s">
        <v>1536</v>
      </c>
      <c r="Y120" s="214">
        <v>101.81900024414099</v>
      </c>
      <c r="Z120" s="214">
        <v>100.43499755859401</v>
      </c>
      <c r="AA120" s="210">
        <v>169</v>
      </c>
      <c r="AB120" s="210">
        <v>170</v>
      </c>
      <c r="AC120" s="210">
        <v>168</v>
      </c>
      <c r="AD120" s="210">
        <v>170</v>
      </c>
      <c r="AE120" s="210">
        <v>127</v>
      </c>
      <c r="AF120" s="212">
        <v>28</v>
      </c>
      <c r="AG120" s="212">
        <v>74024</v>
      </c>
      <c r="AH120" s="210" t="s">
        <v>3432</v>
      </c>
    </row>
    <row r="121" spans="5:34">
      <c r="E121" s="376"/>
      <c r="F121" s="376"/>
      <c r="G121" s="376"/>
      <c r="H121" s="376"/>
      <c r="I121" s="210" t="s">
        <v>3562</v>
      </c>
      <c r="J121" s="210" t="s">
        <v>1541</v>
      </c>
      <c r="K121" s="214">
        <v>4.0830000000000002</v>
      </c>
      <c r="L121" s="210" t="s">
        <v>3563</v>
      </c>
      <c r="M121" s="210" t="s">
        <v>2929</v>
      </c>
      <c r="N121" s="210" t="s">
        <v>1452</v>
      </c>
      <c r="O121" s="210" t="s">
        <v>1513</v>
      </c>
      <c r="P121" s="210" t="s">
        <v>1172</v>
      </c>
      <c r="Q121" s="210" t="s">
        <v>936</v>
      </c>
      <c r="R121" s="210">
        <v>2000</v>
      </c>
      <c r="S121" s="214">
        <v>81.667999267578097</v>
      </c>
      <c r="T121" s="210" t="s">
        <v>1536</v>
      </c>
      <c r="U121" s="210">
        <v>5.45</v>
      </c>
      <c r="V121" s="210" t="s">
        <v>1536</v>
      </c>
      <c r="W121" s="210">
        <v>78</v>
      </c>
      <c r="X121" s="210" t="s">
        <v>1536</v>
      </c>
      <c r="Y121" s="214">
        <v>83.588996887207003</v>
      </c>
      <c r="Z121" s="214">
        <v>81.667999267578097</v>
      </c>
      <c r="AA121" s="210">
        <v>146</v>
      </c>
      <c r="AB121" s="210">
        <v>147</v>
      </c>
      <c r="AC121" s="210">
        <v>124</v>
      </c>
      <c r="AD121" s="210">
        <v>146</v>
      </c>
      <c r="AE121" s="210">
        <v>80</v>
      </c>
      <c r="AF121" s="212">
        <v>23</v>
      </c>
      <c r="AG121" s="212">
        <v>73898</v>
      </c>
      <c r="AH121" s="210" t="s">
        <v>3432</v>
      </c>
    </row>
    <row r="122" spans="5:34">
      <c r="E122" s="376"/>
      <c r="F122" s="376"/>
      <c r="G122" s="376"/>
      <c r="H122" s="376"/>
      <c r="I122" s="210" t="s">
        <v>3564</v>
      </c>
      <c r="J122" s="210" t="s">
        <v>3527</v>
      </c>
      <c r="K122" s="214">
        <v>4.3</v>
      </c>
      <c r="L122" s="210" t="s">
        <v>2982</v>
      </c>
      <c r="M122" s="210" t="s">
        <v>2968</v>
      </c>
      <c r="N122" s="210" t="s">
        <v>1452</v>
      </c>
      <c r="O122" s="210" t="s">
        <v>1513</v>
      </c>
      <c r="P122" s="210" t="s">
        <v>1518</v>
      </c>
      <c r="Q122" s="210" t="s">
        <v>936</v>
      </c>
      <c r="R122" s="210">
        <v>5000</v>
      </c>
      <c r="S122" s="214">
        <v>100.82599639892599</v>
      </c>
      <c r="T122" s="210" t="s">
        <v>1536</v>
      </c>
      <c r="U122" s="210">
        <v>4.1079999999999997</v>
      </c>
      <c r="V122" s="210" t="s">
        <v>1536</v>
      </c>
      <c r="W122" s="210">
        <v>42</v>
      </c>
      <c r="X122" s="210" t="s">
        <v>1536</v>
      </c>
      <c r="Y122" s="214">
        <v>101.23899841308599</v>
      </c>
      <c r="Z122" s="214">
        <v>100.82599639892599</v>
      </c>
      <c r="AA122" s="210">
        <v>71</v>
      </c>
      <c r="AB122" s="210">
        <v>73</v>
      </c>
      <c r="AC122" s="210">
        <v>71</v>
      </c>
      <c r="AD122" s="210">
        <v>73</v>
      </c>
      <c r="AE122" s="210">
        <v>42</v>
      </c>
      <c r="AF122" s="212">
        <v>25</v>
      </c>
      <c r="AG122" s="212">
        <v>73648</v>
      </c>
      <c r="AH122" s="210" t="s">
        <v>3432</v>
      </c>
    </row>
    <row r="123" spans="5:34">
      <c r="E123" s="376"/>
      <c r="F123" s="376"/>
      <c r="G123" s="376"/>
      <c r="H123" s="376"/>
      <c r="I123" s="210" t="s">
        <v>3565</v>
      </c>
      <c r="J123" s="210" t="s">
        <v>3050</v>
      </c>
      <c r="K123" s="214">
        <v>4.4729999999999999</v>
      </c>
      <c r="L123" s="210" t="s">
        <v>3566</v>
      </c>
      <c r="M123" s="210" t="s">
        <v>2953</v>
      </c>
      <c r="N123" s="210" t="s">
        <v>1452</v>
      </c>
      <c r="O123" s="210" t="s">
        <v>1513</v>
      </c>
      <c r="P123" s="210" t="s">
        <v>1518</v>
      </c>
      <c r="Q123" s="210" t="s">
        <v>936</v>
      </c>
      <c r="R123" s="210">
        <v>3400</v>
      </c>
      <c r="S123" s="214">
        <v>99.992996215820298</v>
      </c>
      <c r="T123" s="210" t="s">
        <v>1536</v>
      </c>
      <c r="U123" s="210">
        <v>4.4740000000000002</v>
      </c>
      <c r="V123" s="210" t="s">
        <v>1536</v>
      </c>
      <c r="W123" s="210">
        <v>61</v>
      </c>
      <c r="X123" s="210" t="s">
        <v>1536</v>
      </c>
      <c r="Y123" s="214">
        <v>101.19400024414099</v>
      </c>
      <c r="Z123" s="214">
        <v>99.992996215820298</v>
      </c>
      <c r="AA123" s="210">
        <v>97</v>
      </c>
      <c r="AB123" s="210">
        <v>99</v>
      </c>
      <c r="AC123" s="210">
        <v>96</v>
      </c>
      <c r="AD123" s="210">
        <v>99</v>
      </c>
      <c r="AE123" s="210">
        <v>61</v>
      </c>
      <c r="AF123" s="212">
        <v>24</v>
      </c>
      <c r="AG123" s="212">
        <v>73116</v>
      </c>
      <c r="AH123" s="210" t="s">
        <v>3432</v>
      </c>
    </row>
    <row r="124" spans="5:34">
      <c r="E124" s="376"/>
      <c r="F124" s="376"/>
      <c r="G124" s="376"/>
      <c r="H124" s="376"/>
      <c r="I124" s="210" t="s">
        <v>3567</v>
      </c>
      <c r="J124" s="210" t="s">
        <v>3568</v>
      </c>
      <c r="K124" s="214">
        <v>5.4</v>
      </c>
      <c r="L124" s="210" t="s">
        <v>2933</v>
      </c>
      <c r="M124" s="210" t="s">
        <v>2932</v>
      </c>
      <c r="N124" s="210" t="s">
        <v>1452</v>
      </c>
      <c r="O124" s="210" t="s">
        <v>1513</v>
      </c>
      <c r="P124" s="210" t="s">
        <v>1518</v>
      </c>
      <c r="Q124" s="210" t="s">
        <v>936</v>
      </c>
      <c r="R124" s="210" t="s">
        <v>2922</v>
      </c>
      <c r="S124" s="214">
        <v>100.70099639892599</v>
      </c>
      <c r="T124" s="210" t="s">
        <v>1536</v>
      </c>
      <c r="U124" s="210">
        <v>5.3040000000000003</v>
      </c>
      <c r="V124" s="210" t="s">
        <v>1536</v>
      </c>
      <c r="W124" s="210">
        <v>121</v>
      </c>
      <c r="X124" s="210" t="s">
        <v>1536</v>
      </c>
      <c r="Y124" s="214">
        <v>101.667999267578</v>
      </c>
      <c r="Z124" s="214">
        <v>100.64299774169901</v>
      </c>
      <c r="AA124" s="210">
        <v>165</v>
      </c>
      <c r="AB124" s="210">
        <v>165</v>
      </c>
      <c r="AC124" s="210">
        <v>164</v>
      </c>
      <c r="AD124" s="210">
        <v>166</v>
      </c>
      <c r="AE124" s="210">
        <v>122</v>
      </c>
      <c r="AF124" s="212">
        <v>22</v>
      </c>
      <c r="AG124" s="212">
        <v>73046</v>
      </c>
      <c r="AH124" s="210" t="s">
        <v>3432</v>
      </c>
    </row>
    <row r="125" spans="5:34">
      <c r="E125" s="376"/>
      <c r="F125" s="376"/>
      <c r="G125" s="376"/>
      <c r="H125" s="376"/>
      <c r="I125" s="210" t="s">
        <v>3080</v>
      </c>
      <c r="J125" s="210" t="s">
        <v>2964</v>
      </c>
      <c r="K125" s="214">
        <v>4.4000000000000004</v>
      </c>
      <c r="L125" s="210" t="s">
        <v>2982</v>
      </c>
      <c r="M125" s="210" t="s">
        <v>2932</v>
      </c>
      <c r="N125" s="210" t="s">
        <v>1452</v>
      </c>
      <c r="O125" s="210" t="s">
        <v>1452</v>
      </c>
      <c r="P125" s="210" t="s">
        <v>1518</v>
      </c>
      <c r="Q125" s="210" t="s">
        <v>936</v>
      </c>
      <c r="R125" s="210">
        <v>2300</v>
      </c>
      <c r="S125" s="214">
        <v>99.175003051757798</v>
      </c>
      <c r="T125" s="210" t="s">
        <v>1536</v>
      </c>
      <c r="U125" s="210">
        <v>4.5860000000000003</v>
      </c>
      <c r="V125" s="210" t="s">
        <v>1536</v>
      </c>
      <c r="W125" s="210">
        <v>89</v>
      </c>
      <c r="X125" s="210" t="s">
        <v>1536</v>
      </c>
      <c r="Y125" s="214">
        <v>99.809997558593807</v>
      </c>
      <c r="Z125" s="214">
        <v>99.152000427246094</v>
      </c>
      <c r="AA125" s="210">
        <v>118</v>
      </c>
      <c r="AB125" s="210">
        <v>120</v>
      </c>
      <c r="AC125" s="210">
        <v>118</v>
      </c>
      <c r="AD125" s="210">
        <v>120</v>
      </c>
      <c r="AE125" s="210">
        <v>90</v>
      </c>
      <c r="AF125" s="212">
        <v>27</v>
      </c>
      <c r="AG125" s="212">
        <v>72941</v>
      </c>
      <c r="AH125" s="210" t="s">
        <v>3432</v>
      </c>
    </row>
    <row r="126" spans="5:34">
      <c r="E126" s="376"/>
      <c r="F126" s="376"/>
      <c r="G126" s="376"/>
      <c r="H126" s="376"/>
      <c r="I126" s="210" t="s">
        <v>3569</v>
      </c>
      <c r="J126" s="210" t="s">
        <v>1568</v>
      </c>
      <c r="K126" s="214">
        <v>3.875</v>
      </c>
      <c r="L126" s="210" t="s">
        <v>3570</v>
      </c>
      <c r="M126" s="210" t="s">
        <v>2935</v>
      </c>
      <c r="N126" s="210" t="s">
        <v>1452</v>
      </c>
      <c r="O126" s="210" t="s">
        <v>1513</v>
      </c>
      <c r="P126" s="210" t="s">
        <v>1518</v>
      </c>
      <c r="Q126" s="210" t="s">
        <v>936</v>
      </c>
      <c r="R126" s="210">
        <v>1173</v>
      </c>
      <c r="S126" s="214">
        <v>98.088996887207003</v>
      </c>
      <c r="T126" s="210" t="s">
        <v>1536</v>
      </c>
      <c r="U126" s="210">
        <v>4.3520000000000003</v>
      </c>
      <c r="V126" s="210" t="s">
        <v>1536</v>
      </c>
      <c r="W126" s="210">
        <v>65</v>
      </c>
      <c r="X126" s="210" t="s">
        <v>1536</v>
      </c>
      <c r="Y126" s="214">
        <v>98.654998779296903</v>
      </c>
      <c r="Z126" s="214">
        <v>97.921501159667997</v>
      </c>
      <c r="AA126" s="210">
        <v>96</v>
      </c>
      <c r="AB126" s="210">
        <v>98</v>
      </c>
      <c r="AC126" s="210">
        <v>95</v>
      </c>
      <c r="AD126" s="210">
        <v>98</v>
      </c>
      <c r="AE126" s="210">
        <v>68</v>
      </c>
      <c r="AF126" s="212">
        <v>22</v>
      </c>
      <c r="AG126" s="212">
        <v>72559</v>
      </c>
      <c r="AH126" s="210" t="s">
        <v>3432</v>
      </c>
    </row>
    <row r="127" spans="5:34">
      <c r="E127" s="376"/>
      <c r="F127" s="376"/>
      <c r="G127" s="376"/>
      <c r="H127" s="376"/>
      <c r="I127" s="210" t="s">
        <v>3571</v>
      </c>
      <c r="J127" s="210" t="s">
        <v>1519</v>
      </c>
      <c r="K127" s="214">
        <v>3.5</v>
      </c>
      <c r="L127" s="210" t="s">
        <v>3572</v>
      </c>
      <c r="M127" s="210" t="s">
        <v>2932</v>
      </c>
      <c r="N127" s="210" t="s">
        <v>1452</v>
      </c>
      <c r="O127" s="210" t="s">
        <v>1513</v>
      </c>
      <c r="P127" s="210" t="s">
        <v>1518</v>
      </c>
      <c r="Q127" s="210" t="s">
        <v>936</v>
      </c>
      <c r="R127" s="210">
        <v>1500</v>
      </c>
      <c r="S127" s="214">
        <v>68.920997619628906</v>
      </c>
      <c r="T127" s="210" t="s">
        <v>1536</v>
      </c>
      <c r="U127" s="210">
        <v>5.7510000000000003</v>
      </c>
      <c r="V127" s="210" t="s">
        <v>1536</v>
      </c>
      <c r="W127" s="210">
        <v>108</v>
      </c>
      <c r="X127" s="210" t="s">
        <v>1536</v>
      </c>
      <c r="Y127" s="214">
        <v>70.555999755859403</v>
      </c>
      <c r="Z127" s="214">
        <v>68.570999145507798</v>
      </c>
      <c r="AA127" s="210">
        <v>178</v>
      </c>
      <c r="AB127" s="210">
        <v>179</v>
      </c>
      <c r="AC127" s="210">
        <v>135</v>
      </c>
      <c r="AD127" s="210">
        <v>181</v>
      </c>
      <c r="AE127" s="210">
        <v>109</v>
      </c>
      <c r="AF127" s="212">
        <v>21</v>
      </c>
      <c r="AG127" s="212">
        <v>72445</v>
      </c>
      <c r="AH127" s="210" t="s">
        <v>3432</v>
      </c>
    </row>
    <row r="128" spans="5:34">
      <c r="E128" s="376"/>
      <c r="F128" s="376"/>
      <c r="G128" s="376"/>
      <c r="H128" s="376"/>
      <c r="I128" s="210" t="s">
        <v>3573</v>
      </c>
      <c r="J128" s="210" t="s">
        <v>3574</v>
      </c>
      <c r="K128" s="214">
        <v>5.95</v>
      </c>
      <c r="L128" s="210" t="s">
        <v>3575</v>
      </c>
      <c r="M128" s="210" t="s">
        <v>2942</v>
      </c>
      <c r="N128" s="210" t="s">
        <v>1452</v>
      </c>
      <c r="O128" s="210" t="s">
        <v>1452</v>
      </c>
      <c r="P128" s="210" t="s">
        <v>1518</v>
      </c>
      <c r="Q128" s="210" t="s">
        <v>936</v>
      </c>
      <c r="R128" s="210">
        <v>3230</v>
      </c>
      <c r="S128" s="214">
        <v>100.771003723145</v>
      </c>
      <c r="T128" s="210" t="s">
        <v>1536</v>
      </c>
      <c r="U128" s="210">
        <v>5.7759999999999998</v>
      </c>
      <c r="V128" s="210" t="s">
        <v>1536</v>
      </c>
      <c r="W128" s="210">
        <v>209</v>
      </c>
      <c r="X128" s="210" t="s">
        <v>1536</v>
      </c>
      <c r="Y128" s="214">
        <v>101.69400024414099</v>
      </c>
      <c r="Z128" s="214">
        <v>100.584999084473</v>
      </c>
      <c r="AA128" s="210">
        <v>236</v>
      </c>
      <c r="AB128" s="210">
        <v>239</v>
      </c>
      <c r="AC128" s="210">
        <v>236</v>
      </c>
      <c r="AE128" s="210">
        <v>207</v>
      </c>
      <c r="AF128" s="212">
        <v>20</v>
      </c>
      <c r="AG128" s="212">
        <v>72386</v>
      </c>
      <c r="AH128" s="210" t="s">
        <v>3432</v>
      </c>
    </row>
    <row r="129" spans="5:34">
      <c r="E129" s="376"/>
      <c r="F129" s="376"/>
      <c r="G129" s="376"/>
      <c r="H129" s="376"/>
      <c r="I129" s="210" t="s">
        <v>3576</v>
      </c>
      <c r="J129" s="210" t="s">
        <v>3412</v>
      </c>
      <c r="K129" s="214">
        <v>4.6004693405825829</v>
      </c>
      <c r="L129" s="210" t="s">
        <v>3577</v>
      </c>
      <c r="M129" s="210" t="s">
        <v>3472</v>
      </c>
      <c r="N129" s="210" t="s">
        <v>1452</v>
      </c>
      <c r="O129" s="210" t="s">
        <v>876</v>
      </c>
      <c r="P129" s="210" t="s">
        <v>1518</v>
      </c>
      <c r="Q129" s="210" t="s">
        <v>936</v>
      </c>
      <c r="R129" s="210">
        <v>1000</v>
      </c>
      <c r="S129" s="214">
        <v>100.348999023438</v>
      </c>
      <c r="T129" s="210" t="s">
        <v>1536</v>
      </c>
      <c r="U129" s="210" t="s">
        <v>1536</v>
      </c>
      <c r="V129" s="210" t="s">
        <v>1536</v>
      </c>
      <c r="W129" s="210">
        <v>42</v>
      </c>
      <c r="X129" s="210" t="s">
        <v>1536</v>
      </c>
      <c r="Y129" s="214">
        <v>100.361000061035</v>
      </c>
      <c r="Z129" s="214">
        <v>100.31600189209</v>
      </c>
      <c r="AA129" s="210" t="s">
        <v>1536</v>
      </c>
      <c r="AB129" s="210" t="s">
        <v>1536</v>
      </c>
      <c r="AC129" s="210" t="s">
        <v>1536</v>
      </c>
      <c r="AD129" s="210">
        <v>44</v>
      </c>
      <c r="AE129" s="210" t="s">
        <v>1536</v>
      </c>
      <c r="AF129" s="212">
        <v>22</v>
      </c>
      <c r="AG129" s="212">
        <v>71950</v>
      </c>
      <c r="AH129" s="210" t="s">
        <v>3432</v>
      </c>
    </row>
    <row r="130" spans="5:34">
      <c r="E130" s="376"/>
      <c r="F130" s="376"/>
      <c r="G130" s="376"/>
      <c r="H130" s="376"/>
      <c r="I130" s="210" t="s">
        <v>3578</v>
      </c>
      <c r="J130" s="210" t="s">
        <v>3442</v>
      </c>
      <c r="K130" s="214">
        <v>5.35</v>
      </c>
      <c r="L130" s="210" t="s">
        <v>3032</v>
      </c>
      <c r="M130" s="210" t="s">
        <v>2932</v>
      </c>
      <c r="N130" s="210" t="s">
        <v>1452</v>
      </c>
      <c r="O130" s="210" t="s">
        <v>1513</v>
      </c>
      <c r="P130" s="210" t="s">
        <v>1172</v>
      </c>
      <c r="Q130" s="210" t="s">
        <v>936</v>
      </c>
      <c r="R130" s="210" t="s">
        <v>2922</v>
      </c>
      <c r="S130" s="214">
        <v>102.485000610352</v>
      </c>
      <c r="T130" s="210" t="s">
        <v>1536</v>
      </c>
      <c r="U130" s="210">
        <v>4.8040000000000003</v>
      </c>
      <c r="V130" s="210" t="s">
        <v>1536</v>
      </c>
      <c r="W130" s="210">
        <v>109</v>
      </c>
      <c r="X130" s="210" t="s">
        <v>1536</v>
      </c>
      <c r="Y130" s="214">
        <v>102.846000671387</v>
      </c>
      <c r="Z130" s="214">
        <v>102.485000610352</v>
      </c>
      <c r="AA130" s="210">
        <v>137</v>
      </c>
      <c r="AB130" s="210">
        <v>139</v>
      </c>
      <c r="AC130" s="210">
        <v>139</v>
      </c>
      <c r="AD130" s="210">
        <v>139</v>
      </c>
      <c r="AE130" s="210">
        <v>107</v>
      </c>
      <c r="AF130" s="212">
        <v>22</v>
      </c>
      <c r="AG130" s="212">
        <v>71830</v>
      </c>
      <c r="AH130" s="210" t="s">
        <v>3432</v>
      </c>
    </row>
    <row r="131" spans="5:34">
      <c r="E131" s="376"/>
      <c r="F131" s="376"/>
      <c r="G131" s="376"/>
      <c r="H131" s="376"/>
      <c r="I131" s="210" t="s">
        <v>3579</v>
      </c>
      <c r="J131" s="210" t="s">
        <v>1535</v>
      </c>
      <c r="K131" s="214">
        <v>5.5339999999999998</v>
      </c>
      <c r="L131" s="210" t="s">
        <v>3580</v>
      </c>
      <c r="M131" s="210" t="s">
        <v>2939</v>
      </c>
      <c r="N131" s="210" t="s">
        <v>1452</v>
      </c>
      <c r="O131" s="210" t="s">
        <v>876</v>
      </c>
      <c r="P131" s="210" t="s">
        <v>1518</v>
      </c>
      <c r="Q131" s="210" t="s">
        <v>936</v>
      </c>
      <c r="R131" s="210">
        <v>1500</v>
      </c>
      <c r="S131" s="214">
        <v>103.023002624512</v>
      </c>
      <c r="T131" s="210" t="s">
        <v>1536</v>
      </c>
      <c r="U131" s="210">
        <v>5.28</v>
      </c>
      <c r="V131" s="210" t="s">
        <v>1536</v>
      </c>
      <c r="W131" s="210">
        <v>65</v>
      </c>
      <c r="X131" s="210" t="s">
        <v>1536</v>
      </c>
      <c r="Y131" s="214">
        <v>104.800003051758</v>
      </c>
      <c r="Z131" s="214">
        <v>102.81199645996099</v>
      </c>
      <c r="AA131" s="210">
        <v>134</v>
      </c>
      <c r="AB131" s="210">
        <v>133</v>
      </c>
      <c r="AC131" s="210">
        <v>133</v>
      </c>
      <c r="AD131" s="210">
        <v>134</v>
      </c>
      <c r="AE131" s="210">
        <v>69</v>
      </c>
      <c r="AF131" s="212">
        <v>21</v>
      </c>
      <c r="AG131" s="212">
        <v>71651</v>
      </c>
      <c r="AH131" s="210" t="s">
        <v>3432</v>
      </c>
    </row>
    <row r="132" spans="5:34">
      <c r="E132" s="376"/>
      <c r="F132" s="376"/>
      <c r="G132" s="376"/>
      <c r="H132" s="376"/>
      <c r="I132" s="210" t="s">
        <v>3581</v>
      </c>
      <c r="J132" s="210" t="s">
        <v>1561</v>
      </c>
      <c r="K132" s="214">
        <v>5.5</v>
      </c>
      <c r="L132" s="210" t="s">
        <v>2931</v>
      </c>
      <c r="M132" s="210" t="s">
        <v>2937</v>
      </c>
      <c r="N132" s="210" t="s">
        <v>1452</v>
      </c>
      <c r="O132" s="210" t="s">
        <v>1513</v>
      </c>
      <c r="P132" s="210" t="s">
        <v>1518</v>
      </c>
      <c r="Q132" s="210" t="s">
        <v>936</v>
      </c>
      <c r="R132" s="210">
        <v>3100</v>
      </c>
      <c r="S132" s="214">
        <v>103.94400024414099</v>
      </c>
      <c r="T132" s="210" t="s">
        <v>1536</v>
      </c>
      <c r="U132" s="210">
        <v>4.9829999999999997</v>
      </c>
      <c r="V132" s="210" t="s">
        <v>1536</v>
      </c>
      <c r="W132" s="210">
        <v>90</v>
      </c>
      <c r="X132" s="210" t="s">
        <v>1536</v>
      </c>
      <c r="Y132" s="214">
        <v>105.282997131348</v>
      </c>
      <c r="Z132" s="214">
        <v>103.661003112793</v>
      </c>
      <c r="AA132" s="210">
        <v>134</v>
      </c>
      <c r="AB132" s="210">
        <v>134</v>
      </c>
      <c r="AC132" s="210">
        <v>135</v>
      </c>
      <c r="AD132" s="210">
        <v>135</v>
      </c>
      <c r="AE132" s="210">
        <v>91</v>
      </c>
      <c r="AF132" s="212">
        <v>27</v>
      </c>
      <c r="AG132" s="212">
        <v>71468</v>
      </c>
      <c r="AH132" s="210" t="s">
        <v>3432</v>
      </c>
    </row>
    <row r="133" spans="5:34">
      <c r="E133" s="376"/>
      <c r="F133" s="376"/>
      <c r="G133" s="376"/>
      <c r="H133" s="376"/>
      <c r="I133" s="210" t="s">
        <v>3029</v>
      </c>
      <c r="J133" s="210" t="s">
        <v>3030</v>
      </c>
      <c r="K133" s="214">
        <v>5.1360000000000001</v>
      </c>
      <c r="L133" s="210" t="s">
        <v>3031</v>
      </c>
      <c r="M133" s="210" t="s">
        <v>2935</v>
      </c>
      <c r="N133" s="210" t="s">
        <v>1452</v>
      </c>
      <c r="O133" s="210" t="s">
        <v>1513</v>
      </c>
      <c r="P133" s="210" t="s">
        <v>1518</v>
      </c>
      <c r="Q133" s="210" t="s">
        <v>936</v>
      </c>
      <c r="R133" s="210" t="s">
        <v>2922</v>
      </c>
      <c r="S133" s="214">
        <v>99.085998535156193</v>
      </c>
      <c r="T133" s="210" t="s">
        <v>1536</v>
      </c>
      <c r="U133" s="210">
        <v>5.2549999999999999</v>
      </c>
      <c r="V133" s="210" t="s">
        <v>1536</v>
      </c>
      <c r="W133" s="210">
        <v>116</v>
      </c>
      <c r="X133" s="210" t="s">
        <v>1536</v>
      </c>
      <c r="Y133" s="214">
        <v>100.209999084473</v>
      </c>
      <c r="Z133" s="214">
        <v>99.085998535156193</v>
      </c>
      <c r="AA133" s="210">
        <v>158</v>
      </c>
      <c r="AB133" s="210">
        <v>159</v>
      </c>
      <c r="AC133" s="210">
        <v>156</v>
      </c>
      <c r="AD133" s="210">
        <v>159</v>
      </c>
      <c r="AE133" s="210">
        <v>116</v>
      </c>
      <c r="AF133" s="212">
        <v>24</v>
      </c>
      <c r="AG133" s="212">
        <v>71175</v>
      </c>
      <c r="AH133" s="210" t="s">
        <v>3432</v>
      </c>
    </row>
    <row r="134" spans="5:34">
      <c r="E134" s="376"/>
      <c r="F134" s="376"/>
      <c r="G134" s="376"/>
      <c r="H134" s="376"/>
      <c r="I134" s="210" t="s">
        <v>3582</v>
      </c>
      <c r="J134" s="210" t="s">
        <v>1540</v>
      </c>
      <c r="K134" s="214">
        <v>4.75</v>
      </c>
      <c r="L134" s="210" t="s">
        <v>3583</v>
      </c>
      <c r="M134" s="210" t="s">
        <v>2930</v>
      </c>
      <c r="N134" s="210" t="s">
        <v>1452</v>
      </c>
      <c r="O134" s="210" t="s">
        <v>876</v>
      </c>
      <c r="P134" s="210" t="s">
        <v>1172</v>
      </c>
      <c r="Q134" s="210" t="s">
        <v>936</v>
      </c>
      <c r="R134" s="210">
        <v>1268</v>
      </c>
      <c r="S134" s="214">
        <v>91.6488037109375</v>
      </c>
      <c r="T134" s="210" t="s">
        <v>1536</v>
      </c>
      <c r="U134" s="210">
        <v>5.4409999999999998</v>
      </c>
      <c r="V134" s="210" t="s">
        <v>1536</v>
      </c>
      <c r="W134" s="210">
        <v>81</v>
      </c>
      <c r="X134" s="210" t="s">
        <v>1536</v>
      </c>
      <c r="Y134" s="214">
        <v>93.137001037597699</v>
      </c>
      <c r="Z134" s="214">
        <v>91.6488037109375</v>
      </c>
      <c r="AA134" s="210">
        <v>148</v>
      </c>
      <c r="AB134" s="210">
        <v>147</v>
      </c>
      <c r="AC134" s="210">
        <v>136</v>
      </c>
      <c r="AD134" s="210">
        <v>150</v>
      </c>
      <c r="AE134" s="210">
        <v>81</v>
      </c>
      <c r="AF134" s="212">
        <v>40</v>
      </c>
      <c r="AG134" s="212">
        <v>71072</v>
      </c>
      <c r="AH134" s="210" t="s">
        <v>3432</v>
      </c>
    </row>
    <row r="135" spans="5:34">
      <c r="E135" s="376"/>
      <c r="F135" s="376"/>
      <c r="G135" s="376"/>
      <c r="H135" s="376"/>
      <c r="I135" s="210" t="s">
        <v>3063</v>
      </c>
      <c r="J135" s="210" t="s">
        <v>1538</v>
      </c>
      <c r="K135" s="214">
        <v>5.15</v>
      </c>
      <c r="L135" s="210" t="s">
        <v>3064</v>
      </c>
      <c r="M135" s="210" t="s">
        <v>2956</v>
      </c>
      <c r="N135" s="210" t="s">
        <v>1452</v>
      </c>
      <c r="O135" s="210" t="s">
        <v>1452</v>
      </c>
      <c r="P135" s="210" t="s">
        <v>1518</v>
      </c>
      <c r="Q135" s="210" t="s">
        <v>936</v>
      </c>
      <c r="R135" s="210">
        <v>1400</v>
      </c>
      <c r="S135" s="214">
        <v>103.12200164794901</v>
      </c>
      <c r="T135" s="210" t="s">
        <v>1536</v>
      </c>
      <c r="U135" s="210">
        <v>4.3730000000000002</v>
      </c>
      <c r="V135" s="210" t="s">
        <v>1536</v>
      </c>
      <c r="W135" s="210">
        <v>68</v>
      </c>
      <c r="X135" s="210" t="s">
        <v>1536</v>
      </c>
      <c r="Y135" s="214">
        <v>103.63500213623</v>
      </c>
      <c r="Z135" s="214">
        <v>103.12200164794901</v>
      </c>
      <c r="AA135" s="210">
        <v>99</v>
      </c>
      <c r="AB135" s="210">
        <v>101</v>
      </c>
      <c r="AC135" s="210">
        <v>101</v>
      </c>
      <c r="AE135" s="210">
        <v>71</v>
      </c>
      <c r="AF135" s="212">
        <v>25</v>
      </c>
      <c r="AG135" s="212">
        <v>71020</v>
      </c>
      <c r="AH135" s="210" t="s">
        <v>3432</v>
      </c>
    </row>
    <row r="136" spans="5:34">
      <c r="E136" s="376"/>
      <c r="F136" s="376"/>
      <c r="G136" s="376"/>
      <c r="H136" s="376"/>
      <c r="I136" s="210" t="s">
        <v>3584</v>
      </c>
      <c r="J136" s="210" t="s">
        <v>3442</v>
      </c>
      <c r="K136" s="214">
        <v>5.15</v>
      </c>
      <c r="L136" s="210" t="s">
        <v>3585</v>
      </c>
      <c r="M136" s="210" t="s">
        <v>2932</v>
      </c>
      <c r="N136" s="210" t="s">
        <v>1452</v>
      </c>
      <c r="O136" s="210" t="s">
        <v>1513</v>
      </c>
      <c r="P136" s="210" t="s">
        <v>1172</v>
      </c>
      <c r="Q136" s="210" t="s">
        <v>936</v>
      </c>
      <c r="R136" s="210">
        <v>1735</v>
      </c>
      <c r="S136" s="214">
        <v>100.79900360107401</v>
      </c>
      <c r="T136" s="210" t="s">
        <v>1536</v>
      </c>
      <c r="U136" s="210">
        <v>4.5010000000000003</v>
      </c>
      <c r="V136" s="210" t="s">
        <v>1536</v>
      </c>
      <c r="W136" s="210">
        <v>90</v>
      </c>
      <c r="X136" s="210" t="s">
        <v>1536</v>
      </c>
      <c r="Y136" s="214">
        <v>100.96900177002</v>
      </c>
      <c r="Z136" s="214">
        <v>100.79900360107401</v>
      </c>
      <c r="AA136" s="210">
        <v>95</v>
      </c>
      <c r="AB136" s="210">
        <v>98</v>
      </c>
      <c r="AC136" s="210">
        <v>96</v>
      </c>
      <c r="AD136" s="210">
        <v>94</v>
      </c>
      <c r="AE136" s="210">
        <v>83</v>
      </c>
      <c r="AF136" s="212">
        <v>19</v>
      </c>
      <c r="AG136" s="212">
        <v>70437</v>
      </c>
      <c r="AH136" s="210" t="s">
        <v>3432</v>
      </c>
    </row>
    <row r="137" spans="5:34">
      <c r="E137" s="376"/>
      <c r="F137" s="376"/>
      <c r="G137" s="376"/>
      <c r="H137" s="376"/>
      <c r="I137" s="210" t="s">
        <v>3586</v>
      </c>
      <c r="J137" s="210" t="s">
        <v>3555</v>
      </c>
      <c r="K137" s="214">
        <v>5.4</v>
      </c>
      <c r="L137" s="210" t="s">
        <v>3059</v>
      </c>
      <c r="M137" s="210" t="s">
        <v>3041</v>
      </c>
      <c r="N137" s="210" t="s">
        <v>1452</v>
      </c>
      <c r="O137" s="210" t="s">
        <v>1513</v>
      </c>
      <c r="P137" s="210" t="s">
        <v>1172</v>
      </c>
      <c r="Q137" s="210" t="s">
        <v>936</v>
      </c>
      <c r="R137" s="210" t="s">
        <v>2922</v>
      </c>
      <c r="S137" s="214">
        <v>98.653999328613295</v>
      </c>
      <c r="T137" s="210" t="s">
        <v>1536</v>
      </c>
      <c r="U137" s="210">
        <v>5.4930000000000003</v>
      </c>
      <c r="V137" s="210" t="s">
        <v>1536</v>
      </c>
      <c r="W137" s="210">
        <v>82</v>
      </c>
      <c r="X137" s="210" t="s">
        <v>1536</v>
      </c>
      <c r="Y137" s="214">
        <v>102.166999816895</v>
      </c>
      <c r="Z137" s="214">
        <v>98.653999328613295</v>
      </c>
      <c r="AA137" s="210">
        <v>154</v>
      </c>
      <c r="AB137" s="210">
        <v>153</v>
      </c>
      <c r="AC137" s="210">
        <v>149</v>
      </c>
      <c r="AD137" s="210">
        <v>156</v>
      </c>
      <c r="AE137" s="210">
        <v>83</v>
      </c>
      <c r="AF137" s="212">
        <v>20</v>
      </c>
      <c r="AG137" s="212">
        <v>70238</v>
      </c>
      <c r="AH137" s="210" t="s">
        <v>3432</v>
      </c>
    </row>
    <row r="138" spans="5:34">
      <c r="E138" s="376"/>
      <c r="F138" s="376"/>
      <c r="G138" s="376"/>
      <c r="H138" s="376"/>
      <c r="I138" s="210" t="s">
        <v>3587</v>
      </c>
      <c r="J138" s="210" t="s">
        <v>3498</v>
      </c>
      <c r="K138" s="214">
        <v>5.6</v>
      </c>
      <c r="L138" s="210" t="s">
        <v>3588</v>
      </c>
      <c r="M138" s="210" t="s">
        <v>2940</v>
      </c>
      <c r="N138" s="210" t="s">
        <v>1452</v>
      </c>
      <c r="O138" s="210" t="s">
        <v>1513</v>
      </c>
      <c r="P138" s="210" t="s">
        <v>1172</v>
      </c>
      <c r="Q138" s="210" t="s">
        <v>936</v>
      </c>
      <c r="R138" s="210" t="s">
        <v>2922</v>
      </c>
      <c r="S138" s="214">
        <v>99.874000549316406</v>
      </c>
      <c r="T138" s="210" t="s">
        <v>1536</v>
      </c>
      <c r="U138" s="210">
        <v>5.609</v>
      </c>
      <c r="V138" s="210" t="s">
        <v>1536</v>
      </c>
      <c r="W138" s="210">
        <v>94</v>
      </c>
      <c r="X138" s="210" t="s">
        <v>1536</v>
      </c>
      <c r="Y138" s="214">
        <v>102.99700164794901</v>
      </c>
      <c r="Z138" s="214">
        <v>99.874000549316406</v>
      </c>
      <c r="AA138" s="210">
        <v>166</v>
      </c>
      <c r="AB138" s="210">
        <v>166</v>
      </c>
      <c r="AC138" s="210">
        <v>163</v>
      </c>
      <c r="AD138" s="210">
        <v>169</v>
      </c>
      <c r="AE138" s="210">
        <v>94</v>
      </c>
      <c r="AF138" s="212">
        <v>26</v>
      </c>
      <c r="AG138" s="212">
        <v>69720</v>
      </c>
      <c r="AH138" s="210" t="s">
        <v>3432</v>
      </c>
    </row>
    <row r="139" spans="5:34">
      <c r="E139" s="376"/>
      <c r="F139" s="376"/>
      <c r="G139" s="376"/>
      <c r="H139" s="376"/>
      <c r="I139" s="210" t="s">
        <v>3589</v>
      </c>
      <c r="J139" s="210" t="s">
        <v>1538</v>
      </c>
      <c r="K139" s="214">
        <v>6.3029999999999999</v>
      </c>
      <c r="L139" s="210" t="s">
        <v>3483</v>
      </c>
      <c r="M139" s="210" t="s">
        <v>2956</v>
      </c>
      <c r="N139" s="210" t="s">
        <v>1452</v>
      </c>
      <c r="O139" s="210" t="s">
        <v>1513</v>
      </c>
      <c r="P139" s="210" t="s">
        <v>1518</v>
      </c>
      <c r="Q139" s="210" t="s">
        <v>936</v>
      </c>
      <c r="R139" s="210" t="s">
        <v>2922</v>
      </c>
      <c r="S139" s="214">
        <v>105.83399963378901</v>
      </c>
      <c r="T139" s="210" t="s">
        <v>1536</v>
      </c>
      <c r="U139" s="210">
        <v>4.194</v>
      </c>
      <c r="V139" s="210" t="s">
        <v>1536</v>
      </c>
      <c r="W139" s="210">
        <v>61</v>
      </c>
      <c r="X139" s="210" t="s">
        <v>1536</v>
      </c>
      <c r="Y139" s="214">
        <v>106.166999816895</v>
      </c>
      <c r="Z139" s="214">
        <v>105.74900054931599</v>
      </c>
      <c r="AA139" s="210">
        <v>84</v>
      </c>
      <c r="AB139" s="210">
        <v>87</v>
      </c>
      <c r="AC139" s="210">
        <v>87</v>
      </c>
      <c r="AE139" s="210">
        <v>61</v>
      </c>
      <c r="AF139" s="212">
        <v>22</v>
      </c>
      <c r="AG139" s="212">
        <v>69704</v>
      </c>
      <c r="AH139" s="210" t="s">
        <v>3432</v>
      </c>
    </row>
    <row r="140" spans="5:34">
      <c r="E140" s="376"/>
      <c r="F140" s="376"/>
      <c r="G140" s="376"/>
      <c r="H140" s="376"/>
      <c r="I140" s="210" t="s">
        <v>2948</v>
      </c>
      <c r="J140" s="210" t="s">
        <v>2945</v>
      </c>
      <c r="K140" s="214">
        <v>6</v>
      </c>
      <c r="L140" s="210" t="s">
        <v>2949</v>
      </c>
      <c r="M140" s="210" t="s">
        <v>2932</v>
      </c>
      <c r="N140" s="210" t="s">
        <v>1452</v>
      </c>
      <c r="O140" s="210" t="s">
        <v>1513</v>
      </c>
      <c r="P140" s="210" t="s">
        <v>1518</v>
      </c>
      <c r="Q140" s="210" t="s">
        <v>936</v>
      </c>
      <c r="R140" s="210">
        <v>1500</v>
      </c>
      <c r="S140" s="214">
        <v>95.835998535156193</v>
      </c>
      <c r="T140" s="210" t="s">
        <v>1536</v>
      </c>
      <c r="U140" s="210">
        <v>6.3109999999999999</v>
      </c>
      <c r="V140" s="210" t="s">
        <v>1536</v>
      </c>
      <c r="W140" s="210">
        <v>164</v>
      </c>
      <c r="X140" s="210" t="s">
        <v>1536</v>
      </c>
      <c r="Y140" s="214">
        <v>97.047996520996094</v>
      </c>
      <c r="Z140" s="214">
        <v>95.592002868652301</v>
      </c>
      <c r="AA140" s="210">
        <v>237</v>
      </c>
      <c r="AB140" s="210">
        <v>236</v>
      </c>
      <c r="AC140" s="210">
        <v>226</v>
      </c>
      <c r="AD140" s="210">
        <v>240</v>
      </c>
      <c r="AE140" s="210">
        <v>165</v>
      </c>
      <c r="AF140" s="212">
        <v>16</v>
      </c>
      <c r="AG140" s="212">
        <v>69226</v>
      </c>
      <c r="AH140" s="210" t="s">
        <v>3432</v>
      </c>
    </row>
    <row r="141" spans="5:34">
      <c r="E141" s="376"/>
      <c r="F141" s="376"/>
      <c r="G141" s="376"/>
      <c r="H141" s="376"/>
      <c r="I141" s="210" t="s">
        <v>3590</v>
      </c>
      <c r="J141" s="210" t="s">
        <v>1535</v>
      </c>
      <c r="K141" s="214">
        <v>1.9530000000000001</v>
      </c>
      <c r="L141" s="210" t="s">
        <v>3591</v>
      </c>
      <c r="M141" s="210" t="s">
        <v>2939</v>
      </c>
      <c r="N141" s="210" t="s">
        <v>1452</v>
      </c>
      <c r="O141" s="210" t="s">
        <v>1513</v>
      </c>
      <c r="P141" s="210" t="s">
        <v>1172</v>
      </c>
      <c r="Q141" s="210" t="s">
        <v>936</v>
      </c>
      <c r="R141" s="210">
        <v>3850</v>
      </c>
      <c r="S141" s="214">
        <v>88.516998291015597</v>
      </c>
      <c r="T141" s="210" t="s">
        <v>1536</v>
      </c>
      <c r="U141" s="210">
        <v>4.4260000000000002</v>
      </c>
      <c r="V141" s="210" t="s">
        <v>1536</v>
      </c>
      <c r="W141" s="210">
        <v>72</v>
      </c>
      <c r="X141" s="210" t="s">
        <v>1536</v>
      </c>
      <c r="Y141" s="214">
        <v>89.242996215820298</v>
      </c>
      <c r="Z141" s="214">
        <v>88.516998291015597</v>
      </c>
      <c r="AA141" s="210">
        <v>99</v>
      </c>
      <c r="AB141" s="210">
        <v>102</v>
      </c>
      <c r="AC141" s="210">
        <v>93</v>
      </c>
      <c r="AD141" s="210">
        <v>99</v>
      </c>
      <c r="AE141" s="210">
        <v>70</v>
      </c>
      <c r="AF141" s="212">
        <v>19</v>
      </c>
      <c r="AG141" s="212">
        <v>68659</v>
      </c>
      <c r="AH141" s="210" t="s">
        <v>3432</v>
      </c>
    </row>
    <row r="142" spans="5:34">
      <c r="E142" s="376"/>
      <c r="F142" s="376"/>
      <c r="G142" s="376"/>
      <c r="H142" s="376"/>
      <c r="I142" s="210" t="s">
        <v>3592</v>
      </c>
      <c r="J142" s="210" t="s">
        <v>3058</v>
      </c>
      <c r="K142" s="214">
        <v>5.55</v>
      </c>
      <c r="L142" s="210" t="s">
        <v>3593</v>
      </c>
      <c r="M142" s="210" t="s">
        <v>2962</v>
      </c>
      <c r="N142" s="210" t="s">
        <v>1452</v>
      </c>
      <c r="O142" s="210" t="s">
        <v>1513</v>
      </c>
      <c r="P142" s="210" t="s">
        <v>1172</v>
      </c>
      <c r="Q142" s="210" t="s">
        <v>936</v>
      </c>
      <c r="R142" s="210" t="s">
        <v>2922</v>
      </c>
      <c r="S142" s="214">
        <v>96.807998657226605</v>
      </c>
      <c r="T142" s="210" t="s">
        <v>1536</v>
      </c>
      <c r="U142" s="210">
        <v>5.7560000000000002</v>
      </c>
      <c r="V142" s="210" t="s">
        <v>1536</v>
      </c>
      <c r="W142" s="210">
        <v>109</v>
      </c>
      <c r="X142" s="210" t="s">
        <v>1536</v>
      </c>
      <c r="Y142" s="214">
        <v>101.15599822998</v>
      </c>
      <c r="Z142" s="214">
        <v>96.792999267578097</v>
      </c>
      <c r="AA142" s="210">
        <v>187</v>
      </c>
      <c r="AB142" s="210">
        <v>190</v>
      </c>
      <c r="AC142" s="210">
        <v>183</v>
      </c>
      <c r="AD142" s="210">
        <v>183</v>
      </c>
      <c r="AE142" s="210">
        <v>109</v>
      </c>
      <c r="AF142" s="212">
        <v>24</v>
      </c>
      <c r="AG142" s="212">
        <v>68351</v>
      </c>
      <c r="AH142" s="210" t="s">
        <v>3432</v>
      </c>
    </row>
    <row r="143" spans="5:34">
      <c r="E143" s="376"/>
      <c r="F143" s="376"/>
      <c r="G143" s="376"/>
      <c r="H143" s="376"/>
      <c r="I143" s="210" t="s">
        <v>3594</v>
      </c>
      <c r="J143" s="210" t="s">
        <v>1567</v>
      </c>
      <c r="K143" s="214">
        <v>5.3</v>
      </c>
      <c r="L143" s="210" t="s">
        <v>3595</v>
      </c>
      <c r="M143" s="210" t="s">
        <v>3464</v>
      </c>
      <c r="N143" s="210" t="s">
        <v>1452</v>
      </c>
      <c r="O143" s="210" t="s">
        <v>1513</v>
      </c>
      <c r="P143" s="210" t="s">
        <v>1172</v>
      </c>
      <c r="Q143" s="210" t="s">
        <v>936</v>
      </c>
      <c r="R143" s="210">
        <v>3500</v>
      </c>
      <c r="S143" s="214">
        <v>98.210998535156193</v>
      </c>
      <c r="T143" s="210" t="s">
        <v>1536</v>
      </c>
      <c r="U143" s="210">
        <v>5.41</v>
      </c>
      <c r="V143" s="210" t="s">
        <v>1536</v>
      </c>
      <c r="W143" s="210">
        <v>74</v>
      </c>
      <c r="X143" s="210" t="s">
        <v>1536</v>
      </c>
      <c r="Y143" s="214">
        <v>101.807998657227</v>
      </c>
      <c r="Z143" s="214">
        <v>98.210998535156193</v>
      </c>
      <c r="AA143" s="210">
        <v>153</v>
      </c>
      <c r="AB143" s="210">
        <v>157</v>
      </c>
      <c r="AC143" s="210">
        <v>151</v>
      </c>
      <c r="AD143" s="210">
        <v>148</v>
      </c>
      <c r="AE143" s="210">
        <v>74</v>
      </c>
      <c r="AF143" s="212">
        <v>19</v>
      </c>
      <c r="AG143" s="212">
        <v>68343</v>
      </c>
      <c r="AH143" s="210" t="s">
        <v>3432</v>
      </c>
    </row>
    <row r="144" spans="5:34">
      <c r="E144" s="376"/>
      <c r="F144" s="376"/>
      <c r="G144" s="376"/>
      <c r="H144" s="376"/>
      <c r="I144" s="210" t="s">
        <v>2990</v>
      </c>
      <c r="J144" s="210" t="s">
        <v>1543</v>
      </c>
      <c r="K144" s="214">
        <v>4.5999999999999996</v>
      </c>
      <c r="L144" s="210" t="s">
        <v>2991</v>
      </c>
      <c r="M144" s="210" t="s">
        <v>2953</v>
      </c>
      <c r="N144" s="210" t="s">
        <v>1452</v>
      </c>
      <c r="O144" s="210" t="s">
        <v>1513</v>
      </c>
      <c r="P144" s="210" t="s">
        <v>1518</v>
      </c>
      <c r="Q144" s="210" t="s">
        <v>936</v>
      </c>
      <c r="R144" s="210" t="s">
        <v>2922</v>
      </c>
      <c r="S144" s="214">
        <v>101.478996276855</v>
      </c>
      <c r="T144" s="210" t="s">
        <v>1536</v>
      </c>
      <c r="U144" s="210">
        <v>4.2430000000000003</v>
      </c>
      <c r="V144" s="210" t="s">
        <v>1536</v>
      </c>
      <c r="W144" s="210">
        <v>54</v>
      </c>
      <c r="X144" s="210" t="s">
        <v>1536</v>
      </c>
      <c r="Y144" s="214">
        <v>102.181999206543</v>
      </c>
      <c r="Z144" s="214">
        <v>101.478996276855</v>
      </c>
      <c r="AA144" s="210">
        <v>84</v>
      </c>
      <c r="AB144" s="210">
        <v>86</v>
      </c>
      <c r="AC144" s="210">
        <v>85</v>
      </c>
      <c r="AD144" s="210">
        <v>86</v>
      </c>
      <c r="AE144" s="210">
        <v>56</v>
      </c>
      <c r="AF144" s="212">
        <v>21</v>
      </c>
      <c r="AG144" s="212">
        <v>68019</v>
      </c>
      <c r="AH144" s="210" t="s">
        <v>3432</v>
      </c>
    </row>
    <row r="145" spans="5:34">
      <c r="E145" s="376"/>
      <c r="F145" s="376"/>
      <c r="G145" s="376"/>
      <c r="H145" s="376"/>
      <c r="I145" s="210" t="s">
        <v>3596</v>
      </c>
      <c r="J145" s="210" t="s">
        <v>1543</v>
      </c>
      <c r="K145" s="214">
        <v>3.419</v>
      </c>
      <c r="L145" s="210" t="s">
        <v>3597</v>
      </c>
      <c r="M145" s="210" t="s">
        <v>3310</v>
      </c>
      <c r="N145" s="210" t="s">
        <v>1452</v>
      </c>
      <c r="O145" s="210" t="s">
        <v>1513</v>
      </c>
      <c r="P145" s="210" t="s">
        <v>1518</v>
      </c>
      <c r="Q145" s="210" t="s">
        <v>936</v>
      </c>
      <c r="R145" s="210">
        <v>2700</v>
      </c>
      <c r="S145" s="214">
        <v>93.369003295898395</v>
      </c>
      <c r="T145" s="210" t="s">
        <v>1536</v>
      </c>
      <c r="U145" s="210">
        <v>4.4749999999999996</v>
      </c>
      <c r="V145" s="210" t="s">
        <v>1536</v>
      </c>
      <c r="W145" s="210">
        <v>39</v>
      </c>
      <c r="X145" s="210" t="s">
        <v>1536</v>
      </c>
      <c r="Y145" s="214">
        <v>94.056602478027301</v>
      </c>
      <c r="Z145" s="214">
        <v>92.925003051757798</v>
      </c>
      <c r="AA145" s="210">
        <v>94</v>
      </c>
      <c r="AB145" s="210">
        <v>96</v>
      </c>
      <c r="AC145" s="210">
        <v>89</v>
      </c>
      <c r="AD145" s="210">
        <v>96</v>
      </c>
      <c r="AE145" s="210">
        <v>57</v>
      </c>
      <c r="AF145" s="212">
        <v>31</v>
      </c>
      <c r="AG145" s="212">
        <v>67979</v>
      </c>
      <c r="AH145" s="210" t="s">
        <v>3432</v>
      </c>
    </row>
    <row r="146" spans="5:34">
      <c r="E146" s="376"/>
      <c r="F146" s="376"/>
      <c r="G146" s="376"/>
      <c r="H146" s="376"/>
      <c r="I146" s="210" t="s">
        <v>3598</v>
      </c>
      <c r="J146" s="210" t="s">
        <v>3109</v>
      </c>
      <c r="K146" s="214">
        <v>6.875</v>
      </c>
      <c r="L146" s="210" t="s">
        <v>3599</v>
      </c>
      <c r="M146" s="210" t="s">
        <v>2942</v>
      </c>
      <c r="N146" s="210" t="s">
        <v>1452</v>
      </c>
      <c r="O146" s="210" t="s">
        <v>1513</v>
      </c>
      <c r="P146" s="210" t="s">
        <v>1172</v>
      </c>
      <c r="Q146" s="210" t="s">
        <v>936</v>
      </c>
      <c r="R146" s="210">
        <v>2000</v>
      </c>
      <c r="S146" s="214">
        <v>100.875</v>
      </c>
      <c r="T146" s="210" t="s">
        <v>1536</v>
      </c>
      <c r="U146" s="210">
        <v>6.7530000000000001</v>
      </c>
      <c r="V146" s="210" t="s">
        <v>1536</v>
      </c>
      <c r="W146" s="210">
        <v>271</v>
      </c>
      <c r="X146" s="210" t="s">
        <v>1536</v>
      </c>
      <c r="Y146" s="214">
        <v>101.300003051758</v>
      </c>
      <c r="Z146" s="214">
        <v>100.625</v>
      </c>
      <c r="AA146" s="210">
        <v>311</v>
      </c>
      <c r="AB146" s="210">
        <v>308</v>
      </c>
      <c r="AC146" s="210">
        <v>310</v>
      </c>
      <c r="AD146" s="210">
        <v>314</v>
      </c>
      <c r="AE146" s="210">
        <v>265</v>
      </c>
      <c r="AF146" s="212">
        <v>24</v>
      </c>
      <c r="AG146" s="212">
        <v>67550</v>
      </c>
      <c r="AH146" s="210" t="s">
        <v>3432</v>
      </c>
    </row>
    <row r="147" spans="5:34">
      <c r="E147" s="376"/>
      <c r="F147" s="376"/>
      <c r="G147" s="376"/>
      <c r="H147" s="376"/>
      <c r="I147" s="210" t="s">
        <v>3600</v>
      </c>
      <c r="J147" s="210" t="s">
        <v>1555</v>
      </c>
      <c r="K147" s="214">
        <v>5.65</v>
      </c>
      <c r="L147" s="210" t="s">
        <v>3601</v>
      </c>
      <c r="M147" s="210" t="s">
        <v>2953</v>
      </c>
      <c r="N147" s="210" t="s">
        <v>1452</v>
      </c>
      <c r="O147" s="210" t="s">
        <v>1513</v>
      </c>
      <c r="P147" s="210" t="s">
        <v>1518</v>
      </c>
      <c r="Q147" s="210" t="s">
        <v>936</v>
      </c>
      <c r="R147" s="210" t="s">
        <v>2922</v>
      </c>
      <c r="S147" s="214">
        <v>95.975997924804702</v>
      </c>
      <c r="T147" s="210" t="s">
        <v>1536</v>
      </c>
      <c r="U147" s="210">
        <v>5.944</v>
      </c>
      <c r="V147" s="210" t="s">
        <v>1536</v>
      </c>
      <c r="W147" s="210">
        <v>128</v>
      </c>
      <c r="X147" s="210" t="s">
        <v>1536</v>
      </c>
      <c r="Y147" s="214">
        <v>99.081001281738295</v>
      </c>
      <c r="Z147" s="214">
        <v>95.922996520996094</v>
      </c>
      <c r="AA147" s="210">
        <v>200</v>
      </c>
      <c r="AB147" s="210">
        <v>199</v>
      </c>
      <c r="AC147" s="210">
        <v>190</v>
      </c>
      <c r="AD147" s="210">
        <v>203</v>
      </c>
      <c r="AE147" s="210">
        <v>129</v>
      </c>
      <c r="AF147" s="212">
        <v>17</v>
      </c>
      <c r="AG147" s="212">
        <v>67330</v>
      </c>
      <c r="AH147" s="210" t="s">
        <v>3432</v>
      </c>
    </row>
    <row r="148" spans="5:34">
      <c r="E148" s="376"/>
      <c r="F148" s="376"/>
      <c r="G148" s="376"/>
      <c r="H148" s="376"/>
      <c r="I148" s="210" t="s">
        <v>3098</v>
      </c>
      <c r="J148" s="210" t="s">
        <v>1546</v>
      </c>
      <c r="K148" s="214">
        <v>2.355</v>
      </c>
      <c r="L148" s="210" t="s">
        <v>2984</v>
      </c>
      <c r="M148" s="210" t="s">
        <v>2940</v>
      </c>
      <c r="N148" s="210" t="s">
        <v>1452</v>
      </c>
      <c r="O148" s="210" t="s">
        <v>876</v>
      </c>
      <c r="P148" s="210" t="s">
        <v>1518</v>
      </c>
      <c r="Q148" s="210" t="s">
        <v>936</v>
      </c>
      <c r="R148" s="210">
        <v>1300</v>
      </c>
      <c r="S148" s="214">
        <v>87.551498413085895</v>
      </c>
      <c r="T148" s="210" t="s">
        <v>1536</v>
      </c>
      <c r="U148" s="210">
        <v>4.6349999999999998</v>
      </c>
      <c r="V148" s="210" t="s">
        <v>1536</v>
      </c>
      <c r="W148" s="210">
        <v>56</v>
      </c>
      <c r="X148" s="210" t="s">
        <v>1536</v>
      </c>
      <c r="Y148" s="214">
        <v>88.414001464843807</v>
      </c>
      <c r="Z148" s="214">
        <v>87.551498413085895</v>
      </c>
      <c r="AA148" s="210">
        <v>116</v>
      </c>
      <c r="AB148" s="210">
        <v>118</v>
      </c>
      <c r="AC148" s="210">
        <v>107</v>
      </c>
      <c r="AD148" s="210">
        <v>118</v>
      </c>
      <c r="AE148" s="210">
        <v>82</v>
      </c>
      <c r="AF148" s="212">
        <v>23</v>
      </c>
      <c r="AG148" s="212">
        <v>67285</v>
      </c>
      <c r="AH148" s="210" t="s">
        <v>3432</v>
      </c>
    </row>
    <row r="149" spans="5:34">
      <c r="E149" s="376"/>
      <c r="F149" s="376"/>
      <c r="G149" s="376"/>
      <c r="H149" s="376"/>
      <c r="I149" s="210" t="s">
        <v>2992</v>
      </c>
      <c r="J149" s="210" t="s">
        <v>1555</v>
      </c>
      <c r="K149" s="214">
        <v>5.5</v>
      </c>
      <c r="L149" s="210" t="s">
        <v>2993</v>
      </c>
      <c r="M149" s="210" t="s">
        <v>2953</v>
      </c>
      <c r="N149" s="210" t="s">
        <v>1452</v>
      </c>
      <c r="O149" s="210" t="s">
        <v>1513</v>
      </c>
      <c r="P149" s="210" t="s">
        <v>1518</v>
      </c>
      <c r="Q149" s="210" t="s">
        <v>936</v>
      </c>
      <c r="R149" s="210">
        <v>4030</v>
      </c>
      <c r="S149" s="214">
        <v>92.501998901367202</v>
      </c>
      <c r="T149" s="210" t="s">
        <v>1536</v>
      </c>
      <c r="U149" s="210">
        <v>6.0010000000000003</v>
      </c>
      <c r="V149" s="210" t="s">
        <v>1536</v>
      </c>
      <c r="W149" s="210">
        <v>134</v>
      </c>
      <c r="X149" s="210" t="s">
        <v>1536</v>
      </c>
      <c r="Y149" s="214">
        <v>96.310997009277301</v>
      </c>
      <c r="Z149" s="214">
        <v>92.501998901367202</v>
      </c>
      <c r="AA149" s="210">
        <v>212</v>
      </c>
      <c r="AB149" s="210">
        <v>215</v>
      </c>
      <c r="AC149" s="210">
        <v>199</v>
      </c>
      <c r="AD149" s="210">
        <v>208</v>
      </c>
      <c r="AE149" s="210">
        <v>134</v>
      </c>
      <c r="AF149" s="212">
        <v>18</v>
      </c>
      <c r="AG149" s="212">
        <v>67038</v>
      </c>
      <c r="AH149" s="210" t="s">
        <v>3432</v>
      </c>
    </row>
    <row r="150" spans="5:34">
      <c r="E150" s="376"/>
      <c r="F150" s="376"/>
      <c r="G150" s="376"/>
      <c r="H150" s="376"/>
      <c r="I150" s="210" t="s">
        <v>3602</v>
      </c>
      <c r="J150" s="210" t="s">
        <v>1513</v>
      </c>
      <c r="K150" s="214">
        <v>3.2</v>
      </c>
      <c r="L150" s="210" t="s">
        <v>3603</v>
      </c>
      <c r="M150" s="210" t="s">
        <v>2937</v>
      </c>
      <c r="N150" s="210" t="s">
        <v>1452</v>
      </c>
      <c r="O150" s="210" t="s">
        <v>1452</v>
      </c>
      <c r="P150" s="210" t="s">
        <v>1518</v>
      </c>
      <c r="Q150" s="210" t="s">
        <v>936</v>
      </c>
      <c r="R150" s="210">
        <v>1142</v>
      </c>
      <c r="S150" s="214">
        <v>99.175201416015597</v>
      </c>
      <c r="T150" s="210" t="s">
        <v>1536</v>
      </c>
      <c r="U150" s="210">
        <v>4.0780000000000003</v>
      </c>
      <c r="V150" s="210" t="s">
        <v>1536</v>
      </c>
      <c r="W150" s="210">
        <v>50</v>
      </c>
      <c r="X150" s="210" t="s">
        <v>1536</v>
      </c>
      <c r="Y150" s="214">
        <v>99.336997985839801</v>
      </c>
      <c r="Z150" s="214">
        <v>99.175201416015597</v>
      </c>
      <c r="AA150" s="210">
        <v>45</v>
      </c>
      <c r="AB150" s="210">
        <v>47</v>
      </c>
      <c r="AC150" s="210">
        <v>46</v>
      </c>
      <c r="AD150" s="210">
        <v>47</v>
      </c>
      <c r="AE150" s="210">
        <v>39</v>
      </c>
      <c r="AF150" s="212">
        <v>19</v>
      </c>
      <c r="AG150" s="212">
        <v>66828</v>
      </c>
      <c r="AH150" s="210" t="s">
        <v>3432</v>
      </c>
    </row>
    <row r="151" spans="5:34">
      <c r="E151" s="376"/>
      <c r="F151" s="376"/>
      <c r="G151" s="376"/>
      <c r="H151" s="376"/>
      <c r="I151" s="210" t="s">
        <v>3604</v>
      </c>
      <c r="J151" s="210" t="s">
        <v>1535</v>
      </c>
      <c r="K151" s="214">
        <v>2.069</v>
      </c>
      <c r="L151" s="210" t="s">
        <v>3605</v>
      </c>
      <c r="M151" s="210" t="s">
        <v>2939</v>
      </c>
      <c r="N151" s="210" t="s">
        <v>1452</v>
      </c>
      <c r="O151" s="210" t="s">
        <v>1452</v>
      </c>
      <c r="P151" s="210" t="s">
        <v>1518</v>
      </c>
      <c r="Q151" s="210" t="s">
        <v>1450</v>
      </c>
      <c r="R151" s="210">
        <v>4267</v>
      </c>
      <c r="S151" s="214">
        <v>95.082099914550795</v>
      </c>
      <c r="T151" s="210" t="s">
        <v>1536</v>
      </c>
      <c r="U151" s="210">
        <v>4.0979999999999999</v>
      </c>
      <c r="V151" s="210" t="s">
        <v>1536</v>
      </c>
      <c r="W151" s="210">
        <v>50</v>
      </c>
      <c r="X151" s="210" t="s">
        <v>1536</v>
      </c>
      <c r="Y151" s="214">
        <v>95.362998962402301</v>
      </c>
      <c r="Z151" s="214">
        <v>95.043998718261705</v>
      </c>
      <c r="AA151" s="210">
        <v>72</v>
      </c>
      <c r="AB151" s="210">
        <v>73</v>
      </c>
      <c r="AC151" s="210">
        <v>71</v>
      </c>
      <c r="AE151" s="210">
        <v>50</v>
      </c>
      <c r="AF151" s="212">
        <v>20</v>
      </c>
      <c r="AG151" s="212">
        <v>66796</v>
      </c>
      <c r="AH151" s="210" t="s">
        <v>3432</v>
      </c>
    </row>
    <row r="152" spans="5:34">
      <c r="E152" s="376"/>
      <c r="F152" s="376"/>
      <c r="G152" s="376"/>
      <c r="H152" s="376"/>
      <c r="I152" s="210" t="s">
        <v>3606</v>
      </c>
      <c r="J152" s="210" t="s">
        <v>3051</v>
      </c>
      <c r="K152" s="214">
        <v>3.625</v>
      </c>
      <c r="L152" s="210" t="s">
        <v>2984</v>
      </c>
      <c r="M152" s="210" t="s">
        <v>2950</v>
      </c>
      <c r="N152" s="210" t="s">
        <v>1452</v>
      </c>
      <c r="O152" s="210" t="s">
        <v>1452</v>
      </c>
      <c r="P152" s="210" t="s">
        <v>1518</v>
      </c>
      <c r="Q152" s="210" t="s">
        <v>936</v>
      </c>
      <c r="R152" s="210" t="s">
        <v>2922</v>
      </c>
      <c r="S152" s="214">
        <v>94.054397583007798</v>
      </c>
      <c r="T152" s="210" t="s">
        <v>1536</v>
      </c>
      <c r="U152" s="210">
        <v>4.7160000000000002</v>
      </c>
      <c r="V152" s="210" t="s">
        <v>1536</v>
      </c>
      <c r="W152" s="210">
        <v>63</v>
      </c>
      <c r="X152" s="210" t="s">
        <v>1536</v>
      </c>
      <c r="Y152" s="214">
        <v>95.047996520996094</v>
      </c>
      <c r="Z152" s="214">
        <v>94.054397583007798</v>
      </c>
      <c r="AA152" s="210">
        <v>124</v>
      </c>
      <c r="AB152" s="210">
        <v>126</v>
      </c>
      <c r="AC152" s="210">
        <v>119</v>
      </c>
      <c r="AD152" s="210">
        <v>126</v>
      </c>
      <c r="AE152" s="210">
        <v>90</v>
      </c>
      <c r="AF152" s="212">
        <v>19</v>
      </c>
      <c r="AG152" s="212">
        <v>66567</v>
      </c>
      <c r="AH152" s="210" t="s">
        <v>3432</v>
      </c>
    </row>
    <row r="153" spans="5:34">
      <c r="E153" s="376"/>
      <c r="F153" s="376"/>
      <c r="G153" s="376"/>
      <c r="H153" s="376"/>
      <c r="I153" s="210" t="s">
        <v>3607</v>
      </c>
      <c r="J153" s="210" t="s">
        <v>3036</v>
      </c>
      <c r="K153" s="214">
        <v>5.35</v>
      </c>
      <c r="L153" s="210" t="s">
        <v>3608</v>
      </c>
      <c r="M153" s="210" t="s">
        <v>2935</v>
      </c>
      <c r="N153" s="210" t="s">
        <v>1452</v>
      </c>
      <c r="O153" s="210" t="s">
        <v>1452</v>
      </c>
      <c r="P153" s="210" t="s">
        <v>1518</v>
      </c>
      <c r="Q153" s="210" t="s">
        <v>936</v>
      </c>
      <c r="R153" s="210">
        <v>3000</v>
      </c>
      <c r="S153" s="214">
        <v>96.706001281738295</v>
      </c>
      <c r="T153" s="210" t="s">
        <v>1536</v>
      </c>
      <c r="U153" s="210">
        <v>5.58</v>
      </c>
      <c r="V153" s="210" t="s">
        <v>1536</v>
      </c>
      <c r="W153" s="210">
        <v>91</v>
      </c>
      <c r="X153" s="210" t="s">
        <v>1536</v>
      </c>
      <c r="Y153" s="214">
        <v>99.734001159667997</v>
      </c>
      <c r="Z153" s="214">
        <v>96.706001281738295</v>
      </c>
      <c r="AA153" s="210">
        <v>162</v>
      </c>
      <c r="AB153" s="210">
        <v>162</v>
      </c>
      <c r="AC153" s="210">
        <v>156</v>
      </c>
      <c r="AD153" s="210">
        <v>165</v>
      </c>
      <c r="AE153" s="210">
        <v>92</v>
      </c>
      <c r="AF153" s="212">
        <v>20</v>
      </c>
      <c r="AG153" s="212">
        <v>66544</v>
      </c>
      <c r="AH153" s="210" t="s">
        <v>3432</v>
      </c>
    </row>
    <row r="154" spans="5:34">
      <c r="E154" s="376"/>
      <c r="F154" s="376"/>
      <c r="G154" s="376"/>
      <c r="H154" s="376"/>
      <c r="I154" s="210" t="s">
        <v>3609</v>
      </c>
      <c r="J154" s="210" t="s">
        <v>3512</v>
      </c>
      <c r="K154" s="214">
        <v>6.375</v>
      </c>
      <c r="L154" s="210" t="s">
        <v>3610</v>
      </c>
      <c r="M154" s="210" t="s">
        <v>2942</v>
      </c>
      <c r="N154" s="210" t="s">
        <v>1452</v>
      </c>
      <c r="O154" s="210" t="s">
        <v>1513</v>
      </c>
      <c r="P154" s="210" t="s">
        <v>1518</v>
      </c>
      <c r="Q154" s="210" t="s">
        <v>936</v>
      </c>
      <c r="R154" s="210">
        <v>3650</v>
      </c>
      <c r="S154" s="214">
        <v>90.085998535156193</v>
      </c>
      <c r="T154" s="210" t="s">
        <v>1536</v>
      </c>
      <c r="U154" s="210">
        <v>7.2080000000000002</v>
      </c>
      <c r="V154" s="210" t="s">
        <v>1536</v>
      </c>
      <c r="W154" s="210">
        <v>254</v>
      </c>
      <c r="X154" s="210" t="s">
        <v>1536</v>
      </c>
      <c r="Y154" s="214">
        <v>100.93099975585901</v>
      </c>
      <c r="Z154" s="214">
        <v>90.085998535156193</v>
      </c>
      <c r="AA154" s="210">
        <v>328</v>
      </c>
      <c r="AB154" s="210">
        <v>324</v>
      </c>
      <c r="AC154" s="210">
        <v>297</v>
      </c>
      <c r="AD154" s="210">
        <v>331</v>
      </c>
      <c r="AE154" s="210">
        <v>255</v>
      </c>
      <c r="AF154" s="212">
        <v>24</v>
      </c>
      <c r="AG154" s="212">
        <v>66450</v>
      </c>
      <c r="AH154" s="210" t="s">
        <v>3432</v>
      </c>
    </row>
    <row r="155" spans="5:34">
      <c r="E155" s="376"/>
      <c r="F155" s="376"/>
      <c r="G155" s="376"/>
      <c r="H155" s="376"/>
      <c r="I155" s="210" t="s">
        <v>3611</v>
      </c>
      <c r="J155" s="210" t="s">
        <v>3612</v>
      </c>
      <c r="K155" s="214">
        <v>6.7869999999999999</v>
      </c>
      <c r="L155" s="210" t="s">
        <v>3613</v>
      </c>
      <c r="M155" s="210" t="s">
        <v>3041</v>
      </c>
      <c r="N155" s="210" t="s">
        <v>1452</v>
      </c>
      <c r="O155" s="210" t="s">
        <v>1452</v>
      </c>
      <c r="P155" s="210" t="s">
        <v>1518</v>
      </c>
      <c r="Q155" s="210" t="s">
        <v>936</v>
      </c>
      <c r="R155" s="210" t="s">
        <v>2922</v>
      </c>
      <c r="S155" s="214">
        <v>102.387001037598</v>
      </c>
      <c r="T155" s="210" t="s">
        <v>1536</v>
      </c>
      <c r="U155" s="210">
        <v>4.274</v>
      </c>
      <c r="V155" s="210" t="s">
        <v>1536</v>
      </c>
      <c r="W155" s="210">
        <v>69</v>
      </c>
      <c r="X155" s="210" t="s">
        <v>1536</v>
      </c>
      <c r="Y155" s="214">
        <v>102.65000152587901</v>
      </c>
      <c r="Z155" s="214">
        <v>102.387001037598</v>
      </c>
      <c r="AA155" s="210">
        <v>65</v>
      </c>
      <c r="AB155" s="210">
        <v>67</v>
      </c>
      <c r="AC155" s="210">
        <v>68</v>
      </c>
      <c r="AE155" s="210">
        <v>59</v>
      </c>
      <c r="AF155" s="212">
        <v>20</v>
      </c>
      <c r="AG155" s="212">
        <v>66034</v>
      </c>
      <c r="AH155" s="210" t="s">
        <v>3432</v>
      </c>
    </row>
    <row r="156" spans="5:34">
      <c r="E156" s="376"/>
      <c r="F156" s="376"/>
      <c r="G156" s="376"/>
      <c r="H156" s="376"/>
      <c r="I156" s="210" t="s">
        <v>3614</v>
      </c>
      <c r="J156" s="210" t="s">
        <v>2963</v>
      </c>
      <c r="K156" s="214">
        <v>7.6239999999999997</v>
      </c>
      <c r="L156" s="210" t="s">
        <v>3615</v>
      </c>
      <c r="M156" s="210" t="s">
        <v>2935</v>
      </c>
      <c r="N156" s="210" t="s">
        <v>1452</v>
      </c>
      <c r="O156" s="210" t="s">
        <v>1452</v>
      </c>
      <c r="P156" s="210" t="s">
        <v>1518</v>
      </c>
      <c r="Q156" s="210" t="s">
        <v>936</v>
      </c>
      <c r="R156" s="210">
        <v>1100</v>
      </c>
      <c r="S156" s="214">
        <v>112.720001220703</v>
      </c>
      <c r="T156" s="210" t="s">
        <v>1536</v>
      </c>
      <c r="U156" s="210">
        <v>4.7329999999999997</v>
      </c>
      <c r="V156" s="210" t="s">
        <v>1536</v>
      </c>
      <c r="W156" s="210">
        <v>104</v>
      </c>
      <c r="X156" s="210" t="s">
        <v>1536</v>
      </c>
      <c r="Y156" s="214">
        <v>113.41400146484401</v>
      </c>
      <c r="Z156" s="214">
        <v>112.720001220703</v>
      </c>
      <c r="AA156" s="210">
        <v>133</v>
      </c>
      <c r="AB156" s="210">
        <v>135</v>
      </c>
      <c r="AC156" s="210">
        <v>142</v>
      </c>
      <c r="AE156" s="210">
        <v>104</v>
      </c>
      <c r="AF156" s="212">
        <v>22</v>
      </c>
      <c r="AG156" s="212">
        <v>65931</v>
      </c>
      <c r="AH156" s="210" t="s">
        <v>3432</v>
      </c>
    </row>
    <row r="157" spans="5:34">
      <c r="E157" s="376"/>
      <c r="F157" s="376"/>
      <c r="G157" s="376"/>
      <c r="H157" s="376"/>
      <c r="I157" s="210" t="s">
        <v>3616</v>
      </c>
      <c r="J157" s="210" t="s">
        <v>3038</v>
      </c>
      <c r="K157" s="214">
        <v>4.5</v>
      </c>
      <c r="L157" s="210" t="s">
        <v>3617</v>
      </c>
      <c r="M157" s="210" t="s">
        <v>2953</v>
      </c>
      <c r="N157" s="210" t="s">
        <v>1452</v>
      </c>
      <c r="O157" s="210" t="s">
        <v>1513</v>
      </c>
      <c r="P157" s="210" t="s">
        <v>1172</v>
      </c>
      <c r="Q157" s="210" t="s">
        <v>936</v>
      </c>
      <c r="R157" s="210">
        <v>3000</v>
      </c>
      <c r="S157" s="214">
        <v>100.30899810791</v>
      </c>
      <c r="T157" s="210" t="s">
        <v>1536</v>
      </c>
      <c r="U157" s="210">
        <v>4.4269999999999996</v>
      </c>
      <c r="V157" s="210" t="s">
        <v>1536</v>
      </c>
      <c r="W157" s="210">
        <v>72</v>
      </c>
      <c r="X157" s="210" t="s">
        <v>1536</v>
      </c>
      <c r="Y157" s="214">
        <v>100.806999206543</v>
      </c>
      <c r="Z157" s="214">
        <v>100.14299774169901</v>
      </c>
      <c r="AA157" s="210">
        <v>102</v>
      </c>
      <c r="AB157" s="210">
        <v>104</v>
      </c>
      <c r="AC157" s="210">
        <v>102</v>
      </c>
      <c r="AD157" s="210">
        <v>104</v>
      </c>
      <c r="AE157" s="210">
        <v>73</v>
      </c>
      <c r="AF157" s="212">
        <v>25</v>
      </c>
      <c r="AG157" s="212">
        <v>65775</v>
      </c>
      <c r="AH157" s="210" t="s">
        <v>3432</v>
      </c>
    </row>
    <row r="158" spans="5:34">
      <c r="E158" s="376"/>
      <c r="F158" s="376"/>
      <c r="G158" s="376"/>
      <c r="H158" s="376"/>
      <c r="I158" s="210" t="s">
        <v>3618</v>
      </c>
      <c r="J158" s="210" t="s">
        <v>3097</v>
      </c>
      <c r="K158" s="214">
        <v>7.008</v>
      </c>
      <c r="L158" s="210" t="s">
        <v>3619</v>
      </c>
      <c r="M158" s="210" t="s">
        <v>2942</v>
      </c>
      <c r="N158" s="210" t="s">
        <v>1452</v>
      </c>
      <c r="O158" s="210" t="s">
        <v>1513</v>
      </c>
      <c r="P158" s="210" t="s">
        <v>1518</v>
      </c>
      <c r="Q158" s="210" t="s">
        <v>936</v>
      </c>
      <c r="R158" s="210" t="s">
        <v>2922</v>
      </c>
      <c r="S158" s="214">
        <v>114.91300201416</v>
      </c>
      <c r="T158" s="210" t="s">
        <v>1536</v>
      </c>
      <c r="U158" s="210">
        <v>6.0060000000000002</v>
      </c>
      <c r="V158" s="210" t="s">
        <v>1536</v>
      </c>
      <c r="W158" s="210">
        <v>134</v>
      </c>
      <c r="X158" s="210" t="s">
        <v>1536</v>
      </c>
      <c r="Y158" s="214">
        <v>119.110000610352</v>
      </c>
      <c r="Z158" s="214">
        <v>114.91300201416</v>
      </c>
      <c r="AA158" s="210">
        <v>212</v>
      </c>
      <c r="AB158" s="210">
        <v>215</v>
      </c>
      <c r="AC158" s="210">
        <v>235</v>
      </c>
      <c r="AD158" s="210">
        <v>209</v>
      </c>
      <c r="AE158" s="210">
        <v>134</v>
      </c>
      <c r="AF158" s="212">
        <v>24</v>
      </c>
      <c r="AG158" s="212">
        <v>65760</v>
      </c>
      <c r="AH158" s="210" t="s">
        <v>3432</v>
      </c>
    </row>
    <row r="159" spans="5:34">
      <c r="E159" s="376"/>
      <c r="F159" s="376"/>
      <c r="G159" s="376"/>
      <c r="H159" s="376"/>
      <c r="I159" s="210" t="s">
        <v>3620</v>
      </c>
      <c r="J159" s="210" t="s">
        <v>3058</v>
      </c>
      <c r="K159" s="214">
        <v>3.85</v>
      </c>
      <c r="L159" s="210" t="s">
        <v>3621</v>
      </c>
      <c r="M159" s="210" t="s">
        <v>2962</v>
      </c>
      <c r="N159" s="210" t="s">
        <v>1452</v>
      </c>
      <c r="O159" s="210" t="s">
        <v>1513</v>
      </c>
      <c r="P159" s="210" t="s">
        <v>1518</v>
      </c>
      <c r="Q159" s="210" t="s">
        <v>936</v>
      </c>
      <c r="R159" s="210" t="s">
        <v>2922</v>
      </c>
      <c r="S159" s="214">
        <v>96.519996643066406</v>
      </c>
      <c r="T159" s="210" t="s">
        <v>1536</v>
      </c>
      <c r="U159" s="210">
        <v>4.4489999999999998</v>
      </c>
      <c r="V159" s="210" t="s">
        <v>1536</v>
      </c>
      <c r="W159" s="210">
        <v>35</v>
      </c>
      <c r="X159" s="210" t="s">
        <v>1536</v>
      </c>
      <c r="Y159" s="214">
        <v>97.668998718261705</v>
      </c>
      <c r="Z159" s="214">
        <v>96.210998535156193</v>
      </c>
      <c r="AA159" s="210">
        <v>93</v>
      </c>
      <c r="AB159" s="210">
        <v>95</v>
      </c>
      <c r="AC159" s="210">
        <v>91</v>
      </c>
      <c r="AD159" s="210">
        <v>95</v>
      </c>
      <c r="AE159" s="210">
        <v>58</v>
      </c>
      <c r="AF159" s="212">
        <v>24</v>
      </c>
      <c r="AG159" s="212">
        <v>65068</v>
      </c>
      <c r="AH159" s="210" t="s">
        <v>3432</v>
      </c>
    </row>
    <row r="160" spans="5:34">
      <c r="E160" s="376"/>
      <c r="F160" s="376"/>
      <c r="G160" s="376"/>
      <c r="H160" s="376"/>
      <c r="I160" s="210" t="s">
        <v>3054</v>
      </c>
      <c r="J160" s="210" t="s">
        <v>1543</v>
      </c>
      <c r="K160" s="214">
        <v>5.2</v>
      </c>
      <c r="L160" s="210" t="s">
        <v>2957</v>
      </c>
      <c r="M160" s="210" t="s">
        <v>2953</v>
      </c>
      <c r="N160" s="210" t="s">
        <v>1452</v>
      </c>
      <c r="O160" s="210" t="s">
        <v>1513</v>
      </c>
      <c r="P160" s="210" t="s">
        <v>1172</v>
      </c>
      <c r="Q160" s="210" t="s">
        <v>936</v>
      </c>
      <c r="R160" s="210">
        <v>4055</v>
      </c>
      <c r="S160" s="214">
        <v>102.96900177002</v>
      </c>
      <c r="T160" s="210" t="s">
        <v>1536</v>
      </c>
      <c r="U160" s="210">
        <v>4.8049999999999997</v>
      </c>
      <c r="V160" s="210" t="s">
        <v>1536</v>
      </c>
      <c r="W160" s="210">
        <v>71</v>
      </c>
      <c r="X160" s="210" t="s">
        <v>1536</v>
      </c>
      <c r="Y160" s="214">
        <v>104.43499755859401</v>
      </c>
      <c r="Z160" s="214">
        <v>102.96900177002</v>
      </c>
      <c r="AA160" s="210">
        <v>115</v>
      </c>
      <c r="AB160" s="210">
        <v>116</v>
      </c>
      <c r="AC160" s="210">
        <v>116</v>
      </c>
      <c r="AD160" s="210">
        <v>117</v>
      </c>
      <c r="AE160" s="210">
        <v>73</v>
      </c>
      <c r="AF160" s="212">
        <v>18</v>
      </c>
      <c r="AG160" s="212">
        <v>64649</v>
      </c>
      <c r="AH160" s="210" t="s">
        <v>3432</v>
      </c>
    </row>
    <row r="161" spans="5:34">
      <c r="E161" s="376"/>
      <c r="F161" s="376"/>
      <c r="G161" s="376"/>
      <c r="H161" s="376"/>
      <c r="I161" s="210" t="s">
        <v>3622</v>
      </c>
      <c r="J161" s="210" t="s">
        <v>3050</v>
      </c>
      <c r="K161" s="214">
        <v>4.2</v>
      </c>
      <c r="L161" s="210" t="s">
        <v>3623</v>
      </c>
      <c r="M161" s="210" t="s">
        <v>2953</v>
      </c>
      <c r="N161" s="210" t="s">
        <v>1452</v>
      </c>
      <c r="O161" s="210" t="s">
        <v>1513</v>
      </c>
      <c r="P161" s="210" t="s">
        <v>1518</v>
      </c>
      <c r="Q161" s="210" t="s">
        <v>936</v>
      </c>
      <c r="R161" s="210">
        <v>2200</v>
      </c>
      <c r="S161" s="214">
        <v>99.610397338867202</v>
      </c>
      <c r="T161" s="210" t="s">
        <v>1536</v>
      </c>
      <c r="U161" s="210">
        <v>4.2830000000000004</v>
      </c>
      <c r="V161" s="210" t="s">
        <v>1536</v>
      </c>
      <c r="W161" s="210">
        <v>59</v>
      </c>
      <c r="X161" s="210" t="s">
        <v>1536</v>
      </c>
      <c r="Y161" s="214">
        <v>100.59799957275401</v>
      </c>
      <c r="Z161" s="214">
        <v>99.570999145507798</v>
      </c>
      <c r="AA161" s="210">
        <v>86</v>
      </c>
      <c r="AB161" s="210">
        <v>88</v>
      </c>
      <c r="AC161" s="210">
        <v>86</v>
      </c>
      <c r="AD161" s="210">
        <v>88</v>
      </c>
      <c r="AE161" s="210">
        <v>56</v>
      </c>
      <c r="AF161" s="212">
        <v>25</v>
      </c>
      <c r="AG161" s="212">
        <v>64616</v>
      </c>
      <c r="AH161" s="210" t="s">
        <v>3432</v>
      </c>
    </row>
    <row r="162" spans="5:34">
      <c r="E162" s="376"/>
      <c r="F162" s="376"/>
      <c r="G162" s="376"/>
      <c r="H162" s="376"/>
      <c r="I162" s="210" t="s">
        <v>3624</v>
      </c>
      <c r="J162" s="210" t="s">
        <v>3058</v>
      </c>
      <c r="K162" s="214">
        <v>5.6</v>
      </c>
      <c r="L162" s="210" t="s">
        <v>3625</v>
      </c>
      <c r="M162" s="210" t="s">
        <v>2962</v>
      </c>
      <c r="N162" s="210" t="s">
        <v>1452</v>
      </c>
      <c r="O162" s="210" t="s">
        <v>1513</v>
      </c>
      <c r="P162" s="210" t="s">
        <v>1172</v>
      </c>
      <c r="Q162" s="210" t="s">
        <v>936</v>
      </c>
      <c r="R162" s="210">
        <v>5000</v>
      </c>
      <c r="S162" s="214">
        <v>99.221000671386705</v>
      </c>
      <c r="T162" s="210" t="s">
        <v>1536</v>
      </c>
      <c r="U162" s="210">
        <v>5.6559999999999997</v>
      </c>
      <c r="V162" s="210" t="s">
        <v>1536</v>
      </c>
      <c r="W162" s="210">
        <v>99</v>
      </c>
      <c r="X162" s="210" t="s">
        <v>1536</v>
      </c>
      <c r="Y162" s="214">
        <v>103.69499969482401</v>
      </c>
      <c r="Z162" s="214">
        <v>99.221000671386705</v>
      </c>
      <c r="AA162" s="210">
        <v>170</v>
      </c>
      <c r="AB162" s="210">
        <v>169</v>
      </c>
      <c r="AC162" s="210">
        <v>166</v>
      </c>
      <c r="AD162" s="210">
        <v>173</v>
      </c>
      <c r="AE162" s="210">
        <v>100</v>
      </c>
      <c r="AF162" s="212">
        <v>21</v>
      </c>
      <c r="AG162" s="212">
        <v>64539</v>
      </c>
      <c r="AH162" s="210" t="s">
        <v>3432</v>
      </c>
    </row>
    <row r="163" spans="5:34">
      <c r="E163" s="376"/>
      <c r="F163" s="376"/>
      <c r="G163" s="376"/>
      <c r="H163" s="376"/>
      <c r="I163" s="210" t="s">
        <v>3626</v>
      </c>
      <c r="J163" s="210" t="s">
        <v>1577</v>
      </c>
      <c r="K163" s="214">
        <v>1.05</v>
      </c>
      <c r="L163" s="210" t="s">
        <v>3627</v>
      </c>
      <c r="M163" s="210" t="s">
        <v>3000</v>
      </c>
      <c r="N163" s="210" t="s">
        <v>1452</v>
      </c>
      <c r="O163" s="210" t="s">
        <v>1513</v>
      </c>
      <c r="P163" s="210" t="s">
        <v>1518</v>
      </c>
      <c r="Q163" s="210" t="s">
        <v>936</v>
      </c>
      <c r="R163" s="210">
        <v>4200</v>
      </c>
      <c r="S163" s="214">
        <v>97.332000732421903</v>
      </c>
      <c r="T163" s="210" t="s">
        <v>1536</v>
      </c>
      <c r="U163" s="210">
        <v>3.9380000000000002</v>
      </c>
      <c r="V163" s="210" t="s">
        <v>1536</v>
      </c>
      <c r="W163" s="210">
        <v>33</v>
      </c>
      <c r="X163" s="210" t="s">
        <v>1536</v>
      </c>
      <c r="Y163" s="214">
        <v>97.432998657226605</v>
      </c>
      <c r="Z163" s="214">
        <v>97.332000732421903</v>
      </c>
      <c r="AA163" s="210">
        <v>28</v>
      </c>
      <c r="AB163" s="210">
        <v>30</v>
      </c>
      <c r="AC163" s="210">
        <v>29</v>
      </c>
      <c r="AD163" s="210">
        <v>31</v>
      </c>
      <c r="AE163" s="210">
        <v>24</v>
      </c>
      <c r="AF163" s="212">
        <v>20</v>
      </c>
      <c r="AG163" s="212">
        <v>64443</v>
      </c>
      <c r="AH163" s="210" t="s">
        <v>3432</v>
      </c>
    </row>
    <row r="164" spans="5:34">
      <c r="E164" s="376"/>
      <c r="F164" s="376"/>
      <c r="G164" s="376"/>
      <c r="H164" s="376"/>
      <c r="I164" s="210" t="s">
        <v>3083</v>
      </c>
      <c r="J164" s="210" t="s">
        <v>3037</v>
      </c>
      <c r="K164" s="214">
        <v>5.4</v>
      </c>
      <c r="L164" s="210" t="s">
        <v>3084</v>
      </c>
      <c r="M164" s="210" t="s">
        <v>2953</v>
      </c>
      <c r="N164" s="210" t="s">
        <v>1452</v>
      </c>
      <c r="O164" s="210" t="s">
        <v>1513</v>
      </c>
      <c r="P164" s="210" t="s">
        <v>1172</v>
      </c>
      <c r="Q164" s="210" t="s">
        <v>936</v>
      </c>
      <c r="R164" s="210">
        <v>4300</v>
      </c>
      <c r="S164" s="214">
        <v>99.482002258300795</v>
      </c>
      <c r="T164" s="210" t="s">
        <v>1536</v>
      </c>
      <c r="U164" s="210">
        <v>5.4359999999999999</v>
      </c>
      <c r="V164" s="210" t="s">
        <v>1536</v>
      </c>
      <c r="W164" s="210">
        <v>77</v>
      </c>
      <c r="X164" s="210" t="s">
        <v>1536</v>
      </c>
      <c r="Y164" s="214">
        <v>102.34300231933599</v>
      </c>
      <c r="Z164" s="214">
        <v>99.482002258300795</v>
      </c>
      <c r="AA164" s="210">
        <v>148</v>
      </c>
      <c r="AB164" s="210">
        <v>148</v>
      </c>
      <c r="AC164" s="210">
        <v>144</v>
      </c>
      <c r="AD164" s="210">
        <v>151</v>
      </c>
      <c r="AE164" s="210">
        <v>77</v>
      </c>
      <c r="AF164" s="212">
        <v>23</v>
      </c>
      <c r="AG164" s="212">
        <v>64384</v>
      </c>
      <c r="AH164" s="210" t="s">
        <v>3432</v>
      </c>
    </row>
    <row r="165" spans="5:34">
      <c r="E165" s="376"/>
      <c r="F165" s="376"/>
      <c r="G165" s="376"/>
      <c r="H165" s="376"/>
      <c r="I165" s="210" t="s">
        <v>3628</v>
      </c>
      <c r="J165" s="210" t="s">
        <v>3629</v>
      </c>
      <c r="K165" s="214">
        <v>5.375</v>
      </c>
      <c r="L165" s="210" t="s">
        <v>2946</v>
      </c>
      <c r="M165" s="210" t="s">
        <v>2942</v>
      </c>
      <c r="N165" s="210" t="s">
        <v>1452</v>
      </c>
      <c r="O165" s="210" t="s">
        <v>1513</v>
      </c>
      <c r="P165" s="210" t="s">
        <v>1518</v>
      </c>
      <c r="Q165" s="210" t="s">
        <v>936</v>
      </c>
      <c r="R165" s="210" t="s">
        <v>2922</v>
      </c>
      <c r="S165" s="214">
        <v>100.998001098633</v>
      </c>
      <c r="T165" s="210" t="s">
        <v>1536</v>
      </c>
      <c r="U165" s="210">
        <v>5.2460000000000004</v>
      </c>
      <c r="V165" s="210" t="s">
        <v>1536</v>
      </c>
      <c r="W165" s="210">
        <v>115</v>
      </c>
      <c r="X165" s="210" t="s">
        <v>1536</v>
      </c>
      <c r="Y165" s="214">
        <v>102.217002868652</v>
      </c>
      <c r="Z165" s="214">
        <v>100.975997924805</v>
      </c>
      <c r="AA165" s="210">
        <v>157</v>
      </c>
      <c r="AB165" s="210">
        <v>158</v>
      </c>
      <c r="AC165" s="210">
        <v>156</v>
      </c>
      <c r="AD165" s="210">
        <v>158</v>
      </c>
      <c r="AE165" s="210">
        <v>114</v>
      </c>
      <c r="AF165" s="212">
        <v>23</v>
      </c>
      <c r="AG165" s="212">
        <v>64205</v>
      </c>
      <c r="AH165" s="210" t="s">
        <v>3432</v>
      </c>
    </row>
    <row r="166" spans="5:34">
      <c r="E166" s="376"/>
      <c r="F166" s="376"/>
      <c r="G166" s="376"/>
      <c r="H166" s="376"/>
      <c r="I166" s="210" t="s">
        <v>3630</v>
      </c>
      <c r="J166" s="210" t="s">
        <v>2944</v>
      </c>
      <c r="K166" s="214">
        <v>4.375</v>
      </c>
      <c r="L166" s="210" t="s">
        <v>3631</v>
      </c>
      <c r="M166" s="210" t="s">
        <v>2947</v>
      </c>
      <c r="N166" s="210" t="s">
        <v>1452</v>
      </c>
      <c r="O166" s="210" t="s">
        <v>1513</v>
      </c>
      <c r="P166" s="210" t="s">
        <v>1518</v>
      </c>
      <c r="Q166" s="210" t="s">
        <v>936</v>
      </c>
      <c r="R166" s="210" t="s">
        <v>2922</v>
      </c>
      <c r="S166" s="214">
        <v>100.681999206543</v>
      </c>
      <c r="T166" s="210" t="s">
        <v>1536</v>
      </c>
      <c r="U166" s="210">
        <v>4.1070000000000002</v>
      </c>
      <c r="V166" s="210" t="s">
        <v>1536</v>
      </c>
      <c r="W166" s="210">
        <v>53</v>
      </c>
      <c r="X166" s="210" t="s">
        <v>1536</v>
      </c>
      <c r="Y166" s="214">
        <v>101.01300048828099</v>
      </c>
      <c r="Z166" s="214">
        <v>100.62799835205099</v>
      </c>
      <c r="AA166" s="210">
        <v>75</v>
      </c>
      <c r="AB166" s="210">
        <v>77</v>
      </c>
      <c r="AC166" s="210">
        <v>76</v>
      </c>
      <c r="AD166" s="210">
        <v>77</v>
      </c>
      <c r="AE166" s="210">
        <v>53</v>
      </c>
      <c r="AF166" s="212">
        <v>20</v>
      </c>
      <c r="AG166" s="212">
        <v>64059</v>
      </c>
      <c r="AH166" s="210" t="s">
        <v>3432</v>
      </c>
    </row>
    <row r="167" spans="5:34">
      <c r="E167" s="376"/>
      <c r="F167" s="376"/>
      <c r="G167" s="376"/>
      <c r="H167" s="376"/>
      <c r="I167" s="210" t="s">
        <v>3070</v>
      </c>
      <c r="J167" s="210" t="s">
        <v>1559</v>
      </c>
      <c r="K167" s="214">
        <v>5.79</v>
      </c>
      <c r="L167" s="210" t="s">
        <v>3071</v>
      </c>
      <c r="M167" s="210" t="s">
        <v>2953</v>
      </c>
      <c r="N167" s="210" t="s">
        <v>1452</v>
      </c>
      <c r="O167" s="210" t="s">
        <v>1513</v>
      </c>
      <c r="P167" s="210" t="s">
        <v>1172</v>
      </c>
      <c r="Q167" s="210" t="s">
        <v>936</v>
      </c>
      <c r="R167" s="210">
        <v>1025</v>
      </c>
      <c r="S167" s="214">
        <v>105.679000854492</v>
      </c>
      <c r="T167" s="210" t="s">
        <v>1536</v>
      </c>
      <c r="U167" s="210">
        <v>5.032</v>
      </c>
      <c r="V167" s="210" t="s">
        <v>1536</v>
      </c>
      <c r="W167" s="210">
        <v>94</v>
      </c>
      <c r="X167" s="210" t="s">
        <v>1536</v>
      </c>
      <c r="Y167" s="214">
        <v>105.679000854492</v>
      </c>
      <c r="Z167" s="214">
        <v>105.65200042724599</v>
      </c>
      <c r="AA167" s="210">
        <v>138</v>
      </c>
      <c r="AB167" s="210">
        <v>139</v>
      </c>
      <c r="AC167" s="210">
        <v>142</v>
      </c>
      <c r="AD167" s="210">
        <v>138</v>
      </c>
      <c r="AE167" s="210">
        <v>96</v>
      </c>
      <c r="AF167" s="212">
        <v>14</v>
      </c>
      <c r="AG167" s="212">
        <v>64025</v>
      </c>
      <c r="AH167" s="210" t="s">
        <v>3432</v>
      </c>
    </row>
    <row r="168" spans="5:34">
      <c r="E168" s="376"/>
      <c r="F168" s="376"/>
      <c r="G168" s="376"/>
      <c r="H168" s="376"/>
      <c r="I168" s="210" t="s">
        <v>3048</v>
      </c>
      <c r="J168" s="210" t="s">
        <v>1543</v>
      </c>
      <c r="K168" s="214">
        <v>4.2</v>
      </c>
      <c r="L168" s="210" t="s">
        <v>2982</v>
      </c>
      <c r="M168" s="210" t="s">
        <v>2953</v>
      </c>
      <c r="N168" s="210" t="s">
        <v>1452</v>
      </c>
      <c r="O168" s="210" t="s">
        <v>1513</v>
      </c>
      <c r="P168" s="210" t="s">
        <v>1518</v>
      </c>
      <c r="Q168" s="210" t="s">
        <v>936</v>
      </c>
      <c r="R168" s="210">
        <v>4800</v>
      </c>
      <c r="S168" s="214">
        <v>99.752799987792997</v>
      </c>
      <c r="T168" s="210" t="s">
        <v>1536</v>
      </c>
      <c r="U168" s="210">
        <v>4.2549999999999999</v>
      </c>
      <c r="V168" s="210" t="s">
        <v>1536</v>
      </c>
      <c r="W168" s="210">
        <v>56</v>
      </c>
      <c r="X168" s="210" t="s">
        <v>1536</v>
      </c>
      <c r="Y168" s="214">
        <v>100.53199768066401</v>
      </c>
      <c r="Z168" s="214">
        <v>99.752799987792997</v>
      </c>
      <c r="AA168" s="210">
        <v>85</v>
      </c>
      <c r="AB168" s="210">
        <v>87</v>
      </c>
      <c r="AC168" s="210">
        <v>85</v>
      </c>
      <c r="AD168" s="210">
        <v>87</v>
      </c>
      <c r="AE168" s="210">
        <v>56</v>
      </c>
      <c r="AF168" s="212">
        <v>24</v>
      </c>
      <c r="AG168" s="212">
        <v>63272</v>
      </c>
      <c r="AH168" s="210" t="s">
        <v>3432</v>
      </c>
    </row>
    <row r="169" spans="5:34">
      <c r="E169" s="376"/>
      <c r="F169" s="376"/>
      <c r="G169" s="376"/>
      <c r="H169" s="376"/>
      <c r="I169" s="210" t="s">
        <v>3632</v>
      </c>
      <c r="J169" s="210" t="s">
        <v>3612</v>
      </c>
      <c r="K169" s="214">
        <v>4.5069999999999997</v>
      </c>
      <c r="L169" s="210" t="s">
        <v>3492</v>
      </c>
      <c r="M169" s="210" t="s">
        <v>2971</v>
      </c>
      <c r="N169" s="210" t="s">
        <v>1452</v>
      </c>
      <c r="O169" s="210" t="s">
        <v>1513</v>
      </c>
      <c r="P169" s="210" t="s">
        <v>1172</v>
      </c>
      <c r="Q169" s="210" t="s">
        <v>936</v>
      </c>
      <c r="R169" s="210">
        <v>4850</v>
      </c>
      <c r="S169" s="214">
        <v>100.32900238037099</v>
      </c>
      <c r="T169" s="210" t="s">
        <v>1536</v>
      </c>
      <c r="U169" s="210">
        <v>4.1559999999999997</v>
      </c>
      <c r="V169" s="210" t="s">
        <v>1536</v>
      </c>
      <c r="W169" s="210">
        <v>56</v>
      </c>
      <c r="X169" s="210" t="s">
        <v>1536</v>
      </c>
      <c r="Y169" s="214">
        <v>100.439002990723</v>
      </c>
      <c r="Z169" s="214">
        <v>100.32900238037099</v>
      </c>
      <c r="AA169" s="210">
        <v>51</v>
      </c>
      <c r="AB169" s="210">
        <v>53</v>
      </c>
      <c r="AC169" s="210">
        <v>53</v>
      </c>
      <c r="AD169" s="210">
        <v>51</v>
      </c>
      <c r="AE169" s="210">
        <v>46</v>
      </c>
      <c r="AF169" s="212">
        <v>16</v>
      </c>
      <c r="AG169" s="212">
        <v>63104</v>
      </c>
      <c r="AH169" s="210" t="s">
        <v>3432</v>
      </c>
    </row>
    <row r="170" spans="5:34">
      <c r="E170" s="376"/>
      <c r="F170" s="376"/>
      <c r="G170" s="376"/>
      <c r="H170" s="376"/>
      <c r="I170" s="210" t="s">
        <v>3633</v>
      </c>
      <c r="J170" s="210" t="s">
        <v>1535</v>
      </c>
      <c r="K170" s="214">
        <v>6.0869999999999997</v>
      </c>
      <c r="L170" s="210" t="s">
        <v>3483</v>
      </c>
      <c r="M170" s="210" t="s">
        <v>2939</v>
      </c>
      <c r="N170" s="210" t="s">
        <v>1452</v>
      </c>
      <c r="O170" s="210" t="s">
        <v>876</v>
      </c>
      <c r="P170" s="210" t="s">
        <v>1172</v>
      </c>
      <c r="Q170" s="210" t="s">
        <v>936</v>
      </c>
      <c r="R170" s="210">
        <v>2612</v>
      </c>
      <c r="S170" s="214">
        <v>105.44400024414099</v>
      </c>
      <c r="T170" s="210" t="s">
        <v>1536</v>
      </c>
      <c r="U170" s="210">
        <v>4.1210000000000004</v>
      </c>
      <c r="V170" s="210" t="s">
        <v>1536</v>
      </c>
      <c r="W170" s="210">
        <v>54</v>
      </c>
      <c r="X170" s="210" t="s">
        <v>1536</v>
      </c>
      <c r="Y170" s="214">
        <v>105.74299621582</v>
      </c>
      <c r="Z170" s="214">
        <v>105.44400024414099</v>
      </c>
      <c r="AA170" s="210">
        <v>77</v>
      </c>
      <c r="AB170" s="210">
        <v>79</v>
      </c>
      <c r="AC170" s="210">
        <v>80</v>
      </c>
      <c r="AD170" s="210">
        <v>77</v>
      </c>
      <c r="AE170" s="210">
        <v>54</v>
      </c>
      <c r="AF170" s="212">
        <v>18</v>
      </c>
      <c r="AG170" s="212">
        <v>62928</v>
      </c>
      <c r="AH170" s="210" t="s">
        <v>3432</v>
      </c>
    </row>
    <row r="171" spans="5:34">
      <c r="E171" s="376"/>
      <c r="F171" s="376"/>
      <c r="G171" s="376"/>
      <c r="H171" s="376"/>
      <c r="I171" s="210" t="s">
        <v>3634</v>
      </c>
      <c r="J171" s="210" t="s">
        <v>1568</v>
      </c>
      <c r="K171" s="214">
        <v>4.5</v>
      </c>
      <c r="L171" s="210" t="s">
        <v>3635</v>
      </c>
      <c r="M171" s="210" t="s">
        <v>2935</v>
      </c>
      <c r="N171" s="210" t="s">
        <v>1452</v>
      </c>
      <c r="O171" s="210" t="s">
        <v>1513</v>
      </c>
      <c r="P171" s="210" t="s">
        <v>1172</v>
      </c>
      <c r="Q171" s="210" t="s">
        <v>936</v>
      </c>
      <c r="R171" s="210">
        <v>1440</v>
      </c>
      <c r="S171" s="214">
        <v>83.705001831054702</v>
      </c>
      <c r="T171" s="210" t="s">
        <v>1536</v>
      </c>
      <c r="U171" s="210">
        <v>5.7489999999999997</v>
      </c>
      <c r="V171" s="210" t="s">
        <v>1536</v>
      </c>
      <c r="W171" s="210">
        <v>108</v>
      </c>
      <c r="X171" s="210" t="s">
        <v>1536</v>
      </c>
      <c r="Y171" s="214">
        <v>86.193000793457003</v>
      </c>
      <c r="Z171" s="214">
        <v>83.705001831054702</v>
      </c>
      <c r="AA171" s="210">
        <v>177</v>
      </c>
      <c r="AB171" s="210">
        <v>177</v>
      </c>
      <c r="AC171" s="210">
        <v>153</v>
      </c>
      <c r="AD171" s="210">
        <v>181</v>
      </c>
      <c r="AE171" s="210">
        <v>110</v>
      </c>
      <c r="AF171" s="212">
        <v>20</v>
      </c>
      <c r="AG171" s="212">
        <v>62630</v>
      </c>
      <c r="AH171" s="210" t="s">
        <v>3432</v>
      </c>
    </row>
    <row r="172" spans="5:34">
      <c r="E172" s="376"/>
      <c r="F172" s="376"/>
      <c r="G172" s="376"/>
      <c r="H172" s="376"/>
      <c r="I172" s="210" t="s">
        <v>3636</v>
      </c>
      <c r="J172" s="210" t="s">
        <v>1541</v>
      </c>
      <c r="K172" s="214">
        <v>1.9219999999999999</v>
      </c>
      <c r="L172" s="210" t="s">
        <v>3637</v>
      </c>
      <c r="M172" s="210" t="s">
        <v>2929</v>
      </c>
      <c r="N172" s="210" t="s">
        <v>1452</v>
      </c>
      <c r="O172" s="210" t="s">
        <v>876</v>
      </c>
      <c r="P172" s="210" t="s">
        <v>1518</v>
      </c>
      <c r="Q172" s="210" t="s">
        <v>936</v>
      </c>
      <c r="R172" s="210">
        <v>2967</v>
      </c>
      <c r="S172" s="214">
        <v>89.093902587890597</v>
      </c>
      <c r="T172" s="210" t="s">
        <v>1536</v>
      </c>
      <c r="U172" s="210">
        <v>4.3860000000000001</v>
      </c>
      <c r="V172" s="210" t="s">
        <v>1536</v>
      </c>
      <c r="W172" s="210">
        <v>70</v>
      </c>
      <c r="X172" s="210" t="s">
        <v>1536</v>
      </c>
      <c r="Y172" s="214">
        <v>89.528999328613295</v>
      </c>
      <c r="Z172" s="214">
        <v>89.008003234863295</v>
      </c>
      <c r="AA172" s="210">
        <v>99</v>
      </c>
      <c r="AB172" s="210">
        <v>101</v>
      </c>
      <c r="AC172" s="210">
        <v>92</v>
      </c>
      <c r="AD172" s="210">
        <v>99</v>
      </c>
      <c r="AE172" s="210">
        <v>70</v>
      </c>
      <c r="AF172" s="212">
        <v>22</v>
      </c>
      <c r="AG172" s="212">
        <v>62503</v>
      </c>
      <c r="AH172" s="210" t="s">
        <v>3432</v>
      </c>
    </row>
    <row r="173" spans="5:34">
      <c r="E173" s="376"/>
      <c r="F173" s="376"/>
      <c r="G173" s="376"/>
      <c r="H173" s="376"/>
      <c r="I173" s="210" t="s">
        <v>3638</v>
      </c>
      <c r="J173" s="210" t="s">
        <v>3639</v>
      </c>
      <c r="K173" s="214">
        <v>5.2</v>
      </c>
      <c r="L173" s="210" t="s">
        <v>3640</v>
      </c>
      <c r="M173" s="210" t="s">
        <v>2985</v>
      </c>
      <c r="N173" s="210" t="s">
        <v>1452</v>
      </c>
      <c r="O173" s="210" t="s">
        <v>1513</v>
      </c>
      <c r="P173" s="210" t="s">
        <v>1172</v>
      </c>
      <c r="Q173" s="210" t="s">
        <v>936</v>
      </c>
      <c r="R173" s="210">
        <v>2000</v>
      </c>
      <c r="S173" s="214">
        <v>98.398002624511705</v>
      </c>
      <c r="T173" s="210" t="s">
        <v>1536</v>
      </c>
      <c r="U173" s="210">
        <v>5.3079999999999998</v>
      </c>
      <c r="V173" s="210" t="s">
        <v>1536</v>
      </c>
      <c r="W173" s="210">
        <v>64</v>
      </c>
      <c r="X173" s="210" t="s">
        <v>1536</v>
      </c>
      <c r="Y173" s="214">
        <v>100.82199859619099</v>
      </c>
      <c r="Z173" s="214">
        <v>98.398002624511705</v>
      </c>
      <c r="AA173" s="210">
        <v>135</v>
      </c>
      <c r="AB173" s="210">
        <v>135</v>
      </c>
      <c r="AC173" s="210">
        <v>131</v>
      </c>
      <c r="AD173" s="210">
        <v>138</v>
      </c>
      <c r="AE173" s="210">
        <v>64</v>
      </c>
      <c r="AF173" s="212">
        <v>23</v>
      </c>
      <c r="AG173" s="212">
        <v>62000</v>
      </c>
      <c r="AH173" s="210" t="s">
        <v>3432</v>
      </c>
    </row>
    <row r="174" spans="5:34">
      <c r="E174" s="376"/>
      <c r="F174" s="376"/>
      <c r="G174" s="376"/>
      <c r="H174" s="376"/>
      <c r="I174" s="210" t="s">
        <v>3641</v>
      </c>
      <c r="J174" s="210" t="s">
        <v>3642</v>
      </c>
      <c r="K174" s="214">
        <v>5.0999999999999996</v>
      </c>
      <c r="L174" s="210" t="s">
        <v>3643</v>
      </c>
      <c r="M174" s="210" t="s">
        <v>3644</v>
      </c>
      <c r="N174" s="210" t="s">
        <v>1452</v>
      </c>
      <c r="O174" s="210" t="s">
        <v>1452</v>
      </c>
      <c r="P174" s="210" t="s">
        <v>1518</v>
      </c>
      <c r="Q174" s="210" t="s">
        <v>936</v>
      </c>
      <c r="R174" s="210">
        <v>2000</v>
      </c>
      <c r="S174" s="214">
        <v>102.91000366210901</v>
      </c>
      <c r="T174" s="210" t="s">
        <v>1536</v>
      </c>
      <c r="U174" s="210">
        <v>4.7009999999999996</v>
      </c>
      <c r="V174" s="210" t="s">
        <v>1536</v>
      </c>
      <c r="W174" s="210">
        <v>62</v>
      </c>
      <c r="X174" s="210" t="s">
        <v>1536</v>
      </c>
      <c r="Y174" s="214">
        <v>104.59999847412099</v>
      </c>
      <c r="Z174" s="214">
        <v>102.890998840332</v>
      </c>
      <c r="AA174" s="210">
        <v>108</v>
      </c>
      <c r="AB174" s="210">
        <v>110</v>
      </c>
      <c r="AC174" s="210">
        <v>109</v>
      </c>
      <c r="AD174" s="210">
        <v>110</v>
      </c>
      <c r="AE174" s="210">
        <v>68</v>
      </c>
      <c r="AF174" s="212">
        <v>22</v>
      </c>
      <c r="AG174" s="212">
        <v>61770</v>
      </c>
      <c r="AH174" s="210" t="s">
        <v>3432</v>
      </c>
    </row>
    <row r="175" spans="5:34">
      <c r="E175" s="376"/>
      <c r="F175" s="376"/>
      <c r="G175" s="376"/>
      <c r="H175" s="376"/>
      <c r="I175" s="210" t="s">
        <v>3645</v>
      </c>
      <c r="J175" s="210" t="s">
        <v>3646</v>
      </c>
      <c r="K175" s="214">
        <v>5.25</v>
      </c>
      <c r="L175" s="210" t="s">
        <v>3040</v>
      </c>
      <c r="M175" s="210" t="s">
        <v>2940</v>
      </c>
      <c r="N175" s="210" t="s">
        <v>1452</v>
      </c>
      <c r="O175" s="210" t="s">
        <v>876</v>
      </c>
      <c r="P175" s="210" t="s">
        <v>1172</v>
      </c>
      <c r="Q175" s="210" t="s">
        <v>936</v>
      </c>
      <c r="R175" s="210">
        <v>1539</v>
      </c>
      <c r="S175" s="214">
        <v>103.63800048828099</v>
      </c>
      <c r="T175" s="210" t="s">
        <v>1536</v>
      </c>
      <c r="U175" s="210">
        <v>4.641</v>
      </c>
      <c r="V175" s="210" t="s">
        <v>1536</v>
      </c>
      <c r="W175" s="210">
        <v>56</v>
      </c>
      <c r="X175" s="210" t="s">
        <v>1536</v>
      </c>
      <c r="Y175" s="214">
        <v>104.638999938965</v>
      </c>
      <c r="Z175" s="214">
        <v>103.61799621582</v>
      </c>
      <c r="AA175" s="210">
        <v>113</v>
      </c>
      <c r="AB175" s="210">
        <v>115</v>
      </c>
      <c r="AC175" s="210">
        <v>115</v>
      </c>
      <c r="AD175" s="210">
        <v>115</v>
      </c>
      <c r="AE175" s="210">
        <v>76</v>
      </c>
      <c r="AF175" s="212">
        <v>22</v>
      </c>
      <c r="AG175" s="212">
        <v>61677</v>
      </c>
      <c r="AH175" s="210" t="s">
        <v>3432</v>
      </c>
    </row>
    <row r="176" spans="5:34">
      <c r="E176" s="376"/>
      <c r="F176" s="376"/>
      <c r="G176" s="376"/>
      <c r="H176" s="376"/>
      <c r="I176" s="210" t="s">
        <v>3066</v>
      </c>
      <c r="J176" s="210" t="s">
        <v>1519</v>
      </c>
      <c r="K176" s="214">
        <v>4.9000000000000004</v>
      </c>
      <c r="L176" s="210" t="s">
        <v>3060</v>
      </c>
      <c r="M176" s="210" t="s">
        <v>2932</v>
      </c>
      <c r="N176" s="210" t="s">
        <v>1452</v>
      </c>
      <c r="O176" s="210" t="s">
        <v>1513</v>
      </c>
      <c r="P176" s="210" t="s">
        <v>1518</v>
      </c>
      <c r="Q176" s="210" t="s">
        <v>936</v>
      </c>
      <c r="R176" s="210">
        <v>1000</v>
      </c>
      <c r="S176" s="214">
        <v>98.674003601074205</v>
      </c>
      <c r="T176" s="210" t="s">
        <v>1536</v>
      </c>
      <c r="U176" s="210">
        <v>5.069</v>
      </c>
      <c r="V176" s="210" t="s">
        <v>1536</v>
      </c>
      <c r="W176" s="210">
        <v>98</v>
      </c>
      <c r="X176" s="210" t="s">
        <v>1536</v>
      </c>
      <c r="Y176" s="214">
        <v>99.932998657226605</v>
      </c>
      <c r="Z176" s="214">
        <v>98.674003601074205</v>
      </c>
      <c r="AA176" s="210">
        <v>139</v>
      </c>
      <c r="AB176" s="210">
        <v>140</v>
      </c>
      <c r="AC176" s="210">
        <v>136</v>
      </c>
      <c r="AD176" s="210">
        <v>141</v>
      </c>
      <c r="AE176" s="210">
        <v>97</v>
      </c>
      <c r="AF176" s="212">
        <v>20</v>
      </c>
      <c r="AG176" s="212">
        <v>61661</v>
      </c>
      <c r="AH176" s="210" t="s">
        <v>3432</v>
      </c>
    </row>
    <row r="177" spans="5:34">
      <c r="E177" s="376"/>
      <c r="F177" s="376"/>
      <c r="G177" s="376"/>
      <c r="H177" s="376"/>
      <c r="I177" s="210" t="s">
        <v>3057</v>
      </c>
      <c r="J177" s="210" t="s">
        <v>2967</v>
      </c>
      <c r="K177" s="214">
        <v>5.05</v>
      </c>
      <c r="L177" s="210" t="s">
        <v>2958</v>
      </c>
      <c r="M177" s="210" t="s">
        <v>2935</v>
      </c>
      <c r="N177" s="210" t="s">
        <v>1452</v>
      </c>
      <c r="O177" s="210" t="s">
        <v>1513</v>
      </c>
      <c r="P177" s="210" t="s">
        <v>1518</v>
      </c>
      <c r="Q177" s="210" t="s">
        <v>936</v>
      </c>
      <c r="R177" s="210">
        <v>3910</v>
      </c>
      <c r="S177" s="214">
        <v>100.199996948242</v>
      </c>
      <c r="T177" s="210" t="s">
        <v>1536</v>
      </c>
      <c r="U177" s="210">
        <v>5.0140000000000002</v>
      </c>
      <c r="V177" s="210" t="s">
        <v>1536</v>
      </c>
      <c r="W177" s="210">
        <v>115</v>
      </c>
      <c r="X177" s="210" t="s">
        <v>1536</v>
      </c>
      <c r="Y177" s="214">
        <v>101.040000915527</v>
      </c>
      <c r="Z177" s="214">
        <v>100.199996948242</v>
      </c>
      <c r="AA177" s="210">
        <v>151</v>
      </c>
      <c r="AB177" s="210">
        <v>153</v>
      </c>
      <c r="AC177" s="210">
        <v>150</v>
      </c>
      <c r="AD177" s="210">
        <v>153</v>
      </c>
      <c r="AE177" s="210">
        <v>115</v>
      </c>
      <c r="AF177" s="212">
        <v>17</v>
      </c>
      <c r="AG177" s="212">
        <v>61570</v>
      </c>
      <c r="AH177" s="210" t="s">
        <v>3432</v>
      </c>
    </row>
    <row r="178" spans="5:34">
      <c r="E178" s="376"/>
      <c r="F178" s="376"/>
      <c r="G178" s="376"/>
      <c r="H178" s="376"/>
      <c r="I178" s="210" t="s">
        <v>3647</v>
      </c>
      <c r="J178" s="210" t="s">
        <v>3051</v>
      </c>
      <c r="K178" s="214">
        <v>6.2</v>
      </c>
      <c r="L178" s="210" t="s">
        <v>3648</v>
      </c>
      <c r="M178" s="210" t="s">
        <v>2950</v>
      </c>
      <c r="N178" s="210" t="s">
        <v>1452</v>
      </c>
      <c r="O178" s="210" t="s">
        <v>1513</v>
      </c>
      <c r="P178" s="210" t="s">
        <v>1172</v>
      </c>
      <c r="Q178" s="210" t="s">
        <v>936</v>
      </c>
      <c r="R178" s="210">
        <v>1600</v>
      </c>
      <c r="S178" s="214">
        <v>104.27799987793</v>
      </c>
      <c r="T178" s="210" t="s">
        <v>1536</v>
      </c>
      <c r="U178" s="210">
        <v>5.8890000000000002</v>
      </c>
      <c r="V178" s="210" t="s">
        <v>1536</v>
      </c>
      <c r="W178" s="210">
        <v>122</v>
      </c>
      <c r="X178" s="210" t="s">
        <v>1536</v>
      </c>
      <c r="Y178" s="214">
        <v>106.48200225830099</v>
      </c>
      <c r="Z178" s="214">
        <v>103.939002990723</v>
      </c>
      <c r="AA178" s="210">
        <v>194</v>
      </c>
      <c r="AB178" s="210">
        <v>193</v>
      </c>
      <c r="AC178" s="210">
        <v>196</v>
      </c>
      <c r="AD178" s="210">
        <v>197</v>
      </c>
      <c r="AE178" s="210">
        <v>123</v>
      </c>
      <c r="AF178" s="212">
        <v>15</v>
      </c>
      <c r="AG178" s="212">
        <v>61096</v>
      </c>
      <c r="AH178" s="210" t="s">
        <v>3432</v>
      </c>
    </row>
    <row r="179" spans="5:34">
      <c r="E179" s="376"/>
      <c r="F179" s="376"/>
      <c r="G179" s="376"/>
      <c r="H179" s="376"/>
      <c r="I179" s="210" t="s">
        <v>3649</v>
      </c>
      <c r="J179" s="210" t="s">
        <v>3106</v>
      </c>
      <c r="K179" s="214">
        <v>4.3</v>
      </c>
      <c r="L179" s="210" t="s">
        <v>3650</v>
      </c>
      <c r="M179" s="210" t="s">
        <v>2942</v>
      </c>
      <c r="N179" s="210" t="s">
        <v>1452</v>
      </c>
      <c r="O179" s="210" t="s">
        <v>1452</v>
      </c>
      <c r="P179" s="210" t="s">
        <v>1518</v>
      </c>
      <c r="Q179" s="210" t="s">
        <v>936</v>
      </c>
      <c r="R179" s="210" t="s">
        <v>2922</v>
      </c>
      <c r="S179" s="214">
        <v>99.666000366210895</v>
      </c>
      <c r="T179" s="210" t="s">
        <v>1536</v>
      </c>
      <c r="U179" s="210">
        <v>4.4139999999999997</v>
      </c>
      <c r="V179" s="210" t="s">
        <v>1536</v>
      </c>
      <c r="W179" s="210">
        <v>82</v>
      </c>
      <c r="X179" s="210" t="s">
        <v>1536</v>
      </c>
      <c r="Y179" s="214">
        <v>100.34400177002</v>
      </c>
      <c r="Z179" s="214">
        <v>99.666000366210895</v>
      </c>
      <c r="AA179" s="210">
        <v>104</v>
      </c>
      <c r="AB179" s="210">
        <v>107</v>
      </c>
      <c r="AC179" s="210">
        <v>104</v>
      </c>
      <c r="AD179" s="210">
        <v>106</v>
      </c>
      <c r="AE179" s="210">
        <v>80</v>
      </c>
      <c r="AF179" s="212">
        <v>18</v>
      </c>
      <c r="AG179" s="212">
        <v>60850</v>
      </c>
      <c r="AH179" s="210" t="s">
        <v>3432</v>
      </c>
    </row>
    <row r="180" spans="5:34">
      <c r="E180" s="376"/>
      <c r="F180" s="376"/>
      <c r="G180" s="376"/>
      <c r="H180" s="376"/>
      <c r="I180" s="210" t="s">
        <v>3651</v>
      </c>
      <c r="J180" s="210" t="s">
        <v>1559</v>
      </c>
      <c r="K180" s="214">
        <v>5.7409999999999997</v>
      </c>
      <c r="L180" s="210" t="s">
        <v>3652</v>
      </c>
      <c r="M180" s="210" t="s">
        <v>2935</v>
      </c>
      <c r="N180" s="210" t="s">
        <v>1452</v>
      </c>
      <c r="O180" s="210" t="s">
        <v>876</v>
      </c>
      <c r="P180" s="210" t="s">
        <v>1172</v>
      </c>
      <c r="Q180" s="210" t="s">
        <v>936</v>
      </c>
      <c r="R180" s="210">
        <v>1600</v>
      </c>
      <c r="S180" s="214">
        <v>102.21499633789099</v>
      </c>
      <c r="T180" s="210" t="s">
        <v>1536</v>
      </c>
      <c r="U180" s="210">
        <v>5.4459999999999997</v>
      </c>
      <c r="V180" s="210" t="s">
        <v>1536</v>
      </c>
      <c r="W180" s="210">
        <v>137</v>
      </c>
      <c r="X180" s="210" t="s">
        <v>1536</v>
      </c>
      <c r="Y180" s="214">
        <v>103.15299987793</v>
      </c>
      <c r="Z180" s="214">
        <v>102.18699645996099</v>
      </c>
      <c r="AA180" s="210">
        <v>179</v>
      </c>
      <c r="AB180" s="210">
        <v>180</v>
      </c>
      <c r="AC180" s="210">
        <v>180</v>
      </c>
      <c r="AD180" s="210">
        <v>180</v>
      </c>
      <c r="AE180" s="210">
        <v>137</v>
      </c>
      <c r="AF180" s="212">
        <v>20</v>
      </c>
      <c r="AG180" s="212">
        <v>60759</v>
      </c>
      <c r="AH180" s="210" t="s">
        <v>3432</v>
      </c>
    </row>
    <row r="181" spans="5:34">
      <c r="E181" s="376"/>
      <c r="F181" s="376"/>
      <c r="G181" s="376"/>
      <c r="H181" s="376"/>
      <c r="I181" s="210" t="s">
        <v>2995</v>
      </c>
      <c r="J181" s="210" t="s">
        <v>1535</v>
      </c>
      <c r="K181" s="214">
        <v>2.95</v>
      </c>
      <c r="L181" s="210" t="s">
        <v>2996</v>
      </c>
      <c r="M181" s="210" t="s">
        <v>2939</v>
      </c>
      <c r="N181" s="210" t="s">
        <v>1452</v>
      </c>
      <c r="O181" s="210" t="s">
        <v>876</v>
      </c>
      <c r="P181" s="210" t="s">
        <v>1172</v>
      </c>
      <c r="Q181" s="210" t="s">
        <v>936</v>
      </c>
      <c r="R181" s="210" t="s">
        <v>2922</v>
      </c>
      <c r="S181" s="214">
        <v>99.156997680664105</v>
      </c>
      <c r="T181" s="210" t="s">
        <v>1536</v>
      </c>
      <c r="U181" s="210">
        <v>3.8980000000000001</v>
      </c>
      <c r="V181" s="210" t="s">
        <v>1536</v>
      </c>
      <c r="W181" s="210">
        <v>32</v>
      </c>
      <c r="X181" s="210" t="s">
        <v>1536</v>
      </c>
      <c r="Y181" s="214">
        <v>99.194000244140597</v>
      </c>
      <c r="Z181" s="214">
        <v>99.088996887207003</v>
      </c>
      <c r="AA181" s="210">
        <v>24</v>
      </c>
      <c r="AB181" s="210">
        <v>27</v>
      </c>
      <c r="AC181" s="210">
        <v>26</v>
      </c>
      <c r="AD181" s="210">
        <v>27</v>
      </c>
      <c r="AE181" s="210">
        <v>20</v>
      </c>
      <c r="AF181" s="212">
        <v>21</v>
      </c>
      <c r="AG181" s="212">
        <v>60691</v>
      </c>
      <c r="AH181" s="210" t="s">
        <v>3432</v>
      </c>
    </row>
    <row r="182" spans="5:34">
      <c r="E182" s="376"/>
      <c r="F182" s="376"/>
      <c r="G182" s="376"/>
      <c r="H182" s="376"/>
      <c r="I182" s="210" t="s">
        <v>3653</v>
      </c>
      <c r="J182" s="210" t="s">
        <v>3429</v>
      </c>
      <c r="K182" s="214">
        <v>5.5</v>
      </c>
      <c r="L182" s="210" t="s">
        <v>3319</v>
      </c>
      <c r="M182" s="210" t="s">
        <v>2932</v>
      </c>
      <c r="N182" s="210" t="s">
        <v>1452</v>
      </c>
      <c r="O182" s="210" t="s">
        <v>1452</v>
      </c>
      <c r="P182" s="210" t="s">
        <v>1518</v>
      </c>
      <c r="Q182" s="210" t="s">
        <v>936</v>
      </c>
      <c r="R182" s="210">
        <v>5000</v>
      </c>
      <c r="S182" s="214">
        <v>102.552001953125</v>
      </c>
      <c r="T182" s="210" t="s">
        <v>1536</v>
      </c>
      <c r="U182" s="210">
        <v>5.1529999999999996</v>
      </c>
      <c r="V182" s="210" t="s">
        <v>1536</v>
      </c>
      <c r="W182" s="210">
        <v>106</v>
      </c>
      <c r="X182" s="210" t="s">
        <v>1536</v>
      </c>
      <c r="Y182" s="214">
        <v>103.956001281738</v>
      </c>
      <c r="Z182" s="214">
        <v>102.552001953125</v>
      </c>
      <c r="AA182" s="210">
        <v>151</v>
      </c>
      <c r="AB182" s="210">
        <v>152</v>
      </c>
      <c r="AC182" s="210">
        <v>152</v>
      </c>
      <c r="AD182" s="210">
        <v>152</v>
      </c>
      <c r="AE182" s="210">
        <v>109</v>
      </c>
      <c r="AF182" s="212">
        <v>22</v>
      </c>
      <c r="AG182" s="212">
        <v>60533</v>
      </c>
      <c r="AH182" s="210" t="s">
        <v>3432</v>
      </c>
    </row>
    <row r="183" spans="5:34">
      <c r="E183" s="376"/>
      <c r="F183" s="376"/>
      <c r="G183" s="376"/>
      <c r="H183" s="376"/>
      <c r="I183" s="210" t="s">
        <v>3654</v>
      </c>
      <c r="J183" s="210" t="s">
        <v>3655</v>
      </c>
      <c r="K183" s="214">
        <v>4.9000000000000004</v>
      </c>
      <c r="L183" s="210" t="s">
        <v>3656</v>
      </c>
      <c r="M183" s="210" t="s">
        <v>2936</v>
      </c>
      <c r="N183" s="210" t="s">
        <v>1452</v>
      </c>
      <c r="O183" s="210" t="s">
        <v>876</v>
      </c>
      <c r="P183" s="210" t="s">
        <v>1518</v>
      </c>
      <c r="Q183" s="210" t="s">
        <v>936</v>
      </c>
      <c r="R183" s="210" t="s">
        <v>2922</v>
      </c>
      <c r="S183" s="214">
        <v>100.793998718262</v>
      </c>
      <c r="T183" s="210" t="s">
        <v>1536</v>
      </c>
      <c r="U183" s="210">
        <v>4.7949999999999999</v>
      </c>
      <c r="V183" s="210" t="s">
        <v>1536</v>
      </c>
      <c r="W183" s="210">
        <v>72</v>
      </c>
      <c r="X183" s="210" t="s">
        <v>1536</v>
      </c>
      <c r="Y183" s="214">
        <v>101.759002685547</v>
      </c>
      <c r="Z183" s="214">
        <v>100.793998718262</v>
      </c>
      <c r="AA183" s="210">
        <v>115</v>
      </c>
      <c r="AB183" s="210">
        <v>116</v>
      </c>
      <c r="AC183" s="210">
        <v>115</v>
      </c>
      <c r="AD183" s="210">
        <v>116</v>
      </c>
      <c r="AE183" s="210">
        <v>74</v>
      </c>
      <c r="AF183" s="212">
        <v>25</v>
      </c>
      <c r="AG183" s="212">
        <v>60450</v>
      </c>
      <c r="AH183" s="210" t="s">
        <v>3432</v>
      </c>
    </row>
    <row r="184" spans="5:34">
      <c r="E184" s="376"/>
      <c r="F184" s="376"/>
      <c r="G184" s="376"/>
      <c r="H184" s="376"/>
      <c r="I184" s="210" t="s">
        <v>3314</v>
      </c>
      <c r="J184" s="210" t="s">
        <v>1545</v>
      </c>
      <c r="K184" s="214">
        <v>4.2</v>
      </c>
      <c r="L184" s="210" t="s">
        <v>3315</v>
      </c>
      <c r="M184" s="210" t="s">
        <v>2932</v>
      </c>
      <c r="N184" s="210" t="s">
        <v>1452</v>
      </c>
      <c r="O184" s="210" t="s">
        <v>1452</v>
      </c>
      <c r="P184" s="210" t="s">
        <v>1518</v>
      </c>
      <c r="Q184" s="210" t="s">
        <v>936</v>
      </c>
      <c r="R184" s="210">
        <v>1700</v>
      </c>
      <c r="S184" s="214">
        <v>99.800598144531193</v>
      </c>
      <c r="T184" s="210" t="s">
        <v>1536</v>
      </c>
      <c r="U184" s="210">
        <v>4.2720000000000002</v>
      </c>
      <c r="V184" s="210" t="s">
        <v>1536</v>
      </c>
      <c r="W184" s="210">
        <v>69</v>
      </c>
      <c r="X184" s="210" t="s">
        <v>1536</v>
      </c>
      <c r="Y184" s="214">
        <v>100.120002746582</v>
      </c>
      <c r="Z184" s="214">
        <v>99.800598144531193</v>
      </c>
      <c r="AA184" s="210">
        <v>92</v>
      </c>
      <c r="AB184" s="210">
        <v>94</v>
      </c>
      <c r="AC184" s="210">
        <v>92</v>
      </c>
      <c r="AD184" s="210">
        <v>94</v>
      </c>
      <c r="AE184" s="210">
        <v>69</v>
      </c>
      <c r="AF184" s="212">
        <v>25</v>
      </c>
      <c r="AG184" s="212">
        <v>60150</v>
      </c>
      <c r="AH184" s="210" t="s">
        <v>3432</v>
      </c>
    </row>
    <row r="185" spans="5:34">
      <c r="E185" s="376"/>
      <c r="F185" s="376"/>
      <c r="G185" s="376"/>
      <c r="H185" s="376"/>
      <c r="I185" s="210" t="s">
        <v>3657</v>
      </c>
      <c r="J185" s="210" t="s">
        <v>3412</v>
      </c>
      <c r="K185" s="214">
        <v>3.8</v>
      </c>
      <c r="L185" s="210" t="s">
        <v>3577</v>
      </c>
      <c r="M185" s="210" t="s">
        <v>3472</v>
      </c>
      <c r="N185" s="210" t="s">
        <v>1452</v>
      </c>
      <c r="O185" s="210" t="s">
        <v>876</v>
      </c>
      <c r="P185" s="210" t="s">
        <v>1518</v>
      </c>
      <c r="Q185" s="210" t="s">
        <v>936</v>
      </c>
      <c r="R185" s="210" t="s">
        <v>2922</v>
      </c>
      <c r="S185" s="214">
        <v>99.794998168945298</v>
      </c>
      <c r="T185" s="210" t="s">
        <v>1536</v>
      </c>
      <c r="U185" s="210">
        <v>3.8730000000000002</v>
      </c>
      <c r="V185" s="210" t="s">
        <v>1536</v>
      </c>
      <c r="W185" s="210">
        <v>28</v>
      </c>
      <c r="X185" s="210" t="s">
        <v>1536</v>
      </c>
      <c r="Y185" s="214">
        <v>100.130996704102</v>
      </c>
      <c r="Z185" s="214">
        <v>99.794998168945298</v>
      </c>
      <c r="AA185" s="210">
        <v>50</v>
      </c>
      <c r="AB185" s="210">
        <v>53</v>
      </c>
      <c r="AC185" s="210">
        <v>51</v>
      </c>
      <c r="AD185" s="210">
        <v>52</v>
      </c>
      <c r="AE185" s="210">
        <v>28</v>
      </c>
      <c r="AF185" s="212">
        <v>16</v>
      </c>
      <c r="AG185" s="212">
        <v>60000</v>
      </c>
      <c r="AH185" s="210" t="s">
        <v>3432</v>
      </c>
    </row>
    <row r="186" spans="5:34">
      <c r="E186" s="376"/>
      <c r="F186" s="376"/>
      <c r="G186" s="376"/>
      <c r="H186" s="376"/>
      <c r="I186" s="210" t="s">
        <v>3065</v>
      </c>
      <c r="J186" s="210" t="s">
        <v>1564</v>
      </c>
      <c r="K186" s="214">
        <v>5.55</v>
      </c>
      <c r="L186" s="210" t="s">
        <v>2927</v>
      </c>
      <c r="M186" s="210" t="s">
        <v>2928</v>
      </c>
      <c r="N186" s="210" t="s">
        <v>1452</v>
      </c>
      <c r="O186" s="210" t="s">
        <v>1452</v>
      </c>
      <c r="P186" s="210" t="s">
        <v>1518</v>
      </c>
      <c r="Q186" s="210" t="s">
        <v>936</v>
      </c>
      <c r="R186" s="210">
        <v>1300</v>
      </c>
      <c r="S186" s="214">
        <v>102.794998168945</v>
      </c>
      <c r="T186" s="210" t="s">
        <v>1536</v>
      </c>
      <c r="U186" s="210">
        <v>5.359</v>
      </c>
      <c r="V186" s="210" t="s">
        <v>1536</v>
      </c>
      <c r="W186" s="210">
        <v>69</v>
      </c>
      <c r="X186" s="210" t="s">
        <v>1536</v>
      </c>
      <c r="Y186" s="214">
        <v>105.505996704102</v>
      </c>
      <c r="Z186" s="214">
        <v>102.47499847412099</v>
      </c>
      <c r="AA186" s="210">
        <v>141</v>
      </c>
      <c r="AB186" s="210">
        <v>141</v>
      </c>
      <c r="AC186" s="210">
        <v>141</v>
      </c>
      <c r="AD186" s="210">
        <v>143</v>
      </c>
      <c r="AE186" s="210">
        <v>69</v>
      </c>
      <c r="AF186" s="212">
        <v>22</v>
      </c>
      <c r="AG186" s="212">
        <v>59951</v>
      </c>
      <c r="AH186" s="210" t="s">
        <v>3432</v>
      </c>
    </row>
    <row r="187" spans="5:34">
      <c r="E187" s="376"/>
      <c r="F187" s="376"/>
      <c r="G187" s="376"/>
      <c r="H187" s="376"/>
      <c r="I187" s="210" t="s">
        <v>3039</v>
      </c>
      <c r="J187" s="210" t="s">
        <v>1535</v>
      </c>
      <c r="K187" s="214">
        <v>6.5</v>
      </c>
      <c r="L187" s="210" t="s">
        <v>2954</v>
      </c>
      <c r="M187" s="210" t="s">
        <v>2932</v>
      </c>
      <c r="N187" s="210" t="s">
        <v>1452</v>
      </c>
      <c r="O187" s="210" t="s">
        <v>1513</v>
      </c>
      <c r="P187" s="210" t="s">
        <v>1518</v>
      </c>
      <c r="Q187" s="210" t="s">
        <v>936</v>
      </c>
      <c r="R187" s="210">
        <v>1200</v>
      </c>
      <c r="S187" s="214">
        <v>103.758003234863</v>
      </c>
      <c r="T187" s="210" t="s">
        <v>1536</v>
      </c>
      <c r="U187" s="210">
        <v>5.5330000000000004</v>
      </c>
      <c r="V187" s="210" t="s">
        <v>1536</v>
      </c>
      <c r="W187" s="210">
        <v>187</v>
      </c>
      <c r="X187" s="210" t="s">
        <v>1536</v>
      </c>
      <c r="Y187" s="214">
        <v>104.15000152587901</v>
      </c>
      <c r="Z187" s="214">
        <v>103.758003234863</v>
      </c>
      <c r="AA187" s="210">
        <v>216</v>
      </c>
      <c r="AB187" s="210">
        <v>216</v>
      </c>
      <c r="AC187" s="210">
        <v>220</v>
      </c>
      <c r="AE187" s="210">
        <v>187</v>
      </c>
      <c r="AF187" s="212">
        <v>23</v>
      </c>
      <c r="AG187" s="212">
        <v>59799</v>
      </c>
      <c r="AH187" s="210" t="s">
        <v>3432</v>
      </c>
    </row>
    <row r="188" spans="5:34">
      <c r="E188" s="376"/>
      <c r="F188" s="376"/>
      <c r="G188" s="376"/>
      <c r="H188" s="376"/>
      <c r="I188" s="210" t="s">
        <v>3658</v>
      </c>
      <c r="J188" s="210" t="s">
        <v>3659</v>
      </c>
      <c r="K188" s="214">
        <v>5.125</v>
      </c>
      <c r="L188" s="210" t="s">
        <v>3660</v>
      </c>
      <c r="M188" s="210" t="s">
        <v>2950</v>
      </c>
      <c r="N188" s="210" t="s">
        <v>1452</v>
      </c>
      <c r="O188" s="210" t="s">
        <v>1452</v>
      </c>
      <c r="P188" s="210" t="s">
        <v>1518</v>
      </c>
      <c r="Q188" s="210" t="s">
        <v>936</v>
      </c>
      <c r="R188" s="210">
        <v>2260</v>
      </c>
      <c r="S188" s="214">
        <v>98.575798034667997</v>
      </c>
      <c r="T188" s="210" t="s">
        <v>1536</v>
      </c>
      <c r="U188" s="210">
        <v>5.4420000000000002</v>
      </c>
      <c r="V188" s="210" t="s">
        <v>1536</v>
      </c>
      <c r="W188" s="210">
        <v>175</v>
      </c>
      <c r="X188" s="210" t="s">
        <v>1536</v>
      </c>
      <c r="Y188" s="214">
        <v>99.377998352050795</v>
      </c>
      <c r="Z188" s="214">
        <v>98.418998718261705</v>
      </c>
      <c r="AA188" s="210">
        <v>203</v>
      </c>
      <c r="AB188" s="210">
        <v>205</v>
      </c>
      <c r="AC188" s="210">
        <v>200</v>
      </c>
      <c r="AD188" s="210">
        <v>205</v>
      </c>
      <c r="AE188" s="210">
        <v>173</v>
      </c>
      <c r="AF188" s="212">
        <v>26</v>
      </c>
      <c r="AG188" s="212">
        <v>59520</v>
      </c>
      <c r="AH188" s="210" t="s">
        <v>3432</v>
      </c>
    </row>
    <row r="189" spans="5:34">
      <c r="E189" s="376"/>
      <c r="F189" s="376"/>
      <c r="G189" s="376"/>
      <c r="H189" s="376"/>
      <c r="I189" s="210" t="s">
        <v>3661</v>
      </c>
      <c r="J189" s="210" t="s">
        <v>3429</v>
      </c>
      <c r="K189" s="214">
        <v>6.05</v>
      </c>
      <c r="L189" s="210" t="s">
        <v>3662</v>
      </c>
      <c r="M189" s="210" t="s">
        <v>2932</v>
      </c>
      <c r="N189" s="210" t="s">
        <v>1452</v>
      </c>
      <c r="O189" s="210" t="s">
        <v>1452</v>
      </c>
      <c r="P189" s="210" t="s">
        <v>1518</v>
      </c>
      <c r="Q189" s="210" t="s">
        <v>936</v>
      </c>
      <c r="R189" s="210" t="s">
        <v>2922</v>
      </c>
      <c r="S189" s="214">
        <v>102.234001159668</v>
      </c>
      <c r="T189" s="210" t="s">
        <v>1536</v>
      </c>
      <c r="U189" s="210">
        <v>5.8860000000000001</v>
      </c>
      <c r="V189" s="210" t="s">
        <v>1536</v>
      </c>
      <c r="W189" s="210">
        <v>122</v>
      </c>
      <c r="X189" s="210" t="s">
        <v>1536</v>
      </c>
      <c r="Y189" s="214">
        <v>105.5</v>
      </c>
      <c r="Z189" s="214">
        <v>102.234001159668</v>
      </c>
      <c r="AA189" s="210">
        <v>193</v>
      </c>
      <c r="AB189" s="210">
        <v>192</v>
      </c>
      <c r="AC189" s="210">
        <v>192</v>
      </c>
      <c r="AD189" s="210">
        <v>197</v>
      </c>
      <c r="AE189" s="210">
        <v>122</v>
      </c>
      <c r="AF189" s="212">
        <v>21</v>
      </c>
      <c r="AG189" s="212">
        <v>59480</v>
      </c>
      <c r="AH189" s="210" t="s">
        <v>3432</v>
      </c>
    </row>
    <row r="190" spans="5:34">
      <c r="E190" s="376"/>
      <c r="F190" s="376"/>
      <c r="G190" s="376"/>
      <c r="H190" s="376"/>
      <c r="I190" s="210" t="s">
        <v>3663</v>
      </c>
      <c r="J190" s="210" t="s">
        <v>3035</v>
      </c>
      <c r="K190" s="214">
        <v>5.3</v>
      </c>
      <c r="L190" s="210" t="s">
        <v>3664</v>
      </c>
      <c r="M190" s="210" t="s">
        <v>2936</v>
      </c>
      <c r="N190" s="210" t="s">
        <v>1452</v>
      </c>
      <c r="O190" s="210" t="s">
        <v>1513</v>
      </c>
      <c r="P190" s="210" t="s">
        <v>1518</v>
      </c>
      <c r="Q190" s="210" t="s">
        <v>936</v>
      </c>
      <c r="R190" s="210">
        <v>1896</v>
      </c>
      <c r="S190" s="214">
        <v>97.433998107910199</v>
      </c>
      <c r="T190" s="210" t="s">
        <v>1536</v>
      </c>
      <c r="U190" s="210">
        <v>5.4779999999999998</v>
      </c>
      <c r="V190" s="210" t="s">
        <v>1536</v>
      </c>
      <c r="W190" s="210">
        <v>81</v>
      </c>
      <c r="X190" s="210" t="s">
        <v>1536</v>
      </c>
      <c r="Y190" s="214">
        <v>100.23999786377</v>
      </c>
      <c r="Z190" s="214">
        <v>97.433998107910199</v>
      </c>
      <c r="AA190" s="210">
        <v>152</v>
      </c>
      <c r="AB190" s="210">
        <v>152</v>
      </c>
      <c r="AC190" s="210">
        <v>146</v>
      </c>
      <c r="AD190" s="210">
        <v>155</v>
      </c>
      <c r="AE190" s="210">
        <v>81</v>
      </c>
      <c r="AF190" s="212">
        <v>18</v>
      </c>
      <c r="AG190" s="212">
        <v>59427</v>
      </c>
      <c r="AH190" s="210" t="s">
        <v>3432</v>
      </c>
    </row>
    <row r="191" spans="5:34">
      <c r="E191" s="376"/>
      <c r="F191" s="376"/>
      <c r="G191" s="376"/>
      <c r="H191" s="376"/>
      <c r="I191" s="210" t="s">
        <v>3665</v>
      </c>
      <c r="J191" s="210" t="s">
        <v>1555</v>
      </c>
      <c r="K191" s="214">
        <v>2.887</v>
      </c>
      <c r="L191" s="210" t="s">
        <v>3666</v>
      </c>
      <c r="M191" s="210" t="s">
        <v>2953</v>
      </c>
      <c r="N191" s="210" t="s">
        <v>1452</v>
      </c>
      <c r="O191" s="210" t="s">
        <v>1513</v>
      </c>
      <c r="P191" s="210" t="s">
        <v>1518</v>
      </c>
      <c r="Q191" s="210" t="s">
        <v>936</v>
      </c>
      <c r="R191" s="210">
        <v>2000</v>
      </c>
      <c r="S191" s="214">
        <v>60.5989990234375</v>
      </c>
      <c r="T191" s="210" t="s">
        <v>1536</v>
      </c>
      <c r="U191" s="210">
        <v>5.8570000000000002</v>
      </c>
      <c r="V191" s="210" t="s">
        <v>1536</v>
      </c>
      <c r="W191" s="210">
        <v>119</v>
      </c>
      <c r="X191" s="210" t="s">
        <v>1536</v>
      </c>
      <c r="Y191" s="214">
        <v>62.851001739502003</v>
      </c>
      <c r="Z191" s="214">
        <v>60.5989990234375</v>
      </c>
      <c r="AA191" s="210">
        <v>186</v>
      </c>
      <c r="AB191" s="210">
        <v>188</v>
      </c>
      <c r="AC191" s="210">
        <v>131</v>
      </c>
      <c r="AD191" s="210">
        <v>190</v>
      </c>
      <c r="AE191" s="210">
        <v>120</v>
      </c>
      <c r="AF191" s="212">
        <v>15</v>
      </c>
      <c r="AG191" s="212">
        <v>59389</v>
      </c>
      <c r="AH191" s="210" t="s">
        <v>3432</v>
      </c>
    </row>
    <row r="192" spans="5:34">
      <c r="E192" s="376"/>
      <c r="F192" s="376"/>
      <c r="G192" s="376"/>
      <c r="H192" s="376"/>
      <c r="I192" s="210" t="s">
        <v>3667</v>
      </c>
      <c r="J192" s="210" t="s">
        <v>3642</v>
      </c>
      <c r="K192" s="214">
        <v>5.3</v>
      </c>
      <c r="L192" s="210" t="s">
        <v>3668</v>
      </c>
      <c r="M192" s="210" t="s">
        <v>3644</v>
      </c>
      <c r="N192" s="210" t="s">
        <v>1452</v>
      </c>
      <c r="O192" s="210" t="s">
        <v>876</v>
      </c>
      <c r="P192" s="210" t="s">
        <v>1172</v>
      </c>
      <c r="Q192" s="210" t="s">
        <v>936</v>
      </c>
      <c r="R192" s="210">
        <v>1508</v>
      </c>
      <c r="S192" s="214">
        <v>98.009696960449205</v>
      </c>
      <c r="T192" s="210" t="s">
        <v>1536</v>
      </c>
      <c r="U192" s="210">
        <v>5.4379999999999997</v>
      </c>
      <c r="V192" s="210" t="s">
        <v>1536</v>
      </c>
      <c r="W192" s="210">
        <v>78</v>
      </c>
      <c r="X192" s="210" t="s">
        <v>1536</v>
      </c>
      <c r="Y192" s="214">
        <v>100.80999755859401</v>
      </c>
      <c r="Z192" s="214">
        <v>97.683998107910199</v>
      </c>
      <c r="AA192" s="210">
        <v>149</v>
      </c>
      <c r="AB192" s="210">
        <v>149</v>
      </c>
      <c r="AC192" s="210">
        <v>144</v>
      </c>
      <c r="AD192" s="210">
        <v>152</v>
      </c>
      <c r="AE192" s="210">
        <v>79</v>
      </c>
      <c r="AF192" s="212">
        <v>25</v>
      </c>
      <c r="AG192" s="212">
        <v>59345</v>
      </c>
      <c r="AH192" s="210" t="s">
        <v>3432</v>
      </c>
    </row>
    <row r="193" spans="5:34">
      <c r="E193" s="376"/>
      <c r="F193" s="376"/>
      <c r="G193" s="376"/>
      <c r="H193" s="376"/>
      <c r="I193" s="210" t="s">
        <v>3669</v>
      </c>
      <c r="J193" s="210" t="s">
        <v>1543</v>
      </c>
      <c r="K193" s="214">
        <v>3.75</v>
      </c>
      <c r="L193" s="210" t="s">
        <v>3270</v>
      </c>
      <c r="M193" s="210" t="s">
        <v>3310</v>
      </c>
      <c r="N193" s="210" t="s">
        <v>1452</v>
      </c>
      <c r="O193" s="210" t="s">
        <v>1513</v>
      </c>
      <c r="P193" s="210" t="s">
        <v>1518</v>
      </c>
      <c r="Q193" s="210" t="s">
        <v>936</v>
      </c>
      <c r="R193" s="210">
        <v>2600</v>
      </c>
      <c r="S193" s="214">
        <v>77.5791015625</v>
      </c>
      <c r="T193" s="210" t="s">
        <v>1536</v>
      </c>
      <c r="U193" s="210">
        <v>5.383</v>
      </c>
      <c r="V193" s="210" t="s">
        <v>1536</v>
      </c>
      <c r="W193" s="210">
        <v>72</v>
      </c>
      <c r="X193" s="210" t="s">
        <v>1536</v>
      </c>
      <c r="Y193" s="214">
        <v>80.043998718261705</v>
      </c>
      <c r="Z193" s="214">
        <v>77.519996643066406</v>
      </c>
      <c r="AA193" s="210">
        <v>140</v>
      </c>
      <c r="AB193" s="210">
        <v>141</v>
      </c>
      <c r="AC193" s="210">
        <v>115</v>
      </c>
      <c r="AD193" s="210">
        <v>144</v>
      </c>
      <c r="AE193" s="210">
        <v>74</v>
      </c>
      <c r="AF193" s="212">
        <v>20</v>
      </c>
      <c r="AG193" s="212">
        <v>58950</v>
      </c>
      <c r="AH193" s="210" t="s">
        <v>3432</v>
      </c>
    </row>
    <row r="194" spans="5:34">
      <c r="E194" s="376"/>
      <c r="F194" s="376"/>
      <c r="G194" s="376"/>
      <c r="H194" s="376"/>
      <c r="I194" s="210" t="s">
        <v>3311</v>
      </c>
      <c r="J194" s="210" t="s">
        <v>3312</v>
      </c>
      <c r="K194" s="214">
        <v>5</v>
      </c>
      <c r="L194" s="210" t="s">
        <v>3313</v>
      </c>
      <c r="M194" s="210" t="s">
        <v>2985</v>
      </c>
      <c r="N194" s="210" t="s">
        <v>1452</v>
      </c>
      <c r="O194" s="210" t="s">
        <v>1513</v>
      </c>
      <c r="P194" s="210" t="s">
        <v>1518</v>
      </c>
      <c r="Q194" s="210" t="s">
        <v>936</v>
      </c>
      <c r="R194" s="210">
        <v>3000</v>
      </c>
      <c r="S194" s="214">
        <v>102.572998046875</v>
      </c>
      <c r="T194" s="210" t="s">
        <v>1536</v>
      </c>
      <c r="U194" s="210">
        <v>4.6609999999999996</v>
      </c>
      <c r="V194" s="210" t="s">
        <v>1536</v>
      </c>
      <c r="W194" s="210">
        <v>57</v>
      </c>
      <c r="X194" s="210" t="s">
        <v>1536</v>
      </c>
      <c r="Y194" s="214">
        <v>103.541999816895</v>
      </c>
      <c r="Z194" s="214">
        <v>102.40000152587901</v>
      </c>
      <c r="AA194" s="210">
        <v>101</v>
      </c>
      <c r="AB194" s="210">
        <v>102</v>
      </c>
      <c r="AC194" s="210">
        <v>102</v>
      </c>
      <c r="AD194" s="210">
        <v>103</v>
      </c>
      <c r="AE194" s="210">
        <v>59</v>
      </c>
      <c r="AF194" s="212">
        <v>22</v>
      </c>
      <c r="AG194" s="212">
        <v>58131</v>
      </c>
      <c r="AH194" s="210" t="s">
        <v>3432</v>
      </c>
    </row>
    <row r="195" spans="5:34">
      <c r="E195" s="376"/>
      <c r="F195" s="376"/>
      <c r="G195" s="376"/>
      <c r="H195" s="376"/>
      <c r="I195" s="210" t="s">
        <v>3670</v>
      </c>
      <c r="J195" s="210" t="s">
        <v>3051</v>
      </c>
      <c r="K195" s="214">
        <v>5.125</v>
      </c>
      <c r="L195" s="210" t="s">
        <v>3671</v>
      </c>
      <c r="M195" s="210" t="s">
        <v>2950</v>
      </c>
      <c r="N195" s="210" t="s">
        <v>1452</v>
      </c>
      <c r="O195" s="210" t="s">
        <v>1513</v>
      </c>
      <c r="P195" s="210" t="s">
        <v>1172</v>
      </c>
      <c r="Q195" s="210" t="s">
        <v>936</v>
      </c>
      <c r="R195" s="210">
        <v>4110</v>
      </c>
      <c r="S195" s="214">
        <v>97.225997924804702</v>
      </c>
      <c r="T195" s="210" t="s">
        <v>1536</v>
      </c>
      <c r="U195" s="210">
        <v>5.415</v>
      </c>
      <c r="V195" s="210" t="s">
        <v>1536</v>
      </c>
      <c r="W195" s="210">
        <v>132</v>
      </c>
      <c r="X195" s="210" t="s">
        <v>1536</v>
      </c>
      <c r="Y195" s="214">
        <v>98.978996276855497</v>
      </c>
      <c r="Z195" s="214">
        <v>97.225997924804702</v>
      </c>
      <c r="AA195" s="210">
        <v>158</v>
      </c>
      <c r="AB195" s="210">
        <v>158</v>
      </c>
      <c r="AC195" s="210">
        <v>152</v>
      </c>
      <c r="AD195" s="210">
        <v>165</v>
      </c>
      <c r="AE195" s="210">
        <v>111</v>
      </c>
      <c r="AF195" s="212">
        <v>13</v>
      </c>
      <c r="AG195" s="212">
        <v>58049</v>
      </c>
      <c r="AH195" s="210" t="s">
        <v>3432</v>
      </c>
    </row>
    <row r="196" spans="5:34">
      <c r="E196" s="376"/>
      <c r="F196" s="376"/>
      <c r="G196" s="376"/>
      <c r="H196" s="376"/>
      <c r="I196" s="210" t="s">
        <v>3672</v>
      </c>
      <c r="J196" s="210" t="s">
        <v>1539</v>
      </c>
      <c r="K196" s="214">
        <v>4.4470000000000001</v>
      </c>
      <c r="L196" s="210" t="s">
        <v>3673</v>
      </c>
      <c r="M196" s="210" t="s">
        <v>2928</v>
      </c>
      <c r="N196" s="210" t="s">
        <v>1452</v>
      </c>
      <c r="O196" s="210" t="s">
        <v>1452</v>
      </c>
      <c r="P196" s="210" t="s">
        <v>1518</v>
      </c>
      <c r="Q196" s="210" t="s">
        <v>936</v>
      </c>
      <c r="R196" s="210">
        <v>1525</v>
      </c>
      <c r="S196" s="214">
        <v>100.265998840332</v>
      </c>
      <c r="T196" s="210" t="s">
        <v>1536</v>
      </c>
      <c r="U196" s="210">
        <v>4.1559999999999997</v>
      </c>
      <c r="V196" s="210" t="s">
        <v>1536</v>
      </c>
      <c r="W196" s="210">
        <v>56</v>
      </c>
      <c r="X196" s="210" t="s">
        <v>1536</v>
      </c>
      <c r="Y196" s="214">
        <v>100.369003295898</v>
      </c>
      <c r="Z196" s="214">
        <v>100.255996704102</v>
      </c>
      <c r="AA196" s="210">
        <v>50</v>
      </c>
      <c r="AB196" s="210">
        <v>53</v>
      </c>
      <c r="AC196" s="210">
        <v>52</v>
      </c>
      <c r="AE196" s="210">
        <v>45</v>
      </c>
      <c r="AF196" s="212">
        <v>22</v>
      </c>
      <c r="AG196" s="212">
        <v>57888</v>
      </c>
      <c r="AH196" s="210" t="s">
        <v>3432</v>
      </c>
    </row>
    <row r="197" spans="5:34">
      <c r="E197" s="376"/>
      <c r="F197" s="376"/>
      <c r="G197" s="376"/>
      <c r="H197" s="376"/>
      <c r="I197" s="210" t="s">
        <v>3674</v>
      </c>
      <c r="J197" s="210" t="s">
        <v>1549</v>
      </c>
      <c r="K197" s="214">
        <v>5.6150000000000002</v>
      </c>
      <c r="L197" s="210" t="s">
        <v>3675</v>
      </c>
      <c r="M197" s="210" t="s">
        <v>2929</v>
      </c>
      <c r="N197" s="210" t="s">
        <v>1452</v>
      </c>
      <c r="O197" s="210" t="s">
        <v>1513</v>
      </c>
      <c r="P197" s="210" t="s">
        <v>1172</v>
      </c>
      <c r="Q197" s="210" t="s">
        <v>936</v>
      </c>
      <c r="R197" s="210">
        <v>3100</v>
      </c>
      <c r="S197" s="214">
        <v>105.17299652099599</v>
      </c>
      <c r="T197" s="210" t="s">
        <v>1536</v>
      </c>
      <c r="U197" s="210">
        <v>4.9249999999999998</v>
      </c>
      <c r="V197" s="210" t="s">
        <v>1536</v>
      </c>
      <c r="W197" s="210">
        <v>83</v>
      </c>
      <c r="X197" s="210" t="s">
        <v>1536</v>
      </c>
      <c r="Y197" s="214">
        <v>106.360000610352</v>
      </c>
      <c r="Z197" s="214">
        <v>105.17299652099599</v>
      </c>
      <c r="AA197" s="210">
        <v>127</v>
      </c>
      <c r="AB197" s="210">
        <v>128</v>
      </c>
      <c r="AC197" s="210">
        <v>130</v>
      </c>
      <c r="AD197" s="210">
        <v>128</v>
      </c>
      <c r="AE197" s="210">
        <v>85</v>
      </c>
      <c r="AF197" s="212">
        <v>18</v>
      </c>
      <c r="AG197" s="212">
        <v>57848</v>
      </c>
      <c r="AH197" s="210" t="s">
        <v>3432</v>
      </c>
    </row>
    <row r="198" spans="5:34">
      <c r="E198" s="376"/>
      <c r="F198" s="376"/>
      <c r="G198" s="376"/>
      <c r="H198" s="376"/>
      <c r="I198" s="210" t="s">
        <v>3676</v>
      </c>
      <c r="J198" s="210" t="s">
        <v>3271</v>
      </c>
      <c r="K198" s="214">
        <v>5.75</v>
      </c>
      <c r="L198" s="210" t="s">
        <v>3677</v>
      </c>
      <c r="M198" s="210" t="s">
        <v>2932</v>
      </c>
      <c r="N198" s="210" t="s">
        <v>1452</v>
      </c>
      <c r="O198" s="210" t="s">
        <v>1452</v>
      </c>
      <c r="P198" s="210" t="s">
        <v>1518</v>
      </c>
      <c r="Q198" s="210" t="s">
        <v>936</v>
      </c>
      <c r="R198" s="210">
        <v>3600</v>
      </c>
      <c r="S198" s="214">
        <v>96.250999450683594</v>
      </c>
      <c r="T198" s="210" t="s">
        <v>1536</v>
      </c>
      <c r="U198" s="210">
        <v>6.0270000000000001</v>
      </c>
      <c r="V198" s="210" t="s">
        <v>1536</v>
      </c>
      <c r="W198" s="210">
        <v>137</v>
      </c>
      <c r="X198" s="210" t="s">
        <v>1536</v>
      </c>
      <c r="Y198" s="214">
        <v>98.440399169921903</v>
      </c>
      <c r="Z198" s="214">
        <v>96.250999450683594</v>
      </c>
      <c r="AA198" s="210">
        <v>209</v>
      </c>
      <c r="AB198" s="210">
        <v>208</v>
      </c>
      <c r="AC198" s="210">
        <v>199</v>
      </c>
      <c r="AD198" s="210">
        <v>212</v>
      </c>
      <c r="AE198" s="210">
        <v>138</v>
      </c>
      <c r="AF198" s="212">
        <v>22</v>
      </c>
      <c r="AG198" s="212">
        <v>57088</v>
      </c>
      <c r="AH198" s="210" t="s">
        <v>3432</v>
      </c>
    </row>
    <row r="199" spans="5:34">
      <c r="E199" s="376"/>
      <c r="F199" s="376"/>
      <c r="G199" s="376"/>
      <c r="H199" s="376"/>
      <c r="I199" s="210" t="s">
        <v>3678</v>
      </c>
      <c r="J199" s="210" t="s">
        <v>1555</v>
      </c>
      <c r="K199" s="214">
        <v>5.3</v>
      </c>
      <c r="L199" s="210" t="s">
        <v>3679</v>
      </c>
      <c r="M199" s="210" t="s">
        <v>2953</v>
      </c>
      <c r="N199" s="210" t="s">
        <v>1452</v>
      </c>
      <c r="O199" s="210" t="s">
        <v>1513</v>
      </c>
      <c r="P199" s="210" t="s">
        <v>1172</v>
      </c>
      <c r="Q199" s="210" t="s">
        <v>936</v>
      </c>
      <c r="R199" s="210">
        <v>2000</v>
      </c>
      <c r="S199" s="214">
        <v>102.60700225830099</v>
      </c>
      <c r="T199" s="210" t="s">
        <v>1536</v>
      </c>
      <c r="U199" s="210">
        <v>4.915</v>
      </c>
      <c r="V199" s="210" t="s">
        <v>1536</v>
      </c>
      <c r="W199" s="210">
        <v>82</v>
      </c>
      <c r="X199" s="210" t="s">
        <v>1536</v>
      </c>
      <c r="Y199" s="214">
        <v>104.125</v>
      </c>
      <c r="Z199" s="214">
        <v>102.60700225830099</v>
      </c>
      <c r="AA199" s="210">
        <v>132</v>
      </c>
      <c r="AB199" s="210">
        <v>133</v>
      </c>
      <c r="AC199" s="210">
        <v>133</v>
      </c>
      <c r="AD199" s="210">
        <v>134</v>
      </c>
      <c r="AE199" s="210">
        <v>93</v>
      </c>
      <c r="AF199" s="212">
        <v>20</v>
      </c>
      <c r="AG199" s="212">
        <v>57068</v>
      </c>
      <c r="AH199" s="210" t="s">
        <v>3432</v>
      </c>
    </row>
    <row r="200" spans="5:34">
      <c r="E200" s="376"/>
      <c r="F200" s="376"/>
      <c r="G200" s="376"/>
      <c r="H200" s="376"/>
      <c r="I200" s="210" t="s">
        <v>3090</v>
      </c>
      <c r="J200" s="210" t="s">
        <v>2963</v>
      </c>
      <c r="K200" s="214">
        <v>6.1829999999999998</v>
      </c>
      <c r="L200" s="210" t="s">
        <v>3091</v>
      </c>
      <c r="M200" s="210" t="s">
        <v>3092</v>
      </c>
      <c r="N200" s="210" t="s">
        <v>1452</v>
      </c>
      <c r="O200" s="210" t="s">
        <v>1452</v>
      </c>
      <c r="P200" s="210" t="s">
        <v>1518</v>
      </c>
      <c r="Q200" s="210" t="s">
        <v>936</v>
      </c>
      <c r="R200" s="210">
        <v>1000</v>
      </c>
      <c r="S200" s="214">
        <v>104.33699798584</v>
      </c>
      <c r="T200" s="210" t="s">
        <v>1536</v>
      </c>
      <c r="U200" s="210">
        <v>5.5750000000000002</v>
      </c>
      <c r="V200" s="210" t="s">
        <v>1536</v>
      </c>
      <c r="W200" s="210">
        <v>149</v>
      </c>
      <c r="X200" s="210" t="s">
        <v>1536</v>
      </c>
      <c r="Y200" s="214">
        <v>105.38800048828099</v>
      </c>
      <c r="Z200" s="214">
        <v>104.33699798584</v>
      </c>
      <c r="AA200" s="210">
        <v>195</v>
      </c>
      <c r="AB200" s="210">
        <v>196</v>
      </c>
      <c r="AC200" s="210">
        <v>198</v>
      </c>
      <c r="AE200" s="210">
        <v>154</v>
      </c>
      <c r="AF200" s="212">
        <v>16</v>
      </c>
      <c r="AG200" s="212">
        <v>56906</v>
      </c>
      <c r="AH200" s="210" t="s">
        <v>3432</v>
      </c>
    </row>
    <row r="201" spans="5:34">
      <c r="E201" s="376"/>
      <c r="F201" s="376"/>
      <c r="G201" s="376"/>
      <c r="H201" s="376"/>
      <c r="I201" s="210" t="s">
        <v>3027</v>
      </c>
      <c r="J201" s="210" t="s">
        <v>1554</v>
      </c>
      <c r="K201" s="214">
        <v>6.5</v>
      </c>
      <c r="L201" s="210" t="s">
        <v>3028</v>
      </c>
      <c r="M201" s="210" t="s">
        <v>2932</v>
      </c>
      <c r="N201" s="210" t="s">
        <v>1452</v>
      </c>
      <c r="O201" s="210" t="s">
        <v>1452</v>
      </c>
      <c r="P201" s="210" t="s">
        <v>1518</v>
      </c>
      <c r="Q201" s="210" t="s">
        <v>936</v>
      </c>
      <c r="R201" s="210">
        <v>1000</v>
      </c>
      <c r="S201" s="214">
        <v>99.884002685546903</v>
      </c>
      <c r="T201" s="210" t="s">
        <v>1536</v>
      </c>
      <c r="U201" s="210">
        <v>6.516</v>
      </c>
      <c r="V201" s="210" t="s">
        <v>1536</v>
      </c>
      <c r="W201" s="210">
        <v>247</v>
      </c>
      <c r="X201" s="210" t="s">
        <v>1536</v>
      </c>
      <c r="Y201" s="214">
        <v>100.125</v>
      </c>
      <c r="Z201" s="214">
        <v>99.5</v>
      </c>
      <c r="AA201" s="210">
        <v>286</v>
      </c>
      <c r="AB201" s="210">
        <v>284</v>
      </c>
      <c r="AC201" s="210">
        <v>284</v>
      </c>
      <c r="AD201" s="210">
        <v>290</v>
      </c>
      <c r="AE201" s="210">
        <v>241</v>
      </c>
      <c r="AF201" s="212">
        <v>24</v>
      </c>
      <c r="AG201" s="212">
        <v>56884</v>
      </c>
      <c r="AH201" s="210" t="s">
        <v>3432</v>
      </c>
    </row>
    <row r="202" spans="5:34">
      <c r="E202" s="376"/>
      <c r="F202" s="376"/>
      <c r="G202" s="376"/>
      <c r="H202" s="376"/>
      <c r="I202" s="210" t="s">
        <v>3680</v>
      </c>
      <c r="J202" s="210" t="s">
        <v>1519</v>
      </c>
      <c r="K202" s="214">
        <v>3.8</v>
      </c>
      <c r="L202" s="210" t="s">
        <v>3681</v>
      </c>
      <c r="M202" s="210" t="s">
        <v>2932</v>
      </c>
      <c r="N202" s="210" t="s">
        <v>1452</v>
      </c>
      <c r="O202" s="210" t="s">
        <v>1452</v>
      </c>
      <c r="P202" s="210" t="s">
        <v>1518</v>
      </c>
      <c r="Q202" s="210" t="s">
        <v>936</v>
      </c>
      <c r="R202" s="210">
        <v>1500</v>
      </c>
      <c r="S202" s="214">
        <v>70.879997253417997</v>
      </c>
      <c r="T202" s="210" t="s">
        <v>1536</v>
      </c>
      <c r="U202" s="210">
        <v>5.8129999999999997</v>
      </c>
      <c r="V202" s="210" t="s">
        <v>1536</v>
      </c>
      <c r="W202" s="210">
        <v>116</v>
      </c>
      <c r="X202" s="210" t="s">
        <v>1536</v>
      </c>
      <c r="Y202" s="214">
        <v>73.086997985839801</v>
      </c>
      <c r="Z202" s="214">
        <v>70.879997253417997</v>
      </c>
      <c r="AA202" s="210">
        <v>189</v>
      </c>
      <c r="AB202" s="210">
        <v>190</v>
      </c>
      <c r="AC202" s="210">
        <v>146</v>
      </c>
      <c r="AD202" s="210">
        <v>189</v>
      </c>
      <c r="AE202" s="210">
        <v>116</v>
      </c>
      <c r="AF202" s="212">
        <v>20</v>
      </c>
      <c r="AG202" s="212">
        <v>56854</v>
      </c>
      <c r="AH202" s="210" t="s">
        <v>3432</v>
      </c>
    </row>
    <row r="203" spans="5:34">
      <c r="E203" s="376"/>
      <c r="F203" s="376"/>
      <c r="G203" s="376"/>
      <c r="H203" s="376"/>
      <c r="I203" s="210" t="s">
        <v>3067</v>
      </c>
      <c r="J203" s="210" t="s">
        <v>1601</v>
      </c>
      <c r="K203" s="214">
        <v>5.85</v>
      </c>
      <c r="L203" s="210" t="s">
        <v>2927</v>
      </c>
      <c r="M203" s="210" t="s">
        <v>2941</v>
      </c>
      <c r="N203" s="210" t="s">
        <v>1452</v>
      </c>
      <c r="O203" s="210" t="s">
        <v>1513</v>
      </c>
      <c r="P203" s="210" t="s">
        <v>1518</v>
      </c>
      <c r="Q203" s="210" t="s">
        <v>936</v>
      </c>
      <c r="R203" s="210">
        <v>1500</v>
      </c>
      <c r="S203" s="214">
        <v>100.40000152587901</v>
      </c>
      <c r="T203" s="210" t="s">
        <v>1536</v>
      </c>
      <c r="U203" s="210">
        <v>5.8209999999999997</v>
      </c>
      <c r="V203" s="210" t="s">
        <v>1536</v>
      </c>
      <c r="W203" s="210">
        <v>115</v>
      </c>
      <c r="X203" s="210" t="s">
        <v>1536</v>
      </c>
      <c r="Y203" s="214">
        <v>102.46099853515599</v>
      </c>
      <c r="Z203" s="214">
        <v>100.379997253418</v>
      </c>
      <c r="AA203" s="210">
        <v>188</v>
      </c>
      <c r="AB203" s="210">
        <v>187</v>
      </c>
      <c r="AC203" s="210">
        <v>185</v>
      </c>
      <c r="AD203" s="210">
        <v>190</v>
      </c>
      <c r="AE203" s="210">
        <v>116</v>
      </c>
      <c r="AF203" s="212">
        <v>21</v>
      </c>
      <c r="AG203" s="212">
        <v>56736</v>
      </c>
      <c r="AH203" s="210" t="s">
        <v>3432</v>
      </c>
    </row>
    <row r="204" spans="5:34">
      <c r="E204" s="376"/>
      <c r="F204" s="376"/>
      <c r="G204" s="376"/>
      <c r="H204" s="376"/>
      <c r="I204" s="210" t="s">
        <v>3682</v>
      </c>
      <c r="J204" s="210" t="s">
        <v>1557</v>
      </c>
      <c r="K204" s="214">
        <v>5.75</v>
      </c>
      <c r="L204" s="210" t="s">
        <v>3318</v>
      </c>
      <c r="M204" s="210" t="s">
        <v>2987</v>
      </c>
      <c r="N204" s="210" t="s">
        <v>1452</v>
      </c>
      <c r="O204" s="210" t="s">
        <v>876</v>
      </c>
      <c r="P204" s="210" t="s">
        <v>1172</v>
      </c>
      <c r="Q204" s="210" t="s">
        <v>936</v>
      </c>
      <c r="R204" s="210">
        <v>4965</v>
      </c>
      <c r="S204" s="214">
        <v>104.97299957275401</v>
      </c>
      <c r="T204" s="210" t="s">
        <v>1536</v>
      </c>
      <c r="U204" s="210">
        <v>5.0720000000000001</v>
      </c>
      <c r="V204" s="210" t="s">
        <v>1536</v>
      </c>
      <c r="W204" s="210">
        <v>99</v>
      </c>
      <c r="X204" s="210" t="s">
        <v>1536</v>
      </c>
      <c r="Y204" s="214">
        <v>106.574996948242</v>
      </c>
      <c r="Z204" s="214">
        <v>104.97299957275401</v>
      </c>
      <c r="AA204" s="210">
        <v>145</v>
      </c>
      <c r="AB204" s="210">
        <v>146</v>
      </c>
      <c r="AC204" s="210">
        <v>147</v>
      </c>
      <c r="AD204" s="210">
        <v>147</v>
      </c>
      <c r="AE204" s="210">
        <v>103</v>
      </c>
      <c r="AF204" s="212">
        <v>16</v>
      </c>
      <c r="AG204" s="212">
        <v>56532</v>
      </c>
      <c r="AH204" s="210" t="s">
        <v>3432</v>
      </c>
    </row>
    <row r="205" spans="5:34">
      <c r="E205" s="376"/>
      <c r="F205" s="376"/>
      <c r="G205" s="376"/>
      <c r="H205" s="376"/>
      <c r="I205" s="210" t="s">
        <v>3683</v>
      </c>
      <c r="J205" s="210" t="s">
        <v>1540</v>
      </c>
      <c r="K205" s="214">
        <v>5.734</v>
      </c>
      <c r="L205" s="210" t="s">
        <v>3684</v>
      </c>
      <c r="M205" s="210" t="s">
        <v>2930</v>
      </c>
      <c r="N205" s="210" t="s">
        <v>1452</v>
      </c>
      <c r="O205" s="210" t="s">
        <v>876</v>
      </c>
      <c r="P205" s="210" t="s">
        <v>1518</v>
      </c>
      <c r="Q205" s="210" t="s">
        <v>936</v>
      </c>
      <c r="R205" s="210">
        <v>1000</v>
      </c>
      <c r="S205" s="214">
        <v>103.65899658203099</v>
      </c>
      <c r="T205" s="210" t="s">
        <v>1536</v>
      </c>
      <c r="U205" s="210">
        <v>5.4809999999999999</v>
      </c>
      <c r="V205" s="210" t="s">
        <v>1536</v>
      </c>
      <c r="W205" s="210">
        <v>83</v>
      </c>
      <c r="X205" s="210" t="s">
        <v>1536</v>
      </c>
      <c r="Y205" s="214">
        <v>105.814002990723</v>
      </c>
      <c r="Z205" s="214">
        <v>103.65899658203099</v>
      </c>
      <c r="AA205" s="210">
        <v>154</v>
      </c>
      <c r="AB205" s="210">
        <v>154</v>
      </c>
      <c r="AC205" s="210">
        <v>155</v>
      </c>
      <c r="AD205" s="210">
        <v>155</v>
      </c>
      <c r="AE205" s="210">
        <v>83</v>
      </c>
      <c r="AF205" s="212">
        <v>16</v>
      </c>
      <c r="AG205" s="212">
        <v>56500</v>
      </c>
      <c r="AH205" s="210" t="s">
        <v>3432</v>
      </c>
    </row>
    <row r="206" spans="5:34">
      <c r="E206" s="376"/>
      <c r="F206" s="376"/>
      <c r="G206" s="376"/>
      <c r="H206" s="376"/>
      <c r="I206" s="210" t="s">
        <v>3685</v>
      </c>
      <c r="J206" s="210" t="s">
        <v>1568</v>
      </c>
      <c r="K206" s="214">
        <v>4.625</v>
      </c>
      <c r="L206" s="210" t="s">
        <v>3686</v>
      </c>
      <c r="M206" s="210" t="s">
        <v>2935</v>
      </c>
      <c r="N206" s="210" t="s">
        <v>1452</v>
      </c>
      <c r="O206" s="210" t="s">
        <v>1513</v>
      </c>
      <c r="P206" s="210" t="s">
        <v>1518</v>
      </c>
      <c r="Q206" s="210" t="s">
        <v>936</v>
      </c>
      <c r="R206" s="210">
        <v>2700</v>
      </c>
      <c r="S206" s="214">
        <v>99.3594970703125</v>
      </c>
      <c r="T206" s="210" t="s">
        <v>1536</v>
      </c>
      <c r="U206" s="210">
        <v>4.7270000000000003</v>
      </c>
      <c r="V206" s="210" t="s">
        <v>1536</v>
      </c>
      <c r="W206" s="210">
        <v>86</v>
      </c>
      <c r="X206" s="210" t="s">
        <v>1536</v>
      </c>
      <c r="Y206" s="214">
        <v>100.380996704102</v>
      </c>
      <c r="Z206" s="214">
        <v>99.075996398925795</v>
      </c>
      <c r="AA206" s="210">
        <v>121</v>
      </c>
      <c r="AB206" s="210">
        <v>122</v>
      </c>
      <c r="AC206" s="210">
        <v>119</v>
      </c>
      <c r="AD206" s="210">
        <v>123</v>
      </c>
      <c r="AE206" s="210">
        <v>84</v>
      </c>
      <c r="AF206" s="212">
        <v>18</v>
      </c>
      <c r="AG206" s="212">
        <v>56430</v>
      </c>
      <c r="AH206" s="210" t="s">
        <v>3432</v>
      </c>
    </row>
    <row r="207" spans="5:34">
      <c r="E207" s="376"/>
      <c r="F207" s="376"/>
      <c r="G207" s="376"/>
      <c r="H207" s="376"/>
      <c r="I207" s="210" t="s">
        <v>3078</v>
      </c>
      <c r="J207" s="210" t="s">
        <v>1542</v>
      </c>
      <c r="K207" s="214">
        <v>6.25</v>
      </c>
      <c r="L207" s="210" t="s">
        <v>3079</v>
      </c>
      <c r="M207" s="210" t="s">
        <v>2934</v>
      </c>
      <c r="N207" s="210" t="s">
        <v>1452</v>
      </c>
      <c r="O207" s="210" t="s">
        <v>1513</v>
      </c>
      <c r="P207" s="210" t="s">
        <v>1172</v>
      </c>
      <c r="Q207" s="210" t="s">
        <v>936</v>
      </c>
      <c r="R207" s="210">
        <v>1350</v>
      </c>
      <c r="S207" s="214">
        <v>101.581001281738</v>
      </c>
      <c r="T207" s="210" t="s">
        <v>1536</v>
      </c>
      <c r="U207" s="210">
        <v>6.1420000000000003</v>
      </c>
      <c r="V207" s="210" t="s">
        <v>1536</v>
      </c>
      <c r="W207" s="210">
        <v>147</v>
      </c>
      <c r="X207" s="210" t="s">
        <v>1536</v>
      </c>
      <c r="Y207" s="214">
        <v>104.883003234863</v>
      </c>
      <c r="Z207" s="214">
        <v>101.581001281738</v>
      </c>
      <c r="AA207" s="210">
        <v>226</v>
      </c>
      <c r="AB207" s="210">
        <v>230</v>
      </c>
      <c r="AC207" s="210">
        <v>229</v>
      </c>
      <c r="AD207" s="210">
        <v>222</v>
      </c>
      <c r="AE207" s="210">
        <v>148</v>
      </c>
      <c r="AF207" s="212">
        <v>19</v>
      </c>
      <c r="AG207" s="212">
        <v>56392</v>
      </c>
      <c r="AH207" s="210" t="s">
        <v>3432</v>
      </c>
    </row>
    <row r="208" spans="5:34">
      <c r="E208" s="376"/>
      <c r="F208" s="376"/>
      <c r="G208" s="376"/>
      <c r="H208" s="376"/>
      <c r="I208" s="210" t="s">
        <v>3687</v>
      </c>
      <c r="J208" s="210" t="s">
        <v>3097</v>
      </c>
      <c r="K208" s="214">
        <v>2.1960000000000002</v>
      </c>
      <c r="L208" s="210" t="s">
        <v>3688</v>
      </c>
      <c r="M208" s="210" t="s">
        <v>2942</v>
      </c>
      <c r="N208" s="210" t="s">
        <v>1452</v>
      </c>
      <c r="O208" s="210" t="s">
        <v>1452</v>
      </c>
      <c r="P208" s="210" t="s">
        <v>1518</v>
      </c>
      <c r="Q208" s="210" t="s">
        <v>936</v>
      </c>
      <c r="R208" s="210">
        <v>1526</v>
      </c>
      <c r="S208" s="214">
        <v>99.430999755859403</v>
      </c>
      <c r="T208" s="210" t="s">
        <v>1536</v>
      </c>
      <c r="U208" s="210">
        <v>4.4480000000000004</v>
      </c>
      <c r="V208" s="210" t="s">
        <v>1536</v>
      </c>
      <c r="W208" s="210">
        <v>87</v>
      </c>
      <c r="X208" s="210" t="s">
        <v>1536</v>
      </c>
      <c r="Y208" s="214">
        <v>99.461997985839801</v>
      </c>
      <c r="Z208" s="214">
        <v>99.430999755859403</v>
      </c>
      <c r="AA208" s="210">
        <v>48</v>
      </c>
      <c r="AB208" s="210">
        <v>57</v>
      </c>
      <c r="AC208" s="210">
        <v>47</v>
      </c>
      <c r="AD208" s="210">
        <v>55</v>
      </c>
      <c r="AE208" s="210">
        <v>64</v>
      </c>
      <c r="AF208" s="212">
        <v>19</v>
      </c>
      <c r="AG208" s="212">
        <v>56140</v>
      </c>
      <c r="AH208" s="210" t="s">
        <v>3432</v>
      </c>
    </row>
    <row r="209" spans="5:34">
      <c r="E209" s="376"/>
      <c r="F209" s="376"/>
      <c r="G209" s="376"/>
      <c r="H209" s="376"/>
      <c r="I209" s="210" t="s">
        <v>3689</v>
      </c>
      <c r="J209" s="210" t="s">
        <v>1554</v>
      </c>
      <c r="K209" s="214">
        <v>4.51</v>
      </c>
      <c r="L209" s="210" t="s">
        <v>3690</v>
      </c>
      <c r="M209" s="210" t="s">
        <v>2939</v>
      </c>
      <c r="N209" s="210" t="s">
        <v>1452</v>
      </c>
      <c r="O209" s="210" t="s">
        <v>876</v>
      </c>
      <c r="P209" s="210" t="s">
        <v>1518</v>
      </c>
      <c r="Q209" s="210" t="s">
        <v>936</v>
      </c>
      <c r="R209" s="210" t="s">
        <v>2922</v>
      </c>
      <c r="S209" s="214">
        <v>100.397003173828</v>
      </c>
      <c r="T209" s="210" t="s">
        <v>1536</v>
      </c>
      <c r="U209" s="210">
        <v>4.0819999999999999</v>
      </c>
      <c r="V209" s="210" t="s">
        <v>1536</v>
      </c>
      <c r="W209" s="210">
        <v>48</v>
      </c>
      <c r="X209" s="210" t="s">
        <v>1536</v>
      </c>
      <c r="Y209" s="214">
        <v>100.48000335693401</v>
      </c>
      <c r="Z209" s="214">
        <v>100.35800170898401</v>
      </c>
      <c r="AA209" s="210">
        <v>43</v>
      </c>
      <c r="AB209" s="210">
        <v>45</v>
      </c>
      <c r="AC209" s="210">
        <v>45</v>
      </c>
      <c r="AD209" s="210">
        <v>43</v>
      </c>
      <c r="AE209" s="210">
        <v>38</v>
      </c>
      <c r="AF209" s="212">
        <v>16</v>
      </c>
      <c r="AG209" s="212">
        <v>56124</v>
      </c>
      <c r="AH209" s="210" t="s">
        <v>3432</v>
      </c>
    </row>
    <row r="210" spans="5:34">
      <c r="E210" s="376"/>
      <c r="F210" s="376"/>
      <c r="G210" s="376"/>
      <c r="H210" s="376"/>
      <c r="I210" s="210" t="s">
        <v>1537</v>
      </c>
      <c r="J210" s="210" t="s">
        <v>1535</v>
      </c>
      <c r="K210" s="214">
        <v>5.5720000000000001</v>
      </c>
      <c r="L210" s="210" t="s">
        <v>2938</v>
      </c>
      <c r="M210" s="210" t="s">
        <v>2939</v>
      </c>
      <c r="N210" s="210" t="s">
        <v>1452</v>
      </c>
      <c r="O210" s="210" t="s">
        <v>876</v>
      </c>
      <c r="P210" s="210" t="s">
        <v>1518</v>
      </c>
      <c r="Q210" s="210" t="s">
        <v>936</v>
      </c>
      <c r="R210" s="210">
        <v>2000</v>
      </c>
      <c r="S210" s="214">
        <v>105.623001098633</v>
      </c>
      <c r="T210" s="210" t="s">
        <v>1536</v>
      </c>
      <c r="U210" s="210">
        <v>4.8250000000000002</v>
      </c>
      <c r="V210" s="210" t="s">
        <v>1536</v>
      </c>
      <c r="W210" s="210">
        <v>73</v>
      </c>
      <c r="X210" s="210" t="s">
        <v>1536</v>
      </c>
      <c r="Y210" s="214">
        <v>106.65299987793</v>
      </c>
      <c r="Z210" s="214">
        <v>105.623001098633</v>
      </c>
      <c r="AA210" s="210">
        <v>118</v>
      </c>
      <c r="AB210" s="210">
        <v>118</v>
      </c>
      <c r="AC210" s="210">
        <v>120</v>
      </c>
      <c r="AD210" s="210">
        <v>118</v>
      </c>
      <c r="AE210" s="210">
        <v>76</v>
      </c>
      <c r="AF210" s="212">
        <v>19</v>
      </c>
      <c r="AG210" s="212">
        <v>55983</v>
      </c>
      <c r="AH210" s="210" t="s">
        <v>3432</v>
      </c>
    </row>
    <row r="211" spans="5:34">
      <c r="E211" s="376"/>
      <c r="F211" s="376"/>
      <c r="G211" s="376"/>
      <c r="H211" s="376"/>
      <c r="I211" s="210" t="s">
        <v>2998</v>
      </c>
      <c r="J211" s="210" t="s">
        <v>1577</v>
      </c>
      <c r="K211" s="214">
        <v>5.3159999999999998</v>
      </c>
      <c r="L211" s="210" t="s">
        <v>2999</v>
      </c>
      <c r="M211" s="210" t="s">
        <v>3000</v>
      </c>
      <c r="N211" s="210" t="s">
        <v>1452</v>
      </c>
      <c r="O211" s="210" t="s">
        <v>1452</v>
      </c>
      <c r="P211" s="210" t="s">
        <v>1518</v>
      </c>
      <c r="Q211" s="210" t="s">
        <v>936</v>
      </c>
      <c r="R211" s="210">
        <v>4000</v>
      </c>
      <c r="S211" s="214">
        <v>104.43000030517599</v>
      </c>
      <c r="T211" s="210" t="s">
        <v>1536</v>
      </c>
      <c r="U211" s="210">
        <v>4.7409999999999997</v>
      </c>
      <c r="V211" s="210" t="s">
        <v>1536</v>
      </c>
      <c r="W211" s="210">
        <v>70</v>
      </c>
      <c r="X211" s="210" t="s">
        <v>1536</v>
      </c>
      <c r="Y211" s="214">
        <v>104.49299621582</v>
      </c>
      <c r="Z211" s="214">
        <v>103.638999938965</v>
      </c>
      <c r="AA211" s="210">
        <v>124</v>
      </c>
      <c r="AB211" s="210">
        <v>125</v>
      </c>
      <c r="AC211" s="210">
        <v>126</v>
      </c>
      <c r="AD211" s="210">
        <v>124</v>
      </c>
      <c r="AE211" s="210">
        <v>72</v>
      </c>
      <c r="AF211" s="212">
        <v>24</v>
      </c>
      <c r="AG211" s="212">
        <v>54817</v>
      </c>
      <c r="AH211" s="210" t="s">
        <v>3001</v>
      </c>
    </row>
    <row r="212" spans="5:34">
      <c r="E212" s="376"/>
      <c r="F212" s="376"/>
      <c r="G212" s="376"/>
      <c r="H212" s="376"/>
      <c r="I212" s="210" t="s">
        <v>3002</v>
      </c>
      <c r="J212" s="210" t="s">
        <v>1559</v>
      </c>
      <c r="K212" s="214">
        <v>2.206</v>
      </c>
      <c r="L212" s="210" t="s">
        <v>3003</v>
      </c>
      <c r="M212" s="210" t="s">
        <v>2953</v>
      </c>
      <c r="N212" s="210" t="s">
        <v>1452</v>
      </c>
      <c r="O212" s="210" t="s">
        <v>1513</v>
      </c>
      <c r="P212" s="210" t="s">
        <v>1518</v>
      </c>
      <c r="Q212" s="210" t="s">
        <v>936</v>
      </c>
      <c r="R212" s="210">
        <v>5000</v>
      </c>
      <c r="S212" s="214">
        <v>94.625999450683594</v>
      </c>
      <c r="T212" s="210">
        <v>0.16</v>
      </c>
      <c r="U212" s="210">
        <v>4.18</v>
      </c>
      <c r="V212" s="210">
        <v>-6</v>
      </c>
      <c r="W212" s="210">
        <v>68</v>
      </c>
      <c r="X212" s="210">
        <v>-2</v>
      </c>
      <c r="Y212" s="214">
        <v>94.625999450683594</v>
      </c>
      <c r="Z212" s="214">
        <v>94.383003234863295</v>
      </c>
      <c r="AA212" s="210">
        <v>94</v>
      </c>
      <c r="AB212" s="210">
        <v>96</v>
      </c>
      <c r="AC212" s="210">
        <v>92</v>
      </c>
      <c r="AD212" s="210">
        <v>94</v>
      </c>
      <c r="AE212" s="210">
        <v>68</v>
      </c>
      <c r="AF212" s="212">
        <v>18</v>
      </c>
      <c r="AG212" s="212">
        <v>54752</v>
      </c>
      <c r="AH212" s="210" t="s">
        <v>3004</v>
      </c>
    </row>
    <row r="213" spans="5:34">
      <c r="E213" s="376"/>
      <c r="F213" s="376"/>
      <c r="G213" s="376"/>
      <c r="H213" s="376"/>
      <c r="I213" s="210" t="s">
        <v>3005</v>
      </c>
      <c r="J213" s="210" t="s">
        <v>1595</v>
      </c>
      <c r="K213" s="214">
        <v>5.33</v>
      </c>
      <c r="L213" s="210" t="s">
        <v>2946</v>
      </c>
      <c r="M213" s="210" t="s">
        <v>2953</v>
      </c>
      <c r="N213" s="210" t="s">
        <v>1452</v>
      </c>
      <c r="O213" s="210" t="s">
        <v>1513</v>
      </c>
      <c r="P213" s="210" t="s">
        <v>1518</v>
      </c>
      <c r="Q213" s="210" t="s">
        <v>936</v>
      </c>
      <c r="R213" s="210" t="s">
        <v>2922</v>
      </c>
      <c r="S213" s="214">
        <v>101.26699829101599</v>
      </c>
      <c r="T213" s="210" t="s">
        <v>1536</v>
      </c>
      <c r="U213" s="210">
        <v>5.1680000000000001</v>
      </c>
      <c r="V213" s="210" t="s">
        <v>1536</v>
      </c>
      <c r="W213" s="210">
        <v>114</v>
      </c>
      <c r="X213" s="210" t="s">
        <v>1536</v>
      </c>
      <c r="Y213" s="214">
        <v>101.314002990723</v>
      </c>
      <c r="Z213" s="214">
        <v>100.67400360107401</v>
      </c>
      <c r="AA213" s="210">
        <v>165</v>
      </c>
      <c r="AB213" s="210">
        <v>166</v>
      </c>
      <c r="AC213" s="210">
        <v>164</v>
      </c>
      <c r="AD213" s="210">
        <v>167</v>
      </c>
      <c r="AE213" s="210">
        <v>113</v>
      </c>
      <c r="AF213" s="212">
        <v>18</v>
      </c>
      <c r="AG213" s="212">
        <v>54591</v>
      </c>
      <c r="AH213" s="210" t="s">
        <v>2988</v>
      </c>
    </row>
    <row r="214" spans="5:34">
      <c r="E214" s="376"/>
      <c r="F214" s="376"/>
      <c r="G214" s="376"/>
      <c r="H214" s="376"/>
      <c r="I214" s="210" t="s">
        <v>3006</v>
      </c>
      <c r="J214" s="210" t="s">
        <v>1454</v>
      </c>
      <c r="K214" s="214">
        <v>5.6</v>
      </c>
      <c r="L214" s="210" t="s">
        <v>2997</v>
      </c>
      <c r="M214" s="210" t="s">
        <v>2935</v>
      </c>
      <c r="N214" s="210" t="s">
        <v>1452</v>
      </c>
      <c r="O214" s="210" t="s">
        <v>1513</v>
      </c>
      <c r="P214" s="210" t="s">
        <v>1172</v>
      </c>
      <c r="Q214" s="210" t="s">
        <v>936</v>
      </c>
      <c r="R214" s="210" t="s">
        <v>2922</v>
      </c>
      <c r="S214" s="214">
        <v>104.052001953125</v>
      </c>
      <c r="T214" s="210">
        <v>0.10100000000000001</v>
      </c>
      <c r="U214" s="210">
        <v>5.0380000000000003</v>
      </c>
      <c r="V214" s="210">
        <v>-1</v>
      </c>
      <c r="W214" s="210">
        <v>100</v>
      </c>
      <c r="X214" s="210">
        <v>1</v>
      </c>
      <c r="Y214" s="214">
        <v>104.330001831055</v>
      </c>
      <c r="Z214" s="214">
        <v>103.375</v>
      </c>
      <c r="AA214" s="210">
        <v>157</v>
      </c>
      <c r="AB214" s="210">
        <v>158</v>
      </c>
      <c r="AC214" s="210">
        <v>160</v>
      </c>
      <c r="AD214" s="210">
        <v>159</v>
      </c>
      <c r="AE214" s="210">
        <v>107</v>
      </c>
      <c r="AF214" s="212">
        <v>14</v>
      </c>
      <c r="AG214" s="212">
        <v>54491</v>
      </c>
      <c r="AH214" s="210" t="s">
        <v>2978</v>
      </c>
    </row>
    <row r="215" spans="5:34">
      <c r="E215" s="376"/>
      <c r="F215" s="376"/>
      <c r="G215" s="376"/>
      <c r="H215" s="376"/>
      <c r="I215" s="210" t="s">
        <v>3007</v>
      </c>
      <c r="J215" s="210" t="s">
        <v>2965</v>
      </c>
      <c r="K215" s="214">
        <v>5.0999999999999996</v>
      </c>
      <c r="L215" s="210" t="s">
        <v>3008</v>
      </c>
      <c r="M215" s="210" t="s">
        <v>2934</v>
      </c>
      <c r="N215" s="210" t="s">
        <v>1452</v>
      </c>
      <c r="O215" s="210" t="s">
        <v>1513</v>
      </c>
      <c r="P215" s="210" t="s">
        <v>1518</v>
      </c>
      <c r="Q215" s="210" t="s">
        <v>936</v>
      </c>
      <c r="R215" s="210" t="s">
        <v>2922</v>
      </c>
      <c r="S215" s="214">
        <v>101.37400054931599</v>
      </c>
      <c r="T215" s="210">
        <v>0.60899999999999999</v>
      </c>
      <c r="U215" s="210">
        <v>4.9189999999999996</v>
      </c>
      <c r="V215" s="210">
        <v>-8</v>
      </c>
      <c r="W215" s="210">
        <v>88</v>
      </c>
      <c r="X215" s="210">
        <v>-4</v>
      </c>
      <c r="Y215" s="214">
        <v>101.37400054931599</v>
      </c>
      <c r="Z215" s="214">
        <v>100.310997009277</v>
      </c>
      <c r="AA215" s="210">
        <v>142</v>
      </c>
      <c r="AB215" s="210">
        <v>143</v>
      </c>
      <c r="AC215" s="210">
        <v>142</v>
      </c>
      <c r="AD215" s="210">
        <v>143</v>
      </c>
      <c r="AE215" s="210">
        <v>91</v>
      </c>
      <c r="AF215" s="212">
        <v>16</v>
      </c>
      <c r="AG215" s="212">
        <v>54447</v>
      </c>
      <c r="AH215" s="210" t="s">
        <v>3009</v>
      </c>
    </row>
    <row r="216" spans="5:34">
      <c r="E216" s="376"/>
      <c r="F216" s="376"/>
      <c r="G216" s="376"/>
      <c r="H216" s="376"/>
      <c r="I216" s="210" t="s">
        <v>3010</v>
      </c>
      <c r="J216" s="210" t="s">
        <v>1513</v>
      </c>
      <c r="K216" s="214">
        <v>5.5560054352832635</v>
      </c>
      <c r="L216" s="210" t="s">
        <v>3011</v>
      </c>
      <c r="M216" s="210" t="s">
        <v>2928</v>
      </c>
      <c r="N216" s="210" t="s">
        <v>1452</v>
      </c>
      <c r="O216" s="210" t="s">
        <v>1513</v>
      </c>
      <c r="P216" s="210" t="s">
        <v>1518</v>
      </c>
      <c r="Q216" s="210" t="s">
        <v>936</v>
      </c>
      <c r="R216" s="210" t="s">
        <v>2922</v>
      </c>
      <c r="S216" s="214">
        <v>101.380996704102</v>
      </c>
      <c r="T216" s="210">
        <v>-0.21099999999999999</v>
      </c>
      <c r="U216" s="210" t="s">
        <v>1536</v>
      </c>
      <c r="V216" s="210" t="s">
        <v>1536</v>
      </c>
      <c r="W216" s="210">
        <v>77</v>
      </c>
      <c r="X216" s="210">
        <v>5</v>
      </c>
      <c r="Y216" s="214">
        <v>101.592002868652</v>
      </c>
      <c r="Z216" s="214">
        <v>101.36499786377</v>
      </c>
      <c r="AA216" s="210" t="s">
        <v>1536</v>
      </c>
      <c r="AB216" s="210" t="s">
        <v>1536</v>
      </c>
      <c r="AC216" s="210" t="s">
        <v>1536</v>
      </c>
      <c r="AD216" s="210">
        <v>81</v>
      </c>
      <c r="AE216" s="210" t="s">
        <v>1536</v>
      </c>
      <c r="AF216" s="212">
        <v>13</v>
      </c>
      <c r="AG216" s="212">
        <v>54349</v>
      </c>
      <c r="AH216" s="210" t="s">
        <v>3012</v>
      </c>
    </row>
    <row r="217" spans="5:34">
      <c r="E217" s="376"/>
      <c r="F217" s="376"/>
      <c r="G217" s="376"/>
      <c r="H217" s="376"/>
      <c r="I217" s="210" t="s">
        <v>3013</v>
      </c>
      <c r="J217" s="210" t="s">
        <v>2989</v>
      </c>
      <c r="K217" s="214">
        <v>4.9000000000000004</v>
      </c>
      <c r="L217" s="210" t="s">
        <v>3014</v>
      </c>
      <c r="M217" s="210" t="s">
        <v>2953</v>
      </c>
      <c r="N217" s="210" t="s">
        <v>1452</v>
      </c>
      <c r="O217" s="210" t="s">
        <v>1513</v>
      </c>
      <c r="P217" s="210" t="s">
        <v>1518</v>
      </c>
      <c r="Q217" s="210" t="s">
        <v>936</v>
      </c>
      <c r="R217" s="210">
        <v>1445</v>
      </c>
      <c r="S217" s="214">
        <v>95.129997253417997</v>
      </c>
      <c r="T217" s="210">
        <v>0.49199999999999999</v>
      </c>
      <c r="U217" s="210">
        <v>5.2930000000000001</v>
      </c>
      <c r="V217" s="210">
        <v>-4</v>
      </c>
      <c r="W217" s="210">
        <v>66</v>
      </c>
      <c r="X217" s="210">
        <v>-2</v>
      </c>
      <c r="Y217" s="214">
        <v>95.202003479003906</v>
      </c>
      <c r="Z217" s="214">
        <v>93.787399291992202</v>
      </c>
      <c r="AA217" s="210">
        <v>144</v>
      </c>
      <c r="AB217" s="210">
        <v>143</v>
      </c>
      <c r="AC217" s="210">
        <v>135</v>
      </c>
      <c r="AD217" s="210">
        <v>147</v>
      </c>
      <c r="AE217" s="210">
        <v>66</v>
      </c>
      <c r="AF217" s="212">
        <v>24</v>
      </c>
      <c r="AG217" s="212">
        <v>53987</v>
      </c>
      <c r="AH217" s="210" t="s">
        <v>2979</v>
      </c>
    </row>
    <row r="218" spans="5:34">
      <c r="E218" s="376"/>
      <c r="F218" s="376"/>
      <c r="G218" s="376"/>
      <c r="H218" s="376"/>
      <c r="I218" s="210" t="s">
        <v>2959</v>
      </c>
      <c r="J218" s="210" t="s">
        <v>1568</v>
      </c>
      <c r="K218" s="214">
        <v>6.7</v>
      </c>
      <c r="L218" s="210" t="s">
        <v>2960</v>
      </c>
      <c r="M218" s="210" t="s">
        <v>2932</v>
      </c>
      <c r="N218" s="210" t="s">
        <v>1452</v>
      </c>
      <c r="O218" s="210" t="s">
        <v>1513</v>
      </c>
      <c r="P218" s="210" t="s">
        <v>1172</v>
      </c>
      <c r="Q218" s="210" t="s">
        <v>936</v>
      </c>
      <c r="R218" s="210" t="s">
        <v>2922</v>
      </c>
      <c r="S218" s="214">
        <v>112.856002807617</v>
      </c>
      <c r="T218" s="210" t="s">
        <v>1536</v>
      </c>
      <c r="U218" s="210">
        <v>4.7930000000000001</v>
      </c>
      <c r="V218" s="210" t="s">
        <v>1536</v>
      </c>
      <c r="W218" s="210">
        <v>76</v>
      </c>
      <c r="X218" s="210" t="s">
        <v>1536</v>
      </c>
      <c r="Y218" s="214">
        <v>113.292999267578</v>
      </c>
      <c r="Z218" s="214">
        <v>112.217002868652</v>
      </c>
      <c r="AA218" s="210">
        <v>138</v>
      </c>
      <c r="AB218" s="210">
        <v>139</v>
      </c>
      <c r="AC218" s="210">
        <v>147</v>
      </c>
      <c r="AD218" s="210">
        <v>140</v>
      </c>
      <c r="AE218" s="210">
        <v>90</v>
      </c>
      <c r="AF218" s="212">
        <v>18</v>
      </c>
      <c r="AG218" s="212">
        <v>53883</v>
      </c>
      <c r="AH218" s="210" t="s">
        <v>3015</v>
      </c>
    </row>
    <row r="219" spans="5:34">
      <c r="E219" s="376"/>
      <c r="F219" s="376"/>
      <c r="G219" s="376"/>
      <c r="H219" s="376"/>
      <c r="I219" s="210" t="s">
        <v>3016</v>
      </c>
      <c r="J219" s="210" t="s">
        <v>2969</v>
      </c>
      <c r="K219" s="214">
        <v>5</v>
      </c>
      <c r="L219" s="210" t="s">
        <v>3017</v>
      </c>
      <c r="M219" s="210" t="s">
        <v>2961</v>
      </c>
      <c r="N219" s="210" t="s">
        <v>1452</v>
      </c>
      <c r="O219" s="210" t="s">
        <v>876</v>
      </c>
      <c r="P219" s="210" t="s">
        <v>1518</v>
      </c>
      <c r="Q219" s="210" t="s">
        <v>936</v>
      </c>
      <c r="R219" s="210">
        <v>1104</v>
      </c>
      <c r="S219" s="214">
        <v>102.11499786377</v>
      </c>
      <c r="T219" s="210">
        <v>0.36399999999999999</v>
      </c>
      <c r="U219" s="210">
        <v>4.7110000000000003</v>
      </c>
      <c r="V219" s="210">
        <v>-5</v>
      </c>
      <c r="W219" s="210">
        <v>67</v>
      </c>
      <c r="X219" s="210">
        <v>-2</v>
      </c>
      <c r="Y219" s="214">
        <v>102.11499786377</v>
      </c>
      <c r="Z219" s="214">
        <v>101.22299957275401</v>
      </c>
      <c r="AA219" s="210">
        <v>124</v>
      </c>
      <c r="AB219" s="210">
        <v>125</v>
      </c>
      <c r="AC219" s="210">
        <v>125</v>
      </c>
      <c r="AD219" s="210">
        <v>125</v>
      </c>
      <c r="AE219" s="210">
        <v>74</v>
      </c>
      <c r="AF219" s="212">
        <v>17</v>
      </c>
      <c r="AG219" s="212">
        <v>53834</v>
      </c>
      <c r="AH219" s="210" t="s">
        <v>2973</v>
      </c>
    </row>
    <row r="220" spans="5:34">
      <c r="E220" s="376"/>
      <c r="F220" s="376"/>
      <c r="G220" s="376"/>
      <c r="H220" s="376"/>
      <c r="I220" s="210" t="s">
        <v>3018</v>
      </c>
      <c r="J220" s="210" t="s">
        <v>2966</v>
      </c>
      <c r="K220" s="214">
        <v>5.867</v>
      </c>
      <c r="L220" s="210" t="s">
        <v>3019</v>
      </c>
      <c r="M220" s="210" t="s">
        <v>2947</v>
      </c>
      <c r="N220" s="210" t="s">
        <v>1452</v>
      </c>
      <c r="O220" s="210" t="s">
        <v>1513</v>
      </c>
      <c r="P220" s="210" t="s">
        <v>1518</v>
      </c>
      <c r="Q220" s="210" t="s">
        <v>936</v>
      </c>
      <c r="R220" s="210" t="s">
        <v>2922</v>
      </c>
      <c r="S220" s="214">
        <v>106.748001098633</v>
      </c>
      <c r="T220" s="210">
        <v>0.47399999999999998</v>
      </c>
      <c r="U220" s="210">
        <v>4.8099999999999996</v>
      </c>
      <c r="V220" s="210">
        <v>-7</v>
      </c>
      <c r="W220" s="210">
        <v>78</v>
      </c>
      <c r="X220" s="210">
        <v>-4</v>
      </c>
      <c r="Y220" s="214">
        <v>106.97499847412099</v>
      </c>
      <c r="Z220" s="214">
        <v>106.15200042724599</v>
      </c>
      <c r="AA220" s="210">
        <v>142</v>
      </c>
      <c r="AB220" s="210">
        <v>144</v>
      </c>
      <c r="AC220" s="210">
        <v>147</v>
      </c>
      <c r="AD220" s="210">
        <v>142</v>
      </c>
      <c r="AE220" s="210">
        <v>97</v>
      </c>
      <c r="AF220" s="212">
        <v>13</v>
      </c>
      <c r="AG220" s="212">
        <v>53806</v>
      </c>
      <c r="AH220" s="210" t="s">
        <v>3004</v>
      </c>
    </row>
    <row r="221" spans="5:34">
      <c r="E221" s="376"/>
      <c r="F221" s="376"/>
      <c r="G221" s="376"/>
      <c r="H221" s="376"/>
      <c r="I221" s="210" t="s">
        <v>3020</v>
      </c>
      <c r="J221" s="210" t="s">
        <v>1553</v>
      </c>
      <c r="K221" s="214">
        <v>5.45</v>
      </c>
      <c r="L221" s="210" t="s">
        <v>2986</v>
      </c>
      <c r="M221" s="210" t="s">
        <v>2961</v>
      </c>
      <c r="N221" s="210" t="s">
        <v>1452</v>
      </c>
      <c r="O221" s="210" t="s">
        <v>1513</v>
      </c>
      <c r="P221" s="210" t="s">
        <v>1518</v>
      </c>
      <c r="Q221" s="210" t="s">
        <v>936</v>
      </c>
      <c r="R221" s="210" t="s">
        <v>2922</v>
      </c>
      <c r="S221" s="214">
        <v>102.606002807617</v>
      </c>
      <c r="T221" s="210">
        <v>0.13600000000000001</v>
      </c>
      <c r="U221" s="210">
        <v>5.0919999999999996</v>
      </c>
      <c r="V221" s="210">
        <v>-2</v>
      </c>
      <c r="W221" s="210">
        <v>106</v>
      </c>
      <c r="X221" s="210">
        <v>1</v>
      </c>
      <c r="Y221" s="214">
        <v>102.754997253418</v>
      </c>
      <c r="Z221" s="214">
        <v>101.67299652099599</v>
      </c>
      <c r="AA221" s="210">
        <v>162</v>
      </c>
      <c r="AB221" s="210">
        <v>163</v>
      </c>
      <c r="AC221" s="210">
        <v>163</v>
      </c>
      <c r="AD221" s="210">
        <v>164</v>
      </c>
      <c r="AE221" s="210">
        <v>112</v>
      </c>
      <c r="AF221" s="212">
        <v>15</v>
      </c>
      <c r="AG221" s="212">
        <v>53776</v>
      </c>
      <c r="AH221" s="210" t="s">
        <v>2978</v>
      </c>
    </row>
    <row r="222" spans="5:34">
      <c r="E222" s="376"/>
      <c r="F222" s="376"/>
      <c r="G222" s="376"/>
      <c r="H222" s="376"/>
      <c r="I222" s="210" t="s">
        <v>3021</v>
      </c>
      <c r="J222" s="210" t="s">
        <v>1519</v>
      </c>
      <c r="K222" s="214">
        <v>2.5499999999999998</v>
      </c>
      <c r="L222" s="210" t="s">
        <v>3022</v>
      </c>
      <c r="M222" s="210" t="s">
        <v>2932</v>
      </c>
      <c r="N222" s="210" t="s">
        <v>1452</v>
      </c>
      <c r="O222" s="210" t="s">
        <v>1452</v>
      </c>
      <c r="P222" s="210" t="s">
        <v>1518</v>
      </c>
      <c r="Q222" s="210" t="s">
        <v>1450</v>
      </c>
      <c r="R222" s="210">
        <v>1029</v>
      </c>
      <c r="S222" s="214">
        <v>86.070098876953097</v>
      </c>
      <c r="T222" s="210">
        <v>0.23</v>
      </c>
      <c r="U222" s="210">
        <v>4.6070000000000002</v>
      </c>
      <c r="V222" s="210">
        <v>-4</v>
      </c>
      <c r="W222" s="210">
        <v>57</v>
      </c>
      <c r="X222" s="210">
        <v>-1</v>
      </c>
      <c r="Y222" s="214">
        <v>86.070098876953097</v>
      </c>
      <c r="Z222" s="214">
        <v>85.279998779296903</v>
      </c>
      <c r="AA222" s="210">
        <v>118</v>
      </c>
      <c r="AB222" s="210">
        <v>120</v>
      </c>
      <c r="AC222" s="210">
        <v>108</v>
      </c>
      <c r="AD222" s="210">
        <v>120</v>
      </c>
      <c r="AE222" s="210">
        <v>72</v>
      </c>
      <c r="AF222" s="212">
        <v>18</v>
      </c>
      <c r="AG222" s="212">
        <v>53611</v>
      </c>
      <c r="AH222" s="210" t="s">
        <v>2983</v>
      </c>
    </row>
    <row r="223" spans="5:34">
      <c r="E223" s="376"/>
      <c r="F223" s="376"/>
      <c r="G223" s="376"/>
      <c r="H223" s="376"/>
      <c r="I223" s="210" t="s">
        <v>3023</v>
      </c>
      <c r="J223" s="210" t="s">
        <v>1543</v>
      </c>
      <c r="K223" s="214">
        <v>4.9000000000000004</v>
      </c>
      <c r="L223" s="210" t="s">
        <v>3024</v>
      </c>
      <c r="M223" s="210" t="s">
        <v>2940</v>
      </c>
      <c r="N223" s="210" t="s">
        <v>1452</v>
      </c>
      <c r="O223" s="210" t="s">
        <v>1452</v>
      </c>
      <c r="P223" s="210" t="s">
        <v>1518</v>
      </c>
      <c r="Q223" s="210" t="s">
        <v>1450</v>
      </c>
      <c r="R223" s="210">
        <v>1036</v>
      </c>
      <c r="S223" s="214">
        <v>102.987998962402</v>
      </c>
      <c r="T223" s="210">
        <v>0.14599999999999999</v>
      </c>
      <c r="U223" s="210">
        <v>4.3780000000000001</v>
      </c>
      <c r="V223" s="210">
        <v>-3</v>
      </c>
      <c r="W223" s="210">
        <v>59</v>
      </c>
      <c r="X223" s="210">
        <v>0</v>
      </c>
      <c r="Y223" s="214">
        <v>102.987998962402</v>
      </c>
      <c r="Z223" s="214">
        <v>102.38800048828099</v>
      </c>
      <c r="AA223" s="210">
        <v>105</v>
      </c>
      <c r="AB223" s="210">
        <v>106</v>
      </c>
      <c r="AC223" s="210">
        <v>106</v>
      </c>
      <c r="AD223" s="210">
        <v>106</v>
      </c>
      <c r="AE223" s="210">
        <v>62</v>
      </c>
      <c r="AF223" s="212">
        <v>15</v>
      </c>
      <c r="AG223" s="212">
        <v>53520</v>
      </c>
      <c r="AH223" s="210" t="s">
        <v>2981</v>
      </c>
    </row>
    <row r="224" spans="5:34">
      <c r="E224" s="376"/>
      <c r="F224" s="376"/>
      <c r="G224" s="376"/>
      <c r="H224" s="376"/>
      <c r="I224" s="210" t="s">
        <v>3025</v>
      </c>
      <c r="J224" s="210" t="s">
        <v>2980</v>
      </c>
      <c r="K224" s="214">
        <v>3.25</v>
      </c>
      <c r="L224" s="210" t="s">
        <v>3026</v>
      </c>
      <c r="M224" s="210" t="s">
        <v>2932</v>
      </c>
      <c r="N224" s="210" t="s">
        <v>1452</v>
      </c>
      <c r="O224" s="210" t="s">
        <v>1513</v>
      </c>
      <c r="P224" s="210" t="s">
        <v>1172</v>
      </c>
      <c r="Q224" s="210" t="s">
        <v>936</v>
      </c>
      <c r="R224" s="210">
        <v>2000</v>
      </c>
      <c r="S224" s="214">
        <v>65.791999816894503</v>
      </c>
      <c r="T224" s="210">
        <v>0.43</v>
      </c>
      <c r="U224" s="210">
        <v>5.9320000000000004</v>
      </c>
      <c r="V224" s="210">
        <v>-4</v>
      </c>
      <c r="W224" s="210">
        <v>127</v>
      </c>
      <c r="X224" s="210">
        <v>-1</v>
      </c>
      <c r="Y224" s="214">
        <v>65.839996337890597</v>
      </c>
      <c r="Z224" s="214">
        <v>64.101997375488295</v>
      </c>
      <c r="AA224" s="210">
        <v>206</v>
      </c>
      <c r="AB224" s="210">
        <v>207</v>
      </c>
      <c r="AC224" s="210">
        <v>153</v>
      </c>
      <c r="AD224" s="210">
        <v>210</v>
      </c>
      <c r="AE224" s="210">
        <v>130</v>
      </c>
      <c r="AF224" s="212">
        <v>15</v>
      </c>
      <c r="AG224" s="212">
        <v>53334</v>
      </c>
      <c r="AH224" s="210" t="s">
        <v>2977</v>
      </c>
    </row>
    <row r="225" spans="5:33">
      <c r="E225" s="376"/>
      <c r="F225" s="376"/>
      <c r="G225" s="376"/>
      <c r="H225" s="376"/>
      <c r="K225" s="214"/>
      <c r="S225" s="214"/>
      <c r="Y225" s="214"/>
      <c r="Z225" s="214"/>
      <c r="AF225" s="212"/>
      <c r="AG225" s="212"/>
    </row>
    <row r="226" spans="5:33">
      <c r="E226" s="376"/>
      <c r="F226" s="376"/>
      <c r="G226" s="376"/>
      <c r="H226" s="376"/>
      <c r="K226" s="214"/>
      <c r="S226" s="214"/>
      <c r="Y226" s="214"/>
      <c r="Z226" s="214"/>
      <c r="AF226" s="212"/>
      <c r="AG226" s="212"/>
    </row>
    <row r="227" spans="5:33">
      <c r="E227" s="376"/>
      <c r="F227" s="376"/>
      <c r="G227" s="376"/>
      <c r="H227" s="376"/>
      <c r="K227" s="214"/>
      <c r="S227" s="214"/>
      <c r="Y227" s="214"/>
      <c r="Z227" s="214"/>
      <c r="AF227" s="212"/>
      <c r="AG227" s="212"/>
    </row>
    <row r="228" spans="5:33">
      <c r="E228" s="376"/>
      <c r="F228" s="376"/>
      <c r="G228" s="376"/>
      <c r="H228" s="376"/>
      <c r="K228" s="214"/>
      <c r="S228" s="214"/>
      <c r="Y228" s="214"/>
      <c r="Z228" s="214"/>
      <c r="AF228" s="212"/>
      <c r="AG228" s="212"/>
    </row>
    <row r="229" spans="5:33">
      <c r="E229" s="376"/>
      <c r="F229" s="376"/>
      <c r="G229" s="376"/>
      <c r="H229" s="376"/>
      <c r="K229" s="214"/>
      <c r="S229" s="214"/>
      <c r="Y229" s="214"/>
      <c r="Z229" s="214"/>
      <c r="AF229" s="212"/>
      <c r="AG229" s="212"/>
    </row>
    <row r="230" spans="5:33">
      <c r="E230" s="376"/>
      <c r="F230" s="376"/>
      <c r="G230" s="376"/>
      <c r="H230" s="376"/>
      <c r="K230" s="214"/>
      <c r="S230" s="214"/>
      <c r="Y230" s="214"/>
      <c r="Z230" s="214"/>
      <c r="AF230" s="212"/>
      <c r="AG230" s="212"/>
    </row>
    <row r="231" spans="5:33">
      <c r="E231" s="376"/>
      <c r="F231" s="376"/>
      <c r="G231" s="376"/>
      <c r="H231" s="376"/>
      <c r="K231" s="214"/>
      <c r="S231" s="214"/>
      <c r="Y231" s="214"/>
      <c r="Z231" s="214"/>
      <c r="AF231" s="212"/>
      <c r="AG231" s="212"/>
    </row>
    <row r="232" spans="5:33">
      <c r="E232" s="376"/>
      <c r="F232" s="376"/>
      <c r="G232" s="376"/>
      <c r="H232" s="376"/>
      <c r="K232" s="214"/>
      <c r="S232" s="214"/>
      <c r="Y232" s="214"/>
      <c r="Z232" s="214"/>
      <c r="AF232" s="212"/>
      <c r="AG232" s="212"/>
    </row>
    <row r="233" spans="5:33">
      <c r="E233" s="376"/>
      <c r="F233" s="376"/>
      <c r="G233" s="376"/>
      <c r="H233" s="376"/>
      <c r="K233" s="214"/>
      <c r="S233" s="214"/>
      <c r="Y233" s="214"/>
      <c r="Z233" s="214"/>
      <c r="AF233" s="212"/>
      <c r="AG233" s="212"/>
    </row>
    <row r="234" spans="5:33">
      <c r="E234" s="376"/>
      <c r="F234" s="376"/>
      <c r="G234" s="376"/>
      <c r="H234" s="376"/>
      <c r="K234" s="214"/>
      <c r="S234" s="214"/>
      <c r="Y234" s="214"/>
      <c r="Z234" s="214"/>
      <c r="AF234" s="212"/>
      <c r="AG234" s="212"/>
    </row>
    <row r="235" spans="5:33">
      <c r="E235" s="376"/>
      <c r="F235" s="376"/>
      <c r="G235" s="376"/>
      <c r="H235" s="376"/>
      <c r="K235" s="214"/>
      <c r="S235" s="214"/>
      <c r="Y235" s="214"/>
      <c r="Z235" s="214"/>
      <c r="AF235" s="212"/>
      <c r="AG235" s="212"/>
    </row>
    <row r="236" spans="5:33">
      <c r="E236" s="376"/>
      <c r="F236" s="376"/>
      <c r="G236" s="376"/>
      <c r="H236" s="376"/>
      <c r="K236" s="214"/>
      <c r="S236" s="214"/>
      <c r="Y236" s="214"/>
      <c r="Z236" s="214"/>
      <c r="AF236" s="212"/>
      <c r="AG236" s="212"/>
    </row>
    <row r="237" spans="5:33">
      <c r="E237" s="376"/>
      <c r="F237" s="376"/>
      <c r="G237" s="376"/>
      <c r="H237" s="376"/>
      <c r="K237" s="214"/>
      <c r="S237" s="214"/>
      <c r="Y237" s="214"/>
      <c r="Z237" s="214"/>
      <c r="AF237" s="212"/>
      <c r="AG237" s="212"/>
    </row>
    <row r="238" spans="5:33">
      <c r="E238" s="376"/>
      <c r="F238" s="376"/>
      <c r="G238" s="376"/>
      <c r="H238" s="376"/>
      <c r="K238" s="214"/>
      <c r="S238" s="214"/>
      <c r="Y238" s="214"/>
      <c r="Z238" s="214"/>
      <c r="AF238" s="212"/>
      <c r="AG238" s="212"/>
    </row>
    <row r="239" spans="5:33">
      <c r="E239" s="376"/>
      <c r="F239" s="376"/>
      <c r="G239" s="376"/>
      <c r="H239" s="376"/>
      <c r="K239" s="214"/>
      <c r="S239" s="214"/>
      <c r="Y239" s="214"/>
      <c r="Z239" s="214"/>
      <c r="AF239" s="212"/>
      <c r="AG239" s="212"/>
    </row>
    <row r="240" spans="5:33">
      <c r="E240" s="376"/>
      <c r="F240" s="376"/>
      <c r="G240" s="376"/>
      <c r="H240" s="376"/>
      <c r="K240" s="214"/>
      <c r="S240" s="214"/>
      <c r="Y240" s="214"/>
      <c r="Z240" s="214"/>
      <c r="AF240" s="212"/>
      <c r="AG240" s="212"/>
    </row>
    <row r="241" spans="5:33">
      <c r="E241" s="376"/>
      <c r="F241" s="376"/>
      <c r="G241" s="376"/>
      <c r="H241" s="376"/>
      <c r="K241" s="214"/>
      <c r="S241" s="214"/>
      <c r="Y241" s="214"/>
      <c r="Z241" s="214"/>
      <c r="AF241" s="212"/>
      <c r="AG241" s="212"/>
    </row>
    <row r="242" spans="5:33">
      <c r="E242" s="376"/>
      <c r="F242" s="376"/>
      <c r="G242" s="376"/>
      <c r="H242" s="376"/>
      <c r="K242" s="214"/>
      <c r="S242" s="214"/>
      <c r="Y242" s="214"/>
      <c r="Z242" s="214"/>
      <c r="AF242" s="212"/>
      <c r="AG242" s="212"/>
    </row>
    <row r="243" spans="5:33">
      <c r="E243" s="376"/>
      <c r="F243" s="376"/>
      <c r="G243" s="376"/>
      <c r="H243" s="376"/>
      <c r="K243" s="214"/>
      <c r="S243" s="214"/>
      <c r="Y243" s="214"/>
      <c r="Z243" s="214"/>
      <c r="AF243" s="212"/>
      <c r="AG243" s="212"/>
    </row>
    <row r="244" spans="5:33">
      <c r="E244" s="376"/>
      <c r="F244" s="376"/>
      <c r="G244" s="376"/>
      <c r="H244" s="376"/>
      <c r="K244" s="214"/>
      <c r="S244" s="214"/>
      <c r="Y244" s="214"/>
      <c r="Z244" s="214"/>
      <c r="AF244" s="212"/>
      <c r="AG244" s="212"/>
    </row>
    <row r="245" spans="5:33">
      <c r="E245" s="376"/>
      <c r="F245" s="376"/>
      <c r="G245" s="376"/>
      <c r="H245" s="376"/>
      <c r="K245" s="214"/>
      <c r="S245" s="214"/>
      <c r="Y245" s="214"/>
      <c r="Z245" s="214"/>
      <c r="AF245" s="212"/>
      <c r="AG245" s="212"/>
    </row>
    <row r="246" spans="5:33">
      <c r="E246" s="376"/>
      <c r="F246" s="376"/>
      <c r="G246" s="376"/>
      <c r="H246" s="376"/>
      <c r="K246" s="214"/>
      <c r="S246" s="214"/>
      <c r="Y246" s="214"/>
      <c r="Z246" s="214"/>
      <c r="AF246" s="212"/>
      <c r="AG246" s="212"/>
    </row>
    <row r="247" spans="5:33">
      <c r="E247" s="376"/>
      <c r="F247" s="376"/>
      <c r="G247" s="376"/>
      <c r="H247" s="376"/>
      <c r="K247" s="214"/>
      <c r="S247" s="214"/>
      <c r="Y247" s="214"/>
      <c r="Z247" s="214"/>
      <c r="AF247" s="212"/>
      <c r="AG247" s="212"/>
    </row>
    <row r="248" spans="5:33">
      <c r="E248" s="376"/>
      <c r="F248" s="376"/>
      <c r="G248" s="376"/>
      <c r="H248" s="376"/>
      <c r="K248" s="214"/>
      <c r="S248" s="214"/>
      <c r="Y248" s="214"/>
      <c r="Z248" s="214"/>
      <c r="AF248" s="212"/>
      <c r="AG248" s="212"/>
    </row>
    <row r="249" spans="5:33">
      <c r="E249" s="376"/>
      <c r="F249" s="376"/>
      <c r="G249" s="376"/>
      <c r="H249" s="376"/>
      <c r="K249" s="214"/>
      <c r="S249" s="214"/>
      <c r="Y249" s="214"/>
      <c r="Z249" s="214"/>
      <c r="AF249" s="212"/>
      <c r="AG249" s="212"/>
    </row>
    <row r="250" spans="5:33">
      <c r="E250" s="376"/>
      <c r="F250" s="376"/>
      <c r="G250" s="376"/>
      <c r="H250" s="376"/>
      <c r="K250" s="214"/>
      <c r="S250" s="214"/>
      <c r="Y250" s="214"/>
      <c r="Z250" s="214"/>
      <c r="AF250" s="212"/>
      <c r="AG250" s="212"/>
    </row>
    <row r="251" spans="5:33">
      <c r="E251" s="376"/>
      <c r="F251" s="376"/>
      <c r="G251" s="376"/>
      <c r="H251" s="376"/>
      <c r="K251" s="214"/>
      <c r="S251" s="214"/>
      <c r="Y251" s="214"/>
      <c r="Z251" s="214"/>
      <c r="AF251" s="212"/>
      <c r="AG251" s="212"/>
    </row>
    <row r="252" spans="5:33">
      <c r="E252" s="376"/>
      <c r="F252" s="376"/>
      <c r="G252" s="376"/>
      <c r="H252" s="376"/>
      <c r="K252" s="214"/>
      <c r="S252" s="214"/>
      <c r="Y252" s="214"/>
      <c r="Z252" s="214"/>
      <c r="AF252" s="212"/>
      <c r="AG252" s="212"/>
    </row>
    <row r="253" spans="5:33">
      <c r="E253" s="376"/>
      <c r="F253" s="376"/>
      <c r="G253" s="376"/>
      <c r="H253" s="376"/>
      <c r="K253" s="214"/>
      <c r="S253" s="214"/>
      <c r="Y253" s="214"/>
      <c r="Z253" s="214"/>
      <c r="AF253" s="212"/>
      <c r="AG253" s="212"/>
    </row>
    <row r="254" spans="5:33">
      <c r="E254" s="376"/>
      <c r="F254" s="376"/>
      <c r="G254" s="376"/>
      <c r="H254" s="376"/>
      <c r="K254" s="214"/>
      <c r="S254" s="214"/>
      <c r="Y254" s="214"/>
      <c r="Z254" s="214"/>
      <c r="AF254" s="212"/>
      <c r="AG254" s="212"/>
    </row>
    <row r="255" spans="5:33">
      <c r="E255" s="376"/>
      <c r="F255" s="376"/>
      <c r="G255" s="376"/>
      <c r="H255" s="376"/>
      <c r="K255" s="214"/>
      <c r="S255" s="214"/>
      <c r="Y255" s="214"/>
      <c r="Z255" s="214"/>
      <c r="AF255" s="212"/>
      <c r="AG255" s="212"/>
    </row>
    <row r="256" spans="5:33">
      <c r="E256" s="376"/>
      <c r="F256" s="376"/>
      <c r="G256" s="376"/>
      <c r="H256" s="376"/>
      <c r="K256" s="214"/>
      <c r="S256" s="214"/>
      <c r="Y256" s="214"/>
      <c r="Z256" s="214"/>
      <c r="AF256" s="212"/>
      <c r="AG256" s="212"/>
    </row>
    <row r="257" spans="5:33">
      <c r="E257" s="376"/>
      <c r="F257" s="376"/>
      <c r="G257" s="376"/>
      <c r="H257" s="376"/>
      <c r="K257" s="214"/>
      <c r="S257" s="214"/>
      <c r="Y257" s="214"/>
      <c r="Z257" s="214"/>
      <c r="AF257" s="212"/>
      <c r="AG257" s="212"/>
    </row>
    <row r="258" spans="5:33">
      <c r="E258" s="376"/>
      <c r="F258" s="376"/>
      <c r="G258" s="376"/>
      <c r="H258" s="376"/>
      <c r="K258" s="214"/>
      <c r="S258" s="214"/>
      <c r="Y258" s="214"/>
      <c r="Z258" s="214"/>
      <c r="AF258" s="212"/>
      <c r="AG258" s="212"/>
    </row>
    <row r="259" spans="5:33">
      <c r="E259" s="376"/>
      <c r="F259" s="376"/>
      <c r="G259" s="376"/>
      <c r="H259" s="376"/>
      <c r="K259" s="214"/>
      <c r="S259" s="214"/>
      <c r="Y259" s="214"/>
      <c r="Z259" s="214"/>
      <c r="AF259" s="212"/>
      <c r="AG259" s="212"/>
    </row>
    <row r="260" spans="5:33">
      <c r="E260" s="376"/>
      <c r="F260" s="376"/>
      <c r="G260" s="376"/>
      <c r="H260" s="376"/>
      <c r="K260" s="214"/>
      <c r="S260" s="214"/>
      <c r="Y260" s="214"/>
      <c r="Z260" s="214"/>
      <c r="AF260" s="212"/>
      <c r="AG260" s="212"/>
    </row>
    <row r="261" spans="5:33">
      <c r="E261" s="376"/>
      <c r="F261" s="376"/>
      <c r="G261" s="376"/>
      <c r="H261" s="376"/>
      <c r="K261" s="214"/>
      <c r="S261" s="214"/>
      <c r="Y261" s="214"/>
      <c r="Z261" s="214"/>
      <c r="AF261" s="212"/>
      <c r="AG261" s="212"/>
    </row>
    <row r="262" spans="5:33">
      <c r="E262" s="376"/>
      <c r="F262" s="376"/>
      <c r="G262" s="376"/>
      <c r="H262" s="376"/>
      <c r="K262" s="214"/>
      <c r="S262" s="214"/>
      <c r="Y262" s="214"/>
      <c r="Z262" s="214"/>
      <c r="AF262" s="212"/>
      <c r="AG262" s="212"/>
    </row>
    <row r="263" spans="5:33">
      <c r="E263" s="376"/>
      <c r="F263" s="376"/>
      <c r="G263" s="376"/>
      <c r="H263" s="376"/>
      <c r="K263" s="214"/>
      <c r="S263" s="214"/>
      <c r="Y263" s="214"/>
      <c r="Z263" s="214"/>
      <c r="AF263" s="212"/>
      <c r="AG263" s="212"/>
    </row>
    <row r="264" spans="5:33">
      <c r="E264" s="376"/>
      <c r="F264" s="376"/>
      <c r="G264" s="376"/>
      <c r="H264" s="376"/>
      <c r="K264" s="214"/>
      <c r="S264" s="214"/>
      <c r="Y264" s="214"/>
      <c r="Z264" s="214"/>
      <c r="AF264" s="212"/>
      <c r="AG264" s="212"/>
    </row>
    <row r="265" spans="5:33">
      <c r="E265" s="376"/>
      <c r="F265" s="376"/>
      <c r="G265" s="376"/>
      <c r="H265" s="376"/>
      <c r="K265" s="214"/>
      <c r="S265" s="214"/>
      <c r="Y265" s="214"/>
      <c r="Z265" s="214"/>
      <c r="AF265" s="212"/>
      <c r="AG265" s="212"/>
    </row>
    <row r="266" spans="5:33">
      <c r="E266" s="376"/>
      <c r="F266" s="376"/>
      <c r="G266" s="376"/>
      <c r="H266" s="376"/>
      <c r="K266" s="214"/>
      <c r="S266" s="214"/>
      <c r="Y266" s="214"/>
      <c r="Z266" s="214"/>
      <c r="AF266" s="212"/>
      <c r="AG266" s="212"/>
    </row>
    <row r="267" spans="5:33">
      <c r="E267" s="376"/>
      <c r="F267" s="376"/>
      <c r="G267" s="376"/>
      <c r="H267" s="376"/>
      <c r="K267" s="214"/>
      <c r="S267" s="214"/>
      <c r="Y267" s="214"/>
      <c r="Z267" s="214"/>
      <c r="AF267" s="212"/>
      <c r="AG267" s="212"/>
    </row>
    <row r="268" spans="5:33">
      <c r="E268" s="376"/>
      <c r="F268" s="376"/>
      <c r="G268" s="376"/>
      <c r="H268" s="376"/>
      <c r="K268" s="214"/>
      <c r="S268" s="214"/>
      <c r="Y268" s="214"/>
      <c r="Z268" s="214"/>
      <c r="AF268" s="212"/>
      <c r="AG268" s="212"/>
    </row>
    <row r="269" spans="5:33">
      <c r="E269" s="376"/>
      <c r="F269" s="376"/>
      <c r="G269" s="376"/>
      <c r="H269" s="376"/>
      <c r="K269" s="214"/>
      <c r="S269" s="214"/>
      <c r="Y269" s="214"/>
      <c r="Z269" s="214"/>
      <c r="AF269" s="212"/>
      <c r="AG269" s="212"/>
    </row>
    <row r="270" spans="5:33">
      <c r="E270" s="376"/>
      <c r="F270" s="376"/>
      <c r="G270" s="376"/>
      <c r="H270" s="376"/>
      <c r="K270" s="214"/>
      <c r="S270" s="214"/>
      <c r="Y270" s="214"/>
      <c r="Z270" s="214"/>
      <c r="AF270" s="212"/>
      <c r="AG270" s="212"/>
    </row>
    <row r="271" spans="5:33">
      <c r="E271" s="376"/>
      <c r="F271" s="376"/>
      <c r="G271" s="376"/>
      <c r="H271" s="376"/>
      <c r="K271" s="214"/>
      <c r="S271" s="214"/>
      <c r="Y271" s="214"/>
      <c r="Z271" s="214"/>
      <c r="AF271" s="212"/>
      <c r="AG271" s="212"/>
    </row>
    <row r="272" spans="5:33">
      <c r="E272" s="376"/>
      <c r="F272" s="376"/>
      <c r="G272" s="376"/>
      <c r="H272" s="376"/>
      <c r="K272" s="214"/>
      <c r="S272" s="214"/>
      <c r="Y272" s="214"/>
      <c r="Z272" s="214"/>
      <c r="AF272" s="212"/>
      <c r="AG272" s="212"/>
    </row>
    <row r="273" spans="5:33">
      <c r="E273" s="376"/>
      <c r="F273" s="376"/>
      <c r="G273" s="376"/>
      <c r="H273" s="376"/>
      <c r="K273" s="214"/>
      <c r="S273" s="214"/>
      <c r="Y273" s="214"/>
      <c r="Z273" s="214"/>
      <c r="AF273" s="212"/>
      <c r="AG273" s="212"/>
    </row>
    <row r="274" spans="5:33">
      <c r="E274" s="376"/>
      <c r="F274" s="376"/>
      <c r="G274" s="376"/>
      <c r="H274" s="376"/>
      <c r="K274" s="214"/>
      <c r="S274" s="214"/>
      <c r="Y274" s="214"/>
      <c r="Z274" s="214"/>
      <c r="AF274" s="212"/>
      <c r="AG274" s="212"/>
    </row>
    <row r="275" spans="5:33">
      <c r="E275" s="376"/>
      <c r="F275" s="376"/>
      <c r="G275" s="376"/>
      <c r="H275" s="376"/>
      <c r="K275" s="214"/>
      <c r="S275" s="214"/>
      <c r="Y275" s="214"/>
      <c r="Z275" s="214"/>
      <c r="AF275" s="212"/>
      <c r="AG275" s="212"/>
    </row>
    <row r="276" spans="5:33">
      <c r="E276" s="376"/>
      <c r="F276" s="376"/>
      <c r="G276" s="376"/>
      <c r="H276" s="376"/>
      <c r="K276" s="214"/>
      <c r="S276" s="214"/>
      <c r="Y276" s="214"/>
      <c r="Z276" s="214"/>
      <c r="AF276" s="212"/>
      <c r="AG276" s="212"/>
    </row>
    <row r="277" spans="5:33">
      <c r="E277" s="376"/>
      <c r="F277" s="376"/>
      <c r="G277" s="376"/>
      <c r="H277" s="376"/>
      <c r="K277" s="214"/>
      <c r="S277" s="214"/>
      <c r="Y277" s="214"/>
      <c r="Z277" s="214"/>
      <c r="AF277" s="212"/>
      <c r="AG277" s="212"/>
    </row>
    <row r="278" spans="5:33">
      <c r="E278" s="376"/>
      <c r="F278" s="376"/>
      <c r="G278" s="376"/>
      <c r="H278" s="376"/>
      <c r="K278" s="214"/>
      <c r="S278" s="214"/>
      <c r="Y278" s="214"/>
      <c r="Z278" s="214"/>
      <c r="AF278" s="212"/>
      <c r="AG278" s="212"/>
    </row>
    <row r="279" spans="5:33">
      <c r="E279" s="376"/>
      <c r="F279" s="376"/>
      <c r="G279" s="376"/>
      <c r="H279" s="376"/>
      <c r="K279" s="214"/>
      <c r="S279" s="214"/>
      <c r="Y279" s="214"/>
      <c r="Z279" s="214"/>
      <c r="AF279" s="212"/>
      <c r="AG279" s="212"/>
    </row>
    <row r="280" spans="5:33">
      <c r="E280" s="376"/>
      <c r="F280" s="376"/>
      <c r="G280" s="376"/>
      <c r="H280" s="376"/>
      <c r="K280" s="214"/>
      <c r="S280" s="214"/>
      <c r="Y280" s="214"/>
      <c r="Z280" s="214"/>
      <c r="AF280" s="212"/>
      <c r="AG280" s="212"/>
    </row>
    <row r="281" spans="5:33">
      <c r="E281" s="376"/>
      <c r="F281" s="376"/>
      <c r="G281" s="376"/>
      <c r="H281" s="376"/>
      <c r="K281" s="214"/>
      <c r="S281" s="214"/>
      <c r="Y281" s="214"/>
      <c r="Z281" s="214"/>
      <c r="AF281" s="212"/>
      <c r="AG281" s="212"/>
    </row>
    <row r="282" spans="5:33">
      <c r="E282" s="376"/>
      <c r="F282" s="376"/>
      <c r="G282" s="376"/>
      <c r="H282" s="376"/>
      <c r="K282" s="214"/>
      <c r="S282" s="214"/>
      <c r="Y282" s="214"/>
      <c r="Z282" s="214"/>
      <c r="AF282" s="212"/>
      <c r="AG282" s="212"/>
    </row>
    <row r="283" spans="5:33">
      <c r="E283" s="376"/>
      <c r="F283" s="376"/>
      <c r="G283" s="376"/>
      <c r="H283" s="376"/>
      <c r="K283" s="214"/>
      <c r="S283" s="214"/>
      <c r="Y283" s="214"/>
      <c r="Z283" s="214"/>
      <c r="AF283" s="212"/>
      <c r="AG283" s="212"/>
    </row>
    <row r="284" spans="5:33">
      <c r="E284" s="376"/>
      <c r="F284" s="376"/>
      <c r="G284" s="376"/>
      <c r="H284" s="376"/>
      <c r="K284" s="214"/>
      <c r="S284" s="214"/>
      <c r="Y284" s="214"/>
      <c r="Z284" s="214"/>
      <c r="AF284" s="212"/>
      <c r="AG284" s="212"/>
    </row>
    <row r="285" spans="5:33">
      <c r="E285" s="376"/>
      <c r="F285" s="376"/>
      <c r="G285" s="376"/>
      <c r="H285" s="376"/>
      <c r="K285" s="214"/>
      <c r="S285" s="214"/>
      <c r="Y285" s="214"/>
      <c r="Z285" s="214"/>
      <c r="AF285" s="212"/>
      <c r="AG285" s="212"/>
    </row>
    <row r="286" spans="5:33">
      <c r="E286" s="376"/>
      <c r="F286" s="376"/>
      <c r="G286" s="376"/>
      <c r="H286" s="376"/>
      <c r="K286" s="214"/>
      <c r="S286" s="214"/>
      <c r="Y286" s="214"/>
      <c r="Z286" s="214"/>
      <c r="AF286" s="212"/>
      <c r="AG286" s="212"/>
    </row>
    <row r="287" spans="5:33">
      <c r="E287" s="376"/>
      <c r="F287" s="376"/>
      <c r="G287" s="376"/>
      <c r="H287" s="376"/>
      <c r="K287" s="214"/>
      <c r="S287" s="214"/>
      <c r="Y287" s="214"/>
      <c r="Z287" s="214"/>
      <c r="AF287" s="212"/>
      <c r="AG287" s="212"/>
    </row>
    <row r="288" spans="5:33">
      <c r="E288" s="376"/>
      <c r="F288" s="376"/>
      <c r="G288" s="376"/>
      <c r="H288" s="376"/>
      <c r="K288" s="214"/>
      <c r="S288" s="214"/>
      <c r="Y288" s="214"/>
      <c r="Z288" s="214"/>
      <c r="AF288" s="212"/>
      <c r="AG288" s="212"/>
    </row>
    <row r="289" spans="5:33">
      <c r="E289" s="376"/>
      <c r="F289" s="376"/>
      <c r="G289" s="376"/>
      <c r="H289" s="376"/>
      <c r="K289" s="214"/>
      <c r="S289" s="214"/>
      <c r="Y289" s="214"/>
      <c r="Z289" s="214"/>
      <c r="AF289" s="212"/>
      <c r="AG289" s="212"/>
    </row>
    <row r="290" spans="5:33">
      <c r="E290" s="376"/>
      <c r="F290" s="376"/>
      <c r="G290" s="376"/>
      <c r="H290" s="376"/>
      <c r="K290" s="214"/>
      <c r="S290" s="214"/>
      <c r="Y290" s="214"/>
      <c r="Z290" s="214"/>
      <c r="AF290" s="212"/>
      <c r="AG290" s="212"/>
    </row>
    <row r="291" spans="5:33">
      <c r="E291" s="376"/>
      <c r="F291" s="376"/>
      <c r="G291" s="376"/>
      <c r="H291" s="376"/>
      <c r="K291" s="214"/>
      <c r="S291" s="214"/>
      <c r="Y291" s="214"/>
      <c r="Z291" s="214"/>
      <c r="AF291" s="212"/>
      <c r="AG291" s="212"/>
    </row>
    <row r="292" spans="5:33">
      <c r="E292" s="376"/>
      <c r="F292" s="376"/>
      <c r="G292" s="376"/>
      <c r="H292" s="376"/>
      <c r="K292" s="214"/>
      <c r="S292" s="214"/>
      <c r="Y292" s="214"/>
      <c r="Z292" s="214"/>
      <c r="AF292" s="212"/>
      <c r="AG292" s="212"/>
    </row>
    <row r="293" spans="5:33">
      <c r="E293" s="376"/>
      <c r="F293" s="376"/>
      <c r="G293" s="376"/>
      <c r="H293" s="376"/>
      <c r="K293" s="214"/>
      <c r="S293" s="214"/>
      <c r="Y293" s="214"/>
      <c r="Z293" s="214"/>
      <c r="AF293" s="212"/>
      <c r="AG293" s="212"/>
    </row>
    <row r="294" spans="5:33">
      <c r="E294" s="376"/>
      <c r="F294" s="376"/>
      <c r="G294" s="376"/>
      <c r="H294" s="376"/>
      <c r="K294" s="214"/>
      <c r="S294" s="214"/>
      <c r="Y294" s="214"/>
      <c r="Z294" s="214"/>
      <c r="AF294" s="212"/>
      <c r="AG294" s="212"/>
    </row>
    <row r="295" spans="5:33">
      <c r="E295" s="376"/>
      <c r="F295" s="376"/>
      <c r="G295" s="376"/>
      <c r="H295" s="376"/>
      <c r="K295" s="214"/>
      <c r="S295" s="214"/>
      <c r="Y295" s="214"/>
      <c r="Z295" s="214"/>
      <c r="AF295" s="212"/>
      <c r="AG295" s="212"/>
    </row>
    <row r="296" spans="5:33">
      <c r="E296" s="376"/>
      <c r="F296" s="376"/>
      <c r="G296" s="376"/>
      <c r="H296" s="376"/>
      <c r="K296" s="214"/>
      <c r="S296" s="214"/>
      <c r="Y296" s="214"/>
      <c r="Z296" s="214"/>
      <c r="AF296" s="212"/>
      <c r="AG296" s="212"/>
    </row>
    <row r="297" spans="5:33">
      <c r="E297" s="376"/>
      <c r="F297" s="376"/>
      <c r="G297" s="376"/>
      <c r="H297" s="376"/>
      <c r="K297" s="214"/>
      <c r="S297" s="214"/>
      <c r="Y297" s="214"/>
      <c r="Z297" s="214"/>
      <c r="AF297" s="212"/>
      <c r="AG297" s="212"/>
    </row>
    <row r="298" spans="5:33">
      <c r="E298" s="376"/>
      <c r="F298" s="376"/>
      <c r="G298" s="376"/>
      <c r="H298" s="376"/>
      <c r="K298" s="214"/>
      <c r="S298" s="214"/>
      <c r="Y298" s="214"/>
      <c r="Z298" s="214"/>
      <c r="AF298" s="212"/>
      <c r="AG298" s="212"/>
    </row>
    <row r="299" spans="5:33">
      <c r="E299" s="376"/>
      <c r="F299" s="376"/>
      <c r="G299" s="376"/>
      <c r="H299" s="376"/>
      <c r="K299" s="214"/>
      <c r="S299" s="214"/>
      <c r="Y299" s="214"/>
      <c r="Z299" s="214"/>
      <c r="AF299" s="212"/>
      <c r="AG299" s="212"/>
    </row>
    <row r="300" spans="5:33">
      <c r="E300" s="376"/>
      <c r="F300" s="376"/>
      <c r="G300" s="376"/>
      <c r="H300" s="376"/>
      <c r="K300" s="214"/>
      <c r="S300" s="214"/>
      <c r="Y300" s="214"/>
      <c r="Z300" s="214"/>
      <c r="AF300" s="212"/>
      <c r="AG300" s="212"/>
    </row>
    <row r="301" spans="5:33">
      <c r="E301" s="376"/>
      <c r="F301" s="376"/>
      <c r="G301" s="376"/>
      <c r="H301" s="376"/>
      <c r="K301" s="214"/>
      <c r="S301" s="214"/>
      <c r="Y301" s="214"/>
      <c r="Z301" s="214"/>
      <c r="AF301" s="212"/>
      <c r="AG301" s="212"/>
    </row>
    <row r="302" spans="5:33">
      <c r="E302" s="376"/>
      <c r="F302" s="376"/>
      <c r="G302" s="376"/>
      <c r="H302" s="376"/>
      <c r="K302" s="214"/>
      <c r="S302" s="214"/>
      <c r="Y302" s="214"/>
      <c r="Z302" s="214"/>
      <c r="AF302" s="212"/>
      <c r="AG302" s="212"/>
    </row>
    <row r="303" spans="5:33">
      <c r="E303" s="376"/>
      <c r="F303" s="376"/>
      <c r="G303" s="376"/>
      <c r="H303" s="376"/>
      <c r="K303" s="214"/>
      <c r="S303" s="214"/>
      <c r="Y303" s="214"/>
      <c r="Z303" s="214"/>
      <c r="AF303" s="212"/>
      <c r="AG303" s="212"/>
    </row>
    <row r="304" spans="5:33">
      <c r="E304" s="376"/>
      <c r="F304" s="376"/>
      <c r="G304" s="376"/>
      <c r="H304" s="376"/>
      <c r="K304" s="214"/>
      <c r="S304" s="214"/>
      <c r="Y304" s="214"/>
      <c r="Z304" s="214"/>
      <c r="AF304" s="212"/>
      <c r="AG304" s="212"/>
    </row>
    <row r="305" spans="5:33">
      <c r="E305" s="376"/>
      <c r="F305" s="376"/>
      <c r="G305" s="376"/>
      <c r="H305" s="376"/>
      <c r="K305" s="214"/>
      <c r="S305" s="214"/>
      <c r="Y305" s="214"/>
      <c r="Z305" s="214"/>
      <c r="AF305" s="212"/>
      <c r="AG305" s="212"/>
    </row>
    <row r="306" spans="5:33">
      <c r="E306" s="376"/>
      <c r="F306" s="376"/>
      <c r="G306" s="376"/>
      <c r="H306" s="376"/>
      <c r="K306" s="214"/>
      <c r="S306" s="214"/>
      <c r="Y306" s="214"/>
      <c r="Z306" s="214"/>
      <c r="AF306" s="212"/>
      <c r="AG306" s="212"/>
    </row>
    <row r="307" spans="5:33">
      <c r="E307" s="376"/>
      <c r="F307" s="376"/>
      <c r="G307" s="376"/>
      <c r="H307" s="376"/>
      <c r="K307" s="214"/>
      <c r="S307" s="214"/>
      <c r="Y307" s="214"/>
      <c r="Z307" s="214"/>
      <c r="AF307" s="212"/>
      <c r="AG307" s="212"/>
    </row>
    <row r="308" spans="5:33">
      <c r="E308" s="376"/>
      <c r="F308" s="376"/>
      <c r="G308" s="376"/>
      <c r="H308" s="376"/>
      <c r="K308" s="214"/>
      <c r="S308" s="214"/>
      <c r="Y308" s="214"/>
      <c r="Z308" s="214"/>
      <c r="AF308" s="212"/>
      <c r="AG308" s="212"/>
    </row>
    <row r="309" spans="5:33">
      <c r="E309" s="376"/>
      <c r="F309" s="376"/>
      <c r="G309" s="376"/>
      <c r="H309" s="376"/>
      <c r="K309" s="214"/>
      <c r="S309" s="214"/>
      <c r="Y309" s="214"/>
      <c r="Z309" s="214"/>
      <c r="AF309" s="212"/>
      <c r="AG309" s="212"/>
    </row>
    <row r="310" spans="5:33">
      <c r="E310" s="376"/>
      <c r="F310" s="376"/>
      <c r="G310" s="376"/>
      <c r="H310" s="376"/>
      <c r="K310" s="214"/>
      <c r="S310" s="214"/>
      <c r="Y310" s="214"/>
      <c r="Z310" s="214"/>
      <c r="AF310" s="212"/>
      <c r="AG310" s="212"/>
    </row>
    <row r="311" spans="5:33">
      <c r="E311" s="376"/>
      <c r="F311" s="376"/>
      <c r="G311" s="376"/>
      <c r="H311" s="376"/>
      <c r="K311" s="214"/>
      <c r="S311" s="214"/>
      <c r="Y311" s="214"/>
      <c r="Z311" s="214"/>
      <c r="AF311" s="212"/>
      <c r="AG311" s="212"/>
    </row>
    <row r="312" spans="5:33">
      <c r="E312" s="376"/>
      <c r="F312" s="376"/>
      <c r="G312" s="376"/>
      <c r="H312" s="376"/>
      <c r="K312" s="214"/>
      <c r="S312" s="214"/>
      <c r="Y312" s="214"/>
      <c r="Z312" s="214"/>
      <c r="AF312" s="212"/>
      <c r="AG312" s="212"/>
    </row>
    <row r="313" spans="5:33">
      <c r="E313" s="376"/>
      <c r="F313" s="376"/>
      <c r="G313" s="376"/>
      <c r="H313" s="376"/>
      <c r="K313" s="214"/>
      <c r="S313" s="214"/>
      <c r="Y313" s="214"/>
      <c r="Z313" s="214"/>
      <c r="AF313" s="212"/>
      <c r="AG313" s="212"/>
    </row>
    <row r="314" spans="5:33">
      <c r="E314" s="376"/>
      <c r="F314" s="376"/>
      <c r="G314" s="376"/>
      <c r="H314" s="376"/>
      <c r="K314" s="214"/>
      <c r="S314" s="214"/>
      <c r="Y314" s="214"/>
      <c r="Z314" s="214"/>
      <c r="AF314" s="212"/>
      <c r="AG314" s="212"/>
    </row>
    <row r="315" spans="5:33">
      <c r="E315" s="376"/>
      <c r="F315" s="376"/>
      <c r="G315" s="376"/>
      <c r="H315" s="376"/>
      <c r="K315" s="214"/>
      <c r="S315" s="214"/>
      <c r="Y315" s="214"/>
      <c r="Z315" s="214"/>
      <c r="AF315" s="212"/>
      <c r="AG315" s="212"/>
    </row>
    <row r="316" spans="5:33">
      <c r="E316" s="376"/>
      <c r="F316" s="376"/>
      <c r="G316" s="376"/>
      <c r="H316" s="376"/>
      <c r="K316" s="214"/>
      <c r="S316" s="214"/>
      <c r="Y316" s="214"/>
      <c r="Z316" s="214"/>
      <c r="AF316" s="212"/>
      <c r="AG316" s="212"/>
    </row>
    <row r="317" spans="5:33">
      <c r="E317" s="376"/>
      <c r="F317" s="376"/>
      <c r="G317" s="376"/>
      <c r="H317" s="376"/>
      <c r="K317" s="214"/>
      <c r="S317" s="214"/>
      <c r="Y317" s="214"/>
      <c r="Z317" s="214"/>
      <c r="AF317" s="212"/>
      <c r="AG317" s="212"/>
    </row>
    <row r="318" spans="5:33">
      <c r="E318" s="376"/>
      <c r="F318" s="376"/>
      <c r="G318" s="376"/>
      <c r="H318" s="376"/>
      <c r="K318" s="214"/>
      <c r="S318" s="214"/>
      <c r="Y318" s="214"/>
      <c r="Z318" s="214"/>
      <c r="AF318" s="212"/>
      <c r="AG318" s="212"/>
    </row>
    <row r="319" spans="5:33">
      <c r="E319" s="376"/>
      <c r="F319" s="376"/>
      <c r="G319" s="376"/>
      <c r="H319" s="376"/>
      <c r="K319" s="214"/>
      <c r="S319" s="214"/>
      <c r="Y319" s="214"/>
      <c r="Z319" s="214"/>
      <c r="AF319" s="212"/>
      <c r="AG319" s="212"/>
    </row>
    <row r="320" spans="5:33">
      <c r="E320" s="376"/>
      <c r="F320" s="376"/>
      <c r="G320" s="376"/>
      <c r="H320" s="376"/>
      <c r="K320" s="214"/>
      <c r="S320" s="214"/>
      <c r="Y320" s="214"/>
      <c r="Z320" s="214"/>
      <c r="AF320" s="212"/>
      <c r="AG320" s="212"/>
    </row>
    <row r="321" spans="5:33">
      <c r="E321" s="376"/>
      <c r="F321" s="376"/>
      <c r="G321" s="376"/>
      <c r="H321" s="376"/>
      <c r="K321" s="214"/>
      <c r="S321" s="214"/>
      <c r="Y321" s="214"/>
      <c r="Z321" s="214"/>
      <c r="AF321" s="212"/>
      <c r="AG321" s="212"/>
    </row>
    <row r="322" spans="5:33">
      <c r="E322" s="376"/>
      <c r="F322" s="376"/>
      <c r="G322" s="376"/>
      <c r="H322" s="376"/>
      <c r="K322" s="214"/>
      <c r="S322" s="214"/>
      <c r="Y322" s="214"/>
      <c r="Z322" s="214"/>
      <c r="AF322" s="212"/>
      <c r="AG322" s="212"/>
    </row>
    <row r="323" spans="5:33">
      <c r="E323" s="376"/>
      <c r="F323" s="376"/>
      <c r="G323" s="376"/>
      <c r="H323" s="376"/>
      <c r="K323" s="214"/>
      <c r="S323" s="214"/>
      <c r="Y323" s="214"/>
      <c r="Z323" s="214"/>
      <c r="AF323" s="212"/>
      <c r="AG323" s="212"/>
    </row>
    <row r="324" spans="5:33">
      <c r="E324" s="376"/>
      <c r="F324" s="376"/>
      <c r="G324" s="376"/>
      <c r="H324" s="376"/>
      <c r="K324" s="214"/>
      <c r="S324" s="214"/>
      <c r="Y324" s="214"/>
      <c r="Z324" s="214"/>
      <c r="AF324" s="212"/>
      <c r="AG324" s="212"/>
    </row>
    <row r="325" spans="5:33">
      <c r="E325" s="376"/>
      <c r="F325" s="376"/>
      <c r="G325" s="376"/>
      <c r="H325" s="376"/>
      <c r="K325" s="214"/>
      <c r="S325" s="214"/>
      <c r="Y325" s="214"/>
      <c r="Z325" s="214"/>
      <c r="AF325" s="212"/>
      <c r="AG325" s="212"/>
    </row>
    <row r="326" spans="5:33">
      <c r="E326" s="376"/>
      <c r="F326" s="376"/>
      <c r="G326" s="376"/>
      <c r="H326" s="376"/>
      <c r="K326" s="214"/>
      <c r="S326" s="214"/>
      <c r="Y326" s="214"/>
      <c r="Z326" s="214"/>
      <c r="AF326" s="212"/>
      <c r="AG326" s="212"/>
    </row>
    <row r="327" spans="5:33">
      <c r="E327" s="376"/>
      <c r="F327" s="376"/>
      <c r="G327" s="376"/>
      <c r="H327" s="376"/>
      <c r="K327" s="214"/>
      <c r="S327" s="214"/>
      <c r="Y327" s="214"/>
      <c r="Z327" s="214"/>
      <c r="AF327" s="212"/>
      <c r="AG327" s="212"/>
    </row>
    <row r="328" spans="5:33">
      <c r="E328" s="376"/>
      <c r="F328" s="376"/>
      <c r="G328" s="376"/>
      <c r="H328" s="376"/>
      <c r="K328" s="214"/>
      <c r="S328" s="214"/>
      <c r="Y328" s="214"/>
      <c r="Z328" s="214"/>
      <c r="AF328" s="212"/>
      <c r="AG328" s="212"/>
    </row>
    <row r="329" spans="5:33">
      <c r="E329" s="376"/>
      <c r="F329" s="376"/>
      <c r="G329" s="376"/>
      <c r="H329" s="376"/>
      <c r="K329" s="214"/>
      <c r="S329" s="214"/>
      <c r="Y329" s="214"/>
      <c r="Z329" s="214"/>
      <c r="AF329" s="212"/>
      <c r="AG329" s="212"/>
    </row>
    <row r="330" spans="5:33">
      <c r="E330" s="376"/>
      <c r="F330" s="376"/>
      <c r="G330" s="376"/>
      <c r="H330" s="376"/>
      <c r="K330" s="214"/>
      <c r="S330" s="214"/>
      <c r="Y330" s="214"/>
      <c r="Z330" s="214"/>
      <c r="AF330" s="212"/>
      <c r="AG330" s="212"/>
    </row>
    <row r="331" spans="5:33">
      <c r="E331" s="376"/>
      <c r="F331" s="376"/>
      <c r="G331" s="376"/>
      <c r="H331" s="376"/>
      <c r="K331" s="214"/>
      <c r="S331" s="214"/>
      <c r="Y331" s="214"/>
      <c r="Z331" s="214"/>
      <c r="AF331" s="212"/>
      <c r="AG331" s="212"/>
    </row>
    <row r="332" spans="5:33">
      <c r="E332" s="376"/>
      <c r="F332" s="376"/>
      <c r="G332" s="376"/>
      <c r="H332" s="376"/>
      <c r="K332" s="214"/>
      <c r="S332" s="214"/>
      <c r="Y332" s="214"/>
      <c r="Z332" s="214"/>
      <c r="AF332" s="212"/>
      <c r="AG332" s="212"/>
    </row>
    <row r="333" spans="5:33">
      <c r="E333" s="376"/>
      <c r="F333" s="376"/>
      <c r="G333" s="376"/>
      <c r="H333" s="376"/>
      <c r="K333" s="214"/>
      <c r="S333" s="214"/>
      <c r="Y333" s="214"/>
      <c r="Z333" s="214"/>
      <c r="AF333" s="212"/>
      <c r="AG333" s="212"/>
    </row>
    <row r="334" spans="5:33">
      <c r="E334" s="376"/>
      <c r="F334" s="376"/>
      <c r="G334" s="376"/>
      <c r="H334" s="376"/>
      <c r="K334" s="214"/>
      <c r="S334" s="214"/>
      <c r="Y334" s="214"/>
      <c r="Z334" s="214"/>
      <c r="AF334" s="212"/>
      <c r="AG334" s="212"/>
    </row>
    <row r="335" spans="5:33">
      <c r="E335" s="376"/>
      <c r="F335" s="376"/>
      <c r="G335" s="376"/>
      <c r="H335" s="376"/>
      <c r="K335" s="214"/>
      <c r="S335" s="214"/>
      <c r="Y335" s="214"/>
      <c r="Z335" s="214"/>
      <c r="AF335" s="212"/>
      <c r="AG335" s="212"/>
    </row>
    <row r="336" spans="5:33">
      <c r="E336" s="376"/>
      <c r="F336" s="376"/>
      <c r="G336" s="376"/>
      <c r="H336" s="376"/>
      <c r="K336" s="214"/>
      <c r="S336" s="214"/>
      <c r="Y336" s="214"/>
      <c r="Z336" s="214"/>
      <c r="AF336" s="212"/>
      <c r="AG336" s="212"/>
    </row>
    <row r="337" spans="5:33">
      <c r="E337" s="376"/>
      <c r="F337" s="376"/>
      <c r="G337" s="376"/>
      <c r="H337" s="376"/>
      <c r="K337" s="214"/>
      <c r="S337" s="214"/>
      <c r="Y337" s="214"/>
      <c r="Z337" s="214"/>
      <c r="AF337" s="212"/>
      <c r="AG337" s="212"/>
    </row>
    <row r="338" spans="5:33">
      <c r="E338" s="376"/>
      <c r="F338" s="376"/>
      <c r="G338" s="376"/>
      <c r="H338" s="376"/>
      <c r="K338" s="214"/>
      <c r="S338" s="214"/>
      <c r="Y338" s="214"/>
      <c r="Z338" s="214"/>
      <c r="AF338" s="212"/>
      <c r="AG338" s="212"/>
    </row>
    <row r="339" spans="5:33">
      <c r="E339" s="376"/>
      <c r="F339" s="376"/>
      <c r="G339" s="376"/>
      <c r="H339" s="376"/>
      <c r="K339" s="214"/>
      <c r="S339" s="214"/>
      <c r="Y339" s="214"/>
      <c r="Z339" s="214"/>
      <c r="AF339" s="212"/>
      <c r="AG339" s="212"/>
    </row>
    <row r="340" spans="5:33">
      <c r="E340" s="376"/>
      <c r="F340" s="376"/>
      <c r="G340" s="376"/>
      <c r="H340" s="376"/>
      <c r="K340" s="214"/>
      <c r="S340" s="214"/>
      <c r="Y340" s="214"/>
      <c r="Z340" s="214"/>
      <c r="AF340" s="212"/>
      <c r="AG340" s="212"/>
    </row>
    <row r="341" spans="5:33">
      <c r="E341" s="376"/>
      <c r="F341" s="376"/>
      <c r="G341" s="376"/>
      <c r="H341" s="376"/>
      <c r="K341" s="214"/>
      <c r="S341" s="214"/>
      <c r="Y341" s="214"/>
      <c r="Z341" s="214"/>
      <c r="AF341" s="212"/>
      <c r="AG341" s="212"/>
    </row>
    <row r="342" spans="5:33">
      <c r="E342" s="376"/>
      <c r="F342" s="376"/>
      <c r="G342" s="376"/>
      <c r="H342" s="376"/>
      <c r="K342" s="214"/>
      <c r="S342" s="214"/>
      <c r="Y342" s="214"/>
      <c r="Z342" s="214"/>
      <c r="AF342" s="212"/>
      <c r="AG342" s="212"/>
    </row>
    <row r="343" spans="5:33">
      <c r="E343" s="376"/>
      <c r="F343" s="376"/>
      <c r="G343" s="376"/>
      <c r="H343" s="376"/>
      <c r="K343" s="214"/>
      <c r="S343" s="214"/>
      <c r="Y343" s="214"/>
      <c r="Z343" s="214"/>
      <c r="AF343" s="212"/>
      <c r="AG343" s="212"/>
    </row>
    <row r="344" spans="5:33">
      <c r="E344" s="376"/>
      <c r="F344" s="376"/>
      <c r="G344" s="376"/>
      <c r="H344" s="376"/>
      <c r="K344" s="214"/>
      <c r="S344" s="214"/>
      <c r="Y344" s="214"/>
      <c r="Z344" s="214"/>
      <c r="AF344" s="212"/>
      <c r="AG344" s="212"/>
    </row>
    <row r="345" spans="5:33">
      <c r="E345" s="376"/>
      <c r="F345" s="376"/>
      <c r="G345" s="376"/>
      <c r="H345" s="376"/>
      <c r="K345" s="214"/>
      <c r="S345" s="214"/>
      <c r="Y345" s="214"/>
      <c r="Z345" s="214"/>
      <c r="AF345" s="212"/>
      <c r="AG345" s="212"/>
    </row>
    <row r="346" spans="5:33">
      <c r="E346" s="376"/>
      <c r="F346" s="376"/>
      <c r="G346" s="376"/>
      <c r="H346" s="376"/>
      <c r="K346" s="214"/>
      <c r="S346" s="214"/>
      <c r="Y346" s="214"/>
      <c r="Z346" s="214"/>
      <c r="AF346" s="212"/>
      <c r="AG346" s="212"/>
    </row>
    <row r="347" spans="5:33">
      <c r="E347" s="376"/>
      <c r="F347" s="376"/>
      <c r="G347" s="376"/>
      <c r="H347" s="376"/>
      <c r="K347" s="214"/>
      <c r="S347" s="214"/>
      <c r="Y347" s="214"/>
      <c r="Z347" s="214"/>
      <c r="AF347" s="212"/>
      <c r="AG347" s="212"/>
    </row>
    <row r="348" spans="5:33">
      <c r="E348" s="376"/>
      <c r="F348" s="376"/>
      <c r="G348" s="376"/>
      <c r="H348" s="376"/>
      <c r="K348" s="214"/>
      <c r="S348" s="214"/>
      <c r="Y348" s="214"/>
      <c r="Z348" s="214"/>
      <c r="AF348" s="212"/>
      <c r="AG348" s="212"/>
    </row>
    <row r="349" spans="5:33">
      <c r="E349" s="376"/>
      <c r="F349" s="376"/>
      <c r="G349" s="376"/>
      <c r="H349" s="376"/>
      <c r="K349" s="214"/>
      <c r="S349" s="214"/>
      <c r="Y349" s="214"/>
      <c r="Z349" s="214"/>
      <c r="AF349" s="212"/>
      <c r="AG349" s="212"/>
    </row>
    <row r="350" spans="5:33">
      <c r="E350" s="376"/>
      <c r="F350" s="376"/>
      <c r="G350" s="376"/>
      <c r="H350" s="376"/>
      <c r="K350" s="214"/>
      <c r="S350" s="214"/>
      <c r="Y350" s="214"/>
      <c r="Z350" s="214"/>
      <c r="AF350" s="212"/>
      <c r="AG350" s="212"/>
    </row>
    <row r="351" spans="5:33">
      <c r="E351" s="376"/>
      <c r="F351" s="376"/>
      <c r="G351" s="376"/>
      <c r="H351" s="376"/>
      <c r="K351" s="214"/>
      <c r="S351" s="214"/>
      <c r="Y351" s="214"/>
      <c r="Z351" s="214"/>
      <c r="AF351" s="212"/>
      <c r="AG351" s="212"/>
    </row>
    <row r="352" spans="5:33">
      <c r="E352" s="376"/>
      <c r="F352" s="376"/>
      <c r="G352" s="376"/>
      <c r="H352" s="376"/>
      <c r="K352" s="214"/>
      <c r="S352" s="214"/>
      <c r="Y352" s="214"/>
      <c r="Z352" s="214"/>
      <c r="AF352" s="212"/>
      <c r="AG352" s="212"/>
    </row>
    <row r="353" spans="5:33">
      <c r="E353" s="376"/>
      <c r="F353" s="376"/>
      <c r="G353" s="376"/>
      <c r="H353" s="376"/>
      <c r="K353" s="214"/>
      <c r="S353" s="214"/>
      <c r="Y353" s="214"/>
      <c r="Z353" s="214"/>
      <c r="AF353" s="212"/>
      <c r="AG353" s="212"/>
    </row>
    <row r="354" spans="5:33">
      <c r="E354" s="376"/>
      <c r="F354" s="376"/>
      <c r="G354" s="376"/>
      <c r="H354" s="376"/>
      <c r="K354" s="214"/>
      <c r="S354" s="214"/>
      <c r="Y354" s="214"/>
      <c r="Z354" s="214"/>
      <c r="AF354" s="212"/>
      <c r="AG354" s="212"/>
    </row>
    <row r="355" spans="5:33">
      <c r="E355" s="376"/>
      <c r="F355" s="376"/>
      <c r="G355" s="376"/>
      <c r="H355" s="376"/>
      <c r="K355" s="214"/>
      <c r="S355" s="214"/>
      <c r="Y355" s="214"/>
      <c r="Z355" s="214"/>
      <c r="AF355" s="212"/>
      <c r="AG355" s="212"/>
    </row>
    <row r="356" spans="5:33">
      <c r="E356" s="376"/>
      <c r="F356" s="376"/>
      <c r="G356" s="376"/>
      <c r="H356" s="376"/>
      <c r="K356" s="214"/>
      <c r="S356" s="214"/>
      <c r="Y356" s="214"/>
      <c r="Z356" s="214"/>
      <c r="AF356" s="212"/>
      <c r="AG356" s="212"/>
    </row>
    <row r="357" spans="5:33">
      <c r="E357" s="376"/>
      <c r="F357" s="376"/>
      <c r="G357" s="376"/>
      <c r="H357" s="376"/>
      <c r="K357" s="214"/>
      <c r="S357" s="214"/>
      <c r="Y357" s="214"/>
      <c r="Z357" s="214"/>
      <c r="AF357" s="212"/>
      <c r="AG357" s="212"/>
    </row>
    <row r="358" spans="5:33">
      <c r="E358" s="376"/>
      <c r="F358" s="376"/>
      <c r="G358" s="376"/>
      <c r="H358" s="376"/>
      <c r="K358" s="214"/>
      <c r="S358" s="214"/>
      <c r="Y358" s="214"/>
      <c r="Z358" s="214"/>
      <c r="AF358" s="212"/>
      <c r="AG358" s="212"/>
    </row>
    <row r="359" spans="5:33">
      <c r="E359" s="376"/>
      <c r="F359" s="376"/>
      <c r="G359" s="376"/>
      <c r="H359" s="376"/>
      <c r="K359" s="214"/>
      <c r="S359" s="214"/>
      <c r="Y359" s="214"/>
      <c r="Z359" s="214"/>
      <c r="AF359" s="212"/>
      <c r="AG359" s="212"/>
    </row>
    <row r="360" spans="5:33">
      <c r="E360" s="376"/>
      <c r="F360" s="376"/>
      <c r="G360" s="376"/>
      <c r="H360" s="376"/>
      <c r="K360" s="214"/>
      <c r="S360" s="214"/>
      <c r="Y360" s="214"/>
      <c r="Z360" s="214"/>
      <c r="AF360" s="212"/>
      <c r="AG360" s="212"/>
    </row>
    <row r="361" spans="5:33">
      <c r="E361" s="376"/>
      <c r="F361" s="376"/>
      <c r="G361" s="376"/>
      <c r="H361" s="376"/>
      <c r="K361" s="214"/>
      <c r="S361" s="214"/>
      <c r="Y361" s="214"/>
      <c r="Z361" s="214"/>
      <c r="AF361" s="212"/>
      <c r="AG361" s="212"/>
    </row>
    <row r="362" spans="5:33">
      <c r="E362" s="376"/>
      <c r="F362" s="376"/>
      <c r="G362" s="376"/>
      <c r="H362" s="376"/>
      <c r="K362" s="214"/>
      <c r="S362" s="214"/>
      <c r="Y362" s="214"/>
      <c r="Z362" s="214"/>
      <c r="AF362" s="212"/>
      <c r="AG362" s="212"/>
    </row>
    <row r="363" spans="5:33">
      <c r="E363" s="376"/>
      <c r="F363" s="376"/>
      <c r="G363" s="376"/>
      <c r="H363" s="376"/>
      <c r="K363" s="214"/>
      <c r="S363" s="214"/>
      <c r="Y363" s="214"/>
      <c r="Z363" s="214"/>
      <c r="AF363" s="212"/>
      <c r="AG363" s="212"/>
    </row>
    <row r="364" spans="5:33">
      <c r="E364" s="376"/>
      <c r="F364" s="376"/>
      <c r="G364" s="376"/>
      <c r="H364" s="376"/>
      <c r="K364" s="214"/>
      <c r="S364" s="214"/>
      <c r="Y364" s="214"/>
      <c r="Z364" s="214"/>
      <c r="AF364" s="212"/>
      <c r="AG364" s="212"/>
    </row>
    <row r="365" spans="5:33">
      <c r="E365" s="376"/>
      <c r="F365" s="376"/>
      <c r="G365" s="376"/>
      <c r="H365" s="376"/>
      <c r="K365" s="214"/>
      <c r="S365" s="214"/>
      <c r="Y365" s="214"/>
      <c r="Z365" s="214"/>
      <c r="AF365" s="212"/>
      <c r="AG365" s="212"/>
    </row>
    <row r="366" spans="5:33">
      <c r="E366" s="376"/>
      <c r="F366" s="376"/>
      <c r="G366" s="376"/>
      <c r="H366" s="376"/>
      <c r="K366" s="214"/>
      <c r="S366" s="214"/>
      <c r="Y366" s="214"/>
      <c r="Z366" s="214"/>
      <c r="AF366" s="212"/>
      <c r="AG366" s="212"/>
    </row>
    <row r="367" spans="5:33">
      <c r="E367" s="376"/>
      <c r="F367" s="376"/>
      <c r="G367" s="376"/>
      <c r="H367" s="376"/>
      <c r="K367" s="214"/>
      <c r="S367" s="214"/>
      <c r="Y367" s="214"/>
      <c r="Z367" s="214"/>
      <c r="AF367" s="212"/>
      <c r="AG367" s="212"/>
    </row>
    <row r="368" spans="5:33">
      <c r="E368" s="376"/>
      <c r="F368" s="376"/>
      <c r="G368" s="376"/>
      <c r="H368" s="376"/>
      <c r="K368" s="214"/>
      <c r="S368" s="214"/>
      <c r="Y368" s="214"/>
      <c r="Z368" s="214"/>
      <c r="AF368" s="212"/>
      <c r="AG368" s="212"/>
    </row>
    <row r="369" spans="5:33">
      <c r="E369" s="376"/>
      <c r="F369" s="376"/>
      <c r="G369" s="376"/>
      <c r="H369" s="376"/>
      <c r="K369" s="214"/>
      <c r="S369" s="214"/>
      <c r="Y369" s="214"/>
      <c r="Z369" s="214"/>
      <c r="AF369" s="212"/>
      <c r="AG369" s="212"/>
    </row>
    <row r="370" spans="5:33">
      <c r="E370" s="376"/>
      <c r="F370" s="376"/>
      <c r="G370" s="376"/>
      <c r="H370" s="376"/>
      <c r="K370" s="214"/>
      <c r="S370" s="214"/>
      <c r="Y370" s="214"/>
      <c r="Z370" s="214"/>
      <c r="AF370" s="212"/>
      <c r="AG370" s="212"/>
    </row>
    <row r="371" spans="5:33">
      <c r="E371" s="376"/>
      <c r="F371" s="376"/>
      <c r="G371" s="376"/>
      <c r="H371" s="376"/>
      <c r="K371" s="214"/>
      <c r="S371" s="214"/>
      <c r="Y371" s="214"/>
      <c r="Z371" s="214"/>
      <c r="AF371" s="212"/>
      <c r="AG371" s="212"/>
    </row>
    <row r="372" spans="5:33">
      <c r="E372" s="376"/>
      <c r="F372" s="376"/>
      <c r="G372" s="376"/>
      <c r="H372" s="376"/>
      <c r="K372" s="214"/>
      <c r="S372" s="214"/>
      <c r="Y372" s="214"/>
      <c r="Z372" s="214"/>
      <c r="AF372" s="212"/>
      <c r="AG372" s="212"/>
    </row>
    <row r="373" spans="5:33">
      <c r="E373" s="376"/>
      <c r="F373" s="376"/>
      <c r="G373" s="376"/>
      <c r="H373" s="376"/>
      <c r="K373" s="214"/>
      <c r="S373" s="214"/>
      <c r="Y373" s="214"/>
      <c r="Z373" s="214"/>
      <c r="AF373" s="212"/>
      <c r="AG373" s="212"/>
    </row>
    <row r="374" spans="5:33">
      <c r="E374" s="376"/>
      <c r="F374" s="376"/>
      <c r="G374" s="376"/>
      <c r="H374" s="376"/>
      <c r="K374" s="214"/>
      <c r="S374" s="214"/>
      <c r="Y374" s="214"/>
      <c r="Z374" s="214"/>
      <c r="AF374" s="212"/>
      <c r="AG374" s="212"/>
    </row>
    <row r="375" spans="5:33">
      <c r="E375" s="376"/>
      <c r="F375" s="376"/>
      <c r="G375" s="376"/>
      <c r="H375" s="376"/>
      <c r="K375" s="214"/>
      <c r="S375" s="214"/>
      <c r="Y375" s="214"/>
      <c r="Z375" s="214"/>
      <c r="AF375" s="212"/>
      <c r="AG375" s="212"/>
    </row>
    <row r="376" spans="5:33">
      <c r="E376" s="376"/>
      <c r="F376" s="376"/>
      <c r="G376" s="376"/>
      <c r="H376" s="376"/>
      <c r="K376" s="214"/>
      <c r="S376" s="214"/>
      <c r="Y376" s="214"/>
      <c r="Z376" s="214"/>
      <c r="AF376" s="212"/>
      <c r="AG376" s="212"/>
    </row>
    <row r="377" spans="5:33">
      <c r="E377" s="376"/>
      <c r="F377" s="376"/>
      <c r="G377" s="376"/>
      <c r="H377" s="376"/>
      <c r="K377" s="214"/>
      <c r="S377" s="214"/>
      <c r="Y377" s="214"/>
      <c r="Z377" s="214"/>
      <c r="AF377" s="212"/>
      <c r="AG377" s="212"/>
    </row>
    <row r="378" spans="5:33">
      <c r="E378" s="376"/>
      <c r="F378" s="376"/>
      <c r="G378" s="376"/>
      <c r="H378" s="376"/>
      <c r="K378" s="214"/>
      <c r="S378" s="214"/>
      <c r="Y378" s="214"/>
      <c r="Z378" s="214"/>
      <c r="AF378" s="212"/>
      <c r="AG378" s="212"/>
    </row>
    <row r="379" spans="5:33">
      <c r="E379" s="376"/>
      <c r="F379" s="376"/>
      <c r="G379" s="376"/>
      <c r="H379" s="376"/>
      <c r="K379" s="214"/>
      <c r="S379" s="214"/>
      <c r="Y379" s="214"/>
      <c r="Z379" s="214"/>
      <c r="AF379" s="212"/>
      <c r="AG379" s="212"/>
    </row>
    <row r="380" spans="5:33">
      <c r="E380" s="376"/>
      <c r="F380" s="376"/>
      <c r="G380" s="376"/>
      <c r="H380" s="376"/>
      <c r="K380" s="214"/>
      <c r="S380" s="214"/>
      <c r="Y380" s="214"/>
      <c r="Z380" s="214"/>
      <c r="AF380" s="212"/>
      <c r="AG380" s="212"/>
    </row>
    <row r="381" spans="5:33">
      <c r="E381" s="376"/>
      <c r="F381" s="376"/>
      <c r="G381" s="376"/>
      <c r="H381" s="376"/>
      <c r="K381" s="214"/>
      <c r="S381" s="214"/>
      <c r="Y381" s="214"/>
      <c r="Z381" s="214"/>
      <c r="AF381" s="212"/>
      <c r="AG381" s="212"/>
    </row>
    <row r="382" spans="5:33">
      <c r="E382" s="376"/>
      <c r="F382" s="376"/>
      <c r="G382" s="376"/>
      <c r="H382" s="376"/>
      <c r="K382" s="214"/>
      <c r="S382" s="214"/>
      <c r="Y382" s="214"/>
      <c r="Z382" s="214"/>
      <c r="AF382" s="212"/>
      <c r="AG382" s="212"/>
    </row>
    <row r="383" spans="5:33">
      <c r="E383" s="376"/>
      <c r="F383" s="376"/>
      <c r="G383" s="376"/>
      <c r="H383" s="376"/>
      <c r="K383" s="214"/>
      <c r="S383" s="214"/>
      <c r="Y383" s="214"/>
      <c r="Z383" s="214"/>
      <c r="AF383" s="212"/>
      <c r="AG383" s="212"/>
    </row>
    <row r="384" spans="5:33">
      <c r="E384" s="376"/>
      <c r="F384" s="376"/>
      <c r="G384" s="376"/>
      <c r="H384" s="376"/>
      <c r="K384" s="214"/>
      <c r="S384" s="214"/>
      <c r="Y384" s="214"/>
      <c r="Z384" s="214"/>
      <c r="AF384" s="212"/>
      <c r="AG384" s="212"/>
    </row>
    <row r="385" spans="5:33">
      <c r="E385" s="376"/>
      <c r="F385" s="376"/>
      <c r="G385" s="376"/>
      <c r="H385" s="376"/>
      <c r="K385" s="214"/>
      <c r="S385" s="214"/>
      <c r="Y385" s="214"/>
      <c r="Z385" s="214"/>
      <c r="AF385" s="212"/>
      <c r="AG385" s="212"/>
    </row>
    <row r="386" spans="5:33">
      <c r="E386" s="376"/>
      <c r="F386" s="376"/>
      <c r="G386" s="376"/>
      <c r="H386" s="376"/>
      <c r="K386" s="214"/>
      <c r="S386" s="214"/>
      <c r="Y386" s="214"/>
      <c r="Z386" s="214"/>
      <c r="AF386" s="212"/>
      <c r="AG386" s="212"/>
    </row>
    <row r="387" spans="5:33">
      <c r="E387" s="376"/>
      <c r="F387" s="376"/>
      <c r="G387" s="376"/>
      <c r="H387" s="376"/>
      <c r="K387" s="214"/>
      <c r="S387" s="214"/>
      <c r="Y387" s="214"/>
      <c r="Z387" s="214"/>
      <c r="AF387" s="212"/>
      <c r="AG387" s="212"/>
    </row>
    <row r="388" spans="5:33">
      <c r="E388" s="376"/>
      <c r="F388" s="376"/>
      <c r="G388" s="376"/>
      <c r="H388" s="376"/>
      <c r="K388" s="214"/>
      <c r="S388" s="214"/>
      <c r="Y388" s="214"/>
      <c r="Z388" s="214"/>
      <c r="AF388" s="212"/>
      <c r="AG388" s="212"/>
    </row>
    <row r="389" spans="5:33">
      <c r="E389" s="376"/>
      <c r="F389" s="376"/>
      <c r="G389" s="376"/>
      <c r="H389" s="376"/>
      <c r="K389" s="214"/>
      <c r="S389" s="214"/>
      <c r="Y389" s="214"/>
      <c r="Z389" s="214"/>
      <c r="AF389" s="212"/>
      <c r="AG389" s="212"/>
    </row>
    <row r="390" spans="5:33">
      <c r="E390" s="376"/>
      <c r="F390" s="376"/>
      <c r="G390" s="376"/>
      <c r="H390" s="376"/>
      <c r="K390" s="214"/>
      <c r="S390" s="214"/>
      <c r="Y390" s="214"/>
      <c r="Z390" s="214"/>
      <c r="AF390" s="212"/>
      <c r="AG390" s="212"/>
    </row>
    <row r="391" spans="5:33">
      <c r="E391" s="376"/>
      <c r="F391" s="376"/>
      <c r="G391" s="376"/>
      <c r="H391" s="376"/>
      <c r="K391" s="214"/>
      <c r="S391" s="214"/>
      <c r="Y391" s="214"/>
      <c r="Z391" s="214"/>
      <c r="AF391" s="212"/>
      <c r="AG391" s="212"/>
    </row>
    <row r="392" spans="5:33">
      <c r="E392" s="376"/>
      <c r="F392" s="376"/>
      <c r="G392" s="376"/>
      <c r="H392" s="376"/>
      <c r="K392" s="214"/>
      <c r="S392" s="214"/>
      <c r="Y392" s="214"/>
      <c r="Z392" s="214"/>
      <c r="AF392" s="212"/>
      <c r="AG392" s="212"/>
    </row>
    <row r="393" spans="5:33">
      <c r="E393" s="376"/>
      <c r="F393" s="376"/>
      <c r="G393" s="376"/>
      <c r="H393" s="376"/>
      <c r="K393" s="214"/>
      <c r="S393" s="214"/>
      <c r="Y393" s="214"/>
      <c r="Z393" s="214"/>
      <c r="AF393" s="212"/>
      <c r="AG393" s="212"/>
    </row>
    <row r="394" spans="5:33">
      <c r="E394" s="376"/>
      <c r="F394" s="376"/>
      <c r="G394" s="376"/>
      <c r="H394" s="376"/>
      <c r="K394" s="214"/>
      <c r="S394" s="214"/>
      <c r="Y394" s="214"/>
      <c r="Z394" s="214"/>
      <c r="AF394" s="212"/>
      <c r="AG394" s="212"/>
    </row>
    <row r="395" spans="5:33">
      <c r="E395" s="376"/>
      <c r="F395" s="376"/>
      <c r="G395" s="376"/>
      <c r="H395" s="376"/>
      <c r="K395" s="214"/>
      <c r="S395" s="214"/>
      <c r="Y395" s="214"/>
      <c r="Z395" s="214"/>
      <c r="AF395" s="212"/>
      <c r="AG395" s="212"/>
    </row>
    <row r="396" spans="5:33">
      <c r="E396" s="376"/>
      <c r="F396" s="376"/>
      <c r="G396" s="376"/>
      <c r="H396" s="376"/>
      <c r="K396" s="214"/>
      <c r="S396" s="214"/>
      <c r="Y396" s="214"/>
      <c r="Z396" s="214"/>
      <c r="AF396" s="212"/>
      <c r="AG396" s="212"/>
    </row>
    <row r="397" spans="5:33">
      <c r="E397" s="376"/>
      <c r="F397" s="376"/>
      <c r="G397" s="376"/>
      <c r="H397" s="376"/>
      <c r="K397" s="214"/>
      <c r="S397" s="214"/>
      <c r="Y397" s="214"/>
      <c r="Z397" s="214"/>
      <c r="AF397" s="212"/>
      <c r="AG397" s="212"/>
    </row>
    <row r="398" spans="5:33">
      <c r="E398" s="376"/>
      <c r="F398" s="376"/>
      <c r="G398" s="376"/>
      <c r="H398" s="376"/>
      <c r="K398" s="214"/>
      <c r="S398" s="214"/>
      <c r="Y398" s="214"/>
      <c r="Z398" s="214"/>
      <c r="AF398" s="212"/>
      <c r="AG398" s="212"/>
    </row>
    <row r="399" spans="5:33">
      <c r="E399" s="376"/>
      <c r="F399" s="376"/>
      <c r="G399" s="376"/>
      <c r="H399" s="376"/>
      <c r="K399" s="214"/>
      <c r="S399" s="214"/>
      <c r="Y399" s="214"/>
      <c r="Z399" s="214"/>
      <c r="AF399" s="212"/>
      <c r="AG399" s="212"/>
    </row>
    <row r="400" spans="5:33">
      <c r="E400" s="376"/>
      <c r="F400" s="376"/>
      <c r="G400" s="376"/>
      <c r="H400" s="376"/>
      <c r="K400" s="214"/>
      <c r="S400" s="214"/>
      <c r="Y400" s="214"/>
      <c r="Z400" s="214"/>
      <c r="AF400" s="212"/>
      <c r="AG400" s="212"/>
    </row>
    <row r="401" spans="5:33">
      <c r="E401" s="376"/>
      <c r="F401" s="376"/>
      <c r="G401" s="376"/>
      <c r="H401" s="376"/>
      <c r="K401" s="214"/>
      <c r="S401" s="214"/>
      <c r="Y401" s="214"/>
      <c r="Z401" s="214"/>
      <c r="AF401" s="212"/>
      <c r="AG401" s="212"/>
    </row>
    <row r="402" spans="5:33">
      <c r="E402" s="376"/>
      <c r="F402" s="376"/>
      <c r="G402" s="376"/>
      <c r="H402" s="376"/>
      <c r="K402" s="214"/>
      <c r="S402" s="214"/>
      <c r="Y402" s="214"/>
      <c r="Z402" s="214"/>
      <c r="AF402" s="212"/>
      <c r="AG402" s="212"/>
    </row>
    <row r="403" spans="5:33">
      <c r="E403" s="376"/>
      <c r="F403" s="376"/>
      <c r="G403" s="376"/>
      <c r="H403" s="376"/>
      <c r="K403" s="214"/>
      <c r="S403" s="214"/>
      <c r="Y403" s="214"/>
      <c r="Z403" s="214"/>
      <c r="AF403" s="212"/>
      <c r="AG403" s="212"/>
    </row>
    <row r="404" spans="5:33">
      <c r="E404" s="376"/>
      <c r="F404" s="376"/>
      <c r="G404" s="376"/>
      <c r="H404" s="376"/>
      <c r="K404" s="214"/>
      <c r="S404" s="214"/>
      <c r="Y404" s="214"/>
      <c r="Z404" s="214"/>
      <c r="AF404" s="212"/>
      <c r="AG404" s="212"/>
    </row>
    <row r="405" spans="5:33">
      <c r="E405" s="376"/>
      <c r="F405" s="376"/>
      <c r="G405" s="376"/>
      <c r="H405" s="376"/>
      <c r="K405" s="214"/>
      <c r="S405" s="214"/>
      <c r="Y405" s="214"/>
      <c r="Z405" s="214"/>
      <c r="AF405" s="212"/>
      <c r="AG405" s="212"/>
    </row>
    <row r="406" spans="5:33">
      <c r="E406" s="376"/>
      <c r="F406" s="376"/>
      <c r="G406" s="376"/>
      <c r="H406" s="376"/>
      <c r="K406" s="214"/>
      <c r="S406" s="214"/>
      <c r="Y406" s="214"/>
      <c r="Z406" s="214"/>
      <c r="AF406" s="212"/>
      <c r="AG406" s="212"/>
    </row>
    <row r="407" spans="5:33">
      <c r="E407" s="376"/>
      <c r="F407" s="376"/>
      <c r="G407" s="376"/>
      <c r="H407" s="376"/>
      <c r="K407" s="214"/>
      <c r="S407" s="214"/>
      <c r="Y407" s="214"/>
      <c r="Z407" s="214"/>
      <c r="AF407" s="212"/>
      <c r="AG407" s="212"/>
    </row>
    <row r="408" spans="5:33">
      <c r="E408" s="376"/>
      <c r="F408" s="376"/>
      <c r="G408" s="376"/>
      <c r="H408" s="376"/>
      <c r="K408" s="214"/>
      <c r="S408" s="214"/>
      <c r="Y408" s="214"/>
      <c r="Z408" s="214"/>
      <c r="AF408" s="212"/>
      <c r="AG408" s="212"/>
    </row>
    <row r="409" spans="5:33">
      <c r="E409" s="376"/>
      <c r="F409" s="376"/>
      <c r="G409" s="376"/>
      <c r="H409" s="376"/>
      <c r="K409" s="214"/>
      <c r="S409" s="214"/>
      <c r="Y409" s="214"/>
      <c r="Z409" s="214"/>
      <c r="AF409" s="212"/>
      <c r="AG409" s="212"/>
    </row>
    <row r="410" spans="5:33">
      <c r="E410" s="376"/>
      <c r="F410" s="376"/>
      <c r="G410" s="376"/>
      <c r="H410" s="376"/>
      <c r="K410" s="214"/>
      <c r="S410" s="214"/>
      <c r="Y410" s="214"/>
      <c r="Z410" s="214"/>
      <c r="AF410" s="212"/>
      <c r="AG410" s="212"/>
    </row>
    <row r="411" spans="5:33">
      <c r="E411" s="376"/>
      <c r="F411" s="376"/>
      <c r="G411" s="376"/>
      <c r="H411" s="376"/>
      <c r="K411" s="214"/>
      <c r="S411" s="214"/>
      <c r="Y411" s="214"/>
      <c r="Z411" s="214"/>
      <c r="AF411" s="212"/>
      <c r="AG411" s="212"/>
    </row>
    <row r="412" spans="5:33">
      <c r="E412" s="376"/>
      <c r="F412" s="376"/>
      <c r="G412" s="376"/>
      <c r="H412" s="376"/>
      <c r="K412" s="214"/>
      <c r="S412" s="214"/>
      <c r="Y412" s="214"/>
      <c r="Z412" s="214"/>
      <c r="AF412" s="212"/>
      <c r="AG412" s="212"/>
    </row>
    <row r="413" spans="5:33">
      <c r="E413" s="376"/>
      <c r="F413" s="376"/>
      <c r="G413" s="376"/>
      <c r="H413" s="376"/>
      <c r="K413" s="214"/>
      <c r="S413" s="214"/>
      <c r="Y413" s="214"/>
      <c r="Z413" s="214"/>
      <c r="AF413" s="212"/>
      <c r="AG413" s="212"/>
    </row>
    <row r="414" spans="5:33">
      <c r="E414" s="376"/>
      <c r="F414" s="376"/>
      <c r="G414" s="376"/>
      <c r="H414" s="376"/>
      <c r="K414" s="214"/>
      <c r="S414" s="214"/>
      <c r="Y414" s="214"/>
      <c r="Z414" s="214"/>
      <c r="AF414" s="212"/>
      <c r="AG414" s="212"/>
    </row>
    <row r="415" spans="5:33">
      <c r="E415" s="376"/>
      <c r="F415" s="376"/>
      <c r="G415" s="376"/>
      <c r="H415" s="376"/>
      <c r="K415" s="214"/>
      <c r="S415" s="214"/>
      <c r="Y415" s="214"/>
      <c r="Z415" s="214"/>
      <c r="AF415" s="212"/>
      <c r="AG415" s="212"/>
    </row>
    <row r="416" spans="5:33">
      <c r="E416" s="376"/>
      <c r="F416" s="376"/>
      <c r="G416" s="376"/>
      <c r="H416" s="376"/>
      <c r="K416" s="214"/>
      <c r="S416" s="214"/>
      <c r="Y416" s="214"/>
      <c r="Z416" s="214"/>
      <c r="AF416" s="212"/>
      <c r="AG416" s="212"/>
    </row>
    <row r="417" spans="5:33">
      <c r="E417" s="376"/>
      <c r="F417" s="376"/>
      <c r="G417" s="376"/>
      <c r="H417" s="376"/>
      <c r="K417" s="214"/>
      <c r="S417" s="214"/>
      <c r="Y417" s="214"/>
      <c r="Z417" s="214"/>
      <c r="AF417" s="212"/>
      <c r="AG417" s="212"/>
    </row>
    <row r="418" spans="5:33">
      <c r="E418" s="376"/>
      <c r="F418" s="376"/>
      <c r="G418" s="376"/>
      <c r="H418" s="376"/>
      <c r="K418" s="214"/>
      <c r="S418" s="214"/>
      <c r="Y418" s="214"/>
      <c r="Z418" s="214"/>
      <c r="AF418" s="212"/>
      <c r="AG418" s="212"/>
    </row>
    <row r="419" spans="5:33">
      <c r="E419" s="376"/>
      <c r="F419" s="376"/>
      <c r="G419" s="376"/>
      <c r="H419" s="376"/>
      <c r="K419" s="214"/>
      <c r="S419" s="214"/>
      <c r="Y419" s="214"/>
      <c r="Z419" s="214"/>
      <c r="AF419" s="212"/>
      <c r="AG419" s="212"/>
    </row>
    <row r="420" spans="5:33">
      <c r="E420" s="376"/>
      <c r="F420" s="376"/>
      <c r="G420" s="376"/>
      <c r="H420" s="376"/>
      <c r="K420" s="214"/>
      <c r="S420" s="214"/>
      <c r="Y420" s="214"/>
      <c r="Z420" s="214"/>
      <c r="AF420" s="212"/>
      <c r="AG420" s="212"/>
    </row>
    <row r="421" spans="5:33">
      <c r="E421" s="376"/>
      <c r="F421" s="376"/>
      <c r="G421" s="376"/>
      <c r="H421" s="376"/>
      <c r="K421" s="214"/>
      <c r="S421" s="214"/>
      <c r="Y421" s="214"/>
      <c r="Z421" s="214"/>
      <c r="AF421" s="212"/>
      <c r="AG421" s="212"/>
    </row>
    <row r="422" spans="5:33">
      <c r="E422" s="376"/>
      <c r="F422" s="376"/>
      <c r="G422" s="376"/>
      <c r="H422" s="376"/>
      <c r="K422" s="214"/>
      <c r="S422" s="214"/>
      <c r="Y422" s="214"/>
      <c r="Z422" s="214"/>
      <c r="AF422" s="212"/>
      <c r="AG422" s="212"/>
    </row>
    <row r="423" spans="5:33">
      <c r="E423" s="376"/>
      <c r="F423" s="376"/>
      <c r="G423" s="376"/>
      <c r="H423" s="376"/>
      <c r="K423" s="214"/>
      <c r="S423" s="214"/>
      <c r="Y423" s="214"/>
      <c r="Z423" s="214"/>
      <c r="AF423" s="212"/>
      <c r="AG423" s="212"/>
    </row>
    <row r="424" spans="5:33">
      <c r="E424" s="376"/>
      <c r="F424" s="376"/>
      <c r="G424" s="376"/>
      <c r="H424" s="376"/>
      <c r="K424" s="214"/>
      <c r="S424" s="214"/>
      <c r="Y424" s="214"/>
      <c r="Z424" s="214"/>
      <c r="AF424" s="212"/>
      <c r="AG424" s="212"/>
    </row>
    <row r="425" spans="5:33">
      <c r="E425" s="376"/>
      <c r="F425" s="376"/>
      <c r="G425" s="376"/>
      <c r="H425" s="376"/>
      <c r="K425" s="214"/>
      <c r="S425" s="214"/>
      <c r="Y425" s="214"/>
      <c r="Z425" s="214"/>
      <c r="AF425" s="212"/>
      <c r="AG425" s="212"/>
    </row>
    <row r="426" spans="5:33">
      <c r="E426" s="376"/>
      <c r="F426" s="376"/>
      <c r="G426" s="376"/>
      <c r="H426" s="376"/>
      <c r="K426" s="214"/>
      <c r="S426" s="214"/>
      <c r="Y426" s="214"/>
      <c r="Z426" s="214"/>
      <c r="AF426" s="212"/>
      <c r="AG426" s="212"/>
    </row>
    <row r="427" spans="5:33">
      <c r="E427" s="376"/>
      <c r="F427" s="376"/>
      <c r="G427" s="376"/>
      <c r="H427" s="376"/>
      <c r="K427" s="214"/>
      <c r="S427" s="214"/>
      <c r="Y427" s="214"/>
      <c r="Z427" s="214"/>
      <c r="AF427" s="212"/>
      <c r="AG427" s="212"/>
    </row>
    <row r="428" spans="5:33">
      <c r="E428" s="376"/>
      <c r="F428" s="376"/>
      <c r="G428" s="376"/>
      <c r="H428" s="376"/>
      <c r="K428" s="214"/>
      <c r="S428" s="214"/>
      <c r="Y428" s="214"/>
      <c r="Z428" s="214"/>
      <c r="AF428" s="212"/>
      <c r="AG428" s="212"/>
    </row>
    <row r="429" spans="5:33">
      <c r="E429" s="376"/>
      <c r="F429" s="376"/>
      <c r="G429" s="376"/>
      <c r="H429" s="376"/>
      <c r="K429" s="214"/>
      <c r="S429" s="214"/>
      <c r="Y429" s="214"/>
      <c r="Z429" s="214"/>
      <c r="AF429" s="212"/>
      <c r="AG429" s="212"/>
    </row>
    <row r="430" spans="5:33">
      <c r="E430" s="376"/>
      <c r="F430" s="376"/>
      <c r="G430" s="376"/>
      <c r="H430" s="376"/>
      <c r="K430" s="214"/>
      <c r="S430" s="214"/>
      <c r="Y430" s="214"/>
      <c r="Z430" s="214"/>
      <c r="AF430" s="212"/>
      <c r="AG430" s="212"/>
    </row>
    <row r="431" spans="5:33">
      <c r="E431" s="376"/>
      <c r="F431" s="376"/>
      <c r="G431" s="376"/>
      <c r="H431" s="376"/>
      <c r="K431" s="214"/>
      <c r="S431" s="214"/>
      <c r="Y431" s="214"/>
      <c r="Z431" s="214"/>
      <c r="AF431" s="212"/>
      <c r="AG431" s="212"/>
    </row>
    <row r="432" spans="5:33">
      <c r="E432" s="376"/>
      <c r="F432" s="376"/>
      <c r="G432" s="376"/>
      <c r="H432" s="376"/>
      <c r="K432" s="214"/>
      <c r="S432" s="214"/>
      <c r="Y432" s="214"/>
      <c r="Z432" s="214"/>
      <c r="AF432" s="212"/>
      <c r="AG432" s="212"/>
    </row>
    <row r="433" spans="5:33">
      <c r="E433" s="376"/>
      <c r="F433" s="376"/>
      <c r="G433" s="376"/>
      <c r="H433" s="376"/>
      <c r="K433" s="214"/>
      <c r="S433" s="214"/>
      <c r="Y433" s="214"/>
      <c r="Z433" s="214"/>
      <c r="AF433" s="212"/>
      <c r="AG433" s="212"/>
    </row>
    <row r="434" spans="5:33">
      <c r="E434" s="376"/>
      <c r="F434" s="376"/>
      <c r="G434" s="376"/>
      <c r="H434" s="376"/>
      <c r="K434" s="214"/>
      <c r="S434" s="214"/>
      <c r="Y434" s="214"/>
      <c r="Z434" s="214"/>
      <c r="AF434" s="212"/>
      <c r="AG434" s="212"/>
    </row>
    <row r="435" spans="5:33">
      <c r="E435" s="376"/>
      <c r="F435" s="376"/>
      <c r="G435" s="376"/>
      <c r="H435" s="376"/>
      <c r="K435" s="214"/>
      <c r="S435" s="214"/>
      <c r="Y435" s="214"/>
      <c r="Z435" s="214"/>
      <c r="AF435" s="212"/>
      <c r="AG435" s="212"/>
    </row>
    <row r="436" spans="5:33">
      <c r="E436" s="376"/>
      <c r="F436" s="376"/>
      <c r="G436" s="376"/>
      <c r="H436" s="376"/>
      <c r="K436" s="214"/>
      <c r="S436" s="214"/>
      <c r="Y436" s="214"/>
      <c r="Z436" s="214"/>
      <c r="AF436" s="212"/>
      <c r="AG436" s="212"/>
    </row>
    <row r="437" spans="5:33">
      <c r="E437" s="376"/>
      <c r="F437" s="376"/>
      <c r="G437" s="376"/>
      <c r="H437" s="376"/>
      <c r="K437" s="214"/>
      <c r="S437" s="214"/>
      <c r="Y437" s="214"/>
      <c r="Z437" s="214"/>
      <c r="AF437" s="212"/>
      <c r="AG437" s="212"/>
    </row>
    <row r="438" spans="5:33">
      <c r="E438" s="376"/>
      <c r="F438" s="376"/>
      <c r="G438" s="376"/>
      <c r="H438" s="376"/>
      <c r="K438" s="214"/>
      <c r="S438" s="214"/>
      <c r="Y438" s="214"/>
      <c r="Z438" s="214"/>
      <c r="AF438" s="212"/>
      <c r="AG438" s="212"/>
    </row>
    <row r="439" spans="5:33">
      <c r="E439" s="376"/>
      <c r="F439" s="376"/>
      <c r="G439" s="376"/>
      <c r="H439" s="376"/>
      <c r="K439" s="214"/>
      <c r="S439" s="214"/>
      <c r="Y439" s="214"/>
      <c r="Z439" s="214"/>
      <c r="AF439" s="212"/>
      <c r="AG439" s="212"/>
    </row>
    <row r="440" spans="5:33">
      <c r="E440" s="376"/>
      <c r="F440" s="376"/>
      <c r="G440" s="376"/>
      <c r="H440" s="376"/>
      <c r="K440" s="214"/>
      <c r="S440" s="214"/>
      <c r="Y440" s="214"/>
      <c r="Z440" s="214"/>
      <c r="AF440" s="212"/>
      <c r="AG440" s="212"/>
    </row>
    <row r="441" spans="5:33">
      <c r="E441" s="376"/>
      <c r="F441" s="376"/>
      <c r="G441" s="376"/>
      <c r="H441" s="376"/>
      <c r="K441" s="214"/>
      <c r="S441" s="214"/>
      <c r="Y441" s="214"/>
      <c r="Z441" s="214"/>
      <c r="AF441" s="212"/>
      <c r="AG441" s="212"/>
    </row>
    <row r="442" spans="5:33">
      <c r="E442" s="376"/>
      <c r="F442" s="376"/>
      <c r="G442" s="376"/>
      <c r="H442" s="376"/>
      <c r="K442" s="214"/>
      <c r="S442" s="214"/>
      <c r="Y442" s="214"/>
      <c r="Z442" s="214"/>
      <c r="AF442" s="212"/>
      <c r="AG442" s="212"/>
    </row>
    <row r="443" spans="5:33">
      <c r="E443" s="376"/>
      <c r="F443" s="376"/>
      <c r="G443" s="376"/>
      <c r="H443" s="376"/>
      <c r="K443" s="214"/>
      <c r="S443" s="214"/>
      <c r="Y443" s="214"/>
      <c r="Z443" s="214"/>
      <c r="AF443" s="212"/>
      <c r="AG443" s="212"/>
    </row>
    <row r="444" spans="5:33">
      <c r="E444" s="376"/>
      <c r="F444" s="376"/>
      <c r="G444" s="376"/>
      <c r="H444" s="376"/>
      <c r="K444" s="214"/>
      <c r="S444" s="214"/>
      <c r="Y444" s="214"/>
      <c r="Z444" s="214"/>
      <c r="AF444" s="212"/>
      <c r="AG444" s="212"/>
    </row>
    <row r="445" spans="5:33">
      <c r="E445" s="376"/>
      <c r="F445" s="376"/>
      <c r="G445" s="376"/>
      <c r="H445" s="376"/>
      <c r="K445" s="214"/>
      <c r="S445" s="214"/>
      <c r="Y445" s="214"/>
      <c r="Z445" s="214"/>
      <c r="AF445" s="212"/>
      <c r="AG445" s="212"/>
    </row>
    <row r="446" spans="5:33">
      <c r="E446" s="376"/>
      <c r="F446" s="376"/>
      <c r="G446" s="376"/>
      <c r="H446" s="376"/>
      <c r="K446" s="214"/>
      <c r="S446" s="214"/>
      <c r="Y446" s="214"/>
      <c r="Z446" s="214"/>
      <c r="AF446" s="212"/>
      <c r="AG446" s="212"/>
    </row>
    <row r="447" spans="5:33">
      <c r="E447" s="376"/>
      <c r="F447" s="376"/>
      <c r="G447" s="376"/>
      <c r="H447" s="376"/>
      <c r="K447" s="214"/>
      <c r="S447" s="214"/>
      <c r="Y447" s="214"/>
      <c r="Z447" s="214"/>
      <c r="AF447" s="212"/>
      <c r="AG447" s="212"/>
    </row>
    <row r="448" spans="5:33">
      <c r="E448" s="376"/>
      <c r="F448" s="376"/>
      <c r="G448" s="376"/>
      <c r="H448" s="376"/>
      <c r="K448" s="214"/>
      <c r="S448" s="214"/>
      <c r="Y448" s="214"/>
      <c r="Z448" s="214"/>
      <c r="AF448" s="212"/>
      <c r="AG448" s="212"/>
    </row>
    <row r="449" spans="5:33">
      <c r="E449" s="376"/>
      <c r="F449" s="376"/>
      <c r="G449" s="376"/>
      <c r="H449" s="376"/>
      <c r="K449" s="214"/>
      <c r="S449" s="214"/>
      <c r="Y449" s="214"/>
      <c r="Z449" s="214"/>
      <c r="AF449" s="212"/>
      <c r="AG449" s="212"/>
    </row>
    <row r="450" spans="5:33">
      <c r="E450" s="376"/>
      <c r="F450" s="376"/>
      <c r="G450" s="376"/>
      <c r="H450" s="376"/>
      <c r="K450" s="214"/>
      <c r="S450" s="214"/>
      <c r="Y450" s="214"/>
      <c r="Z450" s="214"/>
      <c r="AF450" s="212"/>
      <c r="AG450" s="212"/>
    </row>
    <row r="451" spans="5:33">
      <c r="E451" s="376"/>
      <c r="F451" s="376"/>
      <c r="G451" s="376"/>
      <c r="H451" s="376"/>
      <c r="K451" s="214"/>
      <c r="S451" s="214"/>
      <c r="Y451" s="214"/>
      <c r="Z451" s="214"/>
      <c r="AF451" s="212"/>
      <c r="AG451" s="212"/>
    </row>
    <row r="452" spans="5:33">
      <c r="E452" s="376"/>
      <c r="F452" s="376"/>
      <c r="G452" s="376"/>
      <c r="H452" s="376"/>
      <c r="K452" s="214"/>
      <c r="S452" s="214"/>
      <c r="Y452" s="214"/>
      <c r="Z452" s="214"/>
      <c r="AF452" s="212"/>
      <c r="AG452" s="212"/>
    </row>
    <row r="453" spans="5:33">
      <c r="E453" s="376"/>
      <c r="F453" s="376"/>
      <c r="G453" s="376"/>
      <c r="H453" s="376"/>
      <c r="K453" s="214"/>
      <c r="S453" s="214"/>
      <c r="Y453" s="214"/>
      <c r="Z453" s="214"/>
      <c r="AF453" s="212"/>
      <c r="AG453" s="212"/>
    </row>
    <row r="454" spans="5:33">
      <c r="E454" s="376"/>
      <c r="F454" s="376"/>
      <c r="G454" s="376"/>
      <c r="H454" s="376"/>
      <c r="K454" s="214"/>
      <c r="S454" s="214"/>
      <c r="Y454" s="214"/>
      <c r="Z454" s="214"/>
      <c r="AF454" s="212"/>
      <c r="AG454" s="212"/>
    </row>
    <row r="455" spans="5:33">
      <c r="E455" s="376"/>
      <c r="F455" s="376"/>
      <c r="G455" s="376"/>
      <c r="H455" s="376"/>
      <c r="K455" s="214"/>
      <c r="S455" s="214"/>
      <c r="Y455" s="214"/>
      <c r="Z455" s="214"/>
      <c r="AF455" s="212"/>
      <c r="AG455" s="212"/>
    </row>
    <row r="456" spans="5:33">
      <c r="E456" s="376"/>
      <c r="F456" s="376"/>
      <c r="G456" s="376"/>
      <c r="H456" s="376"/>
      <c r="K456" s="214"/>
      <c r="S456" s="214"/>
      <c r="Y456" s="214"/>
      <c r="Z456" s="214"/>
      <c r="AF456" s="212"/>
      <c r="AG456" s="212"/>
    </row>
    <row r="457" spans="5:33">
      <c r="E457" s="376"/>
      <c r="F457" s="376"/>
      <c r="G457" s="376"/>
      <c r="H457" s="376"/>
      <c r="K457" s="214"/>
      <c r="S457" s="214"/>
      <c r="Y457" s="214"/>
      <c r="Z457" s="214"/>
      <c r="AF457" s="212"/>
      <c r="AG457" s="212"/>
    </row>
    <row r="458" spans="5:33">
      <c r="E458" s="376"/>
      <c r="F458" s="376"/>
      <c r="G458" s="376"/>
      <c r="H458" s="376"/>
      <c r="K458" s="214"/>
      <c r="S458" s="214"/>
      <c r="Y458" s="214"/>
      <c r="Z458" s="214"/>
      <c r="AF458" s="212"/>
      <c r="AG458" s="212"/>
    </row>
    <row r="459" spans="5:33">
      <c r="E459" s="376"/>
      <c r="F459" s="376"/>
      <c r="G459" s="376"/>
      <c r="H459" s="376"/>
      <c r="K459" s="214"/>
      <c r="S459" s="214"/>
      <c r="Y459" s="214"/>
      <c r="Z459" s="214"/>
      <c r="AF459" s="212"/>
      <c r="AG459" s="212"/>
    </row>
    <row r="460" spans="5:33">
      <c r="E460" s="376"/>
      <c r="F460" s="376"/>
      <c r="G460" s="376"/>
      <c r="H460" s="376"/>
      <c r="K460" s="214"/>
      <c r="S460" s="214"/>
      <c r="Y460" s="214"/>
      <c r="Z460" s="214"/>
      <c r="AF460" s="212"/>
      <c r="AG460" s="212"/>
    </row>
    <row r="461" spans="5:33">
      <c r="E461" s="376"/>
      <c r="F461" s="376"/>
      <c r="G461" s="376"/>
      <c r="H461" s="376"/>
      <c r="K461" s="214"/>
      <c r="S461" s="214"/>
      <c r="Y461" s="214"/>
      <c r="Z461" s="214"/>
      <c r="AF461" s="212"/>
      <c r="AG461" s="212"/>
    </row>
    <row r="462" spans="5:33">
      <c r="E462" s="376"/>
      <c r="F462" s="376"/>
      <c r="G462" s="376"/>
      <c r="H462" s="376"/>
      <c r="K462" s="214"/>
      <c r="S462" s="214"/>
      <c r="Y462" s="214"/>
      <c r="Z462" s="214"/>
      <c r="AF462" s="212"/>
      <c r="AG462" s="212"/>
    </row>
    <row r="463" spans="5:33">
      <c r="E463" s="376"/>
      <c r="F463" s="376"/>
      <c r="G463" s="376"/>
      <c r="H463" s="376"/>
      <c r="K463" s="214"/>
      <c r="S463" s="214"/>
      <c r="Y463" s="214"/>
      <c r="Z463" s="214"/>
      <c r="AF463" s="212"/>
      <c r="AG463" s="212"/>
    </row>
    <row r="464" spans="5:33">
      <c r="E464" s="376"/>
      <c r="F464" s="376"/>
      <c r="G464" s="376"/>
      <c r="H464" s="376"/>
      <c r="K464" s="214"/>
      <c r="S464" s="214"/>
      <c r="Y464" s="214"/>
      <c r="Z464" s="214"/>
      <c r="AF464" s="212"/>
      <c r="AG464" s="212"/>
    </row>
    <row r="465" spans="5:33">
      <c r="E465" s="376"/>
      <c r="F465" s="376"/>
      <c r="G465" s="376"/>
      <c r="H465" s="376"/>
      <c r="K465" s="214"/>
      <c r="S465" s="214"/>
      <c r="Y465" s="214"/>
      <c r="Z465" s="214"/>
      <c r="AF465" s="212"/>
      <c r="AG465" s="212"/>
    </row>
    <row r="466" spans="5:33">
      <c r="E466" s="376"/>
      <c r="F466" s="376"/>
      <c r="G466" s="376"/>
      <c r="H466" s="376"/>
      <c r="K466" s="214"/>
      <c r="S466" s="214"/>
      <c r="Y466" s="214"/>
      <c r="Z466" s="214"/>
      <c r="AF466" s="212"/>
      <c r="AG466" s="212"/>
    </row>
    <row r="467" spans="5:33">
      <c r="E467" s="376"/>
      <c r="F467" s="376"/>
      <c r="G467" s="376"/>
      <c r="H467" s="376"/>
      <c r="K467" s="214"/>
      <c r="S467" s="214"/>
      <c r="Y467" s="214"/>
      <c r="Z467" s="214"/>
      <c r="AF467" s="212"/>
      <c r="AG467" s="212"/>
    </row>
    <row r="468" spans="5:33">
      <c r="E468" s="376"/>
      <c r="F468" s="376"/>
      <c r="G468" s="376"/>
      <c r="H468" s="376"/>
      <c r="K468" s="214"/>
      <c r="S468" s="214"/>
      <c r="Y468" s="214"/>
      <c r="Z468" s="214"/>
      <c r="AF468" s="212"/>
      <c r="AG468" s="212"/>
    </row>
    <row r="469" spans="5:33">
      <c r="E469" s="376"/>
      <c r="F469" s="376"/>
      <c r="G469" s="376"/>
      <c r="H469" s="376"/>
      <c r="K469" s="214"/>
      <c r="S469" s="214"/>
      <c r="Y469" s="214"/>
      <c r="Z469" s="214"/>
      <c r="AF469" s="212"/>
      <c r="AG469" s="212"/>
    </row>
    <row r="470" spans="5:33">
      <c r="E470" s="376"/>
      <c r="F470" s="376"/>
      <c r="G470" s="376"/>
      <c r="H470" s="376"/>
      <c r="K470" s="214"/>
      <c r="S470" s="214"/>
      <c r="Y470" s="214"/>
      <c r="Z470" s="214"/>
      <c r="AF470" s="212"/>
      <c r="AG470" s="212"/>
    </row>
    <row r="471" spans="5:33">
      <c r="E471" s="376"/>
      <c r="F471" s="376"/>
      <c r="G471" s="376"/>
      <c r="H471" s="376"/>
      <c r="K471" s="214"/>
      <c r="S471" s="214"/>
      <c r="Y471" s="214"/>
      <c r="Z471" s="214"/>
      <c r="AF471" s="212"/>
      <c r="AG471" s="212"/>
    </row>
    <row r="472" spans="5:33">
      <c r="E472" s="376"/>
      <c r="F472" s="376"/>
      <c r="G472" s="376"/>
      <c r="H472" s="376"/>
      <c r="K472" s="214"/>
      <c r="S472" s="214"/>
      <c r="Y472" s="214"/>
      <c r="Z472" s="214"/>
      <c r="AF472" s="212"/>
      <c r="AG472" s="212"/>
    </row>
    <row r="473" spans="5:33">
      <c r="E473" s="376"/>
      <c r="F473" s="376"/>
      <c r="G473" s="376"/>
      <c r="H473" s="376"/>
      <c r="K473" s="214"/>
      <c r="S473" s="214"/>
      <c r="Y473" s="214"/>
      <c r="Z473" s="214"/>
      <c r="AF473" s="212"/>
      <c r="AG473" s="212"/>
    </row>
    <row r="474" spans="5:33">
      <c r="E474" s="376"/>
      <c r="F474" s="376"/>
      <c r="G474" s="376"/>
      <c r="H474" s="376"/>
      <c r="K474" s="214"/>
      <c r="S474" s="214"/>
      <c r="Y474" s="214"/>
      <c r="Z474" s="214"/>
      <c r="AF474" s="212"/>
      <c r="AG474" s="212"/>
    </row>
    <row r="475" spans="5:33">
      <c r="E475" s="376"/>
      <c r="F475" s="376"/>
      <c r="G475" s="376"/>
      <c r="H475" s="376"/>
      <c r="K475" s="214"/>
      <c r="S475" s="214"/>
      <c r="Y475" s="214"/>
      <c r="Z475" s="214"/>
      <c r="AF475" s="212"/>
      <c r="AG475" s="212"/>
    </row>
    <row r="476" spans="5:33">
      <c r="E476" s="376"/>
      <c r="F476" s="376"/>
      <c r="G476" s="376"/>
      <c r="H476" s="376"/>
      <c r="K476" s="214"/>
      <c r="S476" s="214"/>
      <c r="Y476" s="214"/>
      <c r="Z476" s="214"/>
      <c r="AF476" s="212"/>
      <c r="AG476" s="212"/>
    </row>
    <row r="477" spans="5:33">
      <c r="E477" s="376"/>
      <c r="F477" s="376"/>
      <c r="G477" s="376"/>
      <c r="H477" s="376"/>
      <c r="K477" s="214"/>
      <c r="S477" s="214"/>
      <c r="Y477" s="214"/>
      <c r="Z477" s="214"/>
      <c r="AF477" s="212"/>
      <c r="AG477" s="212"/>
    </row>
    <row r="478" spans="5:33">
      <c r="E478" s="376"/>
      <c r="F478" s="376"/>
      <c r="G478" s="376"/>
      <c r="H478" s="376"/>
      <c r="K478" s="214"/>
      <c r="S478" s="214"/>
      <c r="Y478" s="214"/>
      <c r="Z478" s="214"/>
      <c r="AF478" s="212"/>
      <c r="AG478" s="212"/>
    </row>
    <row r="479" spans="5:33">
      <c r="E479" s="376"/>
      <c r="F479" s="376"/>
      <c r="G479" s="376"/>
      <c r="H479" s="376"/>
      <c r="K479" s="214"/>
      <c r="S479" s="214"/>
      <c r="Y479" s="214"/>
      <c r="Z479" s="214"/>
      <c r="AF479" s="212"/>
      <c r="AG479" s="212"/>
    </row>
    <row r="480" spans="5:33">
      <c r="E480" s="376"/>
      <c r="F480" s="376"/>
      <c r="G480" s="376"/>
      <c r="H480" s="376"/>
      <c r="K480" s="214"/>
      <c r="S480" s="214"/>
      <c r="Y480" s="214"/>
      <c r="Z480" s="214"/>
      <c r="AF480" s="212"/>
      <c r="AG480" s="212"/>
    </row>
    <row r="481" spans="5:33">
      <c r="E481" s="376"/>
      <c r="F481" s="376"/>
      <c r="G481" s="376"/>
      <c r="H481" s="376"/>
      <c r="K481" s="214"/>
      <c r="S481" s="214"/>
      <c r="Y481" s="214"/>
      <c r="Z481" s="214"/>
      <c r="AF481" s="212"/>
      <c r="AG481" s="212"/>
    </row>
    <row r="482" spans="5:33">
      <c r="E482" s="376"/>
      <c r="F482" s="376"/>
      <c r="G482" s="376"/>
      <c r="H482" s="376"/>
      <c r="K482" s="214"/>
      <c r="S482" s="214"/>
      <c r="Y482" s="214"/>
      <c r="Z482" s="214"/>
      <c r="AF482" s="212"/>
      <c r="AG482" s="212"/>
    </row>
    <row r="483" spans="5:33">
      <c r="E483" s="376"/>
      <c r="F483" s="376"/>
      <c r="G483" s="376"/>
      <c r="H483" s="376"/>
      <c r="K483" s="214"/>
      <c r="S483" s="214"/>
      <c r="Y483" s="214"/>
      <c r="Z483" s="214"/>
      <c r="AF483" s="212"/>
      <c r="AG483" s="212"/>
    </row>
    <row r="484" spans="5:33">
      <c r="E484" s="376"/>
      <c r="F484" s="376"/>
      <c r="G484" s="376"/>
      <c r="H484" s="376"/>
      <c r="K484" s="214"/>
      <c r="S484" s="214"/>
      <c r="Y484" s="214"/>
      <c r="Z484" s="214"/>
      <c r="AF484" s="212"/>
      <c r="AG484" s="212"/>
    </row>
    <row r="485" spans="5:33">
      <c r="E485" s="376"/>
      <c r="F485" s="376"/>
      <c r="G485" s="376"/>
      <c r="H485" s="376"/>
      <c r="K485" s="214"/>
      <c r="S485" s="214"/>
      <c r="Y485" s="214"/>
      <c r="Z485" s="214"/>
      <c r="AF485" s="212"/>
      <c r="AG485" s="212"/>
    </row>
    <row r="486" spans="5:33">
      <c r="E486" s="376"/>
      <c r="F486" s="376"/>
      <c r="G486" s="376"/>
      <c r="H486" s="376"/>
      <c r="K486" s="214"/>
      <c r="S486" s="214"/>
      <c r="Y486" s="214"/>
      <c r="Z486" s="214"/>
      <c r="AF486" s="212"/>
      <c r="AG486" s="212"/>
    </row>
    <row r="487" spans="5:33">
      <c r="E487" s="376"/>
      <c r="F487" s="376"/>
      <c r="G487" s="376"/>
      <c r="H487" s="376"/>
      <c r="K487" s="214"/>
      <c r="S487" s="214"/>
      <c r="Y487" s="214"/>
      <c r="Z487" s="214"/>
      <c r="AF487" s="212"/>
      <c r="AG487" s="212"/>
    </row>
    <row r="488" spans="5:33">
      <c r="E488" s="376"/>
      <c r="F488" s="376"/>
      <c r="G488" s="376"/>
      <c r="H488" s="376"/>
      <c r="K488" s="214"/>
      <c r="S488" s="214"/>
      <c r="Y488" s="214"/>
      <c r="Z488" s="214"/>
      <c r="AF488" s="212"/>
      <c r="AG488" s="212"/>
    </row>
    <row r="489" spans="5:33">
      <c r="E489" s="376"/>
      <c r="F489" s="376"/>
      <c r="G489" s="376"/>
      <c r="H489" s="376"/>
      <c r="K489" s="214"/>
      <c r="S489" s="214"/>
      <c r="Y489" s="214"/>
      <c r="Z489" s="214"/>
      <c r="AF489" s="212"/>
      <c r="AG489" s="212"/>
    </row>
    <row r="490" spans="5:33">
      <c r="E490" s="376"/>
      <c r="F490" s="376"/>
      <c r="G490" s="376"/>
      <c r="H490" s="376"/>
      <c r="K490" s="214"/>
      <c r="S490" s="214"/>
      <c r="Y490" s="214"/>
      <c r="Z490" s="214"/>
      <c r="AF490" s="212"/>
      <c r="AG490" s="212"/>
    </row>
    <row r="491" spans="5:33">
      <c r="E491" s="376"/>
      <c r="F491" s="376"/>
      <c r="G491" s="376"/>
      <c r="H491" s="376"/>
      <c r="K491" s="214"/>
      <c r="S491" s="214"/>
      <c r="Y491" s="214"/>
      <c r="Z491" s="214"/>
      <c r="AF491" s="212"/>
      <c r="AG491" s="212"/>
    </row>
    <row r="492" spans="5:33">
      <c r="E492" s="376"/>
      <c r="F492" s="376"/>
      <c r="G492" s="376"/>
      <c r="H492" s="376"/>
      <c r="K492" s="214"/>
      <c r="S492" s="214"/>
      <c r="Y492" s="214"/>
      <c r="Z492" s="214"/>
      <c r="AF492" s="212"/>
      <c r="AG492" s="212"/>
    </row>
    <row r="493" spans="5:33">
      <c r="E493" s="376"/>
      <c r="F493" s="376"/>
      <c r="G493" s="376"/>
      <c r="H493" s="376"/>
      <c r="K493" s="214"/>
      <c r="S493" s="214"/>
      <c r="Y493" s="214"/>
      <c r="Z493" s="214"/>
      <c r="AF493" s="212"/>
      <c r="AG493" s="212"/>
    </row>
    <row r="494" spans="5:33">
      <c r="E494" s="376"/>
      <c r="F494" s="376"/>
      <c r="G494" s="376"/>
      <c r="H494" s="376"/>
      <c r="K494" s="214"/>
      <c r="S494" s="214"/>
      <c r="Y494" s="214"/>
      <c r="Z494" s="214"/>
      <c r="AF494" s="212"/>
      <c r="AG494" s="212"/>
    </row>
    <row r="495" spans="5:33">
      <c r="E495" s="376"/>
      <c r="F495" s="376"/>
      <c r="G495" s="376"/>
      <c r="H495" s="376"/>
      <c r="K495" s="214"/>
      <c r="S495" s="214"/>
      <c r="Y495" s="214"/>
      <c r="Z495" s="214"/>
      <c r="AF495" s="212"/>
      <c r="AG495" s="212"/>
    </row>
    <row r="496" spans="5:33">
      <c r="E496" s="376"/>
      <c r="F496" s="376"/>
      <c r="G496" s="376"/>
      <c r="H496" s="376"/>
      <c r="K496" s="214"/>
      <c r="S496" s="214"/>
      <c r="Y496" s="214"/>
      <c r="Z496" s="214"/>
      <c r="AF496" s="212"/>
      <c r="AG496" s="212"/>
    </row>
    <row r="497" spans="5:33">
      <c r="E497" s="376"/>
      <c r="F497" s="376"/>
      <c r="G497" s="376"/>
      <c r="H497" s="376"/>
      <c r="K497" s="214"/>
      <c r="S497" s="214"/>
      <c r="Y497" s="214"/>
      <c r="Z497" s="214"/>
      <c r="AF497" s="212"/>
      <c r="AG497" s="212"/>
    </row>
    <row r="498" spans="5:33">
      <c r="E498" s="376"/>
      <c r="F498" s="376"/>
      <c r="G498" s="376"/>
      <c r="H498" s="376"/>
      <c r="K498" s="214"/>
      <c r="S498" s="214"/>
      <c r="Y498" s="214"/>
      <c r="Z498" s="214"/>
      <c r="AF498" s="212"/>
      <c r="AG498" s="212"/>
    </row>
    <row r="499" spans="5:33">
      <c r="E499" s="376"/>
      <c r="F499" s="376"/>
      <c r="G499" s="376"/>
      <c r="H499" s="376"/>
      <c r="K499" s="214"/>
      <c r="S499" s="214"/>
      <c r="Y499" s="214"/>
      <c r="Z499" s="214"/>
      <c r="AF499" s="212"/>
      <c r="AG499" s="212"/>
    </row>
    <row r="500" spans="5:33">
      <c r="E500" s="376"/>
      <c r="F500" s="376"/>
      <c r="G500" s="376"/>
      <c r="H500" s="376"/>
      <c r="K500" s="214"/>
      <c r="S500" s="214"/>
      <c r="Y500" s="214"/>
      <c r="Z500" s="214"/>
      <c r="AF500" s="212"/>
      <c r="AG500" s="212"/>
    </row>
    <row r="501" spans="5:33">
      <c r="E501" s="376"/>
      <c r="F501" s="376"/>
      <c r="G501" s="376"/>
      <c r="H501" s="376"/>
      <c r="K501" s="214"/>
      <c r="S501" s="214"/>
      <c r="Y501" s="214"/>
      <c r="Z501" s="214"/>
      <c r="AF501" s="212"/>
      <c r="AG501" s="212"/>
    </row>
    <row r="502" spans="5:33">
      <c r="E502" s="376"/>
      <c r="F502" s="376"/>
      <c r="G502" s="376"/>
      <c r="H502" s="376"/>
      <c r="K502" s="214"/>
      <c r="S502" s="214"/>
      <c r="Y502" s="214"/>
      <c r="Z502" s="214"/>
      <c r="AF502" s="212"/>
      <c r="AG502" s="212"/>
    </row>
    <row r="503" spans="5:33">
      <c r="E503" s="376"/>
      <c r="F503" s="376"/>
      <c r="G503" s="376"/>
      <c r="H503" s="376"/>
      <c r="K503" s="214"/>
      <c r="S503" s="214"/>
      <c r="Y503" s="214"/>
      <c r="Z503" s="214"/>
      <c r="AF503" s="212"/>
      <c r="AG503" s="212"/>
    </row>
    <row r="504" spans="5:33">
      <c r="E504" s="376"/>
      <c r="F504" s="376"/>
      <c r="G504" s="376"/>
      <c r="H504" s="376"/>
      <c r="K504" s="214"/>
      <c r="S504" s="214"/>
      <c r="Y504" s="214"/>
      <c r="Z504" s="214"/>
      <c r="AF504" s="212"/>
      <c r="AG504" s="212"/>
    </row>
    <row r="505" spans="5:33">
      <c r="E505" s="376"/>
      <c r="F505" s="376"/>
      <c r="G505" s="376"/>
      <c r="H505" s="376"/>
      <c r="K505" s="214"/>
      <c r="S505" s="214"/>
      <c r="Y505" s="214"/>
      <c r="Z505" s="214"/>
      <c r="AF505" s="212"/>
      <c r="AG505" s="212"/>
    </row>
    <row r="506" spans="5:33">
      <c r="E506" s="376"/>
      <c r="F506" s="376"/>
      <c r="G506" s="376"/>
      <c r="H506" s="376"/>
      <c r="K506" s="214"/>
      <c r="S506" s="214"/>
      <c r="Y506" s="214"/>
      <c r="Z506" s="214"/>
      <c r="AF506" s="212"/>
      <c r="AG506" s="212"/>
    </row>
    <row r="507" spans="5:33">
      <c r="E507" s="376"/>
      <c r="F507" s="376"/>
      <c r="G507" s="376"/>
      <c r="H507" s="376"/>
      <c r="K507" s="214"/>
      <c r="S507" s="214"/>
      <c r="Y507" s="214"/>
      <c r="Z507" s="214"/>
      <c r="AF507" s="212"/>
      <c r="AG507" s="212"/>
    </row>
    <row r="508" spans="5:33">
      <c r="E508" s="376"/>
      <c r="F508" s="376"/>
      <c r="G508" s="376"/>
      <c r="H508" s="376"/>
      <c r="K508" s="214"/>
      <c r="S508" s="214"/>
      <c r="Y508" s="214"/>
      <c r="Z508" s="214"/>
      <c r="AF508" s="212"/>
      <c r="AG508" s="212"/>
    </row>
    <row r="509" spans="5:33">
      <c r="E509" s="376"/>
      <c r="F509" s="376"/>
      <c r="G509" s="376"/>
      <c r="H509" s="376"/>
      <c r="K509" s="214"/>
      <c r="S509" s="214"/>
      <c r="Y509" s="214"/>
      <c r="Z509" s="214"/>
      <c r="AF509" s="212"/>
      <c r="AG509" s="212"/>
    </row>
    <row r="510" spans="5:33">
      <c r="E510" s="376"/>
      <c r="F510" s="376"/>
      <c r="G510" s="376"/>
      <c r="H510" s="376"/>
      <c r="K510" s="214"/>
      <c r="S510" s="214"/>
      <c r="Y510" s="214"/>
      <c r="Z510" s="214"/>
      <c r="AF510" s="212"/>
      <c r="AG510" s="212"/>
    </row>
    <row r="511" spans="5:33">
      <c r="E511" s="376"/>
      <c r="F511" s="376"/>
      <c r="G511" s="376"/>
      <c r="H511" s="376"/>
      <c r="K511" s="214"/>
      <c r="S511" s="214"/>
      <c r="Y511" s="214"/>
      <c r="Z511" s="214"/>
      <c r="AF511" s="212"/>
      <c r="AG511" s="212"/>
    </row>
    <row r="512" spans="5:33">
      <c r="E512" s="376"/>
      <c r="F512" s="376"/>
      <c r="G512" s="376"/>
      <c r="H512" s="376"/>
      <c r="K512" s="214"/>
      <c r="S512" s="214"/>
      <c r="Y512" s="214"/>
      <c r="Z512" s="214"/>
      <c r="AF512" s="212"/>
      <c r="AG512" s="212"/>
    </row>
    <row r="513" spans="5:33">
      <c r="E513" s="376"/>
      <c r="F513" s="376"/>
      <c r="G513" s="376"/>
      <c r="H513" s="376"/>
      <c r="K513" s="214"/>
      <c r="S513" s="214"/>
      <c r="Y513" s="214"/>
      <c r="Z513" s="214"/>
      <c r="AF513" s="212"/>
      <c r="AG513" s="212"/>
    </row>
    <row r="514" spans="5:33">
      <c r="E514" s="376"/>
      <c r="F514" s="376"/>
      <c r="G514" s="376"/>
      <c r="H514" s="376"/>
      <c r="K514" s="214"/>
      <c r="S514" s="214"/>
      <c r="Y514" s="214"/>
      <c r="Z514" s="214"/>
      <c r="AF514" s="212"/>
      <c r="AG514" s="212"/>
    </row>
    <row r="515" spans="5:33">
      <c r="E515" s="376"/>
      <c r="F515" s="376"/>
      <c r="G515" s="376"/>
      <c r="H515" s="376"/>
      <c r="K515" s="214"/>
      <c r="S515" s="214"/>
      <c r="Y515" s="214"/>
      <c r="Z515" s="214"/>
      <c r="AF515" s="212"/>
      <c r="AG515" s="212"/>
    </row>
    <row r="516" spans="5:33">
      <c r="E516" s="376"/>
      <c r="F516" s="376"/>
      <c r="G516" s="376"/>
      <c r="H516" s="376"/>
      <c r="K516" s="214"/>
      <c r="S516" s="214"/>
      <c r="Y516" s="214"/>
      <c r="Z516" s="214"/>
      <c r="AF516" s="212"/>
      <c r="AG516" s="212"/>
    </row>
    <row r="517" spans="5:33">
      <c r="E517" s="376"/>
      <c r="F517" s="376"/>
      <c r="G517" s="376"/>
      <c r="H517" s="376"/>
      <c r="K517" s="214"/>
      <c r="S517" s="214"/>
      <c r="Y517" s="214"/>
      <c r="Z517" s="214"/>
      <c r="AF517" s="212"/>
      <c r="AG517" s="212"/>
    </row>
    <row r="518" spans="5:33">
      <c r="E518" s="376"/>
      <c r="F518" s="376"/>
      <c r="G518" s="376"/>
      <c r="H518" s="376"/>
      <c r="K518" s="214"/>
      <c r="S518" s="214"/>
      <c r="Y518" s="214"/>
      <c r="Z518" s="214"/>
      <c r="AF518" s="212"/>
      <c r="AG518" s="212"/>
    </row>
    <row r="519" spans="5:33">
      <c r="E519" s="376"/>
      <c r="F519" s="376"/>
      <c r="G519" s="376"/>
      <c r="H519" s="376"/>
      <c r="K519" s="214"/>
      <c r="S519" s="214"/>
      <c r="Y519" s="214"/>
      <c r="Z519" s="214"/>
      <c r="AF519" s="212"/>
      <c r="AG519" s="212"/>
    </row>
    <row r="520" spans="5:33">
      <c r="E520" s="376"/>
      <c r="F520" s="376"/>
      <c r="G520" s="376"/>
      <c r="H520" s="376"/>
      <c r="K520" s="214"/>
      <c r="S520" s="214"/>
      <c r="Y520" s="214"/>
      <c r="Z520" s="214"/>
      <c r="AF520" s="212"/>
      <c r="AG520" s="212"/>
    </row>
    <row r="521" spans="5:33">
      <c r="E521" s="376"/>
      <c r="F521" s="376"/>
      <c r="G521" s="376"/>
      <c r="H521" s="376"/>
      <c r="K521" s="214"/>
      <c r="S521" s="214"/>
      <c r="Y521" s="214"/>
      <c r="Z521" s="214"/>
      <c r="AF521" s="212"/>
      <c r="AG521" s="212"/>
    </row>
    <row r="522" spans="5:33">
      <c r="E522" s="376"/>
      <c r="F522" s="376"/>
      <c r="G522" s="376"/>
      <c r="H522" s="376"/>
      <c r="K522" s="214"/>
      <c r="S522" s="214"/>
      <c r="Y522" s="214"/>
      <c r="Z522" s="214"/>
      <c r="AF522" s="212"/>
      <c r="AG522" s="212"/>
    </row>
    <row r="523" spans="5:33">
      <c r="E523" s="376"/>
      <c r="F523" s="376"/>
      <c r="G523" s="376"/>
      <c r="H523" s="376"/>
      <c r="K523" s="214"/>
      <c r="S523" s="214"/>
      <c r="Y523" s="214"/>
      <c r="Z523" s="214"/>
      <c r="AF523" s="212"/>
      <c r="AG523" s="212"/>
    </row>
    <row r="524" spans="5:33">
      <c r="E524" s="376"/>
      <c r="F524" s="376"/>
      <c r="G524" s="376"/>
      <c r="H524" s="376"/>
      <c r="K524" s="214"/>
      <c r="S524" s="214"/>
      <c r="Y524" s="214"/>
      <c r="Z524" s="214"/>
      <c r="AF524" s="212"/>
      <c r="AG524" s="212"/>
    </row>
    <row r="525" spans="5:33">
      <c r="E525" s="376"/>
      <c r="F525" s="376"/>
      <c r="G525" s="376"/>
      <c r="H525" s="376"/>
      <c r="K525" s="214"/>
      <c r="S525" s="214"/>
      <c r="Y525" s="214"/>
      <c r="Z525" s="214"/>
      <c r="AF525" s="212"/>
      <c r="AG525" s="212"/>
    </row>
    <row r="526" spans="5:33">
      <c r="E526" s="376"/>
      <c r="F526" s="376"/>
      <c r="G526" s="376"/>
      <c r="H526" s="376"/>
      <c r="K526" s="214"/>
      <c r="S526" s="214"/>
      <c r="Y526" s="214"/>
      <c r="Z526" s="214"/>
      <c r="AF526" s="212"/>
      <c r="AG526" s="212"/>
    </row>
    <row r="527" spans="5:33">
      <c r="E527" s="376"/>
      <c r="F527" s="376"/>
      <c r="G527" s="376"/>
      <c r="H527" s="376"/>
      <c r="K527" s="214"/>
      <c r="S527" s="214"/>
      <c r="Y527" s="214"/>
      <c r="Z527" s="214"/>
      <c r="AF527" s="212"/>
      <c r="AG527" s="212"/>
    </row>
    <row r="528" spans="5:33">
      <c r="E528" s="376"/>
      <c r="F528" s="376"/>
      <c r="G528" s="376"/>
      <c r="H528" s="376"/>
      <c r="K528" s="214"/>
      <c r="S528" s="214"/>
      <c r="Y528" s="214"/>
      <c r="Z528" s="214"/>
      <c r="AF528" s="212"/>
      <c r="AG528" s="212"/>
    </row>
    <row r="529" spans="5:33">
      <c r="E529" s="376"/>
      <c r="F529" s="376"/>
      <c r="G529" s="376"/>
      <c r="H529" s="376"/>
      <c r="K529" s="214"/>
      <c r="S529" s="214"/>
      <c r="Y529" s="214"/>
      <c r="Z529" s="214"/>
      <c r="AF529" s="212"/>
      <c r="AG529" s="212"/>
    </row>
    <row r="530" spans="5:33">
      <c r="E530" s="376"/>
      <c r="F530" s="376"/>
      <c r="G530" s="376"/>
      <c r="H530" s="376"/>
      <c r="K530" s="214"/>
      <c r="S530" s="214"/>
      <c r="Y530" s="214"/>
      <c r="Z530" s="214"/>
      <c r="AF530" s="212"/>
      <c r="AG530" s="212"/>
    </row>
    <row r="531" spans="5:33">
      <c r="E531" s="376"/>
      <c r="F531" s="376"/>
      <c r="G531" s="376"/>
      <c r="H531" s="376"/>
      <c r="K531" s="214"/>
      <c r="S531" s="214"/>
      <c r="Y531" s="214"/>
      <c r="Z531" s="214"/>
      <c r="AF531" s="212"/>
      <c r="AG531" s="212"/>
    </row>
    <row r="532" spans="5:33">
      <c r="E532" s="376"/>
      <c r="F532" s="376"/>
      <c r="G532" s="376"/>
      <c r="H532" s="376"/>
      <c r="K532" s="214"/>
      <c r="S532" s="214"/>
      <c r="Y532" s="214"/>
      <c r="Z532" s="214"/>
      <c r="AF532" s="212"/>
      <c r="AG532" s="212"/>
    </row>
    <row r="533" spans="5:33">
      <c r="E533" s="376"/>
      <c r="F533" s="376"/>
      <c r="G533" s="376"/>
      <c r="H533" s="376"/>
      <c r="K533" s="214"/>
      <c r="S533" s="214"/>
      <c r="Y533" s="214"/>
      <c r="Z533" s="214"/>
      <c r="AF533" s="212"/>
      <c r="AG533" s="212"/>
    </row>
    <row r="534" spans="5:33">
      <c r="E534" s="376"/>
      <c r="F534" s="376"/>
      <c r="G534" s="376"/>
      <c r="H534" s="376"/>
      <c r="K534" s="214"/>
      <c r="S534" s="214"/>
      <c r="Y534" s="214"/>
      <c r="Z534" s="214"/>
      <c r="AF534" s="212"/>
      <c r="AG534" s="212"/>
    </row>
    <row r="535" spans="5:33">
      <c r="E535" s="376"/>
      <c r="F535" s="376"/>
      <c r="G535" s="376"/>
      <c r="H535" s="376"/>
      <c r="K535" s="214"/>
      <c r="S535" s="214"/>
      <c r="Y535" s="214"/>
      <c r="Z535" s="214"/>
      <c r="AF535" s="212"/>
      <c r="AG535" s="212"/>
    </row>
    <row r="536" spans="5:33">
      <c r="E536" s="376"/>
      <c r="F536" s="376"/>
      <c r="G536" s="376"/>
      <c r="H536" s="376"/>
      <c r="K536" s="214"/>
      <c r="S536" s="214"/>
      <c r="Y536" s="214"/>
      <c r="Z536" s="214"/>
      <c r="AF536" s="212"/>
      <c r="AG536" s="212"/>
    </row>
    <row r="537" spans="5:33">
      <c r="E537" s="376"/>
      <c r="F537" s="376"/>
      <c r="G537" s="376"/>
      <c r="H537" s="376"/>
      <c r="K537" s="214"/>
      <c r="S537" s="214"/>
      <c r="Y537" s="214"/>
      <c r="Z537" s="214"/>
      <c r="AF537" s="212"/>
      <c r="AG537" s="212"/>
    </row>
    <row r="538" spans="5:33">
      <c r="E538" s="376"/>
      <c r="F538" s="376"/>
      <c r="G538" s="376"/>
      <c r="H538" s="376"/>
      <c r="K538" s="214"/>
      <c r="S538" s="214"/>
      <c r="Y538" s="214"/>
      <c r="Z538" s="214"/>
      <c r="AF538" s="212"/>
      <c r="AG538" s="212"/>
    </row>
    <row r="539" spans="5:33">
      <c r="E539" s="376"/>
      <c r="F539" s="376"/>
      <c r="G539" s="376"/>
      <c r="H539" s="376"/>
      <c r="K539" s="214"/>
      <c r="S539" s="214"/>
      <c r="Y539" s="214"/>
      <c r="Z539" s="214"/>
      <c r="AF539" s="212"/>
      <c r="AG539" s="212"/>
    </row>
    <row r="540" spans="5:33">
      <c r="E540" s="376"/>
      <c r="F540" s="376"/>
      <c r="G540" s="376"/>
      <c r="H540" s="376"/>
      <c r="K540" s="214"/>
      <c r="S540" s="214"/>
      <c r="Y540" s="214"/>
      <c r="Z540" s="214"/>
      <c r="AF540" s="212"/>
      <c r="AG540" s="212"/>
    </row>
    <row r="541" spans="5:33">
      <c r="E541" s="376"/>
      <c r="F541" s="376"/>
      <c r="G541" s="376"/>
      <c r="H541" s="376"/>
      <c r="K541" s="214"/>
      <c r="S541" s="214"/>
      <c r="Y541" s="214"/>
      <c r="Z541" s="214"/>
      <c r="AF541" s="212"/>
      <c r="AG541" s="212"/>
    </row>
    <row r="542" spans="5:33">
      <c r="E542" s="376"/>
      <c r="F542" s="376"/>
      <c r="G542" s="376"/>
      <c r="H542" s="376"/>
      <c r="K542" s="214"/>
      <c r="S542" s="214"/>
      <c r="Y542" s="214"/>
      <c r="Z542" s="214"/>
      <c r="AF542" s="212"/>
      <c r="AG542" s="212"/>
    </row>
    <row r="543" spans="5:33">
      <c r="E543" s="376"/>
      <c r="F543" s="376"/>
      <c r="G543" s="376"/>
      <c r="H543" s="376"/>
      <c r="K543" s="214"/>
      <c r="S543" s="214"/>
      <c r="Y543" s="214"/>
      <c r="Z543" s="214"/>
      <c r="AF543" s="212"/>
      <c r="AG543" s="212"/>
    </row>
    <row r="544" spans="5:33">
      <c r="E544" s="376"/>
      <c r="F544" s="376"/>
      <c r="G544" s="376"/>
      <c r="H544" s="376"/>
      <c r="K544" s="214"/>
      <c r="S544" s="214"/>
      <c r="Y544" s="214"/>
      <c r="Z544" s="214"/>
      <c r="AF544" s="212"/>
      <c r="AG544" s="212"/>
    </row>
    <row r="545" spans="5:33">
      <c r="E545" s="376"/>
      <c r="F545" s="376"/>
      <c r="G545" s="376"/>
      <c r="H545" s="376"/>
      <c r="K545" s="214"/>
      <c r="S545" s="214"/>
      <c r="Y545" s="214"/>
      <c r="Z545" s="214"/>
      <c r="AF545" s="212"/>
      <c r="AG545" s="212"/>
    </row>
    <row r="546" spans="5:33">
      <c r="E546" s="376"/>
      <c r="F546" s="376"/>
      <c r="G546" s="376"/>
      <c r="H546" s="376"/>
      <c r="K546" s="214"/>
      <c r="S546" s="214"/>
      <c r="Y546" s="214"/>
      <c r="Z546" s="214"/>
      <c r="AF546" s="212"/>
      <c r="AG546" s="212"/>
    </row>
    <row r="547" spans="5:33">
      <c r="E547" s="376"/>
      <c r="F547" s="376"/>
      <c r="G547" s="376"/>
      <c r="H547" s="376"/>
      <c r="K547" s="214"/>
      <c r="S547" s="214"/>
      <c r="Y547" s="214"/>
      <c r="Z547" s="214"/>
      <c r="AF547" s="212"/>
      <c r="AG547" s="212"/>
    </row>
    <row r="548" spans="5:33">
      <c r="E548" s="376"/>
      <c r="F548" s="376"/>
      <c r="G548" s="376"/>
      <c r="H548" s="376"/>
      <c r="K548" s="214"/>
      <c r="S548" s="214"/>
      <c r="Y548" s="214"/>
      <c r="Z548" s="214"/>
      <c r="AF548" s="212"/>
      <c r="AG548" s="212"/>
    </row>
    <row r="549" spans="5:33">
      <c r="E549" s="376"/>
      <c r="F549" s="376"/>
      <c r="G549" s="376"/>
      <c r="H549" s="376"/>
      <c r="K549" s="214"/>
      <c r="S549" s="214"/>
      <c r="Y549" s="214"/>
      <c r="Z549" s="214"/>
      <c r="AF549" s="212"/>
      <c r="AG549" s="212"/>
    </row>
    <row r="550" spans="5:33">
      <c r="E550" s="376"/>
      <c r="F550" s="376"/>
      <c r="G550" s="376"/>
      <c r="H550" s="376"/>
      <c r="K550" s="214"/>
      <c r="S550" s="214"/>
      <c r="Y550" s="214"/>
      <c r="Z550" s="214"/>
      <c r="AF550" s="212"/>
      <c r="AG550" s="212"/>
    </row>
    <row r="551" spans="5:33">
      <c r="E551" s="376"/>
      <c r="F551" s="376"/>
      <c r="G551" s="376"/>
      <c r="H551" s="376"/>
      <c r="K551" s="214"/>
      <c r="S551" s="214"/>
      <c r="Y551" s="214"/>
      <c r="Z551" s="214"/>
      <c r="AF551" s="212"/>
      <c r="AG551" s="212"/>
    </row>
    <row r="552" spans="5:33">
      <c r="E552" s="376"/>
      <c r="F552" s="376"/>
      <c r="G552" s="376"/>
      <c r="H552" s="376"/>
      <c r="K552" s="214"/>
      <c r="S552" s="214"/>
      <c r="Y552" s="214"/>
      <c r="Z552" s="214"/>
      <c r="AF552" s="212"/>
      <c r="AG552" s="212"/>
    </row>
    <row r="553" spans="5:33">
      <c r="E553" s="376"/>
      <c r="F553" s="376"/>
      <c r="G553" s="376"/>
      <c r="H553" s="376"/>
      <c r="K553" s="214"/>
      <c r="S553" s="214"/>
      <c r="Y553" s="214"/>
      <c r="Z553" s="214"/>
      <c r="AF553" s="212"/>
      <c r="AG553" s="212"/>
    </row>
    <row r="554" spans="5:33">
      <c r="E554" s="376"/>
      <c r="F554" s="376"/>
      <c r="G554" s="376"/>
      <c r="H554" s="376"/>
      <c r="K554" s="214"/>
      <c r="S554" s="214"/>
      <c r="Y554" s="214"/>
      <c r="Z554" s="214"/>
      <c r="AF554" s="212"/>
      <c r="AG554" s="212"/>
    </row>
    <row r="555" spans="5:33">
      <c r="E555" s="376"/>
      <c r="F555" s="376"/>
      <c r="G555" s="376"/>
      <c r="H555" s="376"/>
      <c r="K555" s="214"/>
      <c r="S555" s="214"/>
      <c r="Y555" s="214"/>
      <c r="Z555" s="214"/>
      <c r="AF555" s="212"/>
      <c r="AG555" s="212"/>
    </row>
    <row r="556" spans="5:33">
      <c r="E556" s="376"/>
      <c r="F556" s="376"/>
      <c r="G556" s="376"/>
      <c r="H556" s="376"/>
      <c r="K556" s="214"/>
      <c r="S556" s="214"/>
      <c r="Y556" s="214"/>
      <c r="Z556" s="214"/>
      <c r="AF556" s="212"/>
      <c r="AG556" s="212"/>
    </row>
    <row r="557" spans="5:33">
      <c r="E557" s="376"/>
      <c r="F557" s="376"/>
      <c r="G557" s="376"/>
      <c r="H557" s="376"/>
      <c r="K557" s="214"/>
      <c r="S557" s="214"/>
      <c r="Y557" s="214"/>
      <c r="Z557" s="214"/>
      <c r="AF557" s="212"/>
      <c r="AG557" s="212"/>
    </row>
    <row r="558" spans="5:33">
      <c r="E558" s="376"/>
      <c r="F558" s="376"/>
      <c r="G558" s="376"/>
      <c r="H558" s="376"/>
      <c r="K558" s="214"/>
      <c r="S558" s="214"/>
      <c r="Y558" s="214"/>
      <c r="Z558" s="214"/>
      <c r="AF558" s="212"/>
      <c r="AG558" s="212"/>
    </row>
    <row r="559" spans="5:33">
      <c r="E559" s="376"/>
      <c r="F559" s="376"/>
      <c r="G559" s="376"/>
      <c r="H559" s="376"/>
      <c r="K559" s="214"/>
      <c r="S559" s="214"/>
      <c r="Y559" s="214"/>
      <c r="Z559" s="214"/>
      <c r="AF559" s="212"/>
      <c r="AG559" s="212"/>
    </row>
    <row r="560" spans="5:33">
      <c r="E560" s="376"/>
      <c r="F560" s="376"/>
      <c r="G560" s="376"/>
      <c r="H560" s="376"/>
      <c r="K560" s="214"/>
      <c r="S560" s="214"/>
      <c r="Y560" s="214"/>
      <c r="Z560" s="214"/>
      <c r="AF560" s="212"/>
      <c r="AG560" s="212"/>
    </row>
    <row r="561" spans="5:33">
      <c r="E561" s="376"/>
      <c r="F561" s="376"/>
      <c r="G561" s="376"/>
      <c r="H561" s="376"/>
      <c r="K561" s="214"/>
      <c r="S561" s="214"/>
      <c r="Y561" s="214"/>
      <c r="Z561" s="214"/>
      <c r="AF561" s="212"/>
      <c r="AG561" s="212"/>
    </row>
    <row r="562" spans="5:33">
      <c r="E562" s="376"/>
      <c r="F562" s="376"/>
      <c r="G562" s="376"/>
      <c r="H562" s="376"/>
      <c r="K562" s="214"/>
      <c r="S562" s="214"/>
      <c r="Y562" s="214"/>
      <c r="Z562" s="214"/>
      <c r="AF562" s="212"/>
      <c r="AG562" s="212"/>
    </row>
    <row r="563" spans="5:33">
      <c r="E563" s="376"/>
      <c r="F563" s="376"/>
      <c r="G563" s="376"/>
      <c r="H563" s="376"/>
      <c r="K563" s="214"/>
      <c r="S563" s="214"/>
      <c r="Y563" s="214"/>
      <c r="Z563" s="214"/>
      <c r="AF563" s="212"/>
      <c r="AG563" s="212"/>
    </row>
    <row r="564" spans="5:33">
      <c r="E564" s="376"/>
      <c r="F564" s="376"/>
      <c r="G564" s="376"/>
      <c r="H564" s="376"/>
      <c r="K564" s="214"/>
      <c r="S564" s="214"/>
      <c r="Y564" s="214"/>
      <c r="Z564" s="214"/>
      <c r="AF564" s="212"/>
      <c r="AG564" s="212"/>
    </row>
    <row r="565" spans="5:33">
      <c r="E565" s="376"/>
      <c r="F565" s="376"/>
      <c r="G565" s="376"/>
      <c r="H565" s="376"/>
      <c r="K565" s="214"/>
      <c r="S565" s="214"/>
      <c r="Y565" s="214"/>
      <c r="Z565" s="214"/>
      <c r="AF565" s="212"/>
      <c r="AG565" s="212"/>
    </row>
    <row r="566" spans="5:33">
      <c r="E566" s="376"/>
      <c r="F566" s="376"/>
      <c r="G566" s="376"/>
      <c r="H566" s="376"/>
      <c r="K566" s="214"/>
      <c r="S566" s="214"/>
      <c r="Y566" s="214"/>
      <c r="Z566" s="214"/>
      <c r="AF566" s="212"/>
      <c r="AG566" s="212"/>
    </row>
    <row r="567" spans="5:33">
      <c r="E567" s="376"/>
      <c r="F567" s="376"/>
      <c r="G567" s="376"/>
      <c r="H567" s="376"/>
      <c r="K567" s="214"/>
      <c r="S567" s="214"/>
      <c r="Y567" s="214"/>
      <c r="Z567" s="214"/>
      <c r="AF567" s="212"/>
      <c r="AG567" s="212"/>
    </row>
    <row r="568" spans="5:33">
      <c r="E568" s="376"/>
      <c r="F568" s="376"/>
      <c r="G568" s="376"/>
      <c r="H568" s="376"/>
      <c r="K568" s="214"/>
      <c r="S568" s="214"/>
      <c r="Y568" s="214"/>
      <c r="Z568" s="214"/>
      <c r="AF568" s="212"/>
      <c r="AG568" s="212"/>
    </row>
    <row r="569" spans="5:33">
      <c r="E569" s="376"/>
      <c r="F569" s="376"/>
      <c r="G569" s="376"/>
      <c r="H569" s="376"/>
      <c r="K569" s="214"/>
      <c r="S569" s="214"/>
      <c r="Y569" s="214"/>
      <c r="Z569" s="214"/>
      <c r="AF569" s="212"/>
      <c r="AG569" s="212"/>
    </row>
    <row r="570" spans="5:33">
      <c r="E570" s="376"/>
      <c r="F570" s="376"/>
      <c r="G570" s="376"/>
      <c r="H570" s="376"/>
      <c r="K570" s="214"/>
      <c r="S570" s="214"/>
      <c r="Y570" s="214"/>
      <c r="Z570" s="214"/>
      <c r="AF570" s="212"/>
      <c r="AG570" s="212"/>
    </row>
    <row r="571" spans="5:33">
      <c r="E571" s="376"/>
      <c r="F571" s="376"/>
      <c r="G571" s="376"/>
      <c r="H571" s="376"/>
      <c r="K571" s="214"/>
      <c r="S571" s="214"/>
      <c r="Y571" s="214"/>
      <c r="Z571" s="214"/>
      <c r="AF571" s="212"/>
      <c r="AG571" s="212"/>
    </row>
    <row r="572" spans="5:33">
      <c r="E572" s="376"/>
      <c r="F572" s="376"/>
      <c r="G572" s="376"/>
      <c r="H572" s="376"/>
      <c r="K572" s="214"/>
      <c r="S572" s="214"/>
      <c r="Y572" s="214"/>
      <c r="Z572" s="214"/>
      <c r="AF572" s="212"/>
      <c r="AG572" s="212"/>
    </row>
    <row r="573" spans="5:33">
      <c r="E573" s="376"/>
      <c r="F573" s="376"/>
      <c r="G573" s="376"/>
      <c r="H573" s="376"/>
      <c r="K573" s="214"/>
      <c r="S573" s="214"/>
      <c r="Y573" s="214"/>
      <c r="Z573" s="214"/>
      <c r="AF573" s="212"/>
      <c r="AG573" s="212"/>
    </row>
    <row r="574" spans="5:33">
      <c r="E574" s="376"/>
      <c r="F574" s="376"/>
      <c r="G574" s="376"/>
      <c r="H574" s="376"/>
      <c r="K574" s="214"/>
      <c r="S574" s="214"/>
      <c r="Y574" s="214"/>
      <c r="Z574" s="214"/>
      <c r="AF574" s="212"/>
      <c r="AG574" s="212"/>
    </row>
    <row r="575" spans="5:33">
      <c r="E575" s="376"/>
      <c r="F575" s="376"/>
      <c r="G575" s="376"/>
      <c r="H575" s="376"/>
      <c r="K575" s="214"/>
      <c r="S575" s="214"/>
      <c r="Y575" s="214"/>
      <c r="Z575" s="214"/>
      <c r="AF575" s="212"/>
      <c r="AG575" s="212"/>
    </row>
    <row r="576" spans="5:33">
      <c r="E576" s="376"/>
      <c r="F576" s="376"/>
      <c r="G576" s="376"/>
      <c r="H576" s="376"/>
      <c r="K576" s="214"/>
      <c r="S576" s="214"/>
      <c r="Y576" s="214"/>
      <c r="Z576" s="214"/>
      <c r="AF576" s="212"/>
      <c r="AG576" s="212"/>
    </row>
    <row r="577" spans="5:33">
      <c r="E577" s="376"/>
      <c r="F577" s="376"/>
      <c r="G577" s="376"/>
      <c r="H577" s="376"/>
      <c r="K577" s="214"/>
      <c r="S577" s="214"/>
      <c r="Y577" s="214"/>
      <c r="Z577" s="214"/>
      <c r="AF577" s="212"/>
      <c r="AG577" s="212"/>
    </row>
    <row r="578" spans="5:33">
      <c r="E578" s="376"/>
      <c r="F578" s="376"/>
      <c r="G578" s="376"/>
      <c r="H578" s="376"/>
      <c r="K578" s="214"/>
      <c r="S578" s="214"/>
      <c r="Y578" s="214"/>
      <c r="Z578" s="214"/>
      <c r="AF578" s="212"/>
      <c r="AG578" s="212"/>
    </row>
    <row r="579" spans="5:33">
      <c r="E579" s="376"/>
      <c r="F579" s="376"/>
      <c r="G579" s="376"/>
      <c r="H579" s="376"/>
      <c r="K579" s="214"/>
      <c r="S579" s="214"/>
      <c r="Y579" s="214"/>
      <c r="Z579" s="214"/>
      <c r="AF579" s="212"/>
      <c r="AG579" s="212"/>
    </row>
    <row r="580" spans="5:33">
      <c r="E580" s="376"/>
      <c r="F580" s="376"/>
      <c r="G580" s="376"/>
      <c r="H580" s="376"/>
      <c r="K580" s="214"/>
      <c r="S580" s="214"/>
      <c r="Y580" s="214"/>
      <c r="Z580" s="214"/>
      <c r="AF580" s="212"/>
      <c r="AG580" s="212"/>
    </row>
    <row r="581" spans="5:33">
      <c r="E581" s="376"/>
      <c r="F581" s="376"/>
      <c r="G581" s="376"/>
      <c r="H581" s="376"/>
      <c r="K581" s="214"/>
      <c r="S581" s="214"/>
      <c r="Y581" s="214"/>
      <c r="Z581" s="214"/>
      <c r="AF581" s="212"/>
      <c r="AG581" s="212"/>
    </row>
    <row r="582" spans="5:33">
      <c r="E582" s="376"/>
      <c r="F582" s="376"/>
      <c r="G582" s="376"/>
      <c r="H582" s="376"/>
      <c r="K582" s="214"/>
      <c r="S582" s="214"/>
      <c r="Y582" s="214"/>
      <c r="Z582" s="214"/>
      <c r="AF582" s="212"/>
      <c r="AG582" s="212"/>
    </row>
    <row r="583" spans="5:33">
      <c r="E583" s="376"/>
      <c r="F583" s="376"/>
      <c r="G583" s="376"/>
      <c r="H583" s="376"/>
      <c r="K583" s="214"/>
      <c r="S583" s="214"/>
      <c r="Y583" s="214"/>
      <c r="Z583" s="214"/>
      <c r="AF583" s="212"/>
      <c r="AG583" s="212"/>
    </row>
    <row r="584" spans="5:33">
      <c r="E584" s="376"/>
      <c r="F584" s="376"/>
      <c r="G584" s="376"/>
      <c r="H584" s="376"/>
      <c r="K584" s="214"/>
      <c r="S584" s="214"/>
      <c r="Y584" s="214"/>
      <c r="Z584" s="214"/>
      <c r="AF584" s="212"/>
      <c r="AG584" s="212"/>
    </row>
    <row r="585" spans="5:33">
      <c r="E585" s="376"/>
      <c r="F585" s="376"/>
      <c r="G585" s="376"/>
      <c r="H585" s="376"/>
      <c r="K585" s="214"/>
      <c r="S585" s="214"/>
      <c r="Y585" s="214"/>
      <c r="Z585" s="214"/>
      <c r="AF585" s="212"/>
      <c r="AG585" s="212"/>
    </row>
    <row r="586" spans="5:33">
      <c r="E586" s="376"/>
      <c r="F586" s="376"/>
      <c r="G586" s="376"/>
      <c r="H586" s="376"/>
      <c r="K586" s="214"/>
      <c r="S586" s="214"/>
      <c r="Y586" s="214"/>
      <c r="Z586" s="214"/>
      <c r="AF586" s="212"/>
      <c r="AG586" s="212"/>
    </row>
    <row r="587" spans="5:33">
      <c r="E587" s="376"/>
      <c r="F587" s="376"/>
      <c r="G587" s="376"/>
      <c r="H587" s="376"/>
      <c r="K587" s="214"/>
      <c r="S587" s="214"/>
      <c r="Y587" s="214"/>
      <c r="Z587" s="214"/>
      <c r="AF587" s="212"/>
      <c r="AG587" s="212"/>
    </row>
    <row r="588" spans="5:33">
      <c r="E588" s="376"/>
      <c r="F588" s="376"/>
      <c r="G588" s="376"/>
      <c r="H588" s="376"/>
      <c r="K588" s="214"/>
      <c r="S588" s="214"/>
      <c r="Y588" s="214"/>
      <c r="Z588" s="214"/>
      <c r="AF588" s="212"/>
      <c r="AG588" s="212"/>
    </row>
    <row r="589" spans="5:33">
      <c r="E589" s="376"/>
      <c r="F589" s="376"/>
      <c r="G589" s="376"/>
      <c r="H589" s="376"/>
      <c r="K589" s="214"/>
      <c r="S589" s="214"/>
      <c r="Y589" s="214"/>
      <c r="Z589" s="214"/>
      <c r="AF589" s="212"/>
      <c r="AG589" s="212"/>
    </row>
    <row r="590" spans="5:33">
      <c r="E590" s="376"/>
      <c r="F590" s="376"/>
      <c r="G590" s="376"/>
      <c r="H590" s="376"/>
      <c r="K590" s="214"/>
      <c r="S590" s="214"/>
      <c r="Y590" s="214"/>
      <c r="Z590" s="214"/>
      <c r="AF590" s="212"/>
      <c r="AG590" s="212"/>
    </row>
    <row r="591" spans="5:33">
      <c r="E591" s="376"/>
      <c r="F591" s="376"/>
      <c r="G591" s="376"/>
      <c r="H591" s="376"/>
      <c r="K591" s="214"/>
      <c r="S591" s="214"/>
      <c r="Y591" s="214"/>
      <c r="Z591" s="214"/>
      <c r="AF591" s="212"/>
      <c r="AG591" s="212"/>
    </row>
    <row r="592" spans="5:33">
      <c r="E592" s="376"/>
      <c r="F592" s="376"/>
      <c r="G592" s="376"/>
      <c r="H592" s="376"/>
      <c r="K592" s="214"/>
      <c r="S592" s="214"/>
      <c r="Y592" s="214"/>
      <c r="Z592" s="214"/>
      <c r="AF592" s="212"/>
      <c r="AG592" s="212"/>
    </row>
    <row r="593" spans="5:33">
      <c r="E593" s="376"/>
      <c r="F593" s="376"/>
      <c r="G593" s="376"/>
      <c r="H593" s="376"/>
      <c r="K593" s="214"/>
      <c r="S593" s="214"/>
      <c r="Y593" s="214"/>
      <c r="Z593" s="214"/>
      <c r="AF593" s="212"/>
      <c r="AG593" s="212"/>
    </row>
    <row r="594" spans="5:33">
      <c r="E594" s="376"/>
      <c r="F594" s="376"/>
      <c r="G594" s="376"/>
      <c r="H594" s="376"/>
      <c r="K594" s="214"/>
      <c r="S594" s="214"/>
      <c r="Y594" s="214"/>
      <c r="Z594" s="214"/>
      <c r="AF594" s="212"/>
      <c r="AG594" s="212"/>
    </row>
    <row r="595" spans="5:33">
      <c r="E595" s="376"/>
      <c r="F595" s="376"/>
      <c r="G595" s="376"/>
      <c r="H595" s="376"/>
      <c r="K595" s="214"/>
      <c r="S595" s="214"/>
      <c r="Y595" s="214"/>
      <c r="Z595" s="214"/>
      <c r="AF595" s="212"/>
      <c r="AG595" s="212"/>
    </row>
    <row r="596" spans="5:33">
      <c r="E596" s="376"/>
      <c r="F596" s="376"/>
      <c r="G596" s="376"/>
      <c r="H596" s="376"/>
      <c r="K596" s="214"/>
      <c r="S596" s="214"/>
      <c r="Y596" s="214"/>
      <c r="Z596" s="214"/>
      <c r="AF596" s="212"/>
      <c r="AG596" s="212"/>
    </row>
    <row r="597" spans="5:33">
      <c r="E597" s="376"/>
      <c r="F597" s="376"/>
      <c r="G597" s="376"/>
      <c r="H597" s="376"/>
      <c r="K597" s="214"/>
      <c r="S597" s="214"/>
      <c r="Y597" s="214"/>
      <c r="Z597" s="214"/>
      <c r="AF597" s="212"/>
      <c r="AG597" s="212"/>
    </row>
    <row r="598" spans="5:33">
      <c r="E598" s="376"/>
      <c r="F598" s="376"/>
      <c r="G598" s="376"/>
      <c r="H598" s="376"/>
      <c r="K598" s="214"/>
      <c r="S598" s="214"/>
      <c r="Y598" s="214"/>
      <c r="Z598" s="214"/>
      <c r="AF598" s="212"/>
      <c r="AG598" s="212"/>
    </row>
    <row r="599" spans="5:33">
      <c r="E599" s="376"/>
      <c r="F599" s="376"/>
      <c r="G599" s="376"/>
      <c r="H599" s="376"/>
      <c r="K599" s="214"/>
      <c r="S599" s="214"/>
      <c r="Y599" s="214"/>
      <c r="Z599" s="214"/>
      <c r="AF599" s="212"/>
      <c r="AG599" s="212"/>
    </row>
    <row r="600" spans="5:33">
      <c r="E600" s="376"/>
      <c r="F600" s="376"/>
      <c r="G600" s="376"/>
      <c r="H600" s="376"/>
      <c r="K600" s="214"/>
      <c r="S600" s="214"/>
      <c r="Y600" s="214"/>
      <c r="Z600" s="214"/>
      <c r="AF600" s="212"/>
      <c r="AG600" s="212"/>
    </row>
    <row r="601" spans="5:33">
      <c r="E601" s="376"/>
      <c r="F601" s="376"/>
      <c r="G601" s="376"/>
      <c r="H601" s="376"/>
      <c r="K601" s="214"/>
      <c r="S601" s="214"/>
      <c r="Y601" s="214"/>
      <c r="Z601" s="214"/>
      <c r="AF601" s="212"/>
      <c r="AG601" s="212"/>
    </row>
    <row r="602" spans="5:33">
      <c r="E602" s="376"/>
      <c r="F602" s="376"/>
      <c r="G602" s="376"/>
      <c r="H602" s="376"/>
      <c r="K602" s="214"/>
      <c r="S602" s="214"/>
      <c r="Y602" s="214"/>
      <c r="Z602" s="214"/>
      <c r="AF602" s="212"/>
      <c r="AG602" s="212"/>
    </row>
    <row r="603" spans="5:33">
      <c r="E603" s="376"/>
      <c r="F603" s="376"/>
      <c r="G603" s="376"/>
      <c r="H603" s="376"/>
      <c r="K603" s="214"/>
      <c r="S603" s="214"/>
      <c r="Y603" s="214"/>
      <c r="Z603" s="214"/>
      <c r="AF603" s="212"/>
      <c r="AG603" s="212"/>
    </row>
    <row r="604" spans="5:33">
      <c r="E604" s="376"/>
      <c r="F604" s="376"/>
      <c r="G604" s="376"/>
      <c r="H604" s="376"/>
      <c r="K604" s="214"/>
      <c r="S604" s="214"/>
      <c r="Y604" s="214"/>
      <c r="Z604" s="214"/>
      <c r="AF604" s="212"/>
      <c r="AG604" s="212"/>
    </row>
    <row r="605" spans="5:33">
      <c r="E605" s="376"/>
      <c r="F605" s="376"/>
      <c r="G605" s="376"/>
      <c r="H605" s="376"/>
      <c r="K605" s="214"/>
      <c r="S605" s="214"/>
      <c r="Y605" s="214"/>
      <c r="Z605" s="214"/>
      <c r="AF605" s="212"/>
      <c r="AG605" s="212"/>
    </row>
    <row r="606" spans="5:33">
      <c r="E606" s="376"/>
      <c r="F606" s="376"/>
      <c r="G606" s="376"/>
      <c r="H606" s="376"/>
      <c r="K606" s="214"/>
      <c r="S606" s="214"/>
      <c r="Y606" s="214"/>
      <c r="Z606" s="214"/>
      <c r="AF606" s="212"/>
      <c r="AG606" s="212"/>
    </row>
    <row r="607" spans="5:33">
      <c r="E607" s="376"/>
      <c r="F607" s="376"/>
      <c r="G607" s="376"/>
      <c r="H607" s="376"/>
      <c r="K607" s="214"/>
      <c r="S607" s="214"/>
      <c r="Y607" s="214"/>
      <c r="Z607" s="214"/>
      <c r="AF607" s="212"/>
      <c r="AG607" s="212"/>
    </row>
    <row r="608" spans="5:33">
      <c r="E608" s="376"/>
      <c r="F608" s="376"/>
      <c r="G608" s="376"/>
      <c r="H608" s="376"/>
      <c r="K608" s="214"/>
      <c r="S608" s="214"/>
      <c r="Y608" s="214"/>
      <c r="Z608" s="214"/>
      <c r="AF608" s="212"/>
      <c r="AG608" s="212"/>
    </row>
    <row r="609" spans="5:33">
      <c r="E609" s="376"/>
      <c r="F609" s="376"/>
      <c r="G609" s="376"/>
      <c r="H609" s="376"/>
      <c r="K609" s="214"/>
      <c r="S609" s="214"/>
      <c r="Y609" s="214"/>
      <c r="Z609" s="214"/>
      <c r="AF609" s="212"/>
      <c r="AG609" s="212"/>
    </row>
    <row r="610" spans="5:33">
      <c r="E610" s="376"/>
      <c r="F610" s="376"/>
      <c r="G610" s="376"/>
      <c r="H610" s="376"/>
      <c r="K610" s="214"/>
      <c r="S610" s="214"/>
      <c r="Y610" s="214"/>
      <c r="Z610" s="214"/>
      <c r="AF610" s="212"/>
      <c r="AG610" s="212"/>
    </row>
    <row r="611" spans="5:33">
      <c r="E611" s="376"/>
      <c r="F611" s="376"/>
      <c r="G611" s="376"/>
      <c r="H611" s="376"/>
      <c r="K611" s="214"/>
      <c r="S611" s="214"/>
      <c r="Y611" s="214"/>
      <c r="Z611" s="214"/>
      <c r="AF611" s="212"/>
      <c r="AG611" s="212"/>
    </row>
    <row r="612" spans="5:33">
      <c r="E612" s="376"/>
      <c r="F612" s="376"/>
      <c r="G612" s="376"/>
      <c r="H612" s="376"/>
      <c r="K612" s="214"/>
      <c r="S612" s="214"/>
      <c r="Y612" s="214"/>
      <c r="Z612" s="214"/>
      <c r="AF612" s="212"/>
      <c r="AG612" s="212"/>
    </row>
    <row r="613" spans="5:33">
      <c r="E613" s="376"/>
      <c r="F613" s="376"/>
      <c r="G613" s="376"/>
      <c r="H613" s="376"/>
      <c r="K613" s="214"/>
      <c r="S613" s="214"/>
      <c r="Y613" s="214"/>
      <c r="Z613" s="214"/>
      <c r="AF613" s="212"/>
      <c r="AG613" s="212"/>
    </row>
    <row r="614" spans="5:33">
      <c r="E614" s="376"/>
      <c r="F614" s="376"/>
      <c r="G614" s="376"/>
      <c r="H614" s="376"/>
      <c r="K614" s="214"/>
      <c r="S614" s="214"/>
      <c r="Y614" s="214"/>
      <c r="Z614" s="214"/>
      <c r="AF614" s="212"/>
      <c r="AG614" s="212"/>
    </row>
    <row r="615" spans="5:33">
      <c r="E615" s="376"/>
      <c r="F615" s="376"/>
      <c r="G615" s="376"/>
      <c r="H615" s="376"/>
      <c r="K615" s="214"/>
      <c r="S615" s="214"/>
      <c r="Y615" s="214"/>
      <c r="Z615" s="214"/>
      <c r="AF615" s="212"/>
      <c r="AG615" s="212"/>
    </row>
    <row r="616" spans="5:33">
      <c r="E616" s="376"/>
      <c r="F616" s="376"/>
      <c r="G616" s="376"/>
      <c r="H616" s="376"/>
      <c r="K616" s="214"/>
      <c r="S616" s="214"/>
      <c r="Y616" s="214"/>
      <c r="Z616" s="214"/>
      <c r="AF616" s="212"/>
      <c r="AG616" s="212"/>
    </row>
    <row r="617" spans="5:33">
      <c r="E617" s="376"/>
      <c r="F617" s="376"/>
      <c r="G617" s="376"/>
      <c r="H617" s="376"/>
      <c r="K617" s="214"/>
      <c r="S617" s="214"/>
      <c r="Y617" s="214"/>
      <c r="Z617" s="214"/>
      <c r="AF617" s="212"/>
      <c r="AG617" s="212"/>
    </row>
    <row r="618" spans="5:33">
      <c r="E618" s="376"/>
      <c r="F618" s="376"/>
      <c r="G618" s="376"/>
      <c r="H618" s="376"/>
      <c r="K618" s="214"/>
      <c r="S618" s="214"/>
      <c r="Y618" s="214"/>
      <c r="Z618" s="214"/>
      <c r="AF618" s="212"/>
      <c r="AG618" s="212"/>
    </row>
    <row r="619" spans="5:33">
      <c r="E619" s="376"/>
      <c r="F619" s="376"/>
      <c r="G619" s="376"/>
      <c r="H619" s="376"/>
      <c r="K619" s="214"/>
      <c r="S619" s="214"/>
      <c r="Y619" s="214"/>
      <c r="Z619" s="214"/>
      <c r="AF619" s="212"/>
      <c r="AG619" s="212"/>
    </row>
    <row r="620" spans="5:33">
      <c r="E620" s="376"/>
      <c r="F620" s="376"/>
      <c r="G620" s="376"/>
      <c r="H620" s="376"/>
      <c r="K620" s="214"/>
      <c r="S620" s="214"/>
      <c r="Y620" s="214"/>
      <c r="Z620" s="214"/>
      <c r="AF620" s="212"/>
      <c r="AG620" s="212"/>
    </row>
    <row r="621" spans="5:33">
      <c r="E621" s="376"/>
      <c r="F621" s="376"/>
      <c r="G621" s="376"/>
      <c r="H621" s="376"/>
      <c r="K621" s="214"/>
      <c r="S621" s="214"/>
      <c r="Y621" s="214"/>
      <c r="Z621" s="214"/>
      <c r="AF621" s="212"/>
      <c r="AG621" s="212"/>
    </row>
    <row r="622" spans="5:33">
      <c r="E622" s="376"/>
      <c r="F622" s="376"/>
      <c r="G622" s="376"/>
      <c r="H622" s="376"/>
      <c r="K622" s="214"/>
      <c r="S622" s="214"/>
      <c r="Y622" s="214"/>
      <c r="Z622" s="214"/>
      <c r="AF622" s="212"/>
      <c r="AG622" s="212"/>
    </row>
    <row r="623" spans="5:33">
      <c r="E623" s="376"/>
      <c r="F623" s="376"/>
      <c r="G623" s="376"/>
      <c r="H623" s="376"/>
      <c r="K623" s="214"/>
      <c r="S623" s="214"/>
      <c r="Y623" s="214"/>
      <c r="Z623" s="214"/>
      <c r="AF623" s="212"/>
      <c r="AG623" s="212"/>
    </row>
    <row r="624" spans="5:33">
      <c r="E624" s="376"/>
      <c r="F624" s="376"/>
      <c r="G624" s="376"/>
      <c r="H624" s="376"/>
      <c r="K624" s="214"/>
      <c r="S624" s="214"/>
      <c r="Y624" s="214"/>
      <c r="Z624" s="214"/>
      <c r="AF624" s="212"/>
      <c r="AG624" s="212"/>
    </row>
    <row r="625" spans="5:33">
      <c r="E625" s="376"/>
      <c r="F625" s="376"/>
      <c r="G625" s="376"/>
      <c r="H625" s="376"/>
      <c r="K625" s="214"/>
      <c r="S625" s="214"/>
      <c r="Y625" s="214"/>
      <c r="Z625" s="214"/>
      <c r="AF625" s="212"/>
      <c r="AG625" s="212"/>
    </row>
    <row r="626" spans="5:33">
      <c r="E626" s="376"/>
      <c r="F626" s="376"/>
      <c r="G626" s="376"/>
      <c r="H626" s="376"/>
      <c r="K626" s="214"/>
      <c r="S626" s="214"/>
      <c r="Y626" s="214"/>
      <c r="Z626" s="214"/>
      <c r="AF626" s="212"/>
      <c r="AG626" s="212"/>
    </row>
    <row r="627" spans="5:33">
      <c r="E627" s="376"/>
      <c r="F627" s="376"/>
      <c r="G627" s="376"/>
      <c r="H627" s="376"/>
      <c r="K627" s="214"/>
      <c r="S627" s="214"/>
      <c r="Y627" s="214"/>
      <c r="Z627" s="214"/>
      <c r="AF627" s="212"/>
      <c r="AG627" s="212"/>
    </row>
    <row r="628" spans="5:33">
      <c r="E628" s="376"/>
      <c r="F628" s="376"/>
      <c r="G628" s="376"/>
      <c r="H628" s="376"/>
      <c r="K628" s="214"/>
      <c r="S628" s="214"/>
      <c r="Y628" s="214"/>
      <c r="Z628" s="214"/>
      <c r="AF628" s="212"/>
      <c r="AG628" s="212"/>
    </row>
    <row r="629" spans="5:33">
      <c r="E629" s="376"/>
      <c r="F629" s="376"/>
      <c r="G629" s="376"/>
      <c r="H629" s="376"/>
      <c r="K629" s="214"/>
      <c r="S629" s="214"/>
      <c r="Y629" s="214"/>
      <c r="Z629" s="214"/>
      <c r="AF629" s="212"/>
      <c r="AG629" s="212"/>
    </row>
    <row r="630" spans="5:33">
      <c r="E630" s="376"/>
      <c r="F630" s="376"/>
      <c r="G630" s="376"/>
      <c r="H630" s="376"/>
      <c r="K630" s="214"/>
      <c r="S630" s="214"/>
      <c r="Y630" s="214"/>
      <c r="Z630" s="214"/>
      <c r="AF630" s="212"/>
      <c r="AG630" s="212"/>
    </row>
    <row r="631" spans="5:33">
      <c r="E631" s="376"/>
      <c r="F631" s="376"/>
      <c r="G631" s="376"/>
      <c r="H631" s="376"/>
      <c r="K631" s="214"/>
      <c r="S631" s="214"/>
      <c r="Y631" s="214"/>
      <c r="Z631" s="214"/>
      <c r="AF631" s="212"/>
      <c r="AG631" s="212"/>
    </row>
    <row r="632" spans="5:33">
      <c r="E632" s="376"/>
      <c r="F632" s="376"/>
      <c r="G632" s="376"/>
      <c r="H632" s="376"/>
      <c r="K632" s="214"/>
      <c r="S632" s="214"/>
      <c r="Y632" s="214"/>
      <c r="Z632" s="214"/>
      <c r="AF632" s="212"/>
      <c r="AG632" s="212"/>
    </row>
    <row r="633" spans="5:33">
      <c r="E633" s="376"/>
      <c r="F633" s="376"/>
      <c r="G633" s="376"/>
      <c r="H633" s="376"/>
      <c r="K633" s="214"/>
      <c r="S633" s="214"/>
      <c r="Y633" s="214"/>
      <c r="Z633" s="214"/>
      <c r="AF633" s="212"/>
      <c r="AG633" s="212"/>
    </row>
    <row r="634" spans="5:33">
      <c r="E634" s="376"/>
      <c r="F634" s="376"/>
      <c r="G634" s="376"/>
      <c r="H634" s="376"/>
      <c r="K634" s="214"/>
      <c r="S634" s="214"/>
      <c r="Y634" s="214"/>
      <c r="Z634" s="214"/>
      <c r="AF634" s="212"/>
      <c r="AG634" s="212"/>
    </row>
    <row r="635" spans="5:33">
      <c r="E635" s="376"/>
      <c r="F635" s="376"/>
      <c r="G635" s="376"/>
      <c r="H635" s="376"/>
      <c r="K635" s="214"/>
      <c r="S635" s="214"/>
      <c r="Y635" s="214"/>
      <c r="Z635" s="214"/>
      <c r="AF635" s="212"/>
      <c r="AG635" s="212"/>
    </row>
    <row r="636" spans="5:33">
      <c r="E636" s="376"/>
      <c r="F636" s="376"/>
      <c r="G636" s="376"/>
      <c r="H636" s="376"/>
      <c r="K636" s="214"/>
      <c r="S636" s="214"/>
      <c r="Y636" s="214"/>
      <c r="Z636" s="214"/>
      <c r="AF636" s="212"/>
      <c r="AG636" s="212"/>
    </row>
    <row r="637" spans="5:33">
      <c r="E637" s="376"/>
      <c r="F637" s="376"/>
      <c r="G637" s="376"/>
      <c r="H637" s="376"/>
      <c r="K637" s="214"/>
      <c r="S637" s="214"/>
      <c r="Y637" s="214"/>
      <c r="Z637" s="214"/>
      <c r="AF637" s="212"/>
      <c r="AG637" s="212"/>
    </row>
    <row r="638" spans="5:33">
      <c r="E638" s="376"/>
      <c r="F638" s="376"/>
      <c r="G638" s="376"/>
      <c r="H638" s="376"/>
      <c r="K638" s="214"/>
      <c r="S638" s="214"/>
      <c r="Y638" s="214"/>
      <c r="Z638" s="214"/>
      <c r="AF638" s="212"/>
      <c r="AG638" s="212"/>
    </row>
    <row r="639" spans="5:33">
      <c r="E639" s="376"/>
      <c r="F639" s="376"/>
      <c r="G639" s="376"/>
      <c r="H639" s="376"/>
      <c r="K639" s="214"/>
      <c r="S639" s="214"/>
      <c r="Y639" s="214"/>
      <c r="Z639" s="214"/>
      <c r="AF639" s="212"/>
      <c r="AG639" s="212"/>
    </row>
    <row r="640" spans="5:33">
      <c r="E640" s="376"/>
      <c r="F640" s="376"/>
      <c r="G640" s="376"/>
      <c r="H640" s="376"/>
      <c r="K640" s="214"/>
      <c r="S640" s="214"/>
      <c r="Y640" s="214"/>
      <c r="Z640" s="214"/>
      <c r="AF640" s="212"/>
      <c r="AG640" s="212"/>
    </row>
    <row r="641" spans="5:33">
      <c r="E641" s="376"/>
      <c r="F641" s="376"/>
      <c r="G641" s="376"/>
      <c r="H641" s="376"/>
      <c r="K641" s="214"/>
      <c r="S641" s="214"/>
      <c r="Y641" s="214"/>
      <c r="Z641" s="214"/>
      <c r="AF641" s="212"/>
      <c r="AG641" s="212"/>
    </row>
    <row r="642" spans="5:33">
      <c r="E642" s="376"/>
      <c r="F642" s="376"/>
      <c r="G642" s="376"/>
      <c r="H642" s="376"/>
      <c r="K642" s="214"/>
      <c r="S642" s="214"/>
      <c r="Y642" s="214"/>
      <c r="Z642" s="214"/>
      <c r="AF642" s="212"/>
      <c r="AG642" s="212"/>
    </row>
    <row r="643" spans="5:33">
      <c r="E643" s="376"/>
      <c r="F643" s="376"/>
      <c r="G643" s="376"/>
      <c r="H643" s="376"/>
      <c r="K643" s="214"/>
      <c r="S643" s="214"/>
      <c r="Y643" s="214"/>
      <c r="Z643" s="214"/>
      <c r="AF643" s="212"/>
      <c r="AG643" s="212"/>
    </row>
    <row r="644" spans="5:33">
      <c r="E644" s="376"/>
      <c r="F644" s="376"/>
      <c r="G644" s="376"/>
      <c r="H644" s="376"/>
      <c r="K644" s="214"/>
      <c r="S644" s="214"/>
      <c r="Y644" s="214"/>
      <c r="Z644" s="214"/>
      <c r="AF644" s="212"/>
      <c r="AG644" s="212"/>
    </row>
    <row r="645" spans="5:33">
      <c r="E645" s="376"/>
      <c r="F645" s="376"/>
      <c r="G645" s="376"/>
      <c r="H645" s="376"/>
      <c r="K645" s="214"/>
      <c r="S645" s="214"/>
      <c r="Y645" s="214"/>
      <c r="Z645" s="214"/>
      <c r="AF645" s="212"/>
      <c r="AG645" s="212"/>
    </row>
    <row r="646" spans="5:33">
      <c r="E646" s="376"/>
      <c r="F646" s="376"/>
      <c r="G646" s="376"/>
      <c r="H646" s="376"/>
      <c r="K646" s="214"/>
      <c r="S646" s="214"/>
      <c r="Y646" s="214"/>
      <c r="Z646" s="214"/>
      <c r="AF646" s="212"/>
      <c r="AG646" s="212"/>
    </row>
    <row r="647" spans="5:33">
      <c r="E647" s="376"/>
      <c r="F647" s="376"/>
      <c r="G647" s="376"/>
      <c r="H647" s="376"/>
      <c r="K647" s="214"/>
      <c r="S647" s="214"/>
      <c r="Y647" s="214"/>
      <c r="Z647" s="214"/>
      <c r="AF647" s="212"/>
      <c r="AG647" s="212"/>
    </row>
    <row r="648" spans="5:33">
      <c r="E648" s="376"/>
      <c r="F648" s="376"/>
      <c r="G648" s="376"/>
      <c r="H648" s="376"/>
      <c r="K648" s="214"/>
      <c r="S648" s="214"/>
      <c r="Y648" s="214"/>
      <c r="Z648" s="214"/>
      <c r="AF648" s="212"/>
      <c r="AG648" s="212"/>
    </row>
    <row r="649" spans="5:33">
      <c r="E649" s="376"/>
      <c r="F649" s="376"/>
      <c r="G649" s="376"/>
      <c r="H649" s="376"/>
      <c r="K649" s="214"/>
      <c r="S649" s="214"/>
      <c r="Y649" s="214"/>
      <c r="Z649" s="214"/>
      <c r="AF649" s="212"/>
      <c r="AG649" s="212"/>
    </row>
    <row r="650" spans="5:33">
      <c r="E650" s="376"/>
      <c r="F650" s="376"/>
      <c r="G650" s="376"/>
      <c r="H650" s="376"/>
      <c r="K650" s="214"/>
      <c r="S650" s="214"/>
      <c r="Y650" s="214"/>
      <c r="Z650" s="214"/>
      <c r="AF650" s="212"/>
      <c r="AG650" s="212"/>
    </row>
    <row r="651" spans="5:33">
      <c r="E651" s="376"/>
      <c r="F651" s="376"/>
      <c r="G651" s="376"/>
      <c r="H651" s="376"/>
      <c r="K651" s="214"/>
      <c r="S651" s="214"/>
      <c r="Y651" s="214"/>
      <c r="Z651" s="214"/>
      <c r="AF651" s="212"/>
      <c r="AG651" s="212"/>
    </row>
    <row r="652" spans="5:33">
      <c r="E652" s="376"/>
      <c r="F652" s="376"/>
      <c r="G652" s="376"/>
      <c r="H652" s="376"/>
      <c r="K652" s="214"/>
      <c r="S652" s="214"/>
      <c r="Y652" s="214"/>
      <c r="Z652" s="214"/>
      <c r="AF652" s="212"/>
      <c r="AG652" s="212"/>
    </row>
    <row r="653" spans="5:33">
      <c r="E653" s="376"/>
      <c r="F653" s="376"/>
      <c r="G653" s="376"/>
      <c r="H653" s="376"/>
      <c r="K653" s="214"/>
      <c r="S653" s="214"/>
      <c r="Y653" s="214"/>
      <c r="Z653" s="214"/>
      <c r="AF653" s="212"/>
      <c r="AG653" s="212"/>
    </row>
    <row r="654" spans="5:33">
      <c r="E654" s="376"/>
      <c r="F654" s="376"/>
      <c r="G654" s="376"/>
      <c r="H654" s="376"/>
      <c r="K654" s="214"/>
      <c r="S654" s="214"/>
      <c r="Y654" s="214"/>
      <c r="Z654" s="214"/>
      <c r="AF654" s="212"/>
      <c r="AG654" s="212"/>
    </row>
    <row r="655" spans="5:33">
      <c r="E655" s="376"/>
      <c r="F655" s="376"/>
      <c r="G655" s="376"/>
      <c r="H655" s="376"/>
      <c r="K655" s="214"/>
      <c r="S655" s="214"/>
      <c r="Y655" s="214"/>
      <c r="Z655" s="214"/>
      <c r="AF655" s="212"/>
      <c r="AG655" s="212"/>
    </row>
    <row r="656" spans="5:33">
      <c r="E656" s="376"/>
      <c r="F656" s="376"/>
      <c r="G656" s="376"/>
      <c r="H656" s="376"/>
      <c r="K656" s="214"/>
      <c r="S656" s="214"/>
      <c r="Y656" s="214"/>
      <c r="Z656" s="214"/>
      <c r="AF656" s="212"/>
      <c r="AG656" s="212"/>
    </row>
    <row r="657" spans="5:33">
      <c r="E657" s="376"/>
      <c r="F657" s="376"/>
      <c r="G657" s="376"/>
      <c r="H657" s="376"/>
      <c r="K657" s="214"/>
      <c r="S657" s="214"/>
      <c r="Y657" s="214"/>
      <c r="Z657" s="214"/>
      <c r="AF657" s="212"/>
      <c r="AG657" s="212"/>
    </row>
    <row r="658" spans="5:33">
      <c r="E658" s="376"/>
      <c r="F658" s="376"/>
      <c r="G658" s="376"/>
      <c r="H658" s="376"/>
      <c r="K658" s="214"/>
      <c r="S658" s="214"/>
      <c r="Y658" s="214"/>
      <c r="Z658" s="214"/>
      <c r="AF658" s="212"/>
      <c r="AG658" s="212"/>
    </row>
    <row r="659" spans="5:33">
      <c r="E659" s="376"/>
      <c r="F659" s="376"/>
      <c r="G659" s="376"/>
      <c r="H659" s="376"/>
      <c r="K659" s="214"/>
      <c r="S659" s="214"/>
      <c r="Y659" s="214"/>
      <c r="Z659" s="214"/>
      <c r="AF659" s="212"/>
      <c r="AG659" s="212"/>
    </row>
    <row r="660" spans="5:33">
      <c r="E660" s="376"/>
      <c r="F660" s="376"/>
      <c r="G660" s="376"/>
      <c r="H660" s="376"/>
      <c r="K660" s="214"/>
      <c r="S660" s="214"/>
      <c r="Y660" s="214"/>
      <c r="Z660" s="214"/>
      <c r="AF660" s="212"/>
      <c r="AG660" s="212"/>
    </row>
    <row r="661" spans="5:33">
      <c r="E661" s="376"/>
      <c r="F661" s="376"/>
      <c r="G661" s="376"/>
      <c r="H661" s="376"/>
      <c r="K661" s="214"/>
      <c r="S661" s="214"/>
      <c r="Y661" s="214"/>
      <c r="Z661" s="214"/>
      <c r="AF661" s="212"/>
      <c r="AG661" s="212"/>
    </row>
    <row r="662" spans="5:33">
      <c r="E662" s="376"/>
      <c r="F662" s="376"/>
      <c r="G662" s="376"/>
      <c r="H662" s="376"/>
      <c r="K662" s="214"/>
      <c r="S662" s="214"/>
      <c r="Y662" s="214"/>
      <c r="Z662" s="214"/>
      <c r="AF662" s="212"/>
      <c r="AG662" s="212"/>
    </row>
    <row r="663" spans="5:33">
      <c r="E663" s="376"/>
      <c r="F663" s="376"/>
      <c r="G663" s="376"/>
      <c r="H663" s="376"/>
      <c r="K663" s="214"/>
      <c r="S663" s="214"/>
      <c r="Y663" s="214"/>
      <c r="Z663" s="214"/>
      <c r="AF663" s="212"/>
      <c r="AG663" s="212"/>
    </row>
    <row r="664" spans="5:33">
      <c r="E664" s="376"/>
      <c r="F664" s="376"/>
      <c r="G664" s="376"/>
      <c r="H664" s="376"/>
      <c r="K664" s="214"/>
      <c r="S664" s="214"/>
      <c r="Y664" s="214"/>
      <c r="Z664" s="214"/>
      <c r="AF664" s="212"/>
      <c r="AG664" s="212"/>
    </row>
    <row r="665" spans="5:33">
      <c r="E665" s="376"/>
      <c r="F665" s="376"/>
      <c r="G665" s="376"/>
      <c r="H665" s="376"/>
      <c r="K665" s="214"/>
      <c r="S665" s="214"/>
      <c r="Y665" s="214"/>
      <c r="Z665" s="214"/>
      <c r="AF665" s="212"/>
      <c r="AG665" s="212"/>
    </row>
    <row r="666" spans="5:33">
      <c r="E666" s="376"/>
      <c r="F666" s="376"/>
      <c r="G666" s="376"/>
      <c r="H666" s="376"/>
      <c r="K666" s="214"/>
      <c r="S666" s="214"/>
      <c r="Y666" s="214"/>
      <c r="Z666" s="214"/>
      <c r="AF666" s="212"/>
      <c r="AG666" s="212"/>
    </row>
    <row r="667" spans="5:33">
      <c r="E667" s="376"/>
      <c r="F667" s="376"/>
      <c r="G667" s="376"/>
      <c r="H667" s="376"/>
      <c r="K667" s="214"/>
      <c r="S667" s="214"/>
      <c r="Y667" s="214"/>
      <c r="Z667" s="214"/>
      <c r="AF667" s="212"/>
      <c r="AG667" s="212"/>
    </row>
    <row r="668" spans="5:33">
      <c r="E668" s="376"/>
      <c r="F668" s="376"/>
      <c r="G668" s="376"/>
      <c r="H668" s="376"/>
      <c r="K668" s="214"/>
      <c r="S668" s="214"/>
      <c r="Y668" s="214"/>
      <c r="Z668" s="214"/>
      <c r="AF668" s="212"/>
      <c r="AG668" s="212"/>
    </row>
    <row r="669" spans="5:33">
      <c r="E669" s="376"/>
      <c r="F669" s="376"/>
      <c r="G669" s="376"/>
      <c r="H669" s="376"/>
      <c r="K669" s="214"/>
      <c r="S669" s="214"/>
      <c r="Y669" s="214"/>
      <c r="Z669" s="214"/>
      <c r="AF669" s="212"/>
      <c r="AG669" s="212"/>
    </row>
    <row r="670" spans="5:33">
      <c r="E670" s="376"/>
      <c r="F670" s="376"/>
      <c r="G670" s="376"/>
      <c r="H670" s="376"/>
      <c r="K670" s="214"/>
      <c r="S670" s="214"/>
      <c r="Y670" s="214"/>
      <c r="Z670" s="214"/>
      <c r="AF670" s="212"/>
      <c r="AG670" s="212"/>
    </row>
    <row r="671" spans="5:33">
      <c r="E671" s="376"/>
      <c r="F671" s="376"/>
      <c r="G671" s="376"/>
      <c r="H671" s="376"/>
      <c r="K671" s="214"/>
      <c r="S671" s="214"/>
      <c r="Y671" s="214"/>
      <c r="Z671" s="214"/>
      <c r="AF671" s="212"/>
      <c r="AG671" s="212"/>
    </row>
    <row r="672" spans="5:33">
      <c r="E672" s="376"/>
      <c r="F672" s="376"/>
      <c r="G672" s="376"/>
      <c r="H672" s="376"/>
      <c r="K672" s="214"/>
      <c r="S672" s="214"/>
      <c r="Y672" s="214"/>
      <c r="Z672" s="214"/>
      <c r="AF672" s="212"/>
      <c r="AG672" s="212"/>
    </row>
    <row r="673" spans="5:33">
      <c r="E673" s="376"/>
      <c r="F673" s="376"/>
      <c r="G673" s="376"/>
      <c r="H673" s="376"/>
      <c r="K673" s="214"/>
      <c r="S673" s="214"/>
      <c r="Y673" s="214"/>
      <c r="Z673" s="214"/>
      <c r="AF673" s="212"/>
      <c r="AG673" s="212"/>
    </row>
    <row r="674" spans="5:33">
      <c r="E674" s="376"/>
      <c r="F674" s="376"/>
      <c r="G674" s="376"/>
      <c r="H674" s="376"/>
      <c r="K674" s="214"/>
      <c r="S674" s="214"/>
      <c r="Y674" s="214"/>
      <c r="Z674" s="214"/>
      <c r="AF674" s="212"/>
      <c r="AG674" s="212"/>
    </row>
    <row r="675" spans="5:33">
      <c r="E675" s="376"/>
      <c r="F675" s="376"/>
      <c r="G675" s="376"/>
      <c r="H675" s="376"/>
      <c r="K675" s="214"/>
      <c r="S675" s="214"/>
      <c r="Y675" s="214"/>
      <c r="Z675" s="214"/>
      <c r="AF675" s="212"/>
      <c r="AG675" s="212"/>
    </row>
    <row r="676" spans="5:33">
      <c r="E676" s="376"/>
      <c r="F676" s="376"/>
      <c r="G676" s="376"/>
      <c r="H676" s="376"/>
      <c r="K676" s="214"/>
      <c r="S676" s="214"/>
      <c r="Y676" s="214"/>
      <c r="Z676" s="214"/>
      <c r="AF676" s="212"/>
      <c r="AG676" s="212"/>
    </row>
    <row r="677" spans="5:33">
      <c r="E677" s="376"/>
      <c r="F677" s="376"/>
      <c r="G677" s="376"/>
      <c r="H677" s="376"/>
      <c r="K677" s="214"/>
      <c r="S677" s="214"/>
      <c r="Y677" s="214"/>
      <c r="Z677" s="214"/>
      <c r="AF677" s="212"/>
      <c r="AG677" s="212"/>
    </row>
    <row r="678" spans="5:33">
      <c r="E678" s="376"/>
      <c r="F678" s="376"/>
      <c r="G678" s="376"/>
      <c r="H678" s="376"/>
      <c r="K678" s="214"/>
      <c r="S678" s="214"/>
      <c r="Y678" s="214"/>
      <c r="Z678" s="214"/>
      <c r="AF678" s="212"/>
      <c r="AG678" s="212"/>
    </row>
    <row r="679" spans="5:33">
      <c r="E679" s="376"/>
      <c r="F679" s="376"/>
      <c r="G679" s="376"/>
      <c r="H679" s="376"/>
      <c r="K679" s="214"/>
      <c r="S679" s="214"/>
      <c r="Y679" s="214"/>
      <c r="Z679" s="214"/>
      <c r="AF679" s="212"/>
      <c r="AG679" s="212"/>
    </row>
    <row r="680" spans="5:33">
      <c r="E680" s="376"/>
      <c r="F680" s="376"/>
      <c r="G680" s="376"/>
      <c r="H680" s="376"/>
      <c r="K680" s="214"/>
      <c r="S680" s="214"/>
      <c r="Y680" s="214"/>
      <c r="Z680" s="214"/>
      <c r="AF680" s="212"/>
      <c r="AG680" s="212"/>
    </row>
    <row r="681" spans="5:33">
      <c r="E681" s="376"/>
      <c r="F681" s="376"/>
      <c r="G681" s="376"/>
      <c r="H681" s="376"/>
      <c r="K681" s="214"/>
      <c r="S681" s="214"/>
      <c r="Y681" s="214"/>
      <c r="Z681" s="214"/>
      <c r="AF681" s="212"/>
      <c r="AG681" s="212"/>
    </row>
    <row r="682" spans="5:33">
      <c r="E682" s="376"/>
      <c r="F682" s="376"/>
      <c r="G682" s="376"/>
      <c r="H682" s="376"/>
      <c r="K682" s="214"/>
      <c r="S682" s="214"/>
      <c r="Y682" s="214"/>
      <c r="Z682" s="214"/>
      <c r="AF682" s="212"/>
      <c r="AG682" s="212"/>
    </row>
    <row r="683" spans="5:33">
      <c r="E683" s="376"/>
      <c r="F683" s="376"/>
      <c r="G683" s="376"/>
      <c r="H683" s="376"/>
      <c r="K683" s="214"/>
      <c r="S683" s="214"/>
      <c r="Y683" s="214"/>
      <c r="Z683" s="214"/>
      <c r="AF683" s="212"/>
      <c r="AG683" s="212"/>
    </row>
    <row r="684" spans="5:33">
      <c r="E684" s="376"/>
      <c r="F684" s="376"/>
      <c r="G684" s="376"/>
      <c r="H684" s="376"/>
      <c r="K684" s="214"/>
      <c r="S684" s="214"/>
      <c r="Y684" s="214"/>
      <c r="Z684" s="214"/>
      <c r="AF684" s="212"/>
      <c r="AG684" s="212"/>
    </row>
    <row r="685" spans="5:33">
      <c r="E685" s="376"/>
      <c r="F685" s="376"/>
      <c r="G685" s="376"/>
      <c r="H685" s="376"/>
      <c r="K685" s="214"/>
      <c r="S685" s="214"/>
      <c r="Y685" s="214"/>
      <c r="Z685" s="214"/>
      <c r="AF685" s="212"/>
      <c r="AG685" s="212"/>
    </row>
    <row r="686" spans="5:33">
      <c r="E686" s="376"/>
      <c r="F686" s="376"/>
      <c r="G686" s="376"/>
      <c r="H686" s="376"/>
      <c r="K686" s="214"/>
      <c r="S686" s="214"/>
      <c r="Y686" s="214"/>
      <c r="Z686" s="214"/>
      <c r="AF686" s="212"/>
      <c r="AG686" s="212"/>
    </row>
    <row r="687" spans="5:33">
      <c r="E687" s="376"/>
      <c r="F687" s="376"/>
      <c r="G687" s="376"/>
      <c r="H687" s="376"/>
      <c r="K687" s="214"/>
      <c r="S687" s="214"/>
      <c r="Y687" s="214"/>
      <c r="Z687" s="214"/>
      <c r="AF687" s="212"/>
      <c r="AG687" s="212"/>
    </row>
    <row r="688" spans="5:33">
      <c r="E688" s="376"/>
      <c r="F688" s="376"/>
      <c r="G688" s="376"/>
      <c r="H688" s="376"/>
      <c r="K688" s="214"/>
      <c r="S688" s="214"/>
      <c r="Y688" s="214"/>
      <c r="Z688" s="214"/>
      <c r="AF688" s="212"/>
      <c r="AG688" s="212"/>
    </row>
    <row r="689" spans="5:33">
      <c r="E689" s="376"/>
      <c r="F689" s="376"/>
      <c r="G689" s="376"/>
      <c r="H689" s="376"/>
      <c r="K689" s="214"/>
      <c r="S689" s="214"/>
      <c r="Y689" s="214"/>
      <c r="Z689" s="214"/>
      <c r="AF689" s="212"/>
      <c r="AG689" s="212"/>
    </row>
    <row r="690" spans="5:33">
      <c r="E690" s="376"/>
      <c r="F690" s="376"/>
      <c r="G690" s="376"/>
      <c r="H690" s="376"/>
      <c r="K690" s="214"/>
      <c r="S690" s="214"/>
      <c r="Y690" s="214"/>
      <c r="Z690" s="214"/>
      <c r="AF690" s="212"/>
      <c r="AG690" s="212"/>
    </row>
    <row r="691" spans="5:33">
      <c r="E691" s="376"/>
      <c r="F691" s="376"/>
      <c r="G691" s="376"/>
      <c r="H691" s="376"/>
      <c r="K691" s="214"/>
      <c r="S691" s="214"/>
      <c r="Y691" s="214"/>
      <c r="Z691" s="214"/>
      <c r="AF691" s="212"/>
      <c r="AG691" s="212"/>
    </row>
    <row r="692" spans="5:33">
      <c r="E692" s="376"/>
      <c r="F692" s="376"/>
      <c r="G692" s="376"/>
      <c r="H692" s="376"/>
      <c r="K692" s="214"/>
      <c r="S692" s="214"/>
      <c r="Y692" s="214"/>
      <c r="Z692" s="214"/>
      <c r="AF692" s="212"/>
      <c r="AG692" s="212"/>
    </row>
    <row r="693" spans="5:33">
      <c r="E693" s="376"/>
      <c r="F693" s="376"/>
      <c r="G693" s="376"/>
      <c r="H693" s="376"/>
      <c r="K693" s="214"/>
      <c r="S693" s="214"/>
      <c r="Y693" s="214"/>
      <c r="Z693" s="214"/>
      <c r="AF693" s="212"/>
      <c r="AG693" s="212"/>
    </row>
    <row r="694" spans="5:33">
      <c r="E694" s="376"/>
      <c r="F694" s="376"/>
      <c r="G694" s="376"/>
      <c r="H694" s="376"/>
      <c r="K694" s="214"/>
      <c r="S694" s="214"/>
      <c r="Y694" s="214"/>
      <c r="Z694" s="214"/>
      <c r="AF694" s="212"/>
      <c r="AG694" s="212"/>
    </row>
    <row r="695" spans="5:33">
      <c r="E695" s="376"/>
      <c r="F695" s="376"/>
      <c r="G695" s="376"/>
      <c r="H695" s="376"/>
      <c r="K695" s="214"/>
      <c r="S695" s="214"/>
      <c r="Y695" s="214"/>
      <c r="Z695" s="214"/>
      <c r="AF695" s="212"/>
      <c r="AG695" s="212"/>
    </row>
    <row r="696" spans="5:33">
      <c r="E696" s="376"/>
      <c r="F696" s="376"/>
      <c r="G696" s="376"/>
      <c r="H696" s="376"/>
      <c r="K696" s="214"/>
      <c r="S696" s="214"/>
      <c r="Y696" s="214"/>
      <c r="Z696" s="214"/>
      <c r="AF696" s="212"/>
      <c r="AG696" s="212"/>
    </row>
    <row r="697" spans="5:33">
      <c r="E697" s="376"/>
      <c r="F697" s="376"/>
      <c r="G697" s="376"/>
      <c r="H697" s="376"/>
      <c r="K697" s="214"/>
      <c r="S697" s="214"/>
      <c r="Y697" s="214"/>
      <c r="Z697" s="214"/>
      <c r="AF697" s="212"/>
      <c r="AG697" s="212"/>
    </row>
    <row r="698" spans="5:33">
      <c r="E698" s="376"/>
      <c r="F698" s="376"/>
      <c r="G698" s="376"/>
      <c r="H698" s="376"/>
      <c r="K698" s="214"/>
      <c r="S698" s="214"/>
      <c r="Y698" s="214"/>
      <c r="Z698" s="214"/>
      <c r="AF698" s="212"/>
      <c r="AG698" s="212"/>
    </row>
    <row r="699" spans="5:33">
      <c r="E699" s="376"/>
      <c r="F699" s="376"/>
      <c r="G699" s="376"/>
      <c r="H699" s="376"/>
      <c r="K699" s="214"/>
      <c r="S699" s="214"/>
      <c r="Y699" s="214"/>
      <c r="Z699" s="214"/>
      <c r="AF699" s="212"/>
      <c r="AG699" s="212"/>
    </row>
    <row r="700" spans="5:33">
      <c r="E700" s="376"/>
      <c r="F700" s="376"/>
      <c r="G700" s="376"/>
      <c r="H700" s="376"/>
      <c r="K700" s="214"/>
      <c r="S700" s="214"/>
      <c r="Y700" s="214"/>
      <c r="Z700" s="214"/>
      <c r="AF700" s="212"/>
      <c r="AG700" s="212"/>
    </row>
    <row r="701" spans="5:33">
      <c r="E701" s="376"/>
      <c r="F701" s="376"/>
      <c r="G701" s="376"/>
      <c r="H701" s="376"/>
      <c r="K701" s="214"/>
      <c r="S701" s="214"/>
      <c r="Y701" s="214"/>
      <c r="Z701" s="214"/>
      <c r="AF701" s="212"/>
      <c r="AG701" s="212"/>
    </row>
    <row r="702" spans="5:33">
      <c r="E702" s="376"/>
      <c r="F702" s="376"/>
      <c r="G702" s="376"/>
      <c r="H702" s="376"/>
      <c r="K702" s="214"/>
      <c r="S702" s="214"/>
      <c r="Y702" s="214"/>
      <c r="Z702" s="214"/>
      <c r="AF702" s="212"/>
      <c r="AG702" s="212"/>
    </row>
    <row r="703" spans="5:33">
      <c r="E703" s="376"/>
      <c r="F703" s="376"/>
      <c r="G703" s="376"/>
      <c r="H703" s="376"/>
      <c r="K703" s="214"/>
      <c r="S703" s="214"/>
      <c r="Y703" s="214"/>
      <c r="Z703" s="214"/>
      <c r="AF703" s="212"/>
      <c r="AG703" s="212"/>
    </row>
    <row r="704" spans="5:33">
      <c r="E704" s="376"/>
      <c r="F704" s="376"/>
      <c r="G704" s="376"/>
      <c r="H704" s="376"/>
      <c r="K704" s="214"/>
      <c r="S704" s="214"/>
      <c r="Y704" s="214"/>
      <c r="Z704" s="214"/>
      <c r="AF704" s="212"/>
      <c r="AG704" s="212"/>
    </row>
    <row r="705" spans="5:33">
      <c r="E705" s="376"/>
      <c r="F705" s="376"/>
      <c r="G705" s="376"/>
      <c r="H705" s="376"/>
      <c r="K705" s="214"/>
      <c r="S705" s="214"/>
      <c r="Y705" s="214"/>
      <c r="Z705" s="214"/>
      <c r="AF705" s="212"/>
      <c r="AG705" s="212"/>
    </row>
    <row r="706" spans="5:33">
      <c r="E706" s="376"/>
      <c r="F706" s="376"/>
      <c r="G706" s="376"/>
      <c r="H706" s="376"/>
      <c r="K706" s="214"/>
      <c r="S706" s="214"/>
      <c r="Y706" s="214"/>
      <c r="Z706" s="214"/>
      <c r="AF706" s="212"/>
      <c r="AG706" s="212"/>
    </row>
    <row r="707" spans="5:33">
      <c r="E707" s="376"/>
      <c r="F707" s="376"/>
      <c r="G707" s="376"/>
      <c r="H707" s="376"/>
      <c r="K707" s="214"/>
      <c r="S707" s="214"/>
      <c r="Y707" s="214"/>
      <c r="Z707" s="214"/>
      <c r="AF707" s="212"/>
      <c r="AG707" s="212"/>
    </row>
    <row r="708" spans="5:33">
      <c r="E708" s="376"/>
      <c r="F708" s="376"/>
      <c r="G708" s="376"/>
      <c r="H708" s="376"/>
      <c r="K708" s="214"/>
      <c r="S708" s="214"/>
      <c r="Y708" s="214"/>
      <c r="Z708" s="214"/>
      <c r="AF708" s="212"/>
      <c r="AG708" s="212"/>
    </row>
    <row r="709" spans="5:33">
      <c r="E709" s="376"/>
      <c r="F709" s="376"/>
      <c r="G709" s="376"/>
      <c r="H709" s="376"/>
      <c r="K709" s="214"/>
      <c r="S709" s="214"/>
      <c r="Y709" s="214"/>
      <c r="Z709" s="214"/>
      <c r="AF709" s="212"/>
      <c r="AG709" s="212"/>
    </row>
    <row r="710" spans="5:33">
      <c r="E710" s="376"/>
      <c r="F710" s="376"/>
      <c r="G710" s="376"/>
      <c r="H710" s="376"/>
      <c r="K710" s="214"/>
      <c r="S710" s="214"/>
      <c r="Y710" s="214"/>
      <c r="Z710" s="214"/>
      <c r="AF710" s="212"/>
      <c r="AG710" s="212"/>
    </row>
    <row r="711" spans="5:33">
      <c r="E711" s="376"/>
      <c r="F711" s="376"/>
      <c r="G711" s="376"/>
      <c r="H711" s="376"/>
      <c r="K711" s="214"/>
      <c r="S711" s="214"/>
      <c r="Y711" s="214"/>
      <c r="Z711" s="214"/>
      <c r="AF711" s="212"/>
      <c r="AG711" s="212"/>
    </row>
    <row r="712" spans="5:33">
      <c r="E712" s="376"/>
      <c r="F712" s="376"/>
      <c r="G712" s="376"/>
      <c r="H712" s="376"/>
      <c r="K712" s="214"/>
      <c r="S712" s="214"/>
      <c r="Y712" s="214"/>
      <c r="Z712" s="214"/>
      <c r="AF712" s="212"/>
      <c r="AG712" s="212"/>
    </row>
    <row r="713" spans="5:33">
      <c r="E713" s="376"/>
      <c r="F713" s="376"/>
      <c r="G713" s="376"/>
      <c r="H713" s="376"/>
      <c r="K713" s="214"/>
      <c r="S713" s="214"/>
      <c r="Y713" s="214"/>
      <c r="Z713" s="214"/>
      <c r="AF713" s="212"/>
      <c r="AG713" s="212"/>
    </row>
    <row r="714" spans="5:33">
      <c r="E714" s="376"/>
      <c r="F714" s="376"/>
      <c r="G714" s="376"/>
      <c r="H714" s="376"/>
      <c r="K714" s="214"/>
      <c r="S714" s="214"/>
      <c r="Y714" s="214"/>
      <c r="Z714" s="214"/>
      <c r="AF714" s="212"/>
      <c r="AG714" s="212"/>
    </row>
    <row r="715" spans="5:33">
      <c r="E715" s="376"/>
      <c r="F715" s="376"/>
      <c r="G715" s="376"/>
      <c r="H715" s="376"/>
      <c r="K715" s="214"/>
      <c r="S715" s="214"/>
      <c r="Y715" s="214"/>
      <c r="Z715" s="214"/>
      <c r="AF715" s="212"/>
      <c r="AG715" s="212"/>
    </row>
    <row r="716" spans="5:33">
      <c r="E716" s="376"/>
      <c r="F716" s="376"/>
      <c r="G716" s="376"/>
      <c r="H716" s="376"/>
      <c r="K716" s="214"/>
      <c r="S716" s="214"/>
      <c r="Y716" s="214"/>
      <c r="Z716" s="214"/>
      <c r="AF716" s="212"/>
      <c r="AG716" s="212"/>
    </row>
    <row r="717" spans="5:33">
      <c r="E717" s="376"/>
      <c r="F717" s="376"/>
      <c r="G717" s="376"/>
      <c r="H717" s="376"/>
      <c r="K717" s="214"/>
      <c r="S717" s="214"/>
      <c r="Y717" s="214"/>
      <c r="Z717" s="214"/>
      <c r="AF717" s="212"/>
      <c r="AG717" s="212"/>
    </row>
    <row r="718" spans="5:33">
      <c r="E718" s="376"/>
      <c r="F718" s="376"/>
      <c r="G718" s="376"/>
      <c r="H718" s="376"/>
      <c r="K718" s="214"/>
      <c r="S718" s="214"/>
      <c r="Y718" s="214"/>
      <c r="Z718" s="214"/>
      <c r="AF718" s="212"/>
      <c r="AG718" s="212"/>
    </row>
    <row r="719" spans="5:33">
      <c r="E719" s="376"/>
      <c r="F719" s="376"/>
      <c r="G719" s="376"/>
      <c r="H719" s="376"/>
      <c r="K719" s="214"/>
      <c r="S719" s="214"/>
      <c r="Y719" s="214"/>
      <c r="Z719" s="214"/>
      <c r="AF719" s="212"/>
      <c r="AG719" s="212"/>
    </row>
    <row r="720" spans="5:33">
      <c r="E720" s="376"/>
      <c r="F720" s="376"/>
      <c r="G720" s="376"/>
      <c r="H720" s="376"/>
      <c r="K720" s="214"/>
      <c r="S720" s="214"/>
      <c r="Y720" s="214"/>
      <c r="Z720" s="214"/>
      <c r="AF720" s="212"/>
      <c r="AG720" s="212"/>
    </row>
    <row r="721" spans="5:33">
      <c r="E721" s="376"/>
      <c r="F721" s="376"/>
      <c r="G721" s="376"/>
      <c r="H721" s="376"/>
      <c r="K721" s="214"/>
      <c r="S721" s="214"/>
      <c r="Y721" s="214"/>
      <c r="Z721" s="214"/>
      <c r="AF721" s="212"/>
      <c r="AG721" s="212"/>
    </row>
    <row r="722" spans="5:33">
      <c r="E722" s="376"/>
      <c r="F722" s="376"/>
      <c r="G722" s="376"/>
      <c r="H722" s="376"/>
      <c r="K722" s="214"/>
      <c r="S722" s="214"/>
      <c r="Y722" s="214"/>
      <c r="Z722" s="214"/>
      <c r="AF722" s="212"/>
      <c r="AG722" s="212"/>
    </row>
    <row r="723" spans="5:33">
      <c r="E723" s="376"/>
      <c r="F723" s="376"/>
      <c r="G723" s="376"/>
      <c r="H723" s="376"/>
      <c r="K723" s="214"/>
      <c r="S723" s="214"/>
      <c r="Y723" s="214"/>
      <c r="Z723" s="214"/>
      <c r="AF723" s="212"/>
      <c r="AG723" s="212"/>
    </row>
    <row r="724" spans="5:33">
      <c r="E724" s="376"/>
      <c r="F724" s="376"/>
      <c r="G724" s="376"/>
      <c r="H724" s="376"/>
      <c r="K724" s="214"/>
      <c r="S724" s="214"/>
      <c r="Y724" s="214"/>
      <c r="Z724" s="214"/>
      <c r="AF724" s="212"/>
      <c r="AG724" s="212"/>
    </row>
    <row r="725" spans="5:33">
      <c r="E725" s="376"/>
      <c r="F725" s="376"/>
      <c r="G725" s="376"/>
      <c r="H725" s="376"/>
      <c r="K725" s="214"/>
      <c r="S725" s="214"/>
      <c r="Y725" s="214"/>
      <c r="Z725" s="214"/>
      <c r="AF725" s="212"/>
      <c r="AG725" s="212"/>
    </row>
    <row r="726" spans="5:33">
      <c r="E726" s="376"/>
      <c r="F726" s="376"/>
      <c r="G726" s="376"/>
      <c r="H726" s="376"/>
      <c r="K726" s="214"/>
      <c r="S726" s="214"/>
      <c r="Y726" s="214"/>
      <c r="Z726" s="214"/>
      <c r="AF726" s="212"/>
      <c r="AG726" s="212"/>
    </row>
    <row r="727" spans="5:33">
      <c r="E727" s="376"/>
      <c r="F727" s="376"/>
      <c r="G727" s="376"/>
      <c r="H727" s="376"/>
      <c r="K727" s="214"/>
      <c r="S727" s="214"/>
      <c r="Y727" s="214"/>
      <c r="Z727" s="214"/>
      <c r="AF727" s="212"/>
      <c r="AG727" s="212"/>
    </row>
    <row r="728" spans="5:33">
      <c r="E728" s="376"/>
      <c r="F728" s="376"/>
      <c r="G728" s="376"/>
      <c r="H728" s="376"/>
      <c r="K728" s="214"/>
      <c r="S728" s="214"/>
      <c r="Y728" s="214"/>
      <c r="Z728" s="214"/>
      <c r="AF728" s="212"/>
      <c r="AG728" s="212"/>
    </row>
    <row r="729" spans="5:33">
      <c r="E729" s="376"/>
      <c r="F729" s="376"/>
      <c r="G729" s="376"/>
      <c r="H729" s="376"/>
      <c r="K729" s="214"/>
      <c r="S729" s="214"/>
      <c r="Y729" s="214"/>
      <c r="Z729" s="214"/>
      <c r="AF729" s="212"/>
      <c r="AG729" s="212"/>
    </row>
    <row r="730" spans="5:33">
      <c r="E730" s="376"/>
      <c r="F730" s="376"/>
      <c r="G730" s="376"/>
      <c r="H730" s="376"/>
      <c r="K730" s="214"/>
      <c r="S730" s="214"/>
      <c r="Y730" s="214"/>
      <c r="Z730" s="214"/>
      <c r="AF730" s="212"/>
      <c r="AG730" s="212"/>
    </row>
    <row r="731" spans="5:33">
      <c r="E731" s="376"/>
      <c r="F731" s="376"/>
      <c r="G731" s="376"/>
      <c r="H731" s="376"/>
      <c r="K731" s="214"/>
      <c r="S731" s="214"/>
      <c r="Y731" s="214"/>
      <c r="Z731" s="214"/>
      <c r="AF731" s="212"/>
      <c r="AG731" s="212"/>
    </row>
    <row r="732" spans="5:33">
      <c r="E732" s="376"/>
      <c r="F732" s="376"/>
      <c r="G732" s="376"/>
      <c r="H732" s="376"/>
      <c r="K732" s="214"/>
      <c r="S732" s="214"/>
      <c r="Y732" s="214"/>
      <c r="Z732" s="214"/>
      <c r="AF732" s="212"/>
      <c r="AG732" s="212"/>
    </row>
    <row r="733" spans="5:33">
      <c r="E733" s="376"/>
      <c r="F733" s="376"/>
      <c r="G733" s="376"/>
      <c r="H733" s="376"/>
      <c r="K733" s="214"/>
      <c r="S733" s="214"/>
      <c r="Y733" s="214"/>
      <c r="Z733" s="214"/>
      <c r="AF733" s="212"/>
      <c r="AG733" s="212"/>
    </row>
    <row r="734" spans="5:33">
      <c r="E734" s="376"/>
      <c r="F734" s="376"/>
      <c r="G734" s="376"/>
      <c r="H734" s="376"/>
      <c r="K734" s="214"/>
      <c r="S734" s="214"/>
      <c r="Y734" s="214"/>
      <c r="Z734" s="214"/>
      <c r="AF734" s="212"/>
      <c r="AG734" s="212"/>
    </row>
    <row r="735" spans="5:33">
      <c r="E735" s="376"/>
      <c r="F735" s="376"/>
      <c r="G735" s="376"/>
      <c r="H735" s="376"/>
      <c r="K735" s="214"/>
      <c r="S735" s="214"/>
      <c r="Y735" s="214"/>
      <c r="Z735" s="214"/>
      <c r="AF735" s="212"/>
      <c r="AG735" s="212"/>
    </row>
    <row r="736" spans="5:33">
      <c r="E736" s="376"/>
      <c r="F736" s="376"/>
      <c r="G736" s="376"/>
      <c r="H736" s="376"/>
      <c r="K736" s="214"/>
      <c r="S736" s="214"/>
      <c r="Y736" s="214"/>
      <c r="Z736" s="214"/>
      <c r="AF736" s="212"/>
      <c r="AG736" s="212"/>
    </row>
    <row r="737" spans="5:33">
      <c r="E737" s="376"/>
      <c r="F737" s="376"/>
      <c r="G737" s="376"/>
      <c r="H737" s="376"/>
      <c r="K737" s="214"/>
      <c r="S737" s="214"/>
      <c r="Y737" s="214"/>
      <c r="Z737" s="214"/>
      <c r="AF737" s="212"/>
      <c r="AG737" s="212"/>
    </row>
    <row r="738" spans="5:33">
      <c r="E738" s="376"/>
      <c r="F738" s="376"/>
      <c r="G738" s="376"/>
      <c r="H738" s="376"/>
      <c r="K738" s="214"/>
      <c r="S738" s="214"/>
      <c r="Y738" s="214"/>
      <c r="Z738" s="214"/>
      <c r="AF738" s="212"/>
      <c r="AG738" s="212"/>
    </row>
    <row r="739" spans="5:33">
      <c r="E739" s="376"/>
      <c r="F739" s="376"/>
      <c r="G739" s="376"/>
      <c r="H739" s="376"/>
      <c r="K739" s="214"/>
      <c r="S739" s="214"/>
      <c r="Y739" s="214"/>
      <c r="Z739" s="214"/>
      <c r="AF739" s="212"/>
      <c r="AG739" s="212"/>
    </row>
    <row r="740" spans="5:33">
      <c r="E740" s="376"/>
      <c r="F740" s="376"/>
      <c r="G740" s="376"/>
      <c r="H740" s="376"/>
      <c r="K740" s="214"/>
      <c r="S740" s="214"/>
      <c r="Y740" s="214"/>
      <c r="Z740" s="214"/>
      <c r="AF740" s="212"/>
      <c r="AG740" s="212"/>
    </row>
    <row r="741" spans="5:33">
      <c r="E741" s="376"/>
      <c r="F741" s="376"/>
      <c r="G741" s="376"/>
      <c r="H741" s="376"/>
      <c r="K741" s="214"/>
      <c r="S741" s="214"/>
      <c r="Y741" s="214"/>
      <c r="Z741" s="214"/>
      <c r="AF741" s="212"/>
      <c r="AG741" s="212"/>
    </row>
    <row r="742" spans="5:33">
      <c r="E742" s="376"/>
      <c r="F742" s="376"/>
      <c r="G742" s="376"/>
      <c r="H742" s="376"/>
      <c r="K742" s="214"/>
      <c r="S742" s="214"/>
      <c r="Y742" s="214"/>
      <c r="Z742" s="214"/>
      <c r="AF742" s="212"/>
      <c r="AG742" s="212"/>
    </row>
    <row r="743" spans="5:33">
      <c r="E743" s="376"/>
      <c r="F743" s="376"/>
      <c r="G743" s="376"/>
      <c r="H743" s="376"/>
      <c r="K743" s="214"/>
      <c r="S743" s="214"/>
      <c r="Y743" s="214"/>
      <c r="Z743" s="214"/>
      <c r="AF743" s="212"/>
      <c r="AG743" s="212"/>
    </row>
    <row r="744" spans="5:33">
      <c r="E744" s="376"/>
      <c r="F744" s="376"/>
      <c r="G744" s="376"/>
      <c r="H744" s="376"/>
      <c r="K744" s="214"/>
      <c r="S744" s="214"/>
      <c r="Y744" s="214"/>
      <c r="Z744" s="214"/>
      <c r="AF744" s="212"/>
      <c r="AG744" s="212"/>
    </row>
    <row r="745" spans="5:33">
      <c r="E745" s="376"/>
      <c r="F745" s="376"/>
      <c r="G745" s="376"/>
      <c r="H745" s="376"/>
      <c r="K745" s="214"/>
      <c r="S745" s="214"/>
      <c r="Y745" s="214"/>
      <c r="Z745" s="214"/>
      <c r="AF745" s="212"/>
      <c r="AG745" s="212"/>
    </row>
    <row r="746" spans="5:33">
      <c r="E746" s="376"/>
      <c r="F746" s="376"/>
      <c r="G746" s="376"/>
      <c r="H746" s="376"/>
      <c r="K746" s="214"/>
      <c r="S746" s="214"/>
      <c r="Y746" s="214"/>
      <c r="Z746" s="214"/>
      <c r="AF746" s="212"/>
      <c r="AG746" s="212"/>
    </row>
    <row r="747" spans="5:33">
      <c r="E747" s="376"/>
      <c r="F747" s="376"/>
      <c r="G747" s="376"/>
      <c r="H747" s="376"/>
      <c r="K747" s="214"/>
      <c r="S747" s="214"/>
      <c r="Y747" s="214"/>
      <c r="Z747" s="214"/>
      <c r="AF747" s="212"/>
      <c r="AG747" s="212"/>
    </row>
    <row r="748" spans="5:33">
      <c r="E748" s="376"/>
      <c r="F748" s="376"/>
      <c r="G748" s="376"/>
      <c r="H748" s="376"/>
      <c r="K748" s="214"/>
      <c r="S748" s="214"/>
      <c r="Y748" s="214"/>
      <c r="Z748" s="214"/>
      <c r="AF748" s="212"/>
      <c r="AG748" s="212"/>
    </row>
    <row r="749" spans="5:33">
      <c r="E749" s="376"/>
      <c r="F749" s="376"/>
      <c r="G749" s="376"/>
      <c r="H749" s="376"/>
      <c r="K749" s="214"/>
      <c r="S749" s="214"/>
      <c r="Y749" s="214"/>
      <c r="Z749" s="214"/>
      <c r="AF749" s="212"/>
      <c r="AG749" s="212"/>
    </row>
    <row r="750" spans="5:33">
      <c r="E750" s="376"/>
      <c r="F750" s="376"/>
      <c r="G750" s="376"/>
      <c r="H750" s="376"/>
      <c r="K750" s="214"/>
      <c r="S750" s="214"/>
      <c r="Y750" s="214"/>
      <c r="Z750" s="214"/>
      <c r="AF750" s="212"/>
      <c r="AG750" s="212"/>
    </row>
    <row r="751" spans="5:33">
      <c r="E751" s="376"/>
      <c r="F751" s="376"/>
      <c r="G751" s="376"/>
      <c r="H751" s="376"/>
      <c r="K751" s="214"/>
      <c r="S751" s="214"/>
      <c r="Y751" s="214"/>
      <c r="Z751" s="214"/>
      <c r="AF751" s="212"/>
      <c r="AG751" s="212"/>
    </row>
    <row r="752" spans="5:33">
      <c r="E752" s="376"/>
      <c r="F752" s="376"/>
      <c r="G752" s="376"/>
      <c r="H752" s="376"/>
      <c r="K752" s="214"/>
      <c r="S752" s="214"/>
      <c r="Y752" s="214"/>
      <c r="Z752" s="214"/>
      <c r="AF752" s="212"/>
      <c r="AG752" s="212"/>
    </row>
    <row r="753" spans="5:33">
      <c r="E753" s="376"/>
      <c r="F753" s="376"/>
      <c r="G753" s="376"/>
      <c r="H753" s="376"/>
      <c r="K753" s="214"/>
      <c r="S753" s="214"/>
      <c r="Y753" s="214"/>
      <c r="Z753" s="214"/>
      <c r="AF753" s="212"/>
      <c r="AG753" s="212"/>
    </row>
    <row r="754" spans="5:33">
      <c r="E754" s="376"/>
      <c r="F754" s="376"/>
      <c r="G754" s="376"/>
      <c r="H754" s="376"/>
      <c r="K754" s="214"/>
      <c r="S754" s="214"/>
      <c r="Y754" s="214"/>
      <c r="Z754" s="214"/>
      <c r="AF754" s="212"/>
      <c r="AG754" s="212"/>
    </row>
    <row r="755" spans="5:33">
      <c r="E755" s="376"/>
      <c r="F755" s="376"/>
      <c r="G755" s="376"/>
      <c r="H755" s="376"/>
      <c r="K755" s="214"/>
      <c r="S755" s="214"/>
      <c r="Y755" s="214"/>
      <c r="Z755" s="214"/>
      <c r="AF755" s="212"/>
      <c r="AG755" s="212"/>
    </row>
    <row r="756" spans="5:33">
      <c r="E756" s="376"/>
      <c r="F756" s="376"/>
      <c r="G756" s="376"/>
      <c r="H756" s="376"/>
      <c r="K756" s="214"/>
      <c r="S756" s="214"/>
      <c r="Y756" s="214"/>
      <c r="Z756" s="214"/>
      <c r="AF756" s="212"/>
      <c r="AG756" s="212"/>
    </row>
    <row r="757" spans="5:33">
      <c r="E757" s="376"/>
      <c r="F757" s="376"/>
      <c r="G757" s="376"/>
      <c r="H757" s="376"/>
      <c r="K757" s="214"/>
      <c r="S757" s="214"/>
      <c r="Y757" s="214"/>
      <c r="Z757" s="214"/>
      <c r="AF757" s="212"/>
      <c r="AG757" s="212"/>
    </row>
    <row r="758" spans="5:33">
      <c r="E758" s="376"/>
      <c r="F758" s="376"/>
      <c r="G758" s="376"/>
      <c r="H758" s="376"/>
      <c r="K758" s="214"/>
      <c r="S758" s="214"/>
      <c r="Y758" s="214"/>
      <c r="Z758" s="214"/>
      <c r="AF758" s="212"/>
      <c r="AG758" s="212"/>
    </row>
    <row r="759" spans="5:33">
      <c r="E759" s="376"/>
      <c r="F759" s="376"/>
      <c r="G759" s="376"/>
      <c r="H759" s="376"/>
      <c r="K759" s="214"/>
      <c r="S759" s="214"/>
      <c r="Y759" s="214"/>
      <c r="Z759" s="214"/>
      <c r="AF759" s="212"/>
      <c r="AG759" s="212"/>
    </row>
    <row r="760" spans="5:33">
      <c r="E760" s="376"/>
      <c r="F760" s="376"/>
      <c r="G760" s="376"/>
      <c r="H760" s="376"/>
      <c r="K760" s="214"/>
      <c r="S760" s="214"/>
      <c r="Y760" s="214"/>
      <c r="Z760" s="214"/>
      <c r="AF760" s="212"/>
      <c r="AG760" s="212"/>
    </row>
    <row r="761" spans="5:33">
      <c r="E761" s="376"/>
      <c r="F761" s="376"/>
      <c r="G761" s="376"/>
      <c r="H761" s="376"/>
      <c r="K761" s="214"/>
      <c r="S761" s="214"/>
      <c r="Y761" s="214"/>
      <c r="Z761" s="214"/>
      <c r="AF761" s="212"/>
      <c r="AG761" s="212"/>
    </row>
    <row r="762" spans="5:33">
      <c r="E762" s="376"/>
      <c r="F762" s="376"/>
      <c r="G762" s="376"/>
      <c r="H762" s="376"/>
      <c r="K762" s="214"/>
      <c r="S762" s="214"/>
      <c r="Y762" s="214"/>
      <c r="Z762" s="214"/>
      <c r="AF762" s="212"/>
      <c r="AG762" s="212"/>
    </row>
    <row r="763" spans="5:33">
      <c r="E763" s="376"/>
      <c r="F763" s="376"/>
      <c r="G763" s="376"/>
      <c r="H763" s="376"/>
      <c r="K763" s="214"/>
      <c r="S763" s="214"/>
      <c r="Y763" s="214"/>
      <c r="Z763" s="214"/>
      <c r="AF763" s="212"/>
      <c r="AG763" s="212"/>
    </row>
    <row r="764" spans="5:33">
      <c r="E764" s="376"/>
      <c r="F764" s="376"/>
      <c r="G764" s="376"/>
      <c r="H764" s="376"/>
      <c r="K764" s="214"/>
      <c r="S764" s="214"/>
      <c r="Y764" s="214"/>
      <c r="Z764" s="214"/>
      <c r="AF764" s="212"/>
      <c r="AG764" s="212"/>
    </row>
    <row r="765" spans="5:33">
      <c r="E765" s="376"/>
      <c r="F765" s="376"/>
      <c r="G765" s="376"/>
      <c r="H765" s="376"/>
      <c r="K765" s="214"/>
      <c r="S765" s="214"/>
      <c r="Y765" s="214"/>
      <c r="Z765" s="214"/>
      <c r="AF765" s="212"/>
      <c r="AG765" s="212"/>
    </row>
    <row r="766" spans="5:33">
      <c r="E766" s="376"/>
      <c r="F766" s="376"/>
      <c r="G766" s="376"/>
      <c r="H766" s="376"/>
      <c r="K766" s="214"/>
      <c r="S766" s="214"/>
      <c r="Y766" s="214"/>
      <c r="Z766" s="214"/>
      <c r="AF766" s="212"/>
      <c r="AG766" s="212"/>
    </row>
    <row r="767" spans="5:33">
      <c r="E767" s="376"/>
      <c r="F767" s="376"/>
      <c r="G767" s="376"/>
      <c r="H767" s="376"/>
      <c r="K767" s="214"/>
      <c r="S767" s="214"/>
      <c r="Y767" s="214"/>
      <c r="Z767" s="214"/>
      <c r="AF767" s="212"/>
      <c r="AG767" s="212"/>
    </row>
    <row r="768" spans="5:33">
      <c r="E768" s="376"/>
      <c r="F768" s="376"/>
      <c r="G768" s="376"/>
      <c r="H768" s="376"/>
      <c r="K768" s="214"/>
      <c r="S768" s="214"/>
      <c r="Y768" s="214"/>
      <c r="Z768" s="214"/>
      <c r="AF768" s="212"/>
      <c r="AG768" s="212"/>
    </row>
    <row r="769" spans="5:33">
      <c r="E769" s="376"/>
      <c r="F769" s="376"/>
      <c r="G769" s="376"/>
      <c r="H769" s="376"/>
      <c r="K769" s="214"/>
      <c r="S769" s="214"/>
      <c r="Y769" s="214"/>
      <c r="Z769" s="214"/>
      <c r="AF769" s="212"/>
      <c r="AG769" s="212"/>
    </row>
    <row r="770" spans="5:33">
      <c r="E770" s="376"/>
      <c r="F770" s="376"/>
      <c r="G770" s="376"/>
      <c r="H770" s="376"/>
      <c r="K770" s="214"/>
      <c r="S770" s="214"/>
      <c r="Y770" s="214"/>
      <c r="Z770" s="214"/>
      <c r="AF770" s="212"/>
      <c r="AG770" s="212"/>
    </row>
    <row r="771" spans="5:33">
      <c r="E771" s="376"/>
      <c r="F771" s="376"/>
      <c r="G771" s="376"/>
      <c r="H771" s="376"/>
      <c r="K771" s="214"/>
      <c r="S771" s="214"/>
      <c r="Y771" s="214"/>
      <c r="Z771" s="214"/>
      <c r="AF771" s="212"/>
      <c r="AG771" s="212"/>
    </row>
    <row r="772" spans="5:33">
      <c r="E772" s="376"/>
      <c r="F772" s="376"/>
      <c r="G772" s="376"/>
      <c r="H772" s="376"/>
      <c r="K772" s="214"/>
      <c r="S772" s="214"/>
      <c r="Y772" s="214"/>
      <c r="Z772" s="214"/>
      <c r="AF772" s="212"/>
      <c r="AG772" s="212"/>
    </row>
    <row r="773" spans="5:33">
      <c r="E773" s="376"/>
      <c r="F773" s="376"/>
      <c r="G773" s="376"/>
      <c r="H773" s="376"/>
      <c r="K773" s="214"/>
      <c r="S773" s="214"/>
      <c r="Y773" s="214"/>
      <c r="Z773" s="214"/>
      <c r="AF773" s="212"/>
      <c r="AG773" s="212"/>
    </row>
    <row r="774" spans="5:33">
      <c r="E774" s="376"/>
      <c r="F774" s="376"/>
      <c r="G774" s="376"/>
      <c r="H774" s="376"/>
      <c r="K774" s="214"/>
      <c r="S774" s="214"/>
      <c r="Y774" s="214"/>
      <c r="Z774" s="214"/>
      <c r="AF774" s="212"/>
      <c r="AG774" s="212"/>
    </row>
    <row r="775" spans="5:33">
      <c r="E775" s="376"/>
      <c r="F775" s="376"/>
      <c r="G775" s="376"/>
      <c r="H775" s="376"/>
      <c r="K775" s="214"/>
      <c r="S775" s="214"/>
      <c r="Y775" s="214"/>
      <c r="Z775" s="214"/>
      <c r="AF775" s="212"/>
      <c r="AG775" s="212"/>
    </row>
    <row r="776" spans="5:33">
      <c r="E776" s="376"/>
      <c r="F776" s="376"/>
      <c r="G776" s="376"/>
      <c r="H776" s="376"/>
      <c r="K776" s="214"/>
      <c r="S776" s="214"/>
      <c r="Y776" s="214"/>
      <c r="Z776" s="214"/>
      <c r="AF776" s="212"/>
      <c r="AG776" s="212"/>
    </row>
    <row r="777" spans="5:33">
      <c r="E777" s="376"/>
      <c r="F777" s="376"/>
      <c r="G777" s="376"/>
      <c r="H777" s="376"/>
      <c r="K777" s="214"/>
      <c r="S777" s="214"/>
      <c r="Y777" s="214"/>
      <c r="Z777" s="214"/>
      <c r="AF777" s="212"/>
      <c r="AG777" s="212"/>
    </row>
    <row r="778" spans="5:33">
      <c r="E778" s="376"/>
      <c r="F778" s="376"/>
      <c r="G778" s="376"/>
      <c r="H778" s="376"/>
      <c r="K778" s="214"/>
      <c r="S778" s="214"/>
      <c r="Y778" s="214"/>
      <c r="Z778" s="214"/>
      <c r="AF778" s="212"/>
      <c r="AG778" s="212"/>
    </row>
    <row r="779" spans="5:33">
      <c r="E779" s="376"/>
      <c r="F779" s="376"/>
      <c r="G779" s="376"/>
      <c r="H779" s="376"/>
      <c r="K779" s="214"/>
      <c r="S779" s="214"/>
      <c r="Y779" s="214"/>
      <c r="Z779" s="214"/>
      <c r="AF779" s="212"/>
      <c r="AG779" s="212"/>
    </row>
    <row r="780" spans="5:33">
      <c r="E780" s="376"/>
      <c r="F780" s="376"/>
      <c r="G780" s="376"/>
      <c r="H780" s="376"/>
      <c r="K780" s="214"/>
      <c r="S780" s="214"/>
      <c r="Y780" s="214"/>
      <c r="Z780" s="214"/>
      <c r="AF780" s="212"/>
      <c r="AG780" s="212"/>
    </row>
    <row r="781" spans="5:33">
      <c r="E781" s="376"/>
      <c r="F781" s="376"/>
      <c r="G781" s="376"/>
      <c r="H781" s="376"/>
      <c r="K781" s="214"/>
      <c r="S781" s="214"/>
      <c r="Y781" s="214"/>
      <c r="Z781" s="214"/>
      <c r="AF781" s="212"/>
      <c r="AG781" s="212"/>
    </row>
    <row r="782" spans="5:33">
      <c r="E782" s="376"/>
      <c r="F782" s="376"/>
      <c r="G782" s="376"/>
      <c r="H782" s="376"/>
      <c r="K782" s="214"/>
      <c r="S782" s="214"/>
      <c r="Y782" s="214"/>
      <c r="Z782" s="214"/>
      <c r="AF782" s="212"/>
      <c r="AG782" s="212"/>
    </row>
    <row r="783" spans="5:33">
      <c r="E783" s="376"/>
      <c r="F783" s="376"/>
      <c r="G783" s="376"/>
      <c r="H783" s="376"/>
      <c r="K783" s="214"/>
      <c r="S783" s="214"/>
      <c r="Y783" s="214"/>
      <c r="Z783" s="214"/>
      <c r="AF783" s="212"/>
      <c r="AG783" s="212"/>
    </row>
    <row r="784" spans="5:33">
      <c r="E784" s="376"/>
      <c r="F784" s="376"/>
      <c r="G784" s="376"/>
      <c r="H784" s="376"/>
      <c r="K784" s="214"/>
      <c r="S784" s="214"/>
      <c r="Y784" s="214"/>
      <c r="Z784" s="214"/>
      <c r="AF784" s="212"/>
      <c r="AG784" s="212"/>
    </row>
    <row r="785" spans="5:33">
      <c r="E785" s="376"/>
      <c r="F785" s="376"/>
      <c r="G785" s="376"/>
      <c r="H785" s="376"/>
      <c r="K785" s="214"/>
      <c r="S785" s="214"/>
      <c r="Y785" s="214"/>
      <c r="Z785" s="214"/>
      <c r="AF785" s="212"/>
      <c r="AG785" s="212"/>
    </row>
    <row r="786" spans="5:33">
      <c r="E786" s="376"/>
      <c r="F786" s="376"/>
      <c r="G786" s="376"/>
      <c r="H786" s="376"/>
      <c r="K786" s="214"/>
      <c r="S786" s="214"/>
      <c r="Y786" s="214"/>
      <c r="Z786" s="214"/>
      <c r="AF786" s="212"/>
      <c r="AG786" s="212"/>
    </row>
    <row r="787" spans="5:33">
      <c r="E787" s="376"/>
      <c r="F787" s="376"/>
      <c r="G787" s="376"/>
      <c r="H787" s="376"/>
      <c r="K787" s="214"/>
      <c r="S787" s="214"/>
      <c r="Y787" s="214"/>
      <c r="Z787" s="214"/>
      <c r="AF787" s="212"/>
      <c r="AG787" s="212"/>
    </row>
    <row r="788" spans="5:33">
      <c r="E788" s="376"/>
      <c r="F788" s="376"/>
      <c r="G788" s="376"/>
      <c r="H788" s="376"/>
      <c r="K788" s="214"/>
      <c r="S788" s="214"/>
      <c r="Y788" s="214"/>
      <c r="Z788" s="214"/>
      <c r="AF788" s="212"/>
      <c r="AG788" s="212"/>
    </row>
    <row r="789" spans="5:33">
      <c r="E789" s="376"/>
      <c r="F789" s="376"/>
      <c r="G789" s="376"/>
      <c r="H789" s="376"/>
      <c r="K789" s="214"/>
      <c r="S789" s="214"/>
      <c r="Y789" s="214"/>
      <c r="Z789" s="214"/>
      <c r="AF789" s="212"/>
      <c r="AG789" s="212"/>
    </row>
    <row r="790" spans="5:33">
      <c r="E790" s="376"/>
      <c r="F790" s="376"/>
      <c r="G790" s="376"/>
      <c r="H790" s="376"/>
      <c r="K790" s="214"/>
      <c r="S790" s="214"/>
      <c r="Y790" s="214"/>
      <c r="Z790" s="214"/>
      <c r="AF790" s="212"/>
      <c r="AG790" s="212"/>
    </row>
    <row r="791" spans="5:33">
      <c r="E791" s="376"/>
      <c r="F791" s="376"/>
      <c r="G791" s="376"/>
      <c r="H791" s="376"/>
      <c r="K791" s="214"/>
      <c r="S791" s="214"/>
      <c r="Y791" s="214"/>
      <c r="Z791" s="214"/>
      <c r="AF791" s="212"/>
      <c r="AG791" s="212"/>
    </row>
    <row r="792" spans="5:33">
      <c r="E792" s="376"/>
      <c r="F792" s="376"/>
      <c r="G792" s="376"/>
      <c r="H792" s="376"/>
      <c r="K792" s="214"/>
      <c r="S792" s="214"/>
      <c r="Y792" s="214"/>
      <c r="Z792" s="214"/>
      <c r="AF792" s="212"/>
      <c r="AG792" s="212"/>
    </row>
    <row r="793" spans="5:33">
      <c r="E793" s="376"/>
      <c r="F793" s="376"/>
      <c r="G793" s="376"/>
      <c r="H793" s="376"/>
      <c r="K793" s="214"/>
      <c r="S793" s="214"/>
      <c r="Y793" s="214"/>
      <c r="Z793" s="214"/>
      <c r="AF793" s="212"/>
      <c r="AG793" s="212"/>
    </row>
    <row r="794" spans="5:33">
      <c r="E794" s="376"/>
      <c r="F794" s="376"/>
      <c r="G794" s="376"/>
      <c r="H794" s="376"/>
      <c r="K794" s="214"/>
      <c r="S794" s="214"/>
      <c r="Y794" s="214"/>
      <c r="Z794" s="214"/>
      <c r="AF794" s="212"/>
      <c r="AG794" s="212"/>
    </row>
    <row r="795" spans="5:33">
      <c r="E795" s="376"/>
      <c r="F795" s="376"/>
      <c r="G795" s="376"/>
      <c r="H795" s="376"/>
      <c r="K795" s="214"/>
      <c r="S795" s="214"/>
      <c r="Y795" s="214"/>
      <c r="Z795" s="214"/>
      <c r="AF795" s="212"/>
      <c r="AG795" s="212"/>
    </row>
    <row r="796" spans="5:33">
      <c r="E796" s="376"/>
      <c r="F796" s="376"/>
      <c r="G796" s="376"/>
      <c r="H796" s="376"/>
      <c r="K796" s="214"/>
      <c r="S796" s="214"/>
      <c r="Y796" s="214"/>
      <c r="Z796" s="214"/>
      <c r="AF796" s="212"/>
      <c r="AG796" s="212"/>
    </row>
    <row r="797" spans="5:33">
      <c r="E797" s="376"/>
      <c r="F797" s="376"/>
      <c r="G797" s="376"/>
      <c r="H797" s="376"/>
      <c r="K797" s="214"/>
      <c r="S797" s="214"/>
      <c r="Y797" s="214"/>
      <c r="Z797" s="214"/>
      <c r="AF797" s="212"/>
      <c r="AG797" s="212"/>
    </row>
    <row r="798" spans="5:33">
      <c r="E798" s="376"/>
      <c r="F798" s="376"/>
      <c r="G798" s="376"/>
      <c r="H798" s="376"/>
      <c r="K798" s="214"/>
      <c r="S798" s="214"/>
      <c r="Y798" s="214"/>
      <c r="Z798" s="214"/>
      <c r="AF798" s="212"/>
      <c r="AG798" s="212"/>
    </row>
    <row r="799" spans="5:33">
      <c r="E799" s="376"/>
      <c r="F799" s="376"/>
      <c r="G799" s="376"/>
      <c r="H799" s="376"/>
      <c r="K799" s="214"/>
      <c r="S799" s="214"/>
      <c r="Y799" s="214"/>
      <c r="Z799" s="214"/>
      <c r="AF799" s="212"/>
      <c r="AG799" s="212"/>
    </row>
    <row r="800" spans="5:33">
      <c r="E800" s="376"/>
      <c r="F800" s="376"/>
      <c r="G800" s="376"/>
      <c r="H800" s="376"/>
      <c r="K800" s="214"/>
      <c r="S800" s="214"/>
      <c r="Y800" s="214"/>
      <c r="Z800" s="214"/>
      <c r="AF800" s="212"/>
      <c r="AG800" s="212"/>
    </row>
    <row r="801" spans="5:33">
      <c r="E801" s="376"/>
      <c r="F801" s="376"/>
      <c r="G801" s="376"/>
      <c r="H801" s="376"/>
      <c r="K801" s="214"/>
      <c r="S801" s="214"/>
      <c r="Y801" s="214"/>
      <c r="Z801" s="214"/>
      <c r="AF801" s="212"/>
      <c r="AG801" s="212"/>
    </row>
    <row r="802" spans="5:33">
      <c r="E802" s="376"/>
      <c r="F802" s="376"/>
      <c r="G802" s="376"/>
      <c r="H802" s="376"/>
      <c r="K802" s="214"/>
      <c r="S802" s="214"/>
      <c r="Y802" s="214"/>
      <c r="Z802" s="214"/>
      <c r="AF802" s="212"/>
      <c r="AG802" s="212"/>
    </row>
    <row r="803" spans="5:33">
      <c r="E803" s="376"/>
      <c r="F803" s="376"/>
      <c r="G803" s="376"/>
      <c r="H803" s="376"/>
      <c r="K803" s="214"/>
      <c r="S803" s="214"/>
      <c r="Y803" s="214"/>
      <c r="Z803" s="214"/>
      <c r="AF803" s="212"/>
      <c r="AG803" s="212"/>
    </row>
    <row r="804" spans="5:33">
      <c r="E804" s="376"/>
      <c r="F804" s="376"/>
      <c r="G804" s="376"/>
      <c r="H804" s="376"/>
      <c r="K804" s="214"/>
      <c r="S804" s="214"/>
      <c r="Y804" s="214"/>
      <c r="Z804" s="214"/>
      <c r="AF804" s="212"/>
      <c r="AG804" s="212"/>
    </row>
    <row r="805" spans="5:33">
      <c r="E805" s="376"/>
      <c r="F805" s="376"/>
      <c r="G805" s="376"/>
      <c r="H805" s="376"/>
      <c r="K805" s="214"/>
      <c r="S805" s="214"/>
      <c r="Y805" s="214"/>
      <c r="Z805" s="214"/>
      <c r="AF805" s="212"/>
      <c r="AG805" s="212"/>
    </row>
    <row r="806" spans="5:33">
      <c r="E806" s="376"/>
      <c r="F806" s="376"/>
      <c r="G806" s="376"/>
      <c r="H806" s="376"/>
      <c r="K806" s="214"/>
      <c r="S806" s="214"/>
      <c r="Y806" s="214"/>
      <c r="Z806" s="214"/>
      <c r="AF806" s="212"/>
      <c r="AG806" s="212"/>
    </row>
    <row r="807" spans="5:33">
      <c r="E807" s="376"/>
      <c r="F807" s="376"/>
      <c r="G807" s="376"/>
      <c r="H807" s="376"/>
      <c r="K807" s="214"/>
      <c r="S807" s="214"/>
      <c r="Y807" s="214"/>
      <c r="Z807" s="214"/>
      <c r="AF807" s="212"/>
      <c r="AG807" s="212"/>
    </row>
    <row r="808" spans="5:33">
      <c r="E808" s="376"/>
      <c r="F808" s="376"/>
      <c r="G808" s="376"/>
      <c r="H808" s="376"/>
      <c r="K808" s="214"/>
      <c r="S808" s="214"/>
      <c r="Y808" s="214"/>
      <c r="Z808" s="214"/>
      <c r="AF808" s="212"/>
      <c r="AG808" s="212"/>
    </row>
    <row r="809" spans="5:33">
      <c r="E809" s="376"/>
      <c r="F809" s="376"/>
      <c r="G809" s="376"/>
      <c r="H809" s="376"/>
      <c r="K809" s="214"/>
      <c r="S809" s="214"/>
      <c r="Y809" s="214"/>
      <c r="Z809" s="214"/>
      <c r="AF809" s="212"/>
      <c r="AG809" s="212"/>
    </row>
    <row r="810" spans="5:33">
      <c r="E810" s="376"/>
      <c r="F810" s="376"/>
      <c r="G810" s="376"/>
      <c r="H810" s="376"/>
      <c r="K810" s="214"/>
      <c r="S810" s="214"/>
      <c r="Y810" s="214"/>
      <c r="Z810" s="214"/>
      <c r="AF810" s="212"/>
      <c r="AG810" s="212"/>
    </row>
    <row r="811" spans="5:33">
      <c r="E811" s="376"/>
      <c r="F811" s="376"/>
      <c r="G811" s="376"/>
      <c r="H811" s="376"/>
      <c r="K811" s="214"/>
      <c r="S811" s="214"/>
      <c r="Y811" s="214"/>
      <c r="Z811" s="214"/>
      <c r="AF811" s="212"/>
      <c r="AG811" s="212"/>
    </row>
    <row r="812" spans="5:33">
      <c r="E812" s="376"/>
      <c r="F812" s="376"/>
      <c r="G812" s="376"/>
      <c r="H812" s="376"/>
      <c r="K812" s="214"/>
      <c r="S812" s="214"/>
      <c r="Y812" s="214"/>
      <c r="Z812" s="214"/>
      <c r="AF812" s="212"/>
      <c r="AG812" s="212"/>
    </row>
    <row r="813" spans="5:33">
      <c r="E813" s="376"/>
      <c r="F813" s="376"/>
      <c r="G813" s="376"/>
      <c r="H813" s="376"/>
      <c r="K813" s="214"/>
      <c r="S813" s="214"/>
      <c r="Y813" s="214"/>
      <c r="Z813" s="214"/>
      <c r="AF813" s="212"/>
      <c r="AG813" s="212"/>
    </row>
    <row r="814" spans="5:33">
      <c r="E814" s="376"/>
      <c r="F814" s="376"/>
      <c r="G814" s="376"/>
      <c r="H814" s="376"/>
      <c r="K814" s="214"/>
      <c r="S814" s="214"/>
      <c r="Y814" s="214"/>
      <c r="Z814" s="214"/>
      <c r="AF814" s="212"/>
      <c r="AG814" s="212"/>
    </row>
    <row r="815" spans="5:33">
      <c r="E815" s="376"/>
      <c r="F815" s="376"/>
      <c r="G815" s="376"/>
      <c r="H815" s="376"/>
      <c r="K815" s="214"/>
      <c r="S815" s="214"/>
      <c r="Y815" s="214"/>
      <c r="Z815" s="214"/>
      <c r="AF815" s="212"/>
      <c r="AG815" s="212"/>
    </row>
    <row r="816" spans="5:33">
      <c r="E816" s="376"/>
      <c r="F816" s="376"/>
      <c r="G816" s="376"/>
      <c r="H816" s="376"/>
      <c r="K816" s="214"/>
      <c r="S816" s="214"/>
      <c r="Y816" s="214"/>
      <c r="Z816" s="214"/>
      <c r="AF816" s="212"/>
      <c r="AG816" s="212"/>
    </row>
    <row r="817" spans="5:33">
      <c r="E817" s="376"/>
      <c r="F817" s="376"/>
      <c r="G817" s="376"/>
      <c r="H817" s="376"/>
      <c r="K817" s="214"/>
      <c r="S817" s="214"/>
      <c r="Y817" s="214"/>
      <c r="Z817" s="214"/>
      <c r="AF817" s="212"/>
      <c r="AG817" s="212"/>
    </row>
    <row r="818" spans="5:33">
      <c r="E818" s="376"/>
      <c r="F818" s="376"/>
      <c r="G818" s="376"/>
      <c r="H818" s="376"/>
      <c r="K818" s="214"/>
      <c r="S818" s="214"/>
      <c r="Y818" s="214"/>
      <c r="Z818" s="214"/>
      <c r="AF818" s="212"/>
      <c r="AG818" s="212"/>
    </row>
    <row r="819" spans="5:33">
      <c r="E819" s="376"/>
      <c r="F819" s="376"/>
      <c r="G819" s="376"/>
      <c r="H819" s="376"/>
      <c r="K819" s="214"/>
      <c r="S819" s="214"/>
      <c r="Y819" s="214"/>
      <c r="Z819" s="214"/>
      <c r="AF819" s="212"/>
      <c r="AG819" s="212"/>
    </row>
    <row r="820" spans="5:33">
      <c r="E820" s="376"/>
      <c r="F820" s="376"/>
      <c r="G820" s="376"/>
      <c r="H820" s="376"/>
      <c r="K820" s="214"/>
      <c r="S820" s="214"/>
      <c r="Y820" s="214"/>
      <c r="Z820" s="214"/>
      <c r="AF820" s="212"/>
      <c r="AG820" s="212"/>
    </row>
    <row r="821" spans="5:33">
      <c r="E821" s="376"/>
      <c r="F821" s="376"/>
      <c r="G821" s="376"/>
      <c r="H821" s="376"/>
      <c r="K821" s="214"/>
      <c r="S821" s="214"/>
      <c r="Y821" s="214"/>
      <c r="Z821" s="214"/>
      <c r="AF821" s="212"/>
      <c r="AG821" s="212"/>
    </row>
    <row r="822" spans="5:33">
      <c r="E822" s="376"/>
      <c r="F822" s="376"/>
      <c r="G822" s="376"/>
      <c r="H822" s="376"/>
      <c r="K822" s="214"/>
      <c r="S822" s="214"/>
      <c r="Y822" s="214"/>
      <c r="Z822" s="214"/>
      <c r="AF822" s="212"/>
      <c r="AG822" s="212"/>
    </row>
    <row r="823" spans="5:33">
      <c r="E823" s="376"/>
      <c r="F823" s="376"/>
      <c r="G823" s="376"/>
      <c r="H823" s="376"/>
      <c r="K823" s="214"/>
      <c r="S823" s="214"/>
      <c r="Y823" s="214"/>
      <c r="Z823" s="214"/>
      <c r="AF823" s="212"/>
      <c r="AG823" s="212"/>
    </row>
    <row r="824" spans="5:33">
      <c r="E824" s="376"/>
      <c r="F824" s="376"/>
      <c r="G824" s="376"/>
      <c r="H824" s="376"/>
      <c r="K824" s="214"/>
      <c r="S824" s="214"/>
      <c r="Y824" s="214"/>
      <c r="Z824" s="214"/>
      <c r="AF824" s="212"/>
      <c r="AG824" s="212"/>
    </row>
    <row r="825" spans="5:33">
      <c r="E825" s="376"/>
      <c r="F825" s="376"/>
      <c r="G825" s="376"/>
      <c r="H825" s="376"/>
      <c r="K825" s="214"/>
      <c r="S825" s="214"/>
      <c r="Y825" s="214"/>
      <c r="Z825" s="214"/>
      <c r="AF825" s="212"/>
      <c r="AG825" s="212"/>
    </row>
    <row r="826" spans="5:33">
      <c r="E826" s="376"/>
      <c r="F826" s="376"/>
      <c r="G826" s="376"/>
      <c r="H826" s="376"/>
      <c r="K826" s="214"/>
      <c r="S826" s="214"/>
      <c r="Y826" s="214"/>
      <c r="Z826" s="214"/>
      <c r="AF826" s="212"/>
      <c r="AG826" s="212"/>
    </row>
    <row r="827" spans="5:33">
      <c r="E827" s="376"/>
      <c r="F827" s="376"/>
      <c r="G827" s="376"/>
      <c r="H827" s="376"/>
      <c r="K827" s="214"/>
      <c r="S827" s="214"/>
      <c r="Y827" s="214"/>
      <c r="Z827" s="214"/>
      <c r="AF827" s="212"/>
      <c r="AG827" s="212"/>
    </row>
    <row r="828" spans="5:33">
      <c r="E828" s="376"/>
      <c r="F828" s="376"/>
      <c r="G828" s="376"/>
      <c r="H828" s="376"/>
      <c r="K828" s="214"/>
      <c r="S828" s="214"/>
      <c r="Y828" s="214"/>
      <c r="Z828" s="214"/>
      <c r="AF828" s="212"/>
      <c r="AG828" s="212"/>
    </row>
    <row r="829" spans="5:33">
      <c r="E829" s="376"/>
      <c r="F829" s="376"/>
      <c r="G829" s="376"/>
      <c r="H829" s="376"/>
      <c r="K829" s="214"/>
      <c r="S829" s="214"/>
      <c r="Y829" s="214"/>
      <c r="Z829" s="214"/>
      <c r="AF829" s="212"/>
      <c r="AG829" s="212"/>
    </row>
    <row r="830" spans="5:33">
      <c r="E830" s="376"/>
      <c r="F830" s="376"/>
      <c r="G830" s="376"/>
      <c r="H830" s="376"/>
      <c r="K830" s="214"/>
      <c r="S830" s="214"/>
      <c r="Y830" s="214"/>
      <c r="Z830" s="214"/>
      <c r="AF830" s="212"/>
      <c r="AG830" s="212"/>
    </row>
    <row r="831" spans="5:33">
      <c r="E831" s="376"/>
      <c r="F831" s="376"/>
      <c r="G831" s="376"/>
      <c r="H831" s="376"/>
      <c r="K831" s="214"/>
      <c r="S831" s="214"/>
      <c r="Y831" s="214"/>
      <c r="Z831" s="214"/>
      <c r="AF831" s="212"/>
      <c r="AG831" s="212"/>
    </row>
    <row r="832" spans="5:33">
      <c r="E832" s="376"/>
      <c r="F832" s="376"/>
      <c r="G832" s="376"/>
      <c r="H832" s="376"/>
      <c r="K832" s="214"/>
      <c r="S832" s="214"/>
      <c r="Y832" s="214"/>
      <c r="Z832" s="214"/>
      <c r="AF832" s="212"/>
      <c r="AG832" s="212"/>
    </row>
    <row r="833" spans="5:33">
      <c r="E833" s="376"/>
      <c r="F833" s="376"/>
      <c r="G833" s="376"/>
      <c r="H833" s="376"/>
      <c r="K833" s="214"/>
      <c r="S833" s="214"/>
      <c r="Y833" s="214"/>
      <c r="Z833" s="214"/>
      <c r="AF833" s="212"/>
      <c r="AG833" s="212"/>
    </row>
    <row r="834" spans="5:33">
      <c r="E834" s="376"/>
      <c r="F834" s="376"/>
      <c r="G834" s="376"/>
      <c r="H834" s="376"/>
      <c r="K834" s="214"/>
      <c r="S834" s="214"/>
      <c r="Y834" s="214"/>
      <c r="Z834" s="214"/>
      <c r="AF834" s="212"/>
      <c r="AG834" s="212"/>
    </row>
    <row r="835" spans="5:33">
      <c r="E835" s="376"/>
      <c r="F835" s="376"/>
      <c r="G835" s="376"/>
      <c r="H835" s="376"/>
      <c r="K835" s="214"/>
      <c r="S835" s="214"/>
      <c r="Y835" s="214"/>
      <c r="Z835" s="214"/>
      <c r="AF835" s="212"/>
      <c r="AG835" s="212"/>
    </row>
    <row r="836" spans="5:33">
      <c r="E836" s="376"/>
      <c r="F836" s="376"/>
      <c r="G836" s="376"/>
      <c r="H836" s="376"/>
      <c r="K836" s="214"/>
      <c r="S836" s="214"/>
      <c r="Y836" s="214"/>
      <c r="Z836" s="214"/>
      <c r="AF836" s="212"/>
      <c r="AG836" s="212"/>
    </row>
    <row r="837" spans="5:33">
      <c r="E837" s="376"/>
      <c r="F837" s="376"/>
      <c r="G837" s="376"/>
      <c r="H837" s="376"/>
      <c r="K837" s="214"/>
      <c r="S837" s="214"/>
      <c r="Y837" s="214"/>
      <c r="Z837" s="214"/>
      <c r="AF837" s="212"/>
      <c r="AG837" s="212"/>
    </row>
    <row r="838" spans="5:33">
      <c r="E838" s="376"/>
      <c r="F838" s="376"/>
      <c r="G838" s="376"/>
      <c r="H838" s="376"/>
      <c r="K838" s="214"/>
      <c r="S838" s="214"/>
      <c r="Y838" s="214"/>
      <c r="Z838" s="214"/>
      <c r="AF838" s="212"/>
      <c r="AG838" s="212"/>
    </row>
    <row r="839" spans="5:33">
      <c r="E839" s="376"/>
      <c r="F839" s="376"/>
      <c r="G839" s="376"/>
      <c r="H839" s="376"/>
      <c r="K839" s="214"/>
      <c r="S839" s="214"/>
      <c r="Y839" s="214"/>
      <c r="Z839" s="214"/>
      <c r="AF839" s="212"/>
      <c r="AG839" s="212"/>
    </row>
    <row r="840" spans="5:33">
      <c r="E840" s="376"/>
      <c r="F840" s="376"/>
      <c r="G840" s="376"/>
      <c r="H840" s="376"/>
      <c r="K840" s="214"/>
      <c r="S840" s="214"/>
      <c r="Y840" s="214"/>
      <c r="Z840" s="214"/>
      <c r="AF840" s="212"/>
      <c r="AG840" s="212"/>
    </row>
    <row r="841" spans="5:33">
      <c r="E841" s="376"/>
      <c r="F841" s="376"/>
      <c r="G841" s="376"/>
      <c r="H841" s="376"/>
      <c r="K841" s="214"/>
      <c r="S841" s="214"/>
      <c r="Y841" s="214"/>
      <c r="Z841" s="214"/>
      <c r="AF841" s="212"/>
      <c r="AG841" s="212"/>
    </row>
    <row r="842" spans="5:33">
      <c r="E842" s="376"/>
      <c r="F842" s="376"/>
      <c r="G842" s="376"/>
      <c r="H842" s="376"/>
      <c r="K842" s="214"/>
      <c r="S842" s="214"/>
      <c r="Y842" s="214"/>
      <c r="Z842" s="214"/>
      <c r="AF842" s="212"/>
      <c r="AG842" s="212"/>
    </row>
    <row r="843" spans="5:33">
      <c r="E843" s="376"/>
      <c r="F843" s="376"/>
      <c r="G843" s="376"/>
      <c r="H843" s="376"/>
      <c r="K843" s="214"/>
      <c r="S843" s="214"/>
      <c r="Y843" s="214"/>
      <c r="Z843" s="214"/>
      <c r="AF843" s="212"/>
      <c r="AG843" s="212"/>
    </row>
    <row r="844" spans="5:33">
      <c r="E844" s="376"/>
      <c r="F844" s="376"/>
      <c r="G844" s="376"/>
      <c r="H844" s="376"/>
      <c r="K844" s="214"/>
      <c r="S844" s="214"/>
      <c r="Y844" s="214"/>
      <c r="Z844" s="214"/>
      <c r="AF844" s="212"/>
      <c r="AG844" s="212"/>
    </row>
    <row r="845" spans="5:33">
      <c r="E845" s="376"/>
      <c r="F845" s="376"/>
      <c r="G845" s="376"/>
      <c r="H845" s="376"/>
      <c r="K845" s="214"/>
      <c r="S845" s="214"/>
      <c r="Y845" s="214"/>
      <c r="Z845" s="214"/>
      <c r="AF845" s="212"/>
      <c r="AG845" s="212"/>
    </row>
    <row r="846" spans="5:33">
      <c r="E846" s="376"/>
      <c r="F846" s="376"/>
      <c r="G846" s="376"/>
      <c r="H846" s="376"/>
      <c r="K846" s="214"/>
      <c r="S846" s="214"/>
      <c r="Y846" s="214"/>
      <c r="Z846" s="214"/>
      <c r="AF846" s="212"/>
      <c r="AG846" s="212"/>
    </row>
    <row r="847" spans="5:33">
      <c r="E847" s="376"/>
      <c r="F847" s="376"/>
      <c r="G847" s="376"/>
      <c r="H847" s="376"/>
      <c r="K847" s="214"/>
      <c r="S847" s="214"/>
      <c r="Y847" s="214"/>
      <c r="Z847" s="214"/>
      <c r="AF847" s="212"/>
      <c r="AG847" s="212"/>
    </row>
    <row r="848" spans="5:33">
      <c r="E848" s="376"/>
      <c r="F848" s="376"/>
      <c r="G848" s="376"/>
      <c r="H848" s="376"/>
      <c r="K848" s="214"/>
      <c r="S848" s="214"/>
      <c r="Y848" s="214"/>
      <c r="Z848" s="214"/>
      <c r="AF848" s="212"/>
      <c r="AG848" s="212"/>
    </row>
    <row r="849" spans="5:33">
      <c r="E849" s="376"/>
      <c r="F849" s="376"/>
      <c r="G849" s="376"/>
      <c r="H849" s="376"/>
      <c r="K849" s="214"/>
      <c r="S849" s="214"/>
      <c r="Y849" s="214"/>
      <c r="Z849" s="214"/>
      <c r="AF849" s="212"/>
      <c r="AG849" s="212"/>
    </row>
    <row r="850" spans="5:33">
      <c r="E850" s="376"/>
      <c r="F850" s="376"/>
      <c r="G850" s="376"/>
      <c r="H850" s="376"/>
      <c r="K850" s="214"/>
      <c r="S850" s="214"/>
      <c r="Y850" s="214"/>
      <c r="Z850" s="214"/>
      <c r="AF850" s="212"/>
      <c r="AG850" s="212"/>
    </row>
    <row r="851" spans="5:33">
      <c r="E851" s="376"/>
      <c r="F851" s="376"/>
      <c r="G851" s="376"/>
      <c r="H851" s="376"/>
      <c r="K851" s="214"/>
      <c r="S851" s="214"/>
      <c r="Y851" s="214"/>
      <c r="Z851" s="214"/>
      <c r="AF851" s="212"/>
      <c r="AG851" s="212"/>
    </row>
    <row r="852" spans="5:33">
      <c r="E852" s="376"/>
      <c r="F852" s="376"/>
      <c r="G852" s="376"/>
      <c r="H852" s="376"/>
      <c r="K852" s="214"/>
      <c r="S852" s="214"/>
      <c r="Y852" s="214"/>
      <c r="Z852" s="214"/>
      <c r="AF852" s="212"/>
      <c r="AG852" s="212"/>
    </row>
    <row r="853" spans="5:33">
      <c r="E853" s="376"/>
      <c r="F853" s="376"/>
      <c r="G853" s="376"/>
      <c r="H853" s="376"/>
      <c r="K853" s="214"/>
      <c r="S853" s="214"/>
      <c r="Y853" s="214"/>
      <c r="Z853" s="214"/>
      <c r="AF853" s="212"/>
      <c r="AG853" s="212"/>
    </row>
    <row r="854" spans="5:33">
      <c r="E854" s="376"/>
      <c r="F854" s="376"/>
      <c r="G854" s="376"/>
      <c r="H854" s="376"/>
      <c r="K854" s="214"/>
      <c r="S854" s="214"/>
      <c r="Y854" s="214"/>
      <c r="Z854" s="214"/>
      <c r="AF854" s="212"/>
      <c r="AG854" s="212"/>
    </row>
    <row r="855" spans="5:33">
      <c r="E855" s="376"/>
      <c r="F855" s="376"/>
      <c r="G855" s="376"/>
      <c r="H855" s="376"/>
      <c r="K855" s="214"/>
      <c r="S855" s="214"/>
      <c r="Y855" s="214"/>
      <c r="Z855" s="214"/>
      <c r="AF855" s="212"/>
      <c r="AG855" s="212"/>
    </row>
    <row r="856" spans="5:33">
      <c r="E856" s="376"/>
      <c r="F856" s="376"/>
      <c r="G856" s="376"/>
      <c r="H856" s="376"/>
      <c r="K856" s="214"/>
      <c r="S856" s="214"/>
      <c r="Y856" s="214"/>
      <c r="Z856" s="214"/>
      <c r="AF856" s="212"/>
      <c r="AG856" s="212"/>
    </row>
    <row r="857" spans="5:33">
      <c r="E857" s="376"/>
      <c r="F857" s="376"/>
      <c r="G857" s="376"/>
      <c r="H857" s="376"/>
      <c r="K857" s="214"/>
      <c r="S857" s="214"/>
      <c r="Y857" s="214"/>
      <c r="Z857" s="214"/>
      <c r="AF857" s="212"/>
      <c r="AG857" s="212"/>
    </row>
    <row r="858" spans="5:33">
      <c r="E858" s="376"/>
      <c r="F858" s="376"/>
      <c r="G858" s="376"/>
      <c r="H858" s="376"/>
      <c r="K858" s="214"/>
      <c r="S858" s="214"/>
      <c r="Y858" s="214"/>
      <c r="Z858" s="214"/>
      <c r="AF858" s="212"/>
      <c r="AG858" s="212"/>
    </row>
    <row r="859" spans="5:33">
      <c r="E859" s="376"/>
      <c r="F859" s="376"/>
      <c r="G859" s="376"/>
      <c r="H859" s="376"/>
      <c r="K859" s="214"/>
      <c r="S859" s="214"/>
      <c r="Y859" s="214"/>
      <c r="Z859" s="214"/>
      <c r="AF859" s="212"/>
      <c r="AG859" s="212"/>
    </row>
    <row r="860" spans="5:33">
      <c r="E860" s="376"/>
      <c r="F860" s="376"/>
      <c r="G860" s="376"/>
      <c r="H860" s="376"/>
      <c r="K860" s="214"/>
      <c r="S860" s="214"/>
      <c r="Y860" s="214"/>
      <c r="Z860" s="214"/>
      <c r="AF860" s="212"/>
      <c r="AG860" s="212"/>
    </row>
    <row r="861" spans="5:33">
      <c r="E861" s="376"/>
      <c r="F861" s="376"/>
      <c r="G861" s="376"/>
      <c r="H861" s="376"/>
      <c r="K861" s="214"/>
      <c r="S861" s="214"/>
      <c r="Y861" s="214"/>
      <c r="Z861" s="214"/>
      <c r="AF861" s="212"/>
      <c r="AG861" s="212"/>
    </row>
    <row r="862" spans="5:33">
      <c r="E862" s="376"/>
      <c r="F862" s="376"/>
      <c r="G862" s="376"/>
      <c r="H862" s="376"/>
      <c r="K862" s="214"/>
      <c r="S862" s="214"/>
      <c r="Y862" s="214"/>
      <c r="Z862" s="214"/>
      <c r="AF862" s="212"/>
      <c r="AG862" s="212"/>
    </row>
    <row r="863" spans="5:33">
      <c r="E863" s="376"/>
      <c r="F863" s="376"/>
      <c r="G863" s="376"/>
      <c r="H863" s="376"/>
      <c r="K863" s="214"/>
      <c r="S863" s="214"/>
      <c r="Y863" s="214"/>
      <c r="Z863" s="214"/>
      <c r="AF863" s="212"/>
      <c r="AG863" s="212"/>
    </row>
    <row r="864" spans="5:33">
      <c r="E864" s="376"/>
      <c r="F864" s="376"/>
      <c r="G864" s="376"/>
      <c r="H864" s="376"/>
      <c r="K864" s="214"/>
      <c r="S864" s="214"/>
      <c r="Y864" s="214"/>
      <c r="Z864" s="214"/>
      <c r="AF864" s="212"/>
      <c r="AG864" s="212"/>
    </row>
    <row r="865" spans="5:33">
      <c r="E865" s="376"/>
      <c r="F865" s="376"/>
      <c r="G865" s="376"/>
      <c r="H865" s="376"/>
      <c r="K865" s="214"/>
      <c r="S865" s="214"/>
      <c r="Y865" s="214"/>
      <c r="Z865" s="214"/>
      <c r="AF865" s="212"/>
      <c r="AG865" s="212"/>
    </row>
    <row r="866" spans="5:33">
      <c r="E866" s="376"/>
      <c r="F866" s="376"/>
      <c r="G866" s="376"/>
      <c r="H866" s="376"/>
      <c r="K866" s="214"/>
      <c r="S866" s="214"/>
      <c r="Y866" s="214"/>
      <c r="Z866" s="214"/>
      <c r="AF866" s="212"/>
      <c r="AG866" s="212"/>
    </row>
    <row r="867" spans="5:33">
      <c r="E867" s="376"/>
      <c r="F867" s="376"/>
      <c r="G867" s="376"/>
      <c r="H867" s="376"/>
      <c r="K867" s="214"/>
      <c r="S867" s="214"/>
      <c r="Y867" s="214"/>
      <c r="Z867" s="214"/>
      <c r="AF867" s="212"/>
      <c r="AG867" s="212"/>
    </row>
    <row r="868" spans="5:33">
      <c r="E868" s="376"/>
      <c r="F868" s="376"/>
      <c r="G868" s="376"/>
      <c r="H868" s="376"/>
      <c r="K868" s="214"/>
      <c r="S868" s="214"/>
      <c r="Y868" s="214"/>
      <c r="Z868" s="214"/>
      <c r="AF868" s="212"/>
      <c r="AG868" s="212"/>
    </row>
    <row r="869" spans="5:33">
      <c r="E869" s="376"/>
      <c r="F869" s="376"/>
      <c r="G869" s="376"/>
      <c r="H869" s="376"/>
      <c r="K869" s="214"/>
      <c r="S869" s="214"/>
      <c r="Y869" s="214"/>
      <c r="Z869" s="214"/>
      <c r="AF869" s="212"/>
      <c r="AG869" s="212"/>
    </row>
    <row r="870" spans="5:33">
      <c r="E870" s="376"/>
      <c r="F870" s="376"/>
      <c r="G870" s="376"/>
      <c r="H870" s="376"/>
      <c r="K870" s="214"/>
      <c r="S870" s="214"/>
      <c r="Y870" s="214"/>
      <c r="Z870" s="214"/>
      <c r="AF870" s="212"/>
      <c r="AG870" s="212"/>
    </row>
    <row r="871" spans="5:33">
      <c r="E871" s="376"/>
      <c r="F871" s="376"/>
      <c r="G871" s="376"/>
      <c r="H871" s="376"/>
      <c r="K871" s="214"/>
      <c r="S871" s="214"/>
      <c r="Y871" s="214"/>
      <c r="Z871" s="214"/>
      <c r="AF871" s="212"/>
      <c r="AG871" s="212"/>
    </row>
    <row r="872" spans="5:33">
      <c r="E872" s="376"/>
      <c r="F872" s="376"/>
      <c r="G872" s="376"/>
      <c r="H872" s="376"/>
      <c r="K872" s="214"/>
      <c r="S872" s="214"/>
      <c r="Y872" s="214"/>
      <c r="Z872" s="214"/>
      <c r="AF872" s="212"/>
      <c r="AG872" s="212"/>
    </row>
    <row r="873" spans="5:33">
      <c r="E873" s="376"/>
      <c r="F873" s="376"/>
      <c r="G873" s="376"/>
      <c r="H873" s="376"/>
      <c r="K873" s="214"/>
      <c r="S873" s="214"/>
      <c r="Y873" s="214"/>
      <c r="Z873" s="214"/>
      <c r="AF873" s="212"/>
      <c r="AG873" s="212"/>
    </row>
    <row r="874" spans="5:33">
      <c r="E874" s="376"/>
      <c r="F874" s="376"/>
      <c r="G874" s="376"/>
      <c r="H874" s="376"/>
      <c r="K874" s="214"/>
      <c r="S874" s="214"/>
      <c r="Y874" s="214"/>
      <c r="Z874" s="214"/>
      <c r="AF874" s="212"/>
      <c r="AG874" s="212"/>
    </row>
    <row r="875" spans="5:33">
      <c r="E875" s="376"/>
      <c r="F875" s="376"/>
      <c r="G875" s="376"/>
      <c r="H875" s="376"/>
      <c r="K875" s="214"/>
      <c r="S875" s="214"/>
      <c r="Y875" s="214"/>
      <c r="Z875" s="214"/>
      <c r="AF875" s="212"/>
      <c r="AG875" s="212"/>
    </row>
    <row r="876" spans="5:33">
      <c r="E876" s="376"/>
      <c r="F876" s="376"/>
      <c r="G876" s="376"/>
      <c r="H876" s="376"/>
      <c r="K876" s="214"/>
      <c r="S876" s="214"/>
      <c r="Y876" s="214"/>
      <c r="Z876" s="214"/>
      <c r="AF876" s="212"/>
      <c r="AG876" s="212"/>
    </row>
    <row r="877" spans="5:33">
      <c r="E877" s="376"/>
      <c r="F877" s="376"/>
      <c r="G877" s="376"/>
      <c r="H877" s="376"/>
      <c r="K877" s="214"/>
      <c r="S877" s="214"/>
      <c r="Y877" s="214"/>
      <c r="Z877" s="214"/>
      <c r="AF877" s="212"/>
      <c r="AG877" s="212"/>
    </row>
    <row r="878" spans="5:33">
      <c r="E878" s="376"/>
      <c r="F878" s="376"/>
      <c r="G878" s="376"/>
      <c r="H878" s="376"/>
      <c r="K878" s="214"/>
      <c r="S878" s="214"/>
      <c r="Y878" s="214"/>
      <c r="Z878" s="214"/>
      <c r="AF878" s="212"/>
      <c r="AG878" s="212"/>
    </row>
    <row r="879" spans="5:33">
      <c r="E879" s="376"/>
      <c r="F879" s="376"/>
      <c r="G879" s="376"/>
      <c r="H879" s="376"/>
      <c r="K879" s="214"/>
      <c r="S879" s="214"/>
      <c r="Y879" s="214"/>
      <c r="Z879" s="214"/>
      <c r="AF879" s="212"/>
      <c r="AG879" s="212"/>
    </row>
    <row r="880" spans="5:33">
      <c r="E880" s="376"/>
      <c r="F880" s="376"/>
      <c r="G880" s="376"/>
      <c r="H880" s="376"/>
      <c r="K880" s="214"/>
      <c r="S880" s="214"/>
      <c r="Y880" s="214"/>
      <c r="Z880" s="214"/>
      <c r="AF880" s="212"/>
      <c r="AG880" s="212"/>
    </row>
    <row r="881" spans="5:33">
      <c r="E881" s="376"/>
      <c r="F881" s="376"/>
      <c r="G881" s="376"/>
      <c r="H881" s="376"/>
      <c r="K881" s="214"/>
      <c r="S881" s="214"/>
      <c r="Y881" s="214"/>
      <c r="Z881" s="214"/>
      <c r="AF881" s="212"/>
      <c r="AG881" s="212"/>
    </row>
    <row r="882" spans="5:33">
      <c r="E882" s="376"/>
      <c r="F882" s="376"/>
      <c r="G882" s="376"/>
      <c r="H882" s="376"/>
      <c r="K882" s="214"/>
      <c r="S882" s="214"/>
      <c r="Y882" s="214"/>
      <c r="Z882" s="214"/>
      <c r="AF882" s="212"/>
      <c r="AG882" s="212"/>
    </row>
    <row r="883" spans="5:33">
      <c r="E883" s="376"/>
      <c r="F883" s="376"/>
      <c r="G883" s="376"/>
      <c r="H883" s="376"/>
      <c r="K883" s="214"/>
      <c r="S883" s="214"/>
      <c r="Y883" s="214"/>
      <c r="Z883" s="214"/>
      <c r="AF883" s="212"/>
      <c r="AG883" s="212"/>
    </row>
    <row r="884" spans="5:33">
      <c r="E884" s="376"/>
      <c r="F884" s="376"/>
      <c r="G884" s="376"/>
      <c r="H884" s="376"/>
      <c r="K884" s="214"/>
      <c r="S884" s="214"/>
      <c r="Y884" s="214"/>
      <c r="Z884" s="214"/>
      <c r="AF884" s="212"/>
      <c r="AG884" s="212"/>
    </row>
    <row r="885" spans="5:33">
      <c r="E885" s="376"/>
      <c r="F885" s="376"/>
      <c r="G885" s="376"/>
      <c r="H885" s="376"/>
      <c r="K885" s="214"/>
      <c r="S885" s="214"/>
      <c r="Y885" s="214"/>
      <c r="Z885" s="214"/>
      <c r="AF885" s="212"/>
      <c r="AG885" s="212"/>
    </row>
    <row r="886" spans="5:33">
      <c r="E886" s="376"/>
      <c r="F886" s="376"/>
      <c r="G886" s="376"/>
      <c r="H886" s="376"/>
      <c r="K886" s="214"/>
      <c r="S886" s="214"/>
      <c r="Y886" s="214"/>
      <c r="Z886" s="214"/>
      <c r="AF886" s="212"/>
      <c r="AG886" s="212"/>
    </row>
    <row r="887" spans="5:33">
      <c r="E887" s="376"/>
      <c r="F887" s="376"/>
      <c r="G887" s="376"/>
      <c r="H887" s="376"/>
      <c r="K887" s="214"/>
      <c r="S887" s="214"/>
      <c r="Y887" s="214"/>
      <c r="Z887" s="214"/>
      <c r="AF887" s="212"/>
      <c r="AG887" s="212"/>
    </row>
    <row r="888" spans="5:33">
      <c r="E888" s="376"/>
      <c r="F888" s="376"/>
      <c r="G888" s="376"/>
      <c r="H888" s="376"/>
      <c r="K888" s="214"/>
      <c r="S888" s="214"/>
      <c r="Y888" s="214"/>
      <c r="Z888" s="214"/>
      <c r="AF888" s="212"/>
      <c r="AG888" s="212"/>
    </row>
    <row r="889" spans="5:33">
      <c r="E889" s="376"/>
      <c r="F889" s="376"/>
      <c r="G889" s="376"/>
      <c r="H889" s="376"/>
      <c r="K889" s="214"/>
      <c r="S889" s="214"/>
      <c r="Y889" s="214"/>
      <c r="Z889" s="214"/>
      <c r="AF889" s="212"/>
      <c r="AG889" s="212"/>
    </row>
    <row r="890" spans="5:33">
      <c r="E890" s="376"/>
      <c r="F890" s="376"/>
      <c r="G890" s="376"/>
      <c r="H890" s="376"/>
      <c r="K890" s="214"/>
      <c r="S890" s="214"/>
      <c r="Y890" s="214"/>
      <c r="Z890" s="214"/>
      <c r="AF890" s="212"/>
      <c r="AG890" s="212"/>
    </row>
    <row r="891" spans="5:33">
      <c r="E891" s="376"/>
      <c r="F891" s="376"/>
      <c r="G891" s="376"/>
      <c r="H891" s="376"/>
      <c r="K891" s="214"/>
      <c r="S891" s="214"/>
      <c r="Y891" s="214"/>
      <c r="Z891" s="214"/>
      <c r="AF891" s="212"/>
      <c r="AG891" s="212"/>
    </row>
    <row r="892" spans="5:33">
      <c r="E892" s="376"/>
      <c r="F892" s="376"/>
      <c r="G892" s="376"/>
      <c r="H892" s="376"/>
      <c r="K892" s="214"/>
      <c r="S892" s="214"/>
      <c r="Y892" s="214"/>
      <c r="Z892" s="214"/>
      <c r="AF892" s="212"/>
      <c r="AG892" s="212"/>
    </row>
    <row r="893" spans="5:33">
      <c r="E893" s="376"/>
      <c r="F893" s="376"/>
      <c r="G893" s="376"/>
      <c r="H893" s="376"/>
      <c r="K893" s="214"/>
      <c r="S893" s="214"/>
      <c r="Y893" s="214"/>
      <c r="Z893" s="214"/>
      <c r="AF893" s="212"/>
      <c r="AG893" s="212"/>
    </row>
    <row r="894" spans="5:33">
      <c r="E894" s="376"/>
      <c r="F894" s="376"/>
      <c r="G894" s="376"/>
      <c r="H894" s="376"/>
      <c r="K894" s="214"/>
      <c r="S894" s="214"/>
      <c r="Y894" s="214"/>
      <c r="Z894" s="214"/>
      <c r="AF894" s="212"/>
      <c r="AG894" s="212"/>
    </row>
    <row r="895" spans="5:33">
      <c r="E895" s="376"/>
      <c r="F895" s="376"/>
      <c r="G895" s="376"/>
      <c r="H895" s="376"/>
      <c r="K895" s="214"/>
      <c r="S895" s="214"/>
      <c r="Y895" s="214"/>
      <c r="Z895" s="214"/>
      <c r="AF895" s="212"/>
      <c r="AG895" s="212"/>
    </row>
    <row r="896" spans="5:33">
      <c r="E896" s="376"/>
      <c r="F896" s="376"/>
      <c r="G896" s="376"/>
      <c r="H896" s="376"/>
      <c r="K896" s="214"/>
      <c r="S896" s="214"/>
      <c r="Y896" s="214"/>
      <c r="Z896" s="214"/>
      <c r="AF896" s="212"/>
      <c r="AG896" s="212"/>
    </row>
    <row r="897" spans="5:33">
      <c r="E897" s="376"/>
      <c r="F897" s="376"/>
      <c r="G897" s="376"/>
      <c r="H897" s="376"/>
      <c r="K897" s="214"/>
      <c r="S897" s="214"/>
      <c r="Y897" s="214"/>
      <c r="Z897" s="214"/>
      <c r="AF897" s="212"/>
      <c r="AG897" s="212"/>
    </row>
    <row r="898" spans="5:33">
      <c r="E898" s="376"/>
      <c r="F898" s="376"/>
      <c r="G898" s="376"/>
      <c r="H898" s="376"/>
      <c r="K898" s="214"/>
      <c r="S898" s="214"/>
      <c r="Y898" s="214"/>
      <c r="Z898" s="214"/>
      <c r="AF898" s="212"/>
      <c r="AG898" s="212"/>
    </row>
    <row r="899" spans="5:33">
      <c r="E899" s="376"/>
      <c r="F899" s="376"/>
      <c r="G899" s="376"/>
      <c r="H899" s="376"/>
      <c r="K899" s="214"/>
      <c r="S899" s="214"/>
      <c r="Y899" s="214"/>
      <c r="Z899" s="214"/>
      <c r="AF899" s="212"/>
      <c r="AG899" s="212"/>
    </row>
    <row r="900" spans="5:33">
      <c r="E900" s="376"/>
      <c r="F900" s="376"/>
      <c r="G900" s="376"/>
      <c r="H900" s="376"/>
      <c r="K900" s="214"/>
      <c r="S900" s="214"/>
      <c r="Y900" s="214"/>
      <c r="Z900" s="214"/>
      <c r="AF900" s="212"/>
      <c r="AG900" s="212"/>
    </row>
    <row r="901" spans="5:33">
      <c r="E901" s="376"/>
      <c r="F901" s="376"/>
      <c r="G901" s="376"/>
      <c r="H901" s="376"/>
      <c r="K901" s="214"/>
      <c r="S901" s="214"/>
      <c r="Y901" s="214"/>
      <c r="Z901" s="214"/>
      <c r="AF901" s="212"/>
      <c r="AG901" s="212"/>
    </row>
    <row r="902" spans="5:33">
      <c r="E902" s="376"/>
      <c r="F902" s="376"/>
      <c r="G902" s="376"/>
      <c r="H902" s="376"/>
      <c r="K902" s="214"/>
      <c r="S902" s="214"/>
      <c r="Y902" s="214"/>
      <c r="Z902" s="214"/>
      <c r="AF902" s="212"/>
      <c r="AG902" s="212"/>
    </row>
    <row r="903" spans="5:33">
      <c r="E903" s="376"/>
      <c r="F903" s="376"/>
      <c r="G903" s="376"/>
      <c r="H903" s="376"/>
      <c r="K903" s="214"/>
      <c r="S903" s="214"/>
      <c r="Y903" s="214"/>
      <c r="Z903" s="214"/>
      <c r="AF903" s="212"/>
      <c r="AG903" s="212"/>
    </row>
    <row r="904" spans="5:33">
      <c r="E904" s="376"/>
      <c r="F904" s="376"/>
      <c r="G904" s="376"/>
      <c r="H904" s="376"/>
      <c r="K904" s="214"/>
      <c r="S904" s="214"/>
      <c r="Y904" s="214"/>
      <c r="Z904" s="214"/>
      <c r="AF904" s="212"/>
      <c r="AG904" s="212"/>
    </row>
    <row r="905" spans="5:33">
      <c r="E905" s="376"/>
      <c r="F905" s="376"/>
      <c r="G905" s="376"/>
      <c r="H905" s="376"/>
      <c r="K905" s="214"/>
      <c r="S905" s="214"/>
      <c r="Y905" s="214"/>
      <c r="Z905" s="214"/>
      <c r="AF905" s="212"/>
      <c r="AG905" s="212"/>
    </row>
    <row r="906" spans="5:33">
      <c r="E906" s="376"/>
      <c r="F906" s="376"/>
      <c r="G906" s="376"/>
      <c r="H906" s="376"/>
      <c r="K906" s="214"/>
      <c r="S906" s="214"/>
      <c r="Y906" s="214"/>
      <c r="Z906" s="214"/>
      <c r="AF906" s="212"/>
      <c r="AG906" s="212"/>
    </row>
    <row r="907" spans="5:33">
      <c r="E907" s="376"/>
      <c r="F907" s="376"/>
      <c r="G907" s="376"/>
      <c r="H907" s="376"/>
      <c r="K907" s="214"/>
      <c r="S907" s="214"/>
      <c r="Y907" s="214"/>
      <c r="Z907" s="214"/>
      <c r="AF907" s="212"/>
      <c r="AG907" s="212"/>
    </row>
    <row r="908" spans="5:33">
      <c r="E908" s="376"/>
      <c r="F908" s="376"/>
      <c r="G908" s="376"/>
      <c r="H908" s="376"/>
      <c r="K908" s="214"/>
      <c r="S908" s="214"/>
      <c r="Y908" s="214"/>
      <c r="Z908" s="214"/>
      <c r="AF908" s="212"/>
      <c r="AG908" s="212"/>
    </row>
    <row r="909" spans="5:33">
      <c r="E909" s="376"/>
      <c r="F909" s="376"/>
      <c r="G909" s="376"/>
      <c r="H909" s="376"/>
      <c r="K909" s="214"/>
      <c r="S909" s="214"/>
      <c r="Y909" s="214"/>
      <c r="Z909" s="214"/>
      <c r="AF909" s="212"/>
      <c r="AG909" s="212"/>
    </row>
    <row r="910" spans="5:33">
      <c r="E910" s="376"/>
      <c r="F910" s="376"/>
      <c r="G910" s="376"/>
      <c r="H910" s="376"/>
      <c r="K910" s="214"/>
      <c r="S910" s="214"/>
      <c r="Y910" s="214"/>
      <c r="Z910" s="214"/>
      <c r="AF910" s="212"/>
      <c r="AG910" s="212"/>
    </row>
    <row r="911" spans="5:33">
      <c r="E911" s="376"/>
      <c r="F911" s="376"/>
      <c r="G911" s="376"/>
      <c r="H911" s="376"/>
      <c r="K911" s="214"/>
      <c r="S911" s="214"/>
      <c r="Y911" s="214"/>
      <c r="Z911" s="214"/>
      <c r="AF911" s="212"/>
      <c r="AG911" s="212"/>
    </row>
    <row r="912" spans="5:33">
      <c r="E912" s="376"/>
      <c r="F912" s="376"/>
      <c r="G912" s="376"/>
      <c r="H912" s="376"/>
      <c r="K912" s="214"/>
      <c r="S912" s="214"/>
      <c r="Y912" s="214"/>
      <c r="Z912" s="214"/>
      <c r="AF912" s="212"/>
      <c r="AG912" s="212"/>
    </row>
    <row r="913" spans="5:33">
      <c r="E913" s="376"/>
      <c r="F913" s="376"/>
      <c r="G913" s="376"/>
      <c r="H913" s="376"/>
      <c r="K913" s="214"/>
      <c r="S913" s="214"/>
      <c r="Y913" s="214"/>
      <c r="Z913" s="214"/>
      <c r="AF913" s="212"/>
      <c r="AG913" s="212"/>
    </row>
    <row r="914" spans="5:33">
      <c r="E914" s="376"/>
      <c r="F914" s="376"/>
      <c r="G914" s="376"/>
      <c r="H914" s="376"/>
      <c r="K914" s="214"/>
      <c r="S914" s="214"/>
      <c r="Y914" s="214"/>
      <c r="Z914" s="214"/>
      <c r="AF914" s="212"/>
      <c r="AG914" s="212"/>
    </row>
    <row r="915" spans="5:33">
      <c r="E915" s="376"/>
      <c r="F915" s="376"/>
      <c r="G915" s="376"/>
      <c r="H915" s="376"/>
      <c r="K915" s="214"/>
      <c r="S915" s="214"/>
      <c r="Y915" s="214"/>
      <c r="Z915" s="214"/>
      <c r="AF915" s="212"/>
      <c r="AG915" s="212"/>
    </row>
    <row r="916" spans="5:33">
      <c r="E916" s="376"/>
      <c r="F916" s="376"/>
      <c r="G916" s="376"/>
      <c r="H916" s="376"/>
      <c r="K916" s="214"/>
      <c r="S916" s="214"/>
      <c r="Y916" s="214"/>
      <c r="Z916" s="214"/>
      <c r="AF916" s="212"/>
      <c r="AG916" s="212"/>
    </row>
    <row r="917" spans="5:33">
      <c r="E917" s="376"/>
      <c r="F917" s="376"/>
      <c r="G917" s="376"/>
      <c r="H917" s="376"/>
      <c r="K917" s="214"/>
      <c r="S917" s="214"/>
      <c r="Y917" s="214"/>
      <c r="Z917" s="214"/>
      <c r="AF917" s="212"/>
      <c r="AG917" s="212"/>
    </row>
    <row r="918" spans="5:33">
      <c r="E918" s="376"/>
      <c r="F918" s="376"/>
      <c r="G918" s="376"/>
      <c r="H918" s="376"/>
      <c r="K918" s="214"/>
      <c r="S918" s="214"/>
      <c r="Y918" s="214"/>
      <c r="Z918" s="214"/>
      <c r="AF918" s="212"/>
      <c r="AG918" s="212"/>
    </row>
    <row r="919" spans="5:33">
      <c r="E919" s="376"/>
      <c r="F919" s="376"/>
      <c r="G919" s="376"/>
      <c r="H919" s="376"/>
      <c r="K919" s="214"/>
      <c r="S919" s="214"/>
      <c r="Y919" s="214"/>
      <c r="Z919" s="214"/>
      <c r="AF919" s="212"/>
      <c r="AG919" s="212"/>
    </row>
    <row r="920" spans="5:33">
      <c r="E920" s="376"/>
      <c r="F920" s="376"/>
      <c r="G920" s="376"/>
      <c r="H920" s="376"/>
      <c r="K920" s="214"/>
      <c r="S920" s="214"/>
      <c r="Y920" s="214"/>
      <c r="Z920" s="214"/>
      <c r="AF920" s="212"/>
      <c r="AG920" s="212"/>
    </row>
    <row r="921" spans="5:33">
      <c r="E921" s="376"/>
      <c r="F921" s="376"/>
      <c r="G921" s="376"/>
      <c r="H921" s="376"/>
      <c r="K921" s="214"/>
      <c r="S921" s="214"/>
      <c r="Y921" s="214"/>
      <c r="Z921" s="214"/>
      <c r="AF921" s="212"/>
      <c r="AG921" s="212"/>
    </row>
    <row r="922" spans="5:33">
      <c r="E922" s="376"/>
      <c r="F922" s="376"/>
      <c r="G922" s="376"/>
      <c r="H922" s="376"/>
      <c r="K922" s="214"/>
      <c r="S922" s="214"/>
      <c r="Y922" s="214"/>
      <c r="Z922" s="214"/>
      <c r="AF922" s="212"/>
      <c r="AG922" s="212"/>
    </row>
    <row r="923" spans="5:33">
      <c r="E923" s="376"/>
      <c r="F923" s="376"/>
      <c r="G923" s="376"/>
      <c r="H923" s="376"/>
      <c r="K923" s="214"/>
      <c r="S923" s="214"/>
      <c r="Y923" s="214"/>
      <c r="Z923" s="214"/>
      <c r="AF923" s="212"/>
      <c r="AG923" s="212"/>
    </row>
    <row r="924" spans="5:33">
      <c r="E924" s="376"/>
      <c r="F924" s="376"/>
      <c r="G924" s="376"/>
      <c r="H924" s="376"/>
      <c r="K924" s="214"/>
      <c r="S924" s="214"/>
      <c r="Y924" s="214"/>
      <c r="Z924" s="214"/>
      <c r="AF924" s="212"/>
      <c r="AG924" s="212"/>
    </row>
    <row r="925" spans="5:33">
      <c r="E925" s="376"/>
      <c r="F925" s="376"/>
      <c r="G925" s="376"/>
      <c r="H925" s="376"/>
      <c r="K925" s="214"/>
      <c r="S925" s="214"/>
      <c r="Y925" s="214"/>
      <c r="Z925" s="214"/>
      <c r="AF925" s="212"/>
      <c r="AG925" s="212"/>
    </row>
    <row r="926" spans="5:33">
      <c r="E926" s="376"/>
      <c r="F926" s="376"/>
      <c r="G926" s="376"/>
      <c r="H926" s="376"/>
      <c r="K926" s="214"/>
      <c r="S926" s="214"/>
      <c r="Y926" s="214"/>
      <c r="Z926" s="214"/>
      <c r="AF926" s="212"/>
      <c r="AG926" s="212"/>
    </row>
    <row r="927" spans="5:33">
      <c r="E927" s="376"/>
      <c r="F927" s="376"/>
      <c r="G927" s="376"/>
      <c r="H927" s="376"/>
      <c r="K927" s="214"/>
      <c r="S927" s="214"/>
      <c r="Y927" s="214"/>
      <c r="Z927" s="214"/>
      <c r="AF927" s="212"/>
      <c r="AG927" s="212"/>
    </row>
    <row r="928" spans="5:33">
      <c r="E928" s="376"/>
      <c r="F928" s="376"/>
      <c r="G928" s="376"/>
      <c r="H928" s="376"/>
      <c r="K928" s="214"/>
      <c r="S928" s="214"/>
      <c r="Y928" s="214"/>
      <c r="Z928" s="214"/>
      <c r="AF928" s="212"/>
      <c r="AG928" s="212"/>
    </row>
    <row r="929" spans="5:33">
      <c r="E929" s="376"/>
      <c r="F929" s="376"/>
      <c r="G929" s="376"/>
      <c r="H929" s="376"/>
      <c r="K929" s="214"/>
      <c r="S929" s="214"/>
      <c r="Y929" s="214"/>
      <c r="Z929" s="214"/>
      <c r="AF929" s="212"/>
      <c r="AG929" s="212"/>
    </row>
    <row r="930" spans="5:33">
      <c r="E930" s="376"/>
      <c r="F930" s="376"/>
      <c r="G930" s="376"/>
      <c r="H930" s="376"/>
      <c r="K930" s="214"/>
      <c r="S930" s="214"/>
      <c r="Y930" s="214"/>
      <c r="Z930" s="214"/>
      <c r="AF930" s="212"/>
      <c r="AG930" s="212"/>
    </row>
    <row r="931" spans="5:33">
      <c r="E931" s="376"/>
      <c r="F931" s="376"/>
      <c r="G931" s="376"/>
      <c r="H931" s="376"/>
      <c r="K931" s="214"/>
      <c r="S931" s="214"/>
      <c r="Y931" s="214"/>
      <c r="Z931" s="214"/>
      <c r="AF931" s="212"/>
      <c r="AG931" s="212"/>
    </row>
    <row r="932" spans="5:33">
      <c r="E932" s="376"/>
      <c r="F932" s="376"/>
      <c r="G932" s="376"/>
      <c r="H932" s="376"/>
      <c r="K932" s="214"/>
      <c r="S932" s="214"/>
      <c r="Y932" s="214"/>
      <c r="Z932" s="214"/>
      <c r="AF932" s="212"/>
      <c r="AG932" s="212"/>
    </row>
    <row r="933" spans="5:33">
      <c r="E933" s="376"/>
      <c r="F933" s="376"/>
      <c r="G933" s="376"/>
      <c r="H933" s="376"/>
      <c r="K933" s="214"/>
      <c r="S933" s="214"/>
      <c r="Y933" s="214"/>
      <c r="Z933" s="214"/>
      <c r="AF933" s="212"/>
      <c r="AG933" s="212"/>
    </row>
    <row r="934" spans="5:33">
      <c r="E934" s="376"/>
      <c r="F934" s="376"/>
      <c r="G934" s="376"/>
      <c r="H934" s="376"/>
      <c r="K934" s="214"/>
      <c r="S934" s="214"/>
      <c r="Y934" s="214"/>
      <c r="Z934" s="214"/>
      <c r="AF934" s="212"/>
      <c r="AG934" s="212"/>
    </row>
    <row r="935" spans="5:33">
      <c r="E935" s="376"/>
      <c r="F935" s="376"/>
      <c r="G935" s="376"/>
      <c r="H935" s="376"/>
      <c r="K935" s="214"/>
      <c r="S935" s="214"/>
      <c r="Y935" s="214"/>
      <c r="Z935" s="214"/>
      <c r="AF935" s="212"/>
      <c r="AG935" s="212"/>
    </row>
    <row r="936" spans="5:33">
      <c r="E936" s="376"/>
      <c r="F936" s="376"/>
      <c r="G936" s="376"/>
      <c r="H936" s="376"/>
      <c r="K936" s="214"/>
      <c r="S936" s="214"/>
      <c r="Y936" s="214"/>
      <c r="Z936" s="214"/>
      <c r="AF936" s="212"/>
      <c r="AG936" s="212"/>
    </row>
    <row r="937" spans="5:33">
      <c r="E937" s="376"/>
      <c r="F937" s="376"/>
      <c r="G937" s="376"/>
      <c r="H937" s="376"/>
      <c r="K937" s="214"/>
      <c r="S937" s="214"/>
      <c r="Y937" s="214"/>
      <c r="Z937" s="214"/>
      <c r="AF937" s="212"/>
      <c r="AG937" s="212"/>
    </row>
    <row r="938" spans="5:33">
      <c r="E938" s="376"/>
      <c r="F938" s="376"/>
      <c r="G938" s="376"/>
      <c r="H938" s="376"/>
      <c r="K938" s="214"/>
      <c r="S938" s="214"/>
      <c r="Y938" s="214"/>
      <c r="Z938" s="214"/>
      <c r="AF938" s="212"/>
      <c r="AG938" s="212"/>
    </row>
    <row r="939" spans="5:33">
      <c r="E939" s="376"/>
      <c r="F939" s="376"/>
      <c r="G939" s="376"/>
      <c r="H939" s="376"/>
      <c r="K939" s="214"/>
      <c r="S939" s="214"/>
      <c r="Y939" s="214"/>
      <c r="Z939" s="214"/>
      <c r="AF939" s="212"/>
      <c r="AG939" s="212"/>
    </row>
    <row r="940" spans="5:33">
      <c r="E940" s="376"/>
      <c r="F940" s="376"/>
      <c r="G940" s="376"/>
      <c r="H940" s="376"/>
      <c r="K940" s="214"/>
      <c r="S940" s="214"/>
      <c r="Y940" s="214"/>
      <c r="Z940" s="214"/>
      <c r="AF940" s="212"/>
      <c r="AG940" s="212"/>
    </row>
    <row r="941" spans="5:33">
      <c r="E941" s="376"/>
      <c r="F941" s="376"/>
      <c r="G941" s="376"/>
      <c r="H941" s="376"/>
      <c r="K941" s="214"/>
      <c r="S941" s="214"/>
      <c r="Y941" s="214"/>
      <c r="Z941" s="214"/>
      <c r="AF941" s="212"/>
      <c r="AG941" s="212"/>
    </row>
    <row r="942" spans="5:33">
      <c r="E942" s="376"/>
      <c r="F942" s="376"/>
      <c r="G942" s="376"/>
      <c r="H942" s="376"/>
      <c r="K942" s="214"/>
      <c r="S942" s="214"/>
      <c r="Y942" s="214"/>
      <c r="Z942" s="214"/>
      <c r="AF942" s="212"/>
      <c r="AG942" s="212"/>
    </row>
    <row r="943" spans="5:33">
      <c r="E943" s="376"/>
      <c r="F943" s="376"/>
      <c r="G943" s="376"/>
      <c r="H943" s="376"/>
      <c r="K943" s="214"/>
      <c r="S943" s="214"/>
      <c r="Y943" s="214"/>
      <c r="Z943" s="214"/>
      <c r="AF943" s="212"/>
      <c r="AG943" s="212"/>
    </row>
    <row r="944" spans="5:33">
      <c r="E944" s="376"/>
      <c r="F944" s="376"/>
      <c r="G944" s="376"/>
      <c r="H944" s="376"/>
      <c r="K944" s="214"/>
      <c r="S944" s="214"/>
      <c r="Y944" s="214"/>
      <c r="Z944" s="214"/>
      <c r="AF944" s="212"/>
      <c r="AG944" s="212"/>
    </row>
    <row r="945" spans="5:33">
      <c r="E945" s="376"/>
      <c r="F945" s="376"/>
      <c r="G945" s="376"/>
      <c r="H945" s="376"/>
      <c r="K945" s="214"/>
      <c r="S945" s="214"/>
      <c r="Y945" s="214"/>
      <c r="Z945" s="214"/>
      <c r="AF945" s="212"/>
      <c r="AG945" s="212"/>
    </row>
    <row r="946" spans="5:33">
      <c r="E946" s="376"/>
      <c r="F946" s="376"/>
      <c r="G946" s="376"/>
      <c r="H946" s="376"/>
      <c r="K946" s="214"/>
      <c r="S946" s="214"/>
      <c r="Y946" s="214"/>
      <c r="Z946" s="214"/>
      <c r="AF946" s="212"/>
      <c r="AG946" s="212"/>
    </row>
    <row r="947" spans="5:33">
      <c r="E947" s="376"/>
      <c r="F947" s="376"/>
      <c r="G947" s="376"/>
      <c r="H947" s="376"/>
      <c r="K947" s="214"/>
      <c r="S947" s="214"/>
      <c r="Y947" s="214"/>
      <c r="Z947" s="214"/>
      <c r="AF947" s="212"/>
      <c r="AG947" s="212"/>
    </row>
    <row r="948" spans="5:33">
      <c r="E948" s="376"/>
      <c r="F948" s="376"/>
      <c r="G948" s="376"/>
      <c r="H948" s="376"/>
      <c r="K948" s="214"/>
      <c r="S948" s="214"/>
      <c r="Y948" s="214"/>
      <c r="Z948" s="214"/>
      <c r="AF948" s="212"/>
      <c r="AG948" s="212"/>
    </row>
    <row r="949" spans="5:33">
      <c r="E949" s="376"/>
      <c r="F949" s="376"/>
      <c r="G949" s="376"/>
      <c r="H949" s="376"/>
      <c r="K949" s="214"/>
      <c r="S949" s="214"/>
      <c r="Y949" s="214"/>
      <c r="Z949" s="214"/>
      <c r="AF949" s="212"/>
      <c r="AG949" s="212"/>
    </row>
    <row r="950" spans="5:33">
      <c r="E950" s="376"/>
      <c r="F950" s="376"/>
      <c r="G950" s="376"/>
      <c r="H950" s="376"/>
      <c r="K950" s="214"/>
      <c r="S950" s="214"/>
      <c r="Y950" s="214"/>
      <c r="Z950" s="214"/>
      <c r="AF950" s="212"/>
      <c r="AG950" s="212"/>
    </row>
    <row r="951" spans="5:33">
      <c r="E951" s="376"/>
      <c r="F951" s="376"/>
      <c r="G951" s="376"/>
      <c r="H951" s="376"/>
      <c r="K951" s="214"/>
      <c r="S951" s="214"/>
      <c r="Y951" s="214"/>
      <c r="Z951" s="214"/>
      <c r="AF951" s="212"/>
      <c r="AG951" s="212"/>
    </row>
    <row r="952" spans="5:33">
      <c r="E952" s="376"/>
      <c r="F952" s="376"/>
      <c r="G952" s="376"/>
      <c r="H952" s="376"/>
      <c r="K952" s="214"/>
      <c r="S952" s="214"/>
      <c r="Y952" s="214"/>
      <c r="Z952" s="214"/>
      <c r="AF952" s="212"/>
      <c r="AG952" s="212"/>
    </row>
    <row r="953" spans="5:33">
      <c r="E953" s="376"/>
      <c r="F953" s="376"/>
      <c r="G953" s="376"/>
      <c r="H953" s="376"/>
      <c r="K953" s="214"/>
      <c r="S953" s="214"/>
      <c r="Y953" s="214"/>
      <c r="Z953" s="214"/>
      <c r="AF953" s="212"/>
      <c r="AG953" s="212"/>
    </row>
    <row r="954" spans="5:33">
      <c r="E954" s="376"/>
      <c r="F954" s="376"/>
      <c r="G954" s="376"/>
      <c r="H954" s="376"/>
      <c r="K954" s="214"/>
      <c r="S954" s="214"/>
      <c r="Y954" s="214"/>
      <c r="Z954" s="214"/>
      <c r="AF954" s="212"/>
      <c r="AG954" s="212"/>
    </row>
    <row r="955" spans="5:33">
      <c r="E955" s="376"/>
      <c r="F955" s="376"/>
      <c r="G955" s="376"/>
      <c r="H955" s="376"/>
      <c r="K955" s="214"/>
      <c r="S955" s="214"/>
      <c r="Y955" s="214"/>
      <c r="Z955" s="214"/>
      <c r="AF955" s="212"/>
      <c r="AG955" s="212"/>
    </row>
    <row r="956" spans="5:33">
      <c r="E956" s="376"/>
      <c r="F956" s="376"/>
      <c r="G956" s="376"/>
      <c r="H956" s="376"/>
      <c r="K956" s="214"/>
      <c r="S956" s="214"/>
      <c r="Y956" s="214"/>
      <c r="Z956" s="214"/>
      <c r="AF956" s="212"/>
      <c r="AG956" s="212"/>
    </row>
    <row r="957" spans="5:33">
      <c r="E957" s="376"/>
      <c r="F957" s="376"/>
      <c r="G957" s="376"/>
      <c r="H957" s="376"/>
      <c r="K957" s="214"/>
      <c r="S957" s="214"/>
      <c r="Y957" s="214"/>
      <c r="Z957" s="214"/>
      <c r="AF957" s="212"/>
      <c r="AG957" s="212"/>
    </row>
    <row r="958" spans="5:33">
      <c r="E958" s="376"/>
      <c r="F958" s="376"/>
      <c r="G958" s="376"/>
      <c r="H958" s="376"/>
      <c r="K958" s="214"/>
      <c r="S958" s="214"/>
      <c r="Y958" s="214"/>
      <c r="Z958" s="214"/>
      <c r="AF958" s="212"/>
      <c r="AG958" s="212"/>
    </row>
    <row r="959" spans="5:33">
      <c r="E959" s="376"/>
      <c r="F959" s="376"/>
      <c r="G959" s="376"/>
      <c r="H959" s="376"/>
      <c r="K959" s="214"/>
      <c r="S959" s="214"/>
      <c r="Y959" s="214"/>
      <c r="Z959" s="214"/>
      <c r="AF959" s="212"/>
      <c r="AG959" s="212"/>
    </row>
    <row r="960" spans="5:33">
      <c r="E960" s="376"/>
      <c r="F960" s="376"/>
      <c r="G960" s="376"/>
      <c r="H960" s="376"/>
      <c r="K960" s="214"/>
      <c r="S960" s="214"/>
      <c r="Y960" s="214"/>
      <c r="Z960" s="214"/>
      <c r="AF960" s="212"/>
      <c r="AG960" s="212"/>
    </row>
    <row r="961" spans="5:33">
      <c r="E961" s="376"/>
      <c r="F961" s="376"/>
      <c r="G961" s="376"/>
      <c r="H961" s="376"/>
      <c r="K961" s="214"/>
      <c r="S961" s="214"/>
      <c r="Y961" s="214"/>
      <c r="Z961" s="214"/>
      <c r="AF961" s="212"/>
      <c r="AG961" s="212"/>
    </row>
    <row r="962" spans="5:33">
      <c r="E962" s="376"/>
      <c r="F962" s="376"/>
      <c r="G962" s="376"/>
      <c r="H962" s="376"/>
      <c r="K962" s="214"/>
      <c r="S962" s="214"/>
      <c r="Y962" s="214"/>
      <c r="Z962" s="214"/>
      <c r="AF962" s="212"/>
      <c r="AG962" s="212"/>
    </row>
    <row r="963" spans="5:33">
      <c r="E963" s="376"/>
      <c r="F963" s="376"/>
      <c r="G963" s="376"/>
      <c r="H963" s="376"/>
      <c r="K963" s="214"/>
      <c r="S963" s="214"/>
      <c r="Y963" s="214"/>
      <c r="Z963" s="214"/>
      <c r="AF963" s="212"/>
      <c r="AG963" s="212"/>
    </row>
    <row r="964" spans="5:33">
      <c r="E964" s="376"/>
      <c r="F964" s="376"/>
      <c r="G964" s="376"/>
      <c r="H964" s="376"/>
      <c r="K964" s="214"/>
      <c r="S964" s="214"/>
      <c r="Y964" s="214"/>
      <c r="Z964" s="214"/>
      <c r="AF964" s="212"/>
      <c r="AG964" s="212"/>
    </row>
    <row r="965" spans="5:33">
      <c r="E965" s="376"/>
      <c r="F965" s="376"/>
      <c r="G965" s="376"/>
      <c r="H965" s="376"/>
      <c r="K965" s="214"/>
      <c r="S965" s="214"/>
      <c r="Y965" s="214"/>
      <c r="Z965" s="214"/>
      <c r="AF965" s="212"/>
      <c r="AG965" s="212"/>
    </row>
    <row r="966" spans="5:33">
      <c r="E966" s="376"/>
      <c r="F966" s="376"/>
      <c r="G966" s="376"/>
      <c r="H966" s="376"/>
      <c r="K966" s="214"/>
      <c r="S966" s="214"/>
      <c r="Y966" s="214"/>
      <c r="Z966" s="214"/>
      <c r="AF966" s="212"/>
      <c r="AG966" s="212"/>
    </row>
    <row r="967" spans="5:33">
      <c r="E967" s="376"/>
      <c r="F967" s="376"/>
      <c r="G967" s="376"/>
      <c r="H967" s="376"/>
      <c r="K967" s="214"/>
      <c r="S967" s="214"/>
      <c r="Y967" s="214"/>
      <c r="Z967" s="214"/>
      <c r="AF967" s="212"/>
      <c r="AG967" s="212"/>
    </row>
    <row r="968" spans="5:33">
      <c r="E968" s="376"/>
      <c r="F968" s="376"/>
      <c r="G968" s="376"/>
      <c r="H968" s="376"/>
      <c r="K968" s="214"/>
      <c r="S968" s="214"/>
      <c r="Y968" s="214"/>
      <c r="Z968" s="214"/>
      <c r="AF968" s="212"/>
      <c r="AG968" s="212"/>
    </row>
    <row r="969" spans="5:33">
      <c r="E969" s="376"/>
      <c r="F969" s="376"/>
      <c r="G969" s="376"/>
      <c r="H969" s="376"/>
      <c r="K969" s="214"/>
      <c r="S969" s="214"/>
      <c r="Y969" s="214"/>
      <c r="Z969" s="214"/>
      <c r="AF969" s="212"/>
      <c r="AG969" s="212"/>
    </row>
    <row r="970" spans="5:33">
      <c r="E970" s="376"/>
      <c r="F970" s="376"/>
      <c r="G970" s="376"/>
      <c r="H970" s="376"/>
      <c r="K970" s="214"/>
      <c r="S970" s="214"/>
      <c r="Y970" s="214"/>
      <c r="Z970" s="214"/>
      <c r="AF970" s="212"/>
      <c r="AG970" s="212"/>
    </row>
    <row r="971" spans="5:33">
      <c r="E971" s="376"/>
      <c r="F971" s="376"/>
      <c r="G971" s="376"/>
      <c r="H971" s="376"/>
      <c r="K971" s="214"/>
      <c r="S971" s="214"/>
      <c r="Y971" s="214"/>
      <c r="Z971" s="214"/>
      <c r="AF971" s="212"/>
      <c r="AG971" s="212"/>
    </row>
    <row r="972" spans="5:33">
      <c r="E972" s="376"/>
      <c r="F972" s="376"/>
      <c r="G972" s="376"/>
      <c r="H972" s="376"/>
      <c r="K972" s="214"/>
      <c r="S972" s="214"/>
      <c r="Y972" s="214"/>
      <c r="Z972" s="214"/>
      <c r="AF972" s="212"/>
      <c r="AG972" s="212"/>
    </row>
    <row r="973" spans="5:33">
      <c r="E973" s="376"/>
      <c r="F973" s="376"/>
      <c r="G973" s="376"/>
      <c r="H973" s="376"/>
      <c r="K973" s="214"/>
      <c r="S973" s="214"/>
      <c r="Y973" s="214"/>
      <c r="Z973" s="214"/>
      <c r="AF973" s="212"/>
      <c r="AG973" s="212"/>
    </row>
    <row r="974" spans="5:33">
      <c r="E974" s="376"/>
      <c r="F974" s="376"/>
      <c r="G974" s="376"/>
      <c r="H974" s="376"/>
      <c r="K974" s="214"/>
      <c r="S974" s="214"/>
      <c r="Y974" s="214"/>
      <c r="Z974" s="214"/>
      <c r="AF974" s="212"/>
      <c r="AG974" s="212"/>
    </row>
    <row r="975" spans="5:33">
      <c r="E975" s="376"/>
      <c r="F975" s="376"/>
      <c r="G975" s="376"/>
      <c r="H975" s="376"/>
      <c r="K975" s="214"/>
      <c r="S975" s="214"/>
      <c r="Y975" s="214"/>
      <c r="Z975" s="214"/>
      <c r="AF975" s="212"/>
      <c r="AG975" s="212"/>
    </row>
    <row r="976" spans="5:33">
      <c r="E976" s="376"/>
      <c r="F976" s="376"/>
      <c r="G976" s="376"/>
      <c r="H976" s="376"/>
      <c r="K976" s="214"/>
      <c r="S976" s="214"/>
      <c r="Y976" s="214"/>
      <c r="Z976" s="214"/>
      <c r="AF976" s="212"/>
      <c r="AG976" s="212"/>
    </row>
    <row r="977" spans="5:33">
      <c r="E977" s="376"/>
      <c r="F977" s="376"/>
      <c r="G977" s="376"/>
      <c r="H977" s="376"/>
      <c r="K977" s="214"/>
      <c r="S977" s="214"/>
      <c r="Y977" s="214"/>
      <c r="Z977" s="214"/>
      <c r="AF977" s="212"/>
      <c r="AG977" s="212"/>
    </row>
    <row r="978" spans="5:33">
      <c r="E978" s="376"/>
      <c r="F978" s="376"/>
      <c r="G978" s="376"/>
      <c r="H978" s="376"/>
      <c r="K978" s="214"/>
      <c r="S978" s="214"/>
      <c r="Y978" s="214"/>
      <c r="Z978" s="214"/>
      <c r="AF978" s="212"/>
      <c r="AG978" s="212"/>
    </row>
    <row r="979" spans="5:33">
      <c r="E979" s="376"/>
      <c r="F979" s="376"/>
      <c r="G979" s="376"/>
      <c r="H979" s="376"/>
      <c r="K979" s="214"/>
      <c r="S979" s="214"/>
      <c r="Y979" s="214"/>
      <c r="Z979" s="214"/>
      <c r="AF979" s="212"/>
      <c r="AG979" s="212"/>
    </row>
    <row r="980" spans="5:33">
      <c r="E980" s="376"/>
      <c r="F980" s="376"/>
      <c r="G980" s="376"/>
      <c r="H980" s="376"/>
      <c r="K980" s="214"/>
      <c r="S980" s="214"/>
      <c r="Y980" s="214"/>
      <c r="Z980" s="214"/>
      <c r="AF980" s="212"/>
      <c r="AG980" s="212"/>
    </row>
    <row r="981" spans="5:33">
      <c r="E981" s="376"/>
      <c r="F981" s="376"/>
      <c r="G981" s="376"/>
      <c r="H981" s="376"/>
      <c r="K981" s="214"/>
      <c r="S981" s="214"/>
      <c r="Y981" s="214"/>
      <c r="Z981" s="214"/>
      <c r="AF981" s="212"/>
      <c r="AG981" s="212"/>
    </row>
    <row r="982" spans="5:33">
      <c r="E982" s="376"/>
      <c r="F982" s="376"/>
      <c r="G982" s="376"/>
      <c r="H982" s="376"/>
      <c r="K982" s="214"/>
      <c r="S982" s="214"/>
      <c r="Y982" s="214"/>
      <c r="Z982" s="214"/>
      <c r="AF982" s="212"/>
      <c r="AG982" s="212"/>
    </row>
    <row r="983" spans="5:33">
      <c r="E983" s="376"/>
      <c r="F983" s="376"/>
      <c r="G983" s="376"/>
      <c r="H983" s="376"/>
      <c r="K983" s="214"/>
      <c r="S983" s="214"/>
      <c r="Y983" s="214"/>
      <c r="Z983" s="214"/>
      <c r="AF983" s="212"/>
      <c r="AG983" s="212"/>
    </row>
    <row r="984" spans="5:33">
      <c r="E984" s="376"/>
      <c r="F984" s="376"/>
      <c r="G984" s="376"/>
      <c r="H984" s="376"/>
      <c r="K984" s="214"/>
      <c r="S984" s="214"/>
      <c r="Y984" s="214"/>
      <c r="Z984" s="214"/>
      <c r="AF984" s="212"/>
      <c r="AG984" s="212"/>
    </row>
    <row r="985" spans="5:33">
      <c r="E985" s="376"/>
      <c r="F985" s="376"/>
      <c r="G985" s="376"/>
      <c r="H985" s="376"/>
      <c r="K985" s="214"/>
      <c r="S985" s="214"/>
      <c r="Y985" s="214"/>
      <c r="Z985" s="214"/>
      <c r="AF985" s="212"/>
      <c r="AG985" s="212"/>
    </row>
    <row r="986" spans="5:33">
      <c r="E986" s="376"/>
      <c r="F986" s="376"/>
      <c r="G986" s="376"/>
      <c r="H986" s="376"/>
      <c r="K986" s="214"/>
      <c r="S986" s="214"/>
      <c r="Y986" s="214"/>
      <c r="Z986" s="214"/>
      <c r="AF986" s="212"/>
      <c r="AG986" s="212"/>
    </row>
    <row r="987" spans="5:33">
      <c r="E987" s="376"/>
      <c r="F987" s="376"/>
      <c r="G987" s="376"/>
      <c r="H987" s="376"/>
      <c r="K987" s="214"/>
      <c r="S987" s="214"/>
      <c r="Y987" s="214"/>
      <c r="Z987" s="214"/>
      <c r="AF987" s="212"/>
      <c r="AG987" s="212"/>
    </row>
    <row r="988" spans="5:33">
      <c r="E988" s="376"/>
      <c r="F988" s="376"/>
      <c r="G988" s="376"/>
      <c r="H988" s="376"/>
      <c r="K988" s="214"/>
      <c r="S988" s="214"/>
      <c r="Y988" s="214"/>
      <c r="Z988" s="214"/>
      <c r="AF988" s="212"/>
      <c r="AG988" s="212"/>
    </row>
    <row r="989" spans="5:33">
      <c r="E989" s="376"/>
      <c r="F989" s="376"/>
      <c r="G989" s="376"/>
      <c r="H989" s="376"/>
      <c r="K989" s="214"/>
      <c r="S989" s="214"/>
      <c r="Y989" s="214"/>
      <c r="Z989" s="214"/>
      <c r="AF989" s="212"/>
      <c r="AG989" s="212"/>
    </row>
    <row r="990" spans="5:33">
      <c r="E990" s="376"/>
      <c r="F990" s="376"/>
      <c r="G990" s="376"/>
      <c r="H990" s="376"/>
      <c r="K990" s="214"/>
      <c r="S990" s="214"/>
      <c r="Y990" s="214"/>
      <c r="Z990" s="214"/>
      <c r="AF990" s="212"/>
      <c r="AG990" s="212"/>
    </row>
    <row r="991" spans="5:33">
      <c r="E991" s="376"/>
      <c r="F991" s="376"/>
      <c r="G991" s="376"/>
      <c r="H991" s="376"/>
      <c r="K991" s="214"/>
      <c r="S991" s="214"/>
      <c r="Y991" s="214"/>
      <c r="Z991" s="214"/>
      <c r="AF991" s="212"/>
      <c r="AG991" s="212"/>
    </row>
    <row r="992" spans="5:33">
      <c r="E992" s="376"/>
      <c r="F992" s="376"/>
      <c r="G992" s="376"/>
      <c r="H992" s="376"/>
      <c r="K992" s="214"/>
      <c r="S992" s="214"/>
      <c r="Y992" s="214"/>
      <c r="Z992" s="214"/>
      <c r="AF992" s="212"/>
      <c r="AG992" s="212"/>
    </row>
    <row r="993" spans="5:33">
      <c r="E993" s="376"/>
      <c r="F993" s="376"/>
      <c r="G993" s="376"/>
      <c r="H993" s="376"/>
      <c r="K993" s="214"/>
      <c r="S993" s="214"/>
      <c r="Y993" s="214"/>
      <c r="Z993" s="214"/>
      <c r="AF993" s="212"/>
      <c r="AG993" s="212"/>
    </row>
    <row r="994" spans="5:33">
      <c r="E994" s="376"/>
      <c r="F994" s="376"/>
      <c r="G994" s="376"/>
      <c r="H994" s="376"/>
      <c r="K994" s="214"/>
      <c r="S994" s="214"/>
      <c r="Y994" s="214"/>
      <c r="Z994" s="214"/>
      <c r="AF994" s="212"/>
      <c r="AG994" s="212"/>
    </row>
    <row r="995" spans="5:33">
      <c r="E995" s="376"/>
      <c r="F995" s="376"/>
      <c r="G995" s="376"/>
      <c r="H995" s="376"/>
      <c r="K995" s="214"/>
      <c r="S995" s="214"/>
      <c r="Y995" s="214"/>
      <c r="Z995" s="214"/>
      <c r="AF995" s="212"/>
      <c r="AG995" s="212"/>
    </row>
    <row r="996" spans="5:33">
      <c r="E996" s="376"/>
      <c r="F996" s="376"/>
      <c r="G996" s="376"/>
      <c r="H996" s="376"/>
      <c r="K996" s="214"/>
      <c r="S996" s="214"/>
      <c r="Y996" s="214"/>
      <c r="Z996" s="214"/>
      <c r="AF996" s="212"/>
      <c r="AG996" s="212"/>
    </row>
    <row r="997" spans="5:33">
      <c r="E997" s="376"/>
      <c r="F997" s="376"/>
      <c r="G997" s="376"/>
      <c r="H997" s="376"/>
      <c r="K997" s="214"/>
      <c r="S997" s="214"/>
      <c r="Y997" s="214"/>
      <c r="Z997" s="214"/>
      <c r="AF997" s="212"/>
      <c r="AG997" s="212"/>
    </row>
    <row r="998" spans="5:33">
      <c r="E998" s="376"/>
      <c r="F998" s="376"/>
      <c r="G998" s="376"/>
      <c r="H998" s="376"/>
      <c r="K998" s="214"/>
      <c r="S998" s="214"/>
      <c r="Y998" s="214"/>
      <c r="Z998" s="214"/>
      <c r="AF998" s="212"/>
      <c r="AG998" s="212"/>
    </row>
    <row r="999" spans="5:33">
      <c r="E999" s="376"/>
      <c r="F999" s="376"/>
      <c r="G999" s="376"/>
      <c r="H999" s="376"/>
      <c r="K999" s="214"/>
      <c r="S999" s="214"/>
      <c r="Y999" s="214"/>
      <c r="Z999" s="214"/>
      <c r="AF999" s="212"/>
      <c r="AG999" s="212"/>
    </row>
    <row r="1000" spans="5:33">
      <c r="E1000" s="376"/>
      <c r="F1000" s="376"/>
      <c r="G1000" s="376"/>
      <c r="H1000" s="376"/>
      <c r="K1000" s="214"/>
      <c r="S1000" s="214"/>
      <c r="Y1000" s="214"/>
      <c r="Z1000" s="214"/>
      <c r="AF1000" s="212"/>
      <c r="AG1000" s="212"/>
    </row>
    <row r="1001" spans="5:33">
      <c r="E1001" s="376"/>
      <c r="F1001" s="376"/>
      <c r="G1001" s="376"/>
      <c r="H1001" s="376"/>
      <c r="K1001" s="214"/>
      <c r="S1001" s="214"/>
      <c r="Y1001" s="214"/>
      <c r="Z1001" s="214"/>
      <c r="AF1001" s="212"/>
      <c r="AG1001" s="212"/>
    </row>
    <row r="1002" spans="5:33">
      <c r="E1002" s="376"/>
      <c r="F1002" s="376"/>
      <c r="G1002" s="376"/>
      <c r="H1002" s="376"/>
      <c r="K1002" s="214"/>
      <c r="S1002" s="214"/>
      <c r="Y1002" s="214"/>
      <c r="Z1002" s="214"/>
      <c r="AF1002" s="212"/>
      <c r="AG1002" s="212"/>
    </row>
    <row r="1003" spans="5:33">
      <c r="E1003" s="376"/>
      <c r="F1003" s="376"/>
      <c r="G1003" s="376"/>
      <c r="H1003" s="376"/>
      <c r="K1003" s="214"/>
      <c r="S1003" s="214"/>
      <c r="Y1003" s="214"/>
      <c r="Z1003" s="214"/>
      <c r="AF1003" s="212"/>
      <c r="AG1003" s="212"/>
    </row>
    <row r="1004" spans="5:33">
      <c r="E1004" s="376"/>
      <c r="F1004" s="376"/>
      <c r="G1004" s="376"/>
      <c r="H1004" s="376"/>
      <c r="K1004" s="214"/>
      <c r="S1004" s="214"/>
      <c r="Y1004" s="214"/>
      <c r="Z1004" s="214"/>
      <c r="AF1004" s="212"/>
      <c r="AG1004" s="212"/>
    </row>
    <row r="1005" spans="5:33">
      <c r="E1005" s="376"/>
      <c r="F1005" s="376"/>
      <c r="G1005" s="376"/>
      <c r="H1005" s="376"/>
      <c r="K1005" s="214"/>
      <c r="S1005" s="214"/>
      <c r="Y1005" s="214"/>
      <c r="Z1005" s="214"/>
      <c r="AF1005" s="212"/>
      <c r="AG1005" s="212"/>
    </row>
    <row r="1006" spans="5:33">
      <c r="E1006" s="376"/>
      <c r="F1006" s="376"/>
      <c r="G1006" s="376"/>
      <c r="H1006" s="376"/>
      <c r="K1006" s="214"/>
      <c r="S1006" s="214"/>
      <c r="Y1006" s="214"/>
      <c r="Z1006" s="214"/>
      <c r="AF1006" s="212"/>
      <c r="AG1006" s="212"/>
    </row>
    <row r="1007" spans="5:33">
      <c r="E1007" s="376"/>
      <c r="F1007" s="376"/>
      <c r="G1007" s="376"/>
      <c r="H1007" s="376"/>
      <c r="K1007" s="214"/>
      <c r="S1007" s="214"/>
      <c r="Y1007" s="214"/>
      <c r="Z1007" s="214"/>
      <c r="AF1007" s="212"/>
      <c r="AG1007" s="212"/>
    </row>
    <row r="1008" spans="5:33">
      <c r="E1008" s="376"/>
      <c r="F1008" s="376"/>
      <c r="G1008" s="376"/>
      <c r="H1008" s="376"/>
      <c r="K1008" s="214"/>
      <c r="S1008" s="214"/>
      <c r="Y1008" s="214"/>
      <c r="Z1008" s="214"/>
      <c r="AF1008" s="212"/>
      <c r="AG1008" s="212"/>
    </row>
    <row r="1009" spans="5:33">
      <c r="E1009" s="376"/>
      <c r="F1009" s="376"/>
      <c r="G1009" s="376"/>
      <c r="H1009" s="376"/>
      <c r="K1009" s="214"/>
      <c r="S1009" s="214"/>
      <c r="Y1009" s="214"/>
      <c r="Z1009" s="214"/>
      <c r="AF1009" s="212"/>
      <c r="AG1009" s="212"/>
    </row>
    <row r="1010" spans="5:33">
      <c r="E1010" s="376"/>
      <c r="F1010" s="376"/>
      <c r="G1010" s="376"/>
      <c r="H1010" s="376"/>
      <c r="K1010" s="214"/>
      <c r="S1010" s="214"/>
      <c r="Y1010" s="214"/>
      <c r="Z1010" s="214"/>
      <c r="AF1010" s="212"/>
      <c r="AG1010" s="212"/>
    </row>
    <row r="1011" spans="5:33">
      <c r="E1011" s="376"/>
      <c r="F1011" s="376"/>
      <c r="G1011" s="376"/>
      <c r="H1011" s="376"/>
      <c r="K1011" s="214"/>
      <c r="S1011" s="214"/>
      <c r="Y1011" s="214"/>
      <c r="Z1011" s="214"/>
      <c r="AF1011" s="212"/>
      <c r="AG1011" s="212"/>
    </row>
    <row r="1012" spans="5:33">
      <c r="E1012" s="376"/>
      <c r="F1012" s="376"/>
      <c r="G1012" s="376"/>
      <c r="H1012" s="376"/>
      <c r="K1012" s="214"/>
      <c r="S1012" s="214"/>
      <c r="Y1012" s="214"/>
      <c r="Z1012" s="214"/>
      <c r="AF1012" s="212"/>
      <c r="AG1012" s="212"/>
    </row>
    <row r="1013" spans="5:33">
      <c r="E1013" s="376"/>
      <c r="F1013" s="376"/>
      <c r="G1013" s="376"/>
      <c r="H1013" s="376"/>
      <c r="K1013" s="214"/>
      <c r="S1013" s="214"/>
      <c r="Y1013" s="214"/>
      <c r="Z1013" s="214"/>
      <c r="AF1013" s="212"/>
      <c r="AG1013" s="212"/>
    </row>
    <row r="1014" spans="5:33">
      <c r="E1014" s="376"/>
      <c r="F1014" s="376"/>
      <c r="G1014" s="376"/>
      <c r="H1014" s="376"/>
      <c r="K1014" s="214"/>
      <c r="S1014" s="214"/>
      <c r="Y1014" s="214"/>
      <c r="Z1014" s="214"/>
      <c r="AF1014" s="212"/>
      <c r="AG1014" s="212"/>
    </row>
    <row r="1015" spans="5:33">
      <c r="E1015" s="376"/>
      <c r="F1015" s="376"/>
      <c r="G1015" s="376"/>
      <c r="H1015" s="376"/>
      <c r="K1015" s="214"/>
      <c r="S1015" s="214"/>
      <c r="Y1015" s="214"/>
      <c r="Z1015" s="214"/>
      <c r="AF1015" s="212"/>
      <c r="AG1015" s="212"/>
    </row>
    <row r="1016" spans="5:33">
      <c r="E1016" s="376"/>
      <c r="F1016" s="376"/>
      <c r="G1016" s="376"/>
      <c r="H1016" s="376"/>
      <c r="K1016" s="214"/>
      <c r="S1016" s="214"/>
      <c r="Y1016" s="214"/>
      <c r="Z1016" s="214"/>
      <c r="AF1016" s="212"/>
      <c r="AG1016" s="212"/>
    </row>
    <row r="1017" spans="5:33">
      <c r="E1017" s="376"/>
      <c r="F1017" s="376"/>
      <c r="G1017" s="376"/>
      <c r="H1017" s="376"/>
      <c r="K1017" s="214"/>
      <c r="S1017" s="214"/>
      <c r="Y1017" s="214"/>
      <c r="Z1017" s="214"/>
      <c r="AF1017" s="212"/>
      <c r="AG1017" s="212"/>
    </row>
    <row r="1018" spans="5:33">
      <c r="E1018" s="376"/>
      <c r="F1018" s="376"/>
      <c r="G1018" s="376"/>
      <c r="H1018" s="376"/>
      <c r="K1018" s="214"/>
      <c r="S1018" s="214"/>
      <c r="Y1018" s="214"/>
      <c r="Z1018" s="214"/>
      <c r="AF1018" s="212"/>
      <c r="AG1018" s="212"/>
    </row>
    <row r="1019" spans="5:33">
      <c r="E1019" s="376"/>
      <c r="F1019" s="376"/>
      <c r="G1019" s="376"/>
      <c r="H1019" s="376"/>
      <c r="K1019" s="214"/>
      <c r="S1019" s="214"/>
      <c r="Y1019" s="214"/>
      <c r="Z1019" s="214"/>
      <c r="AF1019" s="212"/>
      <c r="AG1019" s="212"/>
    </row>
    <row r="1020" spans="5:33">
      <c r="E1020" s="376"/>
      <c r="F1020" s="376"/>
      <c r="G1020" s="376"/>
      <c r="H1020" s="376"/>
      <c r="K1020" s="214"/>
      <c r="S1020" s="214"/>
      <c r="Y1020" s="214"/>
      <c r="Z1020" s="214"/>
      <c r="AF1020" s="212"/>
      <c r="AG1020" s="212"/>
    </row>
    <row r="1021" spans="5:33">
      <c r="E1021" s="376"/>
      <c r="F1021" s="376"/>
      <c r="G1021" s="376"/>
      <c r="H1021" s="376"/>
      <c r="K1021" s="214"/>
      <c r="S1021" s="214"/>
      <c r="Y1021" s="214"/>
      <c r="Z1021" s="214"/>
      <c r="AF1021" s="212"/>
      <c r="AG1021" s="212"/>
    </row>
    <row r="1022" spans="5:33">
      <c r="E1022" s="376"/>
      <c r="F1022" s="376"/>
      <c r="G1022" s="376"/>
      <c r="H1022" s="376"/>
      <c r="K1022" s="214"/>
      <c r="S1022" s="214"/>
      <c r="Y1022" s="214"/>
      <c r="Z1022" s="214"/>
      <c r="AF1022" s="212"/>
      <c r="AG1022" s="212"/>
    </row>
    <row r="1023" spans="5:33">
      <c r="E1023" s="376"/>
      <c r="F1023" s="376"/>
      <c r="G1023" s="376"/>
      <c r="H1023" s="376"/>
      <c r="K1023" s="214"/>
      <c r="S1023" s="214"/>
      <c r="Y1023" s="214"/>
      <c r="Z1023" s="214"/>
      <c r="AF1023" s="212"/>
      <c r="AG1023" s="212"/>
    </row>
    <row r="1024" spans="5:33">
      <c r="E1024" s="376"/>
      <c r="F1024" s="376"/>
      <c r="G1024" s="376"/>
      <c r="H1024" s="376"/>
      <c r="K1024" s="214"/>
      <c r="S1024" s="214"/>
      <c r="Y1024" s="214"/>
      <c r="Z1024" s="214"/>
      <c r="AF1024" s="212"/>
      <c r="AG1024" s="212"/>
    </row>
    <row r="1025" spans="5:33">
      <c r="E1025" s="376"/>
      <c r="F1025" s="376"/>
      <c r="G1025" s="376"/>
      <c r="H1025" s="376"/>
      <c r="K1025" s="214"/>
      <c r="S1025" s="214"/>
      <c r="Y1025" s="214"/>
      <c r="Z1025" s="214"/>
      <c r="AF1025" s="212"/>
      <c r="AG1025" s="212"/>
    </row>
    <row r="1026" spans="5:33">
      <c r="E1026" s="376"/>
      <c r="F1026" s="376"/>
      <c r="G1026" s="376"/>
      <c r="H1026" s="376"/>
      <c r="K1026" s="214"/>
      <c r="S1026" s="214"/>
      <c r="Y1026" s="214"/>
      <c r="Z1026" s="214"/>
      <c r="AF1026" s="212"/>
      <c r="AG1026" s="212"/>
    </row>
    <row r="1027" spans="5:33">
      <c r="E1027" s="376"/>
      <c r="F1027" s="376"/>
      <c r="G1027" s="376"/>
      <c r="H1027" s="376"/>
      <c r="K1027" s="214"/>
      <c r="S1027" s="214"/>
      <c r="Y1027" s="214"/>
      <c r="Z1027" s="214"/>
      <c r="AF1027" s="212"/>
      <c r="AG1027" s="212"/>
    </row>
    <row r="1028" spans="5:33">
      <c r="E1028" s="376"/>
      <c r="F1028" s="376"/>
      <c r="G1028" s="376"/>
      <c r="H1028" s="376"/>
      <c r="K1028" s="214"/>
      <c r="S1028" s="214"/>
      <c r="Y1028" s="214"/>
      <c r="Z1028" s="214"/>
      <c r="AF1028" s="212"/>
      <c r="AG1028" s="212"/>
    </row>
    <row r="1029" spans="5:33">
      <c r="E1029" s="376"/>
      <c r="F1029" s="376"/>
      <c r="G1029" s="376"/>
      <c r="H1029" s="376"/>
      <c r="K1029" s="214"/>
      <c r="S1029" s="214"/>
      <c r="Y1029" s="214"/>
      <c r="Z1029" s="214"/>
      <c r="AF1029" s="212"/>
      <c r="AG1029" s="212"/>
    </row>
    <row r="1030" spans="5:33">
      <c r="E1030" s="376"/>
      <c r="F1030" s="376"/>
      <c r="G1030" s="376"/>
      <c r="H1030" s="376"/>
      <c r="K1030" s="214"/>
      <c r="S1030" s="214"/>
      <c r="Y1030" s="214"/>
      <c r="Z1030" s="214"/>
      <c r="AF1030" s="212"/>
      <c r="AG1030" s="212"/>
    </row>
    <row r="1031" spans="5:33">
      <c r="E1031" s="376"/>
      <c r="F1031" s="376"/>
      <c r="G1031" s="376"/>
      <c r="H1031" s="376"/>
      <c r="K1031" s="214"/>
      <c r="S1031" s="214"/>
      <c r="Y1031" s="214"/>
      <c r="Z1031" s="214"/>
      <c r="AF1031" s="212"/>
      <c r="AG1031" s="212"/>
    </row>
    <row r="1032" spans="5:33">
      <c r="E1032" s="376"/>
      <c r="F1032" s="376"/>
      <c r="G1032" s="376"/>
      <c r="H1032" s="376"/>
      <c r="K1032" s="214"/>
      <c r="S1032" s="214"/>
      <c r="Y1032" s="214"/>
      <c r="Z1032" s="214"/>
      <c r="AF1032" s="212"/>
      <c r="AG1032" s="212"/>
    </row>
    <row r="1033" spans="5:33">
      <c r="E1033" s="376"/>
      <c r="F1033" s="376"/>
      <c r="G1033" s="376"/>
      <c r="H1033" s="376"/>
      <c r="K1033" s="214"/>
      <c r="S1033" s="214"/>
      <c r="Y1033" s="214"/>
      <c r="Z1033" s="214"/>
      <c r="AF1033" s="212"/>
      <c r="AG1033" s="212"/>
    </row>
    <row r="1034" spans="5:33">
      <c r="E1034" s="376"/>
      <c r="F1034" s="376"/>
      <c r="G1034" s="376"/>
      <c r="H1034" s="376"/>
      <c r="K1034" s="214"/>
      <c r="S1034" s="214"/>
      <c r="Y1034" s="214"/>
      <c r="Z1034" s="214"/>
      <c r="AF1034" s="212"/>
      <c r="AG1034" s="212"/>
    </row>
    <row r="1035" spans="5:33">
      <c r="E1035" s="376"/>
      <c r="F1035" s="376"/>
      <c r="G1035" s="376"/>
      <c r="H1035" s="376"/>
      <c r="K1035" s="214"/>
      <c r="S1035" s="214"/>
      <c r="Y1035" s="214"/>
      <c r="Z1035" s="214"/>
      <c r="AF1035" s="212"/>
      <c r="AG1035" s="212"/>
    </row>
    <row r="1036" spans="5:33">
      <c r="E1036" s="376"/>
      <c r="F1036" s="376"/>
      <c r="G1036" s="376"/>
      <c r="H1036" s="376"/>
      <c r="K1036" s="214"/>
      <c r="S1036" s="214"/>
      <c r="Y1036" s="214"/>
      <c r="Z1036" s="214"/>
      <c r="AF1036" s="212"/>
      <c r="AG1036" s="212"/>
    </row>
    <row r="1037" spans="5:33">
      <c r="E1037" s="376"/>
      <c r="F1037" s="376"/>
      <c r="G1037" s="376"/>
      <c r="H1037" s="376"/>
      <c r="K1037" s="214"/>
      <c r="S1037" s="214"/>
      <c r="Y1037" s="214"/>
      <c r="Z1037" s="214"/>
      <c r="AF1037" s="212"/>
      <c r="AG1037" s="212"/>
    </row>
    <row r="1038" spans="5:33">
      <c r="E1038" s="376"/>
      <c r="F1038" s="376"/>
      <c r="G1038" s="376"/>
      <c r="H1038" s="376"/>
      <c r="K1038" s="214"/>
      <c r="S1038" s="214"/>
      <c r="Y1038" s="214"/>
      <c r="Z1038" s="214"/>
      <c r="AF1038" s="212"/>
      <c r="AG1038" s="212"/>
    </row>
    <row r="1039" spans="5:33">
      <c r="E1039" s="376"/>
      <c r="F1039" s="376"/>
      <c r="G1039" s="376"/>
      <c r="H1039" s="376"/>
      <c r="K1039" s="214"/>
      <c r="S1039" s="214"/>
      <c r="Y1039" s="214"/>
      <c r="Z1039" s="214"/>
      <c r="AF1039" s="212"/>
      <c r="AG1039" s="212"/>
    </row>
    <row r="1040" spans="5:33">
      <c r="E1040" s="376"/>
      <c r="F1040" s="376"/>
      <c r="G1040" s="376"/>
      <c r="H1040" s="376"/>
      <c r="K1040" s="214"/>
      <c r="S1040" s="214"/>
      <c r="Y1040" s="214"/>
      <c r="Z1040" s="214"/>
      <c r="AF1040" s="212"/>
      <c r="AG1040" s="212"/>
    </row>
    <row r="1041" spans="5:33">
      <c r="E1041" s="376"/>
      <c r="F1041" s="376"/>
      <c r="G1041" s="376"/>
      <c r="H1041" s="376"/>
      <c r="K1041" s="214"/>
      <c r="S1041" s="214"/>
      <c r="Y1041" s="214"/>
      <c r="Z1041" s="214"/>
      <c r="AF1041" s="212"/>
      <c r="AG1041" s="212"/>
    </row>
    <row r="1042" spans="5:33">
      <c r="E1042" s="376"/>
      <c r="F1042" s="376"/>
      <c r="G1042" s="376"/>
      <c r="H1042" s="376"/>
      <c r="K1042" s="214"/>
      <c r="S1042" s="214"/>
      <c r="Y1042" s="214"/>
      <c r="Z1042" s="214"/>
      <c r="AF1042" s="212"/>
      <c r="AG1042" s="212"/>
    </row>
    <row r="1043" spans="5:33">
      <c r="E1043" s="376"/>
      <c r="F1043" s="376"/>
      <c r="G1043" s="376"/>
      <c r="H1043" s="376"/>
      <c r="K1043" s="214"/>
      <c r="S1043" s="214"/>
      <c r="Y1043" s="214"/>
      <c r="Z1043" s="214"/>
      <c r="AF1043" s="212"/>
      <c r="AG1043" s="212"/>
    </row>
    <row r="1044" spans="5:33">
      <c r="E1044" s="376"/>
      <c r="F1044" s="376"/>
      <c r="G1044" s="376"/>
      <c r="H1044" s="376"/>
      <c r="K1044" s="214"/>
      <c r="S1044" s="214"/>
      <c r="Y1044" s="214"/>
      <c r="Z1044" s="214"/>
      <c r="AF1044" s="212"/>
      <c r="AG1044" s="212"/>
    </row>
    <row r="1045" spans="5:33">
      <c r="E1045" s="376"/>
      <c r="F1045" s="376"/>
      <c r="G1045" s="376"/>
      <c r="H1045" s="376"/>
      <c r="K1045" s="214"/>
      <c r="S1045" s="214"/>
      <c r="Y1045" s="214"/>
      <c r="Z1045" s="214"/>
      <c r="AF1045" s="212"/>
      <c r="AG1045" s="212"/>
    </row>
    <row r="1046" spans="5:33">
      <c r="E1046" s="376"/>
      <c r="F1046" s="376"/>
      <c r="G1046" s="376"/>
      <c r="H1046" s="376"/>
      <c r="K1046" s="214"/>
      <c r="S1046" s="214"/>
      <c r="Y1046" s="214"/>
      <c r="Z1046" s="214"/>
      <c r="AF1046" s="212"/>
      <c r="AG1046" s="212"/>
    </row>
    <row r="1047" spans="5:33">
      <c r="E1047" s="376"/>
      <c r="F1047" s="376"/>
      <c r="G1047" s="376"/>
      <c r="H1047" s="376"/>
      <c r="K1047" s="214"/>
      <c r="S1047" s="214"/>
      <c r="Y1047" s="214"/>
      <c r="Z1047" s="214"/>
      <c r="AF1047" s="212"/>
      <c r="AG1047" s="212"/>
    </row>
    <row r="1048" spans="5:33">
      <c r="E1048" s="376"/>
      <c r="F1048" s="376"/>
      <c r="G1048" s="376"/>
      <c r="H1048" s="376"/>
      <c r="K1048" s="214"/>
      <c r="S1048" s="214"/>
      <c r="Y1048" s="214"/>
      <c r="Z1048" s="214"/>
      <c r="AF1048" s="212"/>
      <c r="AG1048" s="212"/>
    </row>
    <row r="1049" spans="5:33">
      <c r="E1049" s="376"/>
      <c r="F1049" s="376"/>
      <c r="G1049" s="376"/>
      <c r="H1049" s="376"/>
      <c r="K1049" s="214"/>
      <c r="S1049" s="214"/>
      <c r="Y1049" s="214"/>
      <c r="Z1049" s="214"/>
      <c r="AF1049" s="212"/>
      <c r="AG1049" s="212"/>
    </row>
    <row r="1050" spans="5:33">
      <c r="E1050" s="376"/>
      <c r="F1050" s="376"/>
      <c r="G1050" s="376"/>
      <c r="H1050" s="376"/>
      <c r="K1050" s="214"/>
      <c r="S1050" s="214"/>
      <c r="Y1050" s="214"/>
      <c r="Z1050" s="214"/>
      <c r="AF1050" s="212"/>
      <c r="AG1050" s="212"/>
    </row>
    <row r="1051" spans="5:33">
      <c r="E1051" s="376"/>
      <c r="F1051" s="376"/>
      <c r="G1051" s="376"/>
      <c r="H1051" s="376"/>
      <c r="K1051" s="214"/>
      <c r="S1051" s="214"/>
      <c r="Y1051" s="214"/>
      <c r="Z1051" s="214"/>
      <c r="AF1051" s="212"/>
      <c r="AG1051" s="212"/>
    </row>
    <row r="1052" spans="5:33">
      <c r="E1052" s="376"/>
      <c r="F1052" s="376"/>
      <c r="G1052" s="376"/>
      <c r="H1052" s="376"/>
      <c r="K1052" s="214"/>
      <c r="S1052" s="214"/>
      <c r="Y1052" s="214"/>
      <c r="Z1052" s="214"/>
      <c r="AF1052" s="212"/>
      <c r="AG1052" s="212"/>
    </row>
    <row r="1053" spans="5:33">
      <c r="E1053" s="376"/>
      <c r="F1053" s="376"/>
      <c r="G1053" s="376"/>
      <c r="H1053" s="376"/>
      <c r="K1053" s="214"/>
      <c r="S1053" s="214"/>
      <c r="Y1053" s="214"/>
      <c r="Z1053" s="214"/>
      <c r="AF1053" s="212"/>
      <c r="AG1053" s="212"/>
    </row>
    <row r="1054" spans="5:33">
      <c r="E1054" s="376"/>
      <c r="F1054" s="376"/>
      <c r="G1054" s="376"/>
      <c r="H1054" s="376"/>
      <c r="K1054" s="214"/>
      <c r="S1054" s="214"/>
      <c r="Y1054" s="214"/>
      <c r="Z1054" s="214"/>
      <c r="AF1054" s="212"/>
      <c r="AG1054" s="212"/>
    </row>
    <row r="1055" spans="5:33">
      <c r="E1055" s="376"/>
      <c r="F1055" s="376"/>
      <c r="G1055" s="376"/>
      <c r="H1055" s="376"/>
      <c r="K1055" s="214"/>
      <c r="S1055" s="214"/>
      <c r="Y1055" s="214"/>
      <c r="Z1055" s="214"/>
      <c r="AF1055" s="212"/>
      <c r="AG1055" s="212"/>
    </row>
    <row r="1056" spans="5:33">
      <c r="E1056" s="376"/>
      <c r="F1056" s="376"/>
      <c r="G1056" s="376"/>
      <c r="H1056" s="376"/>
      <c r="K1056" s="214"/>
      <c r="S1056" s="214"/>
      <c r="Y1056" s="214"/>
      <c r="Z1056" s="214"/>
      <c r="AF1056" s="212"/>
      <c r="AG1056" s="212"/>
    </row>
    <row r="1057" spans="5:33">
      <c r="E1057" s="376"/>
      <c r="F1057" s="376"/>
      <c r="G1057" s="376"/>
      <c r="H1057" s="376"/>
      <c r="K1057" s="214"/>
      <c r="S1057" s="214"/>
      <c r="Y1057" s="214"/>
      <c r="Z1057" s="214"/>
      <c r="AF1057" s="212"/>
      <c r="AG1057" s="212"/>
    </row>
    <row r="1058" spans="5:33">
      <c r="E1058" s="376"/>
      <c r="F1058" s="376"/>
      <c r="G1058" s="376"/>
      <c r="H1058" s="376"/>
      <c r="K1058" s="214"/>
      <c r="S1058" s="214"/>
      <c r="Y1058" s="214"/>
      <c r="Z1058" s="214"/>
      <c r="AF1058" s="212"/>
      <c r="AG1058" s="212"/>
    </row>
    <row r="1059" spans="5:33">
      <c r="E1059" s="376"/>
      <c r="F1059" s="376"/>
      <c r="G1059" s="376"/>
      <c r="H1059" s="376"/>
      <c r="K1059" s="214"/>
      <c r="S1059" s="214"/>
      <c r="Y1059" s="214"/>
      <c r="Z1059" s="214"/>
      <c r="AF1059" s="212"/>
      <c r="AG1059" s="212"/>
    </row>
    <row r="1060" spans="5:33">
      <c r="E1060" s="376"/>
      <c r="F1060" s="376"/>
      <c r="G1060" s="376"/>
      <c r="H1060" s="376"/>
      <c r="K1060" s="214"/>
      <c r="S1060" s="214"/>
      <c r="Y1060" s="214"/>
      <c r="Z1060" s="214"/>
      <c r="AF1060" s="212"/>
      <c r="AG1060" s="212"/>
    </row>
    <row r="1061" spans="5:33">
      <c r="E1061" s="376"/>
      <c r="F1061" s="376"/>
      <c r="G1061" s="376"/>
      <c r="H1061" s="376"/>
      <c r="K1061" s="214"/>
      <c r="S1061" s="214"/>
      <c r="Y1061" s="214"/>
      <c r="Z1061" s="214"/>
      <c r="AF1061" s="212"/>
      <c r="AG1061" s="212"/>
    </row>
    <row r="1062" spans="5:33">
      <c r="E1062" s="376"/>
      <c r="F1062" s="376"/>
      <c r="G1062" s="376"/>
      <c r="H1062" s="376"/>
      <c r="K1062" s="214"/>
      <c r="S1062" s="214"/>
      <c r="Y1062" s="214"/>
      <c r="Z1062" s="214"/>
      <c r="AF1062" s="212"/>
      <c r="AG1062" s="212"/>
    </row>
    <row r="1063" spans="5:33">
      <c r="E1063" s="376"/>
      <c r="F1063" s="376"/>
      <c r="G1063" s="376"/>
      <c r="H1063" s="376"/>
      <c r="K1063" s="214"/>
      <c r="S1063" s="214"/>
      <c r="Y1063" s="214"/>
      <c r="Z1063" s="214"/>
      <c r="AF1063" s="212"/>
      <c r="AG1063" s="212"/>
    </row>
    <row r="1064" spans="5:33">
      <c r="E1064" s="376"/>
      <c r="F1064" s="376"/>
      <c r="G1064" s="376"/>
      <c r="H1064" s="376"/>
      <c r="K1064" s="214"/>
      <c r="S1064" s="214"/>
      <c r="Y1064" s="214"/>
      <c r="Z1064" s="214"/>
      <c r="AF1064" s="212"/>
      <c r="AG1064" s="212"/>
    </row>
    <row r="1065" spans="5:33">
      <c r="E1065" s="376"/>
      <c r="F1065" s="376"/>
      <c r="G1065" s="376"/>
      <c r="H1065" s="376"/>
      <c r="K1065" s="214"/>
      <c r="S1065" s="214"/>
      <c r="Y1065" s="214"/>
      <c r="Z1065" s="214"/>
      <c r="AF1065" s="212"/>
      <c r="AG1065" s="212"/>
    </row>
    <row r="1066" spans="5:33">
      <c r="E1066" s="376"/>
      <c r="F1066" s="376"/>
      <c r="G1066" s="376"/>
      <c r="H1066" s="376"/>
      <c r="K1066" s="214"/>
      <c r="S1066" s="214"/>
      <c r="Y1066" s="214"/>
      <c r="Z1066" s="214"/>
      <c r="AF1066" s="212"/>
      <c r="AG1066" s="212"/>
    </row>
    <row r="1067" spans="5:33">
      <c r="E1067" s="376"/>
      <c r="F1067" s="376"/>
      <c r="G1067" s="376"/>
      <c r="H1067" s="376"/>
      <c r="K1067" s="214"/>
      <c r="S1067" s="214"/>
      <c r="Y1067" s="214"/>
      <c r="Z1067" s="214"/>
      <c r="AF1067" s="212"/>
      <c r="AG1067" s="212"/>
    </row>
    <row r="1068" spans="5:33">
      <c r="E1068" s="376"/>
      <c r="F1068" s="376"/>
      <c r="G1068" s="376"/>
      <c r="H1068" s="376"/>
      <c r="K1068" s="214"/>
      <c r="S1068" s="214"/>
      <c r="Y1068" s="214"/>
      <c r="Z1068" s="214"/>
      <c r="AF1068" s="212"/>
      <c r="AG1068" s="212"/>
    </row>
    <row r="1069" spans="5:33">
      <c r="E1069" s="376"/>
      <c r="F1069" s="376"/>
      <c r="G1069" s="376"/>
      <c r="H1069" s="376"/>
      <c r="K1069" s="214"/>
      <c r="S1069" s="214"/>
      <c r="Y1069" s="214"/>
      <c r="Z1069" s="214"/>
      <c r="AF1069" s="212"/>
      <c r="AG1069" s="212"/>
    </row>
    <row r="1070" spans="5:33">
      <c r="E1070" s="376"/>
      <c r="F1070" s="376"/>
      <c r="G1070" s="376"/>
      <c r="H1070" s="376"/>
      <c r="K1070" s="214"/>
      <c r="S1070" s="214"/>
      <c r="Y1070" s="214"/>
      <c r="Z1070" s="214"/>
      <c r="AF1070" s="212"/>
      <c r="AG1070" s="212"/>
    </row>
    <row r="1071" spans="5:33">
      <c r="E1071" s="376"/>
      <c r="F1071" s="376"/>
      <c r="G1071" s="376"/>
      <c r="H1071" s="376"/>
      <c r="K1071" s="214"/>
      <c r="S1071" s="214"/>
      <c r="Y1071" s="214"/>
      <c r="Z1071" s="214"/>
      <c r="AF1071" s="212"/>
      <c r="AG1071" s="212"/>
    </row>
    <row r="1072" spans="5:33">
      <c r="E1072" s="376"/>
      <c r="F1072" s="376"/>
      <c r="G1072" s="376"/>
      <c r="H1072" s="376"/>
      <c r="K1072" s="214"/>
      <c r="S1072" s="214"/>
      <c r="Y1072" s="214"/>
      <c r="Z1072" s="214"/>
      <c r="AF1072" s="212"/>
      <c r="AG1072" s="212"/>
    </row>
    <row r="1073" spans="5:33">
      <c r="E1073" s="376"/>
      <c r="F1073" s="376"/>
      <c r="G1073" s="376"/>
      <c r="H1073" s="376"/>
      <c r="K1073" s="214"/>
      <c r="S1073" s="214"/>
      <c r="Y1073" s="214"/>
      <c r="Z1073" s="214"/>
      <c r="AF1073" s="212"/>
      <c r="AG1073" s="212"/>
    </row>
    <row r="1074" spans="5:33">
      <c r="E1074" s="376"/>
      <c r="F1074" s="376"/>
      <c r="G1074" s="376"/>
      <c r="H1074" s="376"/>
      <c r="K1074" s="214"/>
      <c r="S1074" s="214"/>
      <c r="Y1074" s="214"/>
      <c r="Z1074" s="214"/>
      <c r="AF1074" s="212"/>
      <c r="AG1074" s="212"/>
    </row>
    <row r="1075" spans="5:33">
      <c r="E1075" s="376"/>
      <c r="F1075" s="376"/>
      <c r="G1075" s="376"/>
      <c r="H1075" s="376"/>
      <c r="K1075" s="214"/>
      <c r="S1075" s="214"/>
      <c r="Y1075" s="214"/>
      <c r="Z1075" s="214"/>
      <c r="AF1075" s="212"/>
      <c r="AG1075" s="212"/>
    </row>
    <row r="1076" spans="5:33">
      <c r="E1076" s="376"/>
      <c r="F1076" s="376"/>
      <c r="G1076" s="376"/>
      <c r="H1076" s="376"/>
      <c r="K1076" s="214"/>
      <c r="S1076" s="214"/>
      <c r="Y1076" s="214"/>
      <c r="Z1076" s="214"/>
      <c r="AF1076" s="212"/>
      <c r="AG1076" s="212"/>
    </row>
    <row r="1077" spans="5:33">
      <c r="E1077" s="376"/>
      <c r="F1077" s="376"/>
      <c r="G1077" s="376"/>
      <c r="H1077" s="376"/>
      <c r="K1077" s="214"/>
      <c r="S1077" s="214"/>
      <c r="Y1077" s="214"/>
      <c r="Z1077" s="214"/>
      <c r="AF1077" s="212"/>
      <c r="AG1077" s="212"/>
    </row>
    <row r="1078" spans="5:33">
      <c r="E1078" s="376"/>
      <c r="F1078" s="376"/>
      <c r="G1078" s="376"/>
      <c r="H1078" s="376"/>
      <c r="K1078" s="214"/>
      <c r="S1078" s="214"/>
      <c r="Y1078" s="214"/>
      <c r="Z1078" s="214"/>
      <c r="AF1078" s="212"/>
      <c r="AG1078" s="212"/>
    </row>
    <row r="1079" spans="5:33">
      <c r="E1079" s="376"/>
      <c r="F1079" s="376"/>
      <c r="G1079" s="376"/>
      <c r="H1079" s="376"/>
      <c r="K1079" s="214"/>
      <c r="S1079" s="214"/>
      <c r="Y1079" s="214"/>
      <c r="Z1079" s="214"/>
      <c r="AF1079" s="212"/>
      <c r="AG1079" s="212"/>
    </row>
    <row r="1080" spans="5:33">
      <c r="E1080" s="376"/>
      <c r="F1080" s="376"/>
      <c r="G1080" s="376"/>
      <c r="H1080" s="376"/>
      <c r="K1080" s="214"/>
      <c r="S1080" s="214"/>
      <c r="Y1080" s="214"/>
      <c r="Z1080" s="214"/>
      <c r="AF1080" s="212"/>
      <c r="AG1080" s="212"/>
    </row>
    <row r="1081" spans="5:33">
      <c r="E1081" s="376"/>
      <c r="F1081" s="376"/>
      <c r="G1081" s="376"/>
      <c r="H1081" s="376"/>
      <c r="K1081" s="214"/>
      <c r="S1081" s="214"/>
      <c r="Y1081" s="214"/>
      <c r="Z1081" s="214"/>
      <c r="AF1081" s="212"/>
      <c r="AG1081" s="212"/>
    </row>
    <row r="1082" spans="5:33">
      <c r="E1082" s="376"/>
      <c r="F1082" s="376"/>
      <c r="G1082" s="376"/>
      <c r="H1082" s="376"/>
      <c r="K1082" s="214"/>
      <c r="S1082" s="214"/>
      <c r="Y1082" s="214"/>
      <c r="Z1082" s="214"/>
      <c r="AF1082" s="212"/>
      <c r="AG1082" s="212"/>
    </row>
    <row r="1083" spans="5:33">
      <c r="E1083" s="376"/>
      <c r="F1083" s="376"/>
      <c r="G1083" s="376"/>
      <c r="H1083" s="376"/>
      <c r="K1083" s="214"/>
      <c r="S1083" s="214"/>
      <c r="Y1083" s="214"/>
      <c r="Z1083" s="214"/>
      <c r="AF1083" s="212"/>
      <c r="AG1083" s="212"/>
    </row>
    <row r="1084" spans="5:33">
      <c r="E1084" s="376"/>
      <c r="F1084" s="376"/>
      <c r="G1084" s="376"/>
      <c r="H1084" s="376"/>
      <c r="K1084" s="214"/>
      <c r="S1084" s="214"/>
      <c r="Y1084" s="214"/>
      <c r="Z1084" s="214"/>
      <c r="AF1084" s="212"/>
      <c r="AG1084" s="212"/>
    </row>
    <row r="1085" spans="5:33">
      <c r="E1085" s="376"/>
      <c r="F1085" s="376"/>
      <c r="G1085" s="376"/>
      <c r="H1085" s="376"/>
      <c r="K1085" s="214"/>
      <c r="S1085" s="214"/>
      <c r="Y1085" s="214"/>
      <c r="Z1085" s="214"/>
      <c r="AF1085" s="212"/>
      <c r="AG1085" s="212"/>
    </row>
    <row r="1086" spans="5:33">
      <c r="E1086" s="376"/>
      <c r="F1086" s="376"/>
      <c r="G1086" s="376"/>
      <c r="H1086" s="376"/>
      <c r="K1086" s="214"/>
      <c r="S1086" s="214"/>
      <c r="Y1086" s="214"/>
      <c r="Z1086" s="214"/>
      <c r="AF1086" s="212"/>
      <c r="AG1086" s="212"/>
    </row>
    <row r="1087" spans="5:33">
      <c r="E1087" s="376"/>
      <c r="F1087" s="376"/>
      <c r="G1087" s="376"/>
      <c r="H1087" s="376"/>
      <c r="K1087" s="214"/>
      <c r="S1087" s="214"/>
      <c r="Y1087" s="214"/>
      <c r="Z1087" s="214"/>
      <c r="AF1087" s="212"/>
      <c r="AG1087" s="212"/>
    </row>
    <row r="1088" spans="5:33">
      <c r="E1088" s="376"/>
      <c r="F1088" s="376"/>
      <c r="G1088" s="376"/>
      <c r="H1088" s="376"/>
      <c r="K1088" s="214"/>
      <c r="S1088" s="214"/>
      <c r="Y1088" s="214"/>
      <c r="Z1088" s="214"/>
      <c r="AF1088" s="212"/>
      <c r="AG1088" s="212"/>
    </row>
    <row r="1089" spans="5:33">
      <c r="E1089" s="376"/>
      <c r="F1089" s="376"/>
      <c r="G1089" s="376"/>
      <c r="H1089" s="376"/>
      <c r="K1089" s="214"/>
      <c r="S1089" s="214"/>
      <c r="Y1089" s="214"/>
      <c r="Z1089" s="214"/>
      <c r="AF1089" s="212"/>
      <c r="AG1089" s="212"/>
    </row>
    <row r="1090" spans="5:33">
      <c r="E1090" s="376"/>
      <c r="F1090" s="376"/>
      <c r="G1090" s="376"/>
      <c r="H1090" s="376"/>
      <c r="K1090" s="214"/>
      <c r="S1090" s="214"/>
      <c r="Y1090" s="214"/>
      <c r="Z1090" s="214"/>
      <c r="AF1090" s="212"/>
      <c r="AG1090" s="212"/>
    </row>
    <row r="1091" spans="5:33">
      <c r="E1091" s="376"/>
      <c r="F1091" s="376"/>
      <c r="G1091" s="376"/>
      <c r="H1091" s="376"/>
      <c r="K1091" s="214"/>
      <c r="S1091" s="214"/>
      <c r="Y1091" s="214"/>
      <c r="Z1091" s="214"/>
      <c r="AF1091" s="212"/>
      <c r="AG1091" s="212"/>
    </row>
    <row r="1092" spans="5:33">
      <c r="E1092" s="376"/>
      <c r="F1092" s="376"/>
      <c r="G1092" s="376"/>
      <c r="H1092" s="376"/>
      <c r="K1092" s="214"/>
      <c r="S1092" s="214"/>
      <c r="Y1092" s="214"/>
      <c r="Z1092" s="214"/>
      <c r="AF1092" s="212"/>
      <c r="AG1092" s="212"/>
    </row>
    <row r="1093" spans="5:33">
      <c r="E1093" s="376"/>
      <c r="F1093" s="376"/>
      <c r="G1093" s="376"/>
      <c r="H1093" s="376"/>
      <c r="K1093" s="214"/>
      <c r="S1093" s="214"/>
      <c r="Y1093" s="214"/>
      <c r="Z1093" s="214"/>
      <c r="AF1093" s="212"/>
      <c r="AG1093" s="212"/>
    </row>
    <row r="1094" spans="5:33">
      <c r="E1094" s="376"/>
      <c r="F1094" s="376"/>
      <c r="G1094" s="376"/>
      <c r="H1094" s="376"/>
      <c r="K1094" s="214"/>
      <c r="S1094" s="214"/>
      <c r="Y1094" s="214"/>
      <c r="Z1094" s="214"/>
      <c r="AF1094" s="212"/>
      <c r="AG1094" s="212"/>
    </row>
    <row r="1095" spans="5:33">
      <c r="E1095" s="376"/>
      <c r="F1095" s="376"/>
      <c r="G1095" s="376"/>
      <c r="H1095" s="376"/>
      <c r="K1095" s="214"/>
      <c r="S1095" s="214"/>
      <c r="Y1095" s="214"/>
      <c r="Z1095" s="214"/>
      <c r="AF1095" s="212"/>
      <c r="AG1095" s="212"/>
    </row>
    <row r="1096" spans="5:33">
      <c r="E1096" s="376"/>
      <c r="F1096" s="376"/>
      <c r="G1096" s="376"/>
      <c r="H1096" s="376"/>
      <c r="K1096" s="214"/>
      <c r="S1096" s="214"/>
      <c r="Y1096" s="214"/>
      <c r="Z1096" s="214"/>
      <c r="AF1096" s="212"/>
      <c r="AG1096" s="212"/>
    </row>
    <row r="1097" spans="5:33">
      <c r="E1097" s="376"/>
      <c r="F1097" s="376"/>
      <c r="G1097" s="376"/>
      <c r="H1097" s="376"/>
      <c r="K1097" s="214"/>
      <c r="S1097" s="214"/>
      <c r="Y1097" s="214"/>
      <c r="Z1097" s="214"/>
      <c r="AF1097" s="212"/>
      <c r="AG1097" s="212"/>
    </row>
    <row r="1098" spans="5:33">
      <c r="E1098" s="376"/>
      <c r="F1098" s="376"/>
      <c r="G1098" s="376"/>
      <c r="H1098" s="376"/>
      <c r="K1098" s="214"/>
      <c r="S1098" s="214"/>
      <c r="Y1098" s="214"/>
      <c r="Z1098" s="214"/>
      <c r="AF1098" s="212"/>
      <c r="AG1098" s="212"/>
    </row>
    <row r="1099" spans="5:33">
      <c r="E1099" s="376"/>
      <c r="F1099" s="376"/>
      <c r="G1099" s="376"/>
      <c r="H1099" s="376"/>
      <c r="K1099" s="214"/>
      <c r="S1099" s="214"/>
      <c r="Y1099" s="214"/>
      <c r="Z1099" s="214"/>
      <c r="AF1099" s="212"/>
      <c r="AG1099" s="212"/>
    </row>
    <row r="1100" spans="5:33">
      <c r="E1100" s="376"/>
      <c r="F1100" s="376"/>
      <c r="G1100" s="376"/>
      <c r="H1100" s="376"/>
      <c r="K1100" s="214"/>
      <c r="S1100" s="214"/>
      <c r="Y1100" s="214"/>
      <c r="Z1100" s="214"/>
      <c r="AF1100" s="212"/>
      <c r="AG1100" s="212"/>
    </row>
    <row r="1101" spans="5:33">
      <c r="E1101" s="376"/>
      <c r="F1101" s="376"/>
      <c r="G1101" s="376"/>
      <c r="H1101" s="376"/>
      <c r="K1101" s="214"/>
      <c r="S1101" s="214"/>
      <c r="Y1101" s="214"/>
      <c r="Z1101" s="214"/>
      <c r="AF1101" s="212"/>
      <c r="AG1101" s="212"/>
    </row>
    <row r="1102" spans="5:33">
      <c r="E1102" s="376"/>
      <c r="F1102" s="376"/>
      <c r="G1102" s="376"/>
      <c r="H1102" s="376"/>
      <c r="K1102" s="214"/>
      <c r="S1102" s="214"/>
      <c r="Y1102" s="214"/>
      <c r="Z1102" s="214"/>
      <c r="AF1102" s="212"/>
      <c r="AG1102" s="212"/>
    </row>
    <row r="1103" spans="5:33">
      <c r="E1103" s="376"/>
      <c r="F1103" s="376"/>
      <c r="G1103" s="376"/>
      <c r="H1103" s="376"/>
      <c r="K1103" s="214"/>
      <c r="S1103" s="214"/>
      <c r="Y1103" s="214"/>
      <c r="Z1103" s="214"/>
      <c r="AF1103" s="212"/>
      <c r="AG1103" s="212"/>
    </row>
    <row r="1104" spans="5:33">
      <c r="E1104" s="376"/>
      <c r="F1104" s="376"/>
      <c r="G1104" s="376"/>
      <c r="H1104" s="376"/>
      <c r="K1104" s="214"/>
      <c r="S1104" s="214"/>
      <c r="Y1104" s="214"/>
      <c r="Z1104" s="214"/>
      <c r="AF1104" s="212"/>
      <c r="AG1104" s="212"/>
    </row>
    <row r="1105" spans="5:33">
      <c r="E1105" s="376"/>
      <c r="F1105" s="376"/>
      <c r="G1105" s="376"/>
      <c r="H1105" s="376"/>
      <c r="K1105" s="214"/>
      <c r="S1105" s="214"/>
      <c r="Y1105" s="214"/>
      <c r="Z1105" s="214"/>
      <c r="AF1105" s="212"/>
      <c r="AG1105" s="212"/>
    </row>
    <row r="1106" spans="5:33">
      <c r="E1106" s="376"/>
      <c r="F1106" s="376"/>
      <c r="G1106" s="376"/>
      <c r="H1106" s="376"/>
      <c r="K1106" s="214"/>
      <c r="S1106" s="214"/>
      <c r="Y1106" s="214"/>
      <c r="Z1106" s="214"/>
      <c r="AF1106" s="212"/>
      <c r="AG1106" s="212"/>
    </row>
    <row r="1107" spans="5:33">
      <c r="E1107" s="376"/>
      <c r="F1107" s="376"/>
      <c r="G1107" s="376"/>
      <c r="H1107" s="376"/>
      <c r="K1107" s="214"/>
      <c r="S1107" s="214"/>
      <c r="Y1107" s="214"/>
      <c r="Z1107" s="214"/>
      <c r="AF1107" s="212"/>
      <c r="AG1107" s="212"/>
    </row>
    <row r="1108" spans="5:33">
      <c r="E1108" s="376"/>
      <c r="F1108" s="376"/>
      <c r="G1108" s="376"/>
      <c r="H1108" s="376"/>
      <c r="K1108" s="214"/>
      <c r="S1108" s="214"/>
      <c r="Y1108" s="214"/>
      <c r="Z1108" s="214"/>
      <c r="AF1108" s="212"/>
      <c r="AG1108" s="212"/>
    </row>
    <row r="1109" spans="5:33">
      <c r="E1109" s="376"/>
      <c r="F1109" s="376"/>
      <c r="G1109" s="376"/>
      <c r="H1109" s="376"/>
      <c r="K1109" s="214"/>
      <c r="S1109" s="214"/>
      <c r="Y1109" s="214"/>
      <c r="Z1109" s="214"/>
      <c r="AF1109" s="212"/>
      <c r="AG1109" s="212"/>
    </row>
    <row r="1110" spans="5:33">
      <c r="E1110" s="376"/>
      <c r="F1110" s="376"/>
      <c r="G1110" s="376"/>
      <c r="H1110" s="376"/>
      <c r="K1110" s="214"/>
      <c r="S1110" s="214"/>
      <c r="Y1110" s="214"/>
      <c r="Z1110" s="214"/>
      <c r="AF1110" s="212"/>
      <c r="AG1110" s="212"/>
    </row>
    <row r="1111" spans="5:33">
      <c r="E1111" s="376"/>
      <c r="F1111" s="376"/>
      <c r="G1111" s="376"/>
      <c r="H1111" s="376"/>
      <c r="K1111" s="214"/>
      <c r="S1111" s="214"/>
      <c r="Y1111" s="214"/>
      <c r="Z1111" s="214"/>
      <c r="AF1111" s="212"/>
      <c r="AG1111" s="212"/>
    </row>
    <row r="1112" spans="5:33">
      <c r="E1112" s="376"/>
      <c r="F1112" s="376"/>
      <c r="G1112" s="376"/>
      <c r="H1112" s="376"/>
      <c r="K1112" s="214"/>
      <c r="S1112" s="214"/>
      <c r="Y1112" s="214"/>
      <c r="Z1112" s="214"/>
      <c r="AF1112" s="212"/>
      <c r="AG1112" s="212"/>
    </row>
    <row r="1113" spans="5:33">
      <c r="E1113" s="376"/>
      <c r="F1113" s="376"/>
      <c r="G1113" s="376"/>
      <c r="H1113" s="376"/>
      <c r="K1113" s="214"/>
      <c r="S1113" s="214"/>
      <c r="Y1113" s="214"/>
      <c r="Z1113" s="214"/>
      <c r="AF1113" s="212"/>
      <c r="AG1113" s="212"/>
    </row>
    <row r="1114" spans="5:33">
      <c r="E1114" s="376"/>
      <c r="F1114" s="376"/>
      <c r="G1114" s="376"/>
      <c r="H1114" s="376"/>
      <c r="K1114" s="214"/>
      <c r="S1114" s="214"/>
      <c r="Y1114" s="214"/>
      <c r="Z1114" s="214"/>
      <c r="AF1114" s="212"/>
      <c r="AG1114" s="212"/>
    </row>
    <row r="1115" spans="5:33">
      <c r="E1115" s="376"/>
      <c r="F1115" s="376"/>
      <c r="G1115" s="376"/>
      <c r="H1115" s="376"/>
      <c r="K1115" s="214"/>
      <c r="S1115" s="214"/>
      <c r="Y1115" s="214"/>
      <c r="Z1115" s="214"/>
      <c r="AF1115" s="212"/>
      <c r="AG1115" s="212"/>
    </row>
    <row r="1116" spans="5:33">
      <c r="E1116" s="376"/>
      <c r="F1116" s="376"/>
      <c r="G1116" s="376"/>
      <c r="H1116" s="376"/>
      <c r="K1116" s="214"/>
      <c r="S1116" s="214"/>
      <c r="Y1116" s="214"/>
      <c r="Z1116" s="214"/>
      <c r="AF1116" s="212"/>
      <c r="AG1116" s="212"/>
    </row>
    <row r="1117" spans="5:33">
      <c r="E1117" s="376"/>
      <c r="F1117" s="376"/>
      <c r="G1117" s="376"/>
      <c r="H1117" s="376"/>
      <c r="K1117" s="214"/>
      <c r="S1117" s="214"/>
      <c r="Y1117" s="214"/>
      <c r="Z1117" s="214"/>
      <c r="AF1117" s="212"/>
      <c r="AG1117" s="212"/>
    </row>
    <row r="1118" spans="5:33">
      <c r="E1118" s="376"/>
      <c r="F1118" s="376"/>
      <c r="G1118" s="376"/>
      <c r="H1118" s="376"/>
      <c r="K1118" s="214"/>
      <c r="S1118" s="214"/>
      <c r="Y1118" s="214"/>
      <c r="Z1118" s="214"/>
      <c r="AF1118" s="212"/>
      <c r="AG1118" s="212"/>
    </row>
    <row r="1119" spans="5:33">
      <c r="E1119" s="376"/>
      <c r="F1119" s="376"/>
      <c r="G1119" s="376"/>
      <c r="H1119" s="376"/>
      <c r="K1119" s="214"/>
      <c r="S1119" s="214"/>
      <c r="Y1119" s="214"/>
      <c r="Z1119" s="214"/>
      <c r="AF1119" s="212"/>
      <c r="AG1119" s="212"/>
    </row>
    <row r="1120" spans="5:33">
      <c r="E1120" s="376"/>
      <c r="F1120" s="376"/>
      <c r="G1120" s="376"/>
      <c r="H1120" s="376"/>
      <c r="K1120" s="214"/>
      <c r="S1120" s="214"/>
      <c r="Y1120" s="214"/>
      <c r="Z1120" s="214"/>
      <c r="AF1120" s="212"/>
      <c r="AG1120" s="212"/>
    </row>
    <row r="1121" spans="5:33">
      <c r="E1121" s="376"/>
      <c r="F1121" s="376"/>
      <c r="G1121" s="376"/>
      <c r="H1121" s="376"/>
      <c r="K1121" s="214"/>
      <c r="S1121" s="214"/>
      <c r="Y1121" s="214"/>
      <c r="Z1121" s="214"/>
      <c r="AF1121" s="212"/>
      <c r="AG1121" s="212"/>
    </row>
    <row r="1122" spans="5:33">
      <c r="E1122" s="376"/>
      <c r="F1122" s="376"/>
      <c r="G1122" s="376"/>
      <c r="H1122" s="376"/>
      <c r="K1122" s="214"/>
      <c r="S1122" s="214"/>
      <c r="Y1122" s="214"/>
      <c r="Z1122" s="214"/>
      <c r="AF1122" s="212"/>
      <c r="AG1122" s="212"/>
    </row>
    <row r="1123" spans="5:33">
      <c r="E1123" s="376"/>
      <c r="F1123" s="376"/>
      <c r="G1123" s="376"/>
      <c r="H1123" s="376"/>
      <c r="K1123" s="214"/>
      <c r="S1123" s="214"/>
      <c r="Y1123" s="214"/>
      <c r="Z1123" s="214"/>
      <c r="AF1123" s="212"/>
      <c r="AG1123" s="212"/>
    </row>
    <row r="1124" spans="5:33">
      <c r="E1124" s="376"/>
      <c r="F1124" s="376"/>
      <c r="G1124" s="376"/>
      <c r="H1124" s="376"/>
      <c r="K1124" s="214"/>
      <c r="S1124" s="214"/>
      <c r="Y1124" s="214"/>
      <c r="Z1124" s="214"/>
      <c r="AF1124" s="212"/>
      <c r="AG1124" s="212"/>
    </row>
    <row r="1125" spans="5:33">
      <c r="E1125" s="376"/>
      <c r="F1125" s="376"/>
      <c r="G1125" s="376"/>
      <c r="H1125" s="376"/>
      <c r="K1125" s="214"/>
      <c r="S1125" s="214"/>
      <c r="Y1125" s="214"/>
      <c r="Z1125" s="214"/>
      <c r="AF1125" s="212"/>
      <c r="AG1125" s="212"/>
    </row>
    <row r="1126" spans="5:33">
      <c r="E1126" s="376"/>
      <c r="F1126" s="376"/>
      <c r="G1126" s="376"/>
      <c r="H1126" s="376"/>
      <c r="K1126" s="214"/>
      <c r="S1126" s="214"/>
      <c r="Y1126" s="214"/>
      <c r="Z1126" s="214"/>
      <c r="AF1126" s="212"/>
      <c r="AG1126" s="212"/>
    </row>
    <row r="1127" spans="5:33">
      <c r="E1127" s="376"/>
      <c r="F1127" s="376"/>
      <c r="G1127" s="376"/>
      <c r="H1127" s="376"/>
      <c r="K1127" s="214"/>
      <c r="S1127" s="214"/>
      <c r="Y1127" s="214"/>
      <c r="Z1127" s="214"/>
      <c r="AF1127" s="212"/>
      <c r="AG1127" s="212"/>
    </row>
    <row r="1128" spans="5:33">
      <c r="E1128" s="376"/>
      <c r="F1128" s="376"/>
      <c r="G1128" s="376"/>
      <c r="H1128" s="376"/>
      <c r="K1128" s="214"/>
      <c r="S1128" s="214"/>
      <c r="Y1128" s="214"/>
      <c r="Z1128" s="214"/>
      <c r="AF1128" s="212"/>
      <c r="AG1128" s="212"/>
    </row>
    <row r="1129" spans="5:33">
      <c r="E1129" s="376"/>
      <c r="F1129" s="376"/>
      <c r="G1129" s="376"/>
      <c r="H1129" s="376"/>
      <c r="K1129" s="214"/>
      <c r="S1129" s="214"/>
      <c r="Y1129" s="214"/>
      <c r="Z1129" s="214"/>
      <c r="AF1129" s="212"/>
      <c r="AG1129" s="212"/>
    </row>
    <row r="1130" spans="5:33">
      <c r="E1130" s="376"/>
      <c r="F1130" s="376"/>
      <c r="G1130" s="376"/>
      <c r="H1130" s="376"/>
      <c r="K1130" s="214"/>
      <c r="S1130" s="214"/>
      <c r="Y1130" s="214"/>
      <c r="Z1130" s="214"/>
      <c r="AF1130" s="212"/>
      <c r="AG1130" s="212"/>
    </row>
    <row r="1131" spans="5:33">
      <c r="E1131" s="376"/>
      <c r="F1131" s="376"/>
      <c r="G1131" s="376"/>
      <c r="H1131" s="376"/>
      <c r="K1131" s="214"/>
      <c r="S1131" s="214"/>
      <c r="Y1131" s="214"/>
      <c r="Z1131" s="214"/>
      <c r="AF1131" s="212"/>
      <c r="AG1131" s="212"/>
    </row>
    <row r="1132" spans="5:33">
      <c r="E1132" s="376"/>
      <c r="F1132" s="376"/>
      <c r="G1132" s="376"/>
      <c r="H1132" s="376"/>
      <c r="K1132" s="214"/>
      <c r="S1132" s="214"/>
      <c r="Y1132" s="214"/>
      <c r="Z1132" s="214"/>
      <c r="AF1132" s="212"/>
      <c r="AG1132" s="212"/>
    </row>
    <row r="1133" spans="5:33">
      <c r="E1133" s="376"/>
      <c r="F1133" s="376"/>
      <c r="G1133" s="376"/>
      <c r="H1133" s="376"/>
      <c r="K1133" s="214"/>
      <c r="S1133" s="214"/>
      <c r="Y1133" s="214"/>
      <c r="Z1133" s="214"/>
      <c r="AF1133" s="212"/>
      <c r="AG1133" s="212"/>
    </row>
    <row r="1134" spans="5:33">
      <c r="E1134" s="376"/>
      <c r="F1134" s="376"/>
      <c r="G1134" s="376"/>
      <c r="H1134" s="376"/>
      <c r="K1134" s="214"/>
      <c r="S1134" s="214"/>
      <c r="Y1134" s="214"/>
      <c r="Z1134" s="214"/>
      <c r="AF1134" s="212"/>
      <c r="AG1134" s="212"/>
    </row>
    <row r="1135" spans="5:33">
      <c r="E1135" s="376"/>
      <c r="F1135" s="376"/>
      <c r="G1135" s="376"/>
      <c r="H1135" s="376"/>
      <c r="K1135" s="214"/>
      <c r="S1135" s="214"/>
      <c r="Y1135" s="214"/>
      <c r="Z1135" s="214"/>
      <c r="AF1135" s="212"/>
      <c r="AG1135" s="212"/>
    </row>
    <row r="1136" spans="5:33">
      <c r="E1136" s="376"/>
      <c r="F1136" s="376"/>
      <c r="G1136" s="376"/>
      <c r="H1136" s="376"/>
      <c r="K1136" s="214"/>
      <c r="S1136" s="214"/>
      <c r="Y1136" s="214"/>
      <c r="Z1136" s="214"/>
      <c r="AF1136" s="212"/>
      <c r="AG1136" s="212"/>
    </row>
    <row r="1137" spans="5:33">
      <c r="E1137" s="376"/>
      <c r="F1137" s="376"/>
      <c r="G1137" s="376"/>
      <c r="H1137" s="376"/>
      <c r="K1137" s="214"/>
      <c r="S1137" s="214"/>
      <c r="Y1137" s="214"/>
      <c r="Z1137" s="214"/>
      <c r="AF1137" s="212"/>
      <c r="AG1137" s="212"/>
    </row>
    <row r="1138" spans="5:33">
      <c r="E1138" s="376"/>
      <c r="F1138" s="376"/>
      <c r="G1138" s="376"/>
      <c r="H1138" s="376"/>
      <c r="K1138" s="214"/>
      <c r="S1138" s="214"/>
      <c r="Y1138" s="214"/>
      <c r="Z1138" s="214"/>
      <c r="AF1138" s="212"/>
      <c r="AG1138" s="212"/>
    </row>
    <row r="1139" spans="5:33">
      <c r="E1139" s="376"/>
      <c r="F1139" s="376"/>
      <c r="G1139" s="376"/>
      <c r="H1139" s="376"/>
      <c r="K1139" s="214"/>
      <c r="S1139" s="214"/>
      <c r="Y1139" s="214"/>
      <c r="Z1139" s="214"/>
      <c r="AF1139" s="212"/>
      <c r="AG1139" s="212"/>
    </row>
    <row r="1140" spans="5:33">
      <c r="E1140" s="376"/>
      <c r="F1140" s="376"/>
      <c r="G1140" s="376"/>
      <c r="H1140" s="376"/>
      <c r="K1140" s="214"/>
      <c r="S1140" s="214"/>
      <c r="Y1140" s="214"/>
      <c r="Z1140" s="214"/>
      <c r="AF1140" s="212"/>
      <c r="AG1140" s="212"/>
    </row>
    <row r="1141" spans="5:33">
      <c r="E1141" s="376"/>
      <c r="F1141" s="376"/>
      <c r="G1141" s="376"/>
      <c r="H1141" s="376"/>
      <c r="K1141" s="214"/>
      <c r="S1141" s="214"/>
      <c r="Y1141" s="214"/>
      <c r="Z1141" s="214"/>
      <c r="AF1141" s="212"/>
      <c r="AG1141" s="212"/>
    </row>
    <row r="1142" spans="5:33">
      <c r="E1142" s="376"/>
      <c r="F1142" s="376"/>
      <c r="G1142" s="376"/>
      <c r="H1142" s="376"/>
      <c r="K1142" s="214"/>
      <c r="S1142" s="214"/>
      <c r="Y1142" s="214"/>
      <c r="Z1142" s="214"/>
      <c r="AF1142" s="212"/>
      <c r="AG1142" s="212"/>
    </row>
    <row r="1143" spans="5:33">
      <c r="E1143" s="376"/>
      <c r="F1143" s="376"/>
      <c r="G1143" s="376"/>
      <c r="H1143" s="376"/>
      <c r="K1143" s="214"/>
      <c r="S1143" s="214"/>
      <c r="Y1143" s="214"/>
      <c r="Z1143" s="214"/>
      <c r="AF1143" s="212"/>
      <c r="AG1143" s="212"/>
    </row>
    <row r="1144" spans="5:33">
      <c r="E1144" s="376"/>
      <c r="F1144" s="376"/>
      <c r="G1144" s="376"/>
      <c r="H1144" s="376"/>
      <c r="K1144" s="214"/>
      <c r="S1144" s="214"/>
      <c r="Y1144" s="214"/>
      <c r="Z1144" s="214"/>
      <c r="AF1144" s="212"/>
      <c r="AG1144" s="212"/>
    </row>
    <row r="1145" spans="5:33">
      <c r="E1145" s="376"/>
      <c r="F1145" s="376"/>
      <c r="G1145" s="376"/>
      <c r="H1145" s="376"/>
      <c r="K1145" s="214"/>
      <c r="S1145" s="214"/>
      <c r="Y1145" s="214"/>
      <c r="Z1145" s="214"/>
      <c r="AF1145" s="212"/>
      <c r="AG1145" s="212"/>
    </row>
    <row r="1146" spans="5:33">
      <c r="E1146" s="376"/>
      <c r="F1146" s="376"/>
      <c r="G1146" s="376"/>
      <c r="H1146" s="376"/>
      <c r="K1146" s="214"/>
      <c r="S1146" s="214"/>
      <c r="Y1146" s="214"/>
      <c r="Z1146" s="214"/>
      <c r="AF1146" s="212"/>
      <c r="AG1146" s="212"/>
    </row>
    <row r="1147" spans="5:33">
      <c r="E1147" s="376"/>
      <c r="F1147" s="376"/>
      <c r="G1147" s="376"/>
      <c r="H1147" s="376"/>
      <c r="K1147" s="214"/>
      <c r="S1147" s="214"/>
      <c r="Y1147" s="214"/>
      <c r="Z1147" s="214"/>
      <c r="AF1147" s="212"/>
      <c r="AG1147" s="212"/>
    </row>
    <row r="1148" spans="5:33">
      <c r="E1148" s="376"/>
      <c r="F1148" s="376"/>
      <c r="G1148" s="376"/>
      <c r="H1148" s="376"/>
      <c r="K1148" s="214"/>
      <c r="S1148" s="214"/>
      <c r="Y1148" s="214"/>
      <c r="Z1148" s="214"/>
      <c r="AF1148" s="212"/>
      <c r="AG1148" s="212"/>
    </row>
    <row r="1149" spans="5:33">
      <c r="E1149" s="376"/>
      <c r="F1149" s="376"/>
      <c r="G1149" s="376"/>
      <c r="H1149" s="376"/>
      <c r="K1149" s="214"/>
      <c r="S1149" s="214"/>
      <c r="Y1149" s="214"/>
      <c r="Z1149" s="214"/>
      <c r="AF1149" s="212"/>
      <c r="AG1149" s="212"/>
    </row>
    <row r="1150" spans="5:33">
      <c r="E1150" s="376"/>
      <c r="F1150" s="376"/>
      <c r="G1150" s="376"/>
      <c r="H1150" s="376"/>
      <c r="K1150" s="214"/>
      <c r="S1150" s="214"/>
      <c r="Y1150" s="214"/>
      <c r="Z1150" s="214"/>
      <c r="AF1150" s="212"/>
      <c r="AG1150" s="212"/>
    </row>
    <row r="1151" spans="5:33">
      <c r="E1151" s="376"/>
      <c r="F1151" s="376"/>
      <c r="G1151" s="376"/>
      <c r="H1151" s="376"/>
      <c r="K1151" s="214"/>
      <c r="S1151" s="214"/>
      <c r="Y1151" s="214"/>
      <c r="Z1151" s="214"/>
      <c r="AF1151" s="212"/>
      <c r="AG1151" s="212"/>
    </row>
    <row r="1152" spans="5:33">
      <c r="E1152" s="376"/>
      <c r="F1152" s="376"/>
      <c r="G1152" s="376"/>
      <c r="H1152" s="376"/>
      <c r="K1152" s="214"/>
      <c r="S1152" s="214"/>
      <c r="Y1152" s="214"/>
      <c r="Z1152" s="214"/>
      <c r="AF1152" s="212"/>
      <c r="AG1152" s="212"/>
    </row>
    <row r="1153" spans="5:33">
      <c r="E1153" s="376"/>
      <c r="F1153" s="376"/>
      <c r="G1153" s="376"/>
      <c r="H1153" s="376"/>
      <c r="K1153" s="214"/>
      <c r="S1153" s="214"/>
      <c r="Y1153" s="214"/>
      <c r="Z1153" s="214"/>
      <c r="AF1153" s="212"/>
      <c r="AG1153" s="212"/>
    </row>
    <row r="1154" spans="5:33">
      <c r="E1154" s="376"/>
      <c r="F1154" s="376"/>
      <c r="G1154" s="376"/>
      <c r="H1154" s="376"/>
      <c r="K1154" s="214"/>
      <c r="S1154" s="214"/>
      <c r="Y1154" s="214"/>
      <c r="Z1154" s="214"/>
      <c r="AF1154" s="212"/>
      <c r="AG1154" s="212"/>
    </row>
    <row r="1155" spans="5:33">
      <c r="E1155" s="376"/>
      <c r="F1155" s="376"/>
      <c r="G1155" s="376"/>
      <c r="H1155" s="376"/>
      <c r="K1155" s="214"/>
      <c r="S1155" s="214"/>
      <c r="Y1155" s="214"/>
      <c r="Z1155" s="214"/>
      <c r="AF1155" s="212"/>
      <c r="AG1155" s="212"/>
    </row>
    <row r="1156" spans="5:33">
      <c r="E1156" s="376"/>
      <c r="F1156" s="376"/>
      <c r="G1156" s="376"/>
      <c r="H1156" s="376"/>
      <c r="K1156" s="214"/>
      <c r="S1156" s="214"/>
      <c r="Y1156" s="214"/>
      <c r="Z1156" s="214"/>
      <c r="AF1156" s="212"/>
      <c r="AG1156" s="212"/>
    </row>
    <row r="1157" spans="5:33">
      <c r="E1157" s="376"/>
      <c r="F1157" s="376"/>
      <c r="G1157" s="376"/>
      <c r="H1157" s="376"/>
      <c r="K1157" s="214"/>
      <c r="S1157" s="214"/>
      <c r="Y1157" s="214"/>
      <c r="Z1157" s="214"/>
      <c r="AF1157" s="212"/>
      <c r="AG1157" s="212"/>
    </row>
    <row r="1158" spans="5:33">
      <c r="E1158" s="376"/>
      <c r="F1158" s="376"/>
      <c r="G1158" s="376"/>
      <c r="H1158" s="376"/>
      <c r="K1158" s="214"/>
      <c r="S1158" s="214"/>
      <c r="Y1158" s="214"/>
      <c r="Z1158" s="214"/>
      <c r="AF1158" s="212"/>
      <c r="AG1158" s="212"/>
    </row>
    <row r="1159" spans="5:33">
      <c r="E1159" s="376"/>
      <c r="F1159" s="376"/>
      <c r="G1159" s="376"/>
      <c r="H1159" s="376"/>
      <c r="K1159" s="214"/>
      <c r="S1159" s="214"/>
      <c r="Y1159" s="214"/>
      <c r="Z1159" s="214"/>
      <c r="AF1159" s="212"/>
      <c r="AG1159" s="212"/>
    </row>
    <row r="1160" spans="5:33">
      <c r="E1160" s="376"/>
      <c r="F1160" s="376"/>
      <c r="G1160" s="376"/>
      <c r="H1160" s="376"/>
      <c r="K1160" s="214"/>
      <c r="S1160" s="214"/>
      <c r="Y1160" s="214"/>
      <c r="Z1160" s="214"/>
      <c r="AF1160" s="212"/>
      <c r="AG1160" s="212"/>
    </row>
    <row r="1161" spans="5:33">
      <c r="E1161" s="376"/>
      <c r="F1161" s="376"/>
      <c r="G1161" s="376"/>
      <c r="H1161" s="376"/>
      <c r="K1161" s="214"/>
      <c r="S1161" s="214"/>
      <c r="Y1161" s="214"/>
      <c r="Z1161" s="214"/>
      <c r="AF1161" s="212"/>
      <c r="AG1161" s="212"/>
    </row>
    <row r="1162" spans="5:33">
      <c r="E1162" s="376"/>
      <c r="F1162" s="376"/>
      <c r="G1162" s="376"/>
      <c r="H1162" s="376"/>
      <c r="K1162" s="214"/>
      <c r="S1162" s="214"/>
      <c r="Y1162" s="214"/>
      <c r="Z1162" s="214"/>
      <c r="AF1162" s="212"/>
      <c r="AG1162" s="212"/>
    </row>
    <row r="1163" spans="5:33">
      <c r="E1163" s="376"/>
      <c r="F1163" s="376"/>
      <c r="G1163" s="376"/>
      <c r="H1163" s="376"/>
      <c r="K1163" s="214"/>
      <c r="S1163" s="214"/>
      <c r="Y1163" s="214"/>
      <c r="Z1163" s="214"/>
      <c r="AF1163" s="212"/>
      <c r="AG1163" s="212"/>
    </row>
    <row r="1164" spans="5:33">
      <c r="E1164" s="376"/>
      <c r="F1164" s="376"/>
      <c r="G1164" s="376"/>
      <c r="H1164" s="376"/>
      <c r="K1164" s="214"/>
      <c r="S1164" s="214"/>
      <c r="Y1164" s="214"/>
      <c r="Z1164" s="214"/>
      <c r="AF1164" s="212"/>
      <c r="AG1164" s="212"/>
    </row>
    <row r="1165" spans="5:33">
      <c r="E1165" s="376"/>
      <c r="F1165" s="376"/>
      <c r="G1165" s="376"/>
      <c r="H1165" s="376"/>
      <c r="K1165" s="214"/>
      <c r="S1165" s="214"/>
      <c r="Y1165" s="214"/>
      <c r="Z1165" s="214"/>
      <c r="AF1165" s="212"/>
      <c r="AG1165" s="212"/>
    </row>
    <row r="1166" spans="5:33">
      <c r="E1166" s="376"/>
      <c r="F1166" s="376"/>
      <c r="G1166" s="376"/>
      <c r="H1166" s="376"/>
      <c r="K1166" s="214"/>
      <c r="S1166" s="214"/>
      <c r="Y1166" s="214"/>
      <c r="Z1166" s="214"/>
      <c r="AF1166" s="212"/>
      <c r="AG1166" s="212"/>
    </row>
    <row r="1167" spans="5:33">
      <c r="E1167" s="376"/>
      <c r="F1167" s="376"/>
      <c r="G1167" s="376"/>
      <c r="H1167" s="376"/>
      <c r="K1167" s="214"/>
      <c r="S1167" s="214"/>
      <c r="Y1167" s="214"/>
      <c r="Z1167" s="214"/>
      <c r="AF1167" s="212"/>
      <c r="AG1167" s="212"/>
    </row>
    <row r="1168" spans="5:33">
      <c r="E1168" s="376"/>
      <c r="F1168" s="376"/>
      <c r="G1168" s="376"/>
      <c r="H1168" s="376"/>
      <c r="K1168" s="214"/>
      <c r="S1168" s="214"/>
      <c r="Y1168" s="214"/>
      <c r="Z1168" s="214"/>
      <c r="AF1168" s="212"/>
      <c r="AG1168" s="212"/>
    </row>
    <row r="1169" spans="5:33">
      <c r="E1169" s="376"/>
      <c r="F1169" s="376"/>
      <c r="G1169" s="376"/>
      <c r="H1169" s="376"/>
      <c r="K1169" s="214"/>
      <c r="S1169" s="214"/>
      <c r="Y1169" s="214"/>
      <c r="Z1169" s="214"/>
      <c r="AF1169" s="212"/>
      <c r="AG1169" s="212"/>
    </row>
    <row r="1170" spans="5:33">
      <c r="E1170" s="376"/>
      <c r="F1170" s="376"/>
      <c r="G1170" s="376"/>
      <c r="H1170" s="376"/>
      <c r="K1170" s="214"/>
      <c r="S1170" s="214"/>
      <c r="Y1170" s="214"/>
      <c r="Z1170" s="214"/>
      <c r="AF1170" s="212"/>
      <c r="AG1170" s="212"/>
    </row>
    <row r="1171" spans="5:33">
      <c r="E1171" s="376"/>
      <c r="F1171" s="376"/>
      <c r="G1171" s="376"/>
      <c r="H1171" s="376"/>
      <c r="K1171" s="214"/>
      <c r="S1171" s="214"/>
      <c r="Y1171" s="214"/>
      <c r="Z1171" s="214"/>
      <c r="AF1171" s="212"/>
      <c r="AG1171" s="212"/>
    </row>
    <row r="1172" spans="5:33">
      <c r="E1172" s="376"/>
      <c r="F1172" s="376"/>
      <c r="G1172" s="376"/>
      <c r="H1172" s="376"/>
      <c r="K1172" s="214"/>
      <c r="S1172" s="214"/>
      <c r="Y1172" s="214"/>
      <c r="Z1172" s="214"/>
      <c r="AF1172" s="212"/>
      <c r="AG1172" s="212"/>
    </row>
    <row r="1173" spans="5:33">
      <c r="E1173" s="376"/>
      <c r="F1173" s="376"/>
      <c r="G1173" s="376"/>
      <c r="H1173" s="376"/>
      <c r="K1173" s="214"/>
      <c r="S1173" s="214"/>
      <c r="Y1173" s="214"/>
      <c r="Z1173" s="214"/>
      <c r="AF1173" s="212"/>
      <c r="AG1173" s="212"/>
    </row>
    <row r="1174" spans="5:33">
      <c r="E1174" s="376"/>
      <c r="F1174" s="376"/>
      <c r="G1174" s="376"/>
      <c r="H1174" s="376"/>
      <c r="K1174" s="214"/>
      <c r="S1174" s="214"/>
      <c r="Y1174" s="214"/>
      <c r="Z1174" s="214"/>
      <c r="AF1174" s="212"/>
      <c r="AG1174" s="212"/>
    </row>
    <row r="1175" spans="5:33">
      <c r="E1175" s="376"/>
      <c r="F1175" s="376"/>
      <c r="G1175" s="376"/>
      <c r="H1175" s="376"/>
      <c r="K1175" s="214"/>
      <c r="S1175" s="214"/>
      <c r="Y1175" s="214"/>
      <c r="Z1175" s="214"/>
      <c r="AF1175" s="212"/>
      <c r="AG1175" s="212"/>
    </row>
    <row r="1176" spans="5:33">
      <c r="E1176" s="376"/>
      <c r="F1176" s="376"/>
      <c r="G1176" s="376"/>
      <c r="H1176" s="376"/>
      <c r="K1176" s="214"/>
      <c r="S1176" s="214"/>
      <c r="Y1176" s="214"/>
      <c r="Z1176" s="214"/>
      <c r="AF1176" s="212"/>
      <c r="AG1176" s="212"/>
    </row>
    <row r="1177" spans="5:33">
      <c r="E1177" s="376"/>
      <c r="F1177" s="376"/>
      <c r="G1177" s="376"/>
      <c r="H1177" s="376"/>
      <c r="K1177" s="214"/>
      <c r="S1177" s="214"/>
      <c r="Y1177" s="214"/>
      <c r="Z1177" s="214"/>
      <c r="AF1177" s="212"/>
      <c r="AG1177" s="212"/>
    </row>
    <row r="1178" spans="5:33">
      <c r="E1178" s="376"/>
      <c r="F1178" s="376"/>
      <c r="G1178" s="376"/>
      <c r="H1178" s="376"/>
      <c r="K1178" s="214"/>
      <c r="S1178" s="214"/>
      <c r="Y1178" s="214"/>
      <c r="Z1178" s="214"/>
      <c r="AF1178" s="212"/>
      <c r="AG1178" s="212"/>
    </row>
    <row r="1179" spans="5:33">
      <c r="E1179" s="376"/>
      <c r="F1179" s="376"/>
      <c r="G1179" s="376"/>
      <c r="H1179" s="376"/>
      <c r="K1179" s="214"/>
      <c r="S1179" s="214"/>
      <c r="Y1179" s="214"/>
      <c r="Z1179" s="214"/>
      <c r="AF1179" s="212"/>
      <c r="AG1179" s="212"/>
    </row>
    <row r="1180" spans="5:33">
      <c r="E1180" s="376"/>
      <c r="F1180" s="376"/>
      <c r="G1180" s="376"/>
      <c r="H1180" s="376"/>
      <c r="K1180" s="214"/>
      <c r="S1180" s="214"/>
      <c r="Y1180" s="214"/>
      <c r="Z1180" s="214"/>
      <c r="AF1180" s="212"/>
      <c r="AG1180" s="212"/>
    </row>
    <row r="1181" spans="5:33">
      <c r="E1181" s="376"/>
      <c r="F1181" s="376"/>
      <c r="G1181" s="376"/>
      <c r="H1181" s="376"/>
      <c r="K1181" s="214"/>
      <c r="S1181" s="214"/>
      <c r="Y1181" s="214"/>
      <c r="Z1181" s="214"/>
      <c r="AF1181" s="212"/>
      <c r="AG1181" s="212"/>
    </row>
    <row r="1182" spans="5:33">
      <c r="E1182" s="376"/>
      <c r="F1182" s="376"/>
      <c r="G1182" s="376"/>
      <c r="H1182" s="376"/>
      <c r="K1182" s="214"/>
      <c r="S1182" s="214"/>
      <c r="Y1182" s="214"/>
      <c r="Z1182" s="214"/>
      <c r="AF1182" s="212"/>
      <c r="AG1182" s="212"/>
    </row>
    <row r="1183" spans="5:33">
      <c r="E1183" s="376"/>
      <c r="F1183" s="376"/>
      <c r="G1183" s="376"/>
      <c r="H1183" s="376"/>
      <c r="K1183" s="214"/>
      <c r="S1183" s="214"/>
      <c r="Y1183" s="214"/>
      <c r="Z1183" s="214"/>
      <c r="AF1183" s="212"/>
      <c r="AG1183" s="212"/>
    </row>
    <row r="1184" spans="5:33">
      <c r="E1184" s="376"/>
      <c r="F1184" s="376"/>
      <c r="G1184" s="376"/>
      <c r="H1184" s="376"/>
      <c r="K1184" s="214"/>
      <c r="S1184" s="214"/>
      <c r="Y1184" s="214"/>
      <c r="Z1184" s="214"/>
      <c r="AF1184" s="212"/>
      <c r="AG1184" s="212"/>
    </row>
    <row r="1185" spans="5:33">
      <c r="E1185" s="376"/>
      <c r="F1185" s="376"/>
      <c r="G1185" s="376"/>
      <c r="H1185" s="376"/>
      <c r="K1185" s="214"/>
      <c r="S1185" s="214"/>
      <c r="Y1185" s="214"/>
      <c r="Z1185" s="214"/>
      <c r="AF1185" s="212"/>
      <c r="AG1185" s="212"/>
    </row>
    <row r="1186" spans="5:33">
      <c r="E1186" s="376"/>
      <c r="F1186" s="376"/>
      <c r="G1186" s="376"/>
      <c r="H1186" s="376"/>
      <c r="K1186" s="214"/>
      <c r="S1186" s="214"/>
      <c r="Y1186" s="214"/>
      <c r="Z1186" s="214"/>
      <c r="AF1186" s="212"/>
      <c r="AG1186" s="212"/>
    </row>
    <row r="1187" spans="5:33">
      <c r="E1187" s="376"/>
      <c r="F1187" s="376"/>
      <c r="G1187" s="376"/>
      <c r="H1187" s="376"/>
      <c r="K1187" s="214"/>
      <c r="S1187" s="214"/>
      <c r="Y1187" s="214"/>
      <c r="Z1187" s="214"/>
      <c r="AF1187" s="212"/>
      <c r="AG1187" s="212"/>
    </row>
    <row r="1188" spans="5:33">
      <c r="E1188" s="376"/>
      <c r="F1188" s="376"/>
      <c r="G1188" s="376"/>
      <c r="H1188" s="376"/>
      <c r="K1188" s="214"/>
      <c r="S1188" s="214"/>
      <c r="Y1188" s="214"/>
      <c r="Z1188" s="214"/>
      <c r="AF1188" s="212"/>
      <c r="AG1188" s="212"/>
    </row>
    <row r="1189" spans="5:33">
      <c r="E1189" s="376"/>
      <c r="F1189" s="376"/>
      <c r="G1189" s="376"/>
      <c r="H1189" s="376"/>
      <c r="K1189" s="214"/>
      <c r="S1189" s="214"/>
      <c r="Y1189" s="214"/>
      <c r="Z1189" s="214"/>
      <c r="AF1189" s="212"/>
      <c r="AG1189" s="212"/>
    </row>
    <row r="1190" spans="5:33">
      <c r="E1190" s="376"/>
      <c r="F1190" s="376"/>
      <c r="G1190" s="376"/>
      <c r="H1190" s="376"/>
      <c r="K1190" s="214"/>
      <c r="S1190" s="214"/>
      <c r="Y1190" s="214"/>
      <c r="Z1190" s="214"/>
      <c r="AF1190" s="212"/>
      <c r="AG1190" s="212"/>
    </row>
    <row r="1191" spans="5:33">
      <c r="E1191" s="376"/>
      <c r="F1191" s="376"/>
      <c r="G1191" s="376"/>
      <c r="H1191" s="376"/>
      <c r="K1191" s="214"/>
      <c r="S1191" s="214"/>
      <c r="Y1191" s="214"/>
      <c r="Z1191" s="214"/>
      <c r="AF1191" s="212"/>
      <c r="AG1191" s="212"/>
    </row>
    <row r="1192" spans="5:33">
      <c r="E1192" s="376"/>
      <c r="F1192" s="376"/>
      <c r="G1192" s="376"/>
      <c r="H1192" s="376"/>
      <c r="K1192" s="214"/>
      <c r="S1192" s="214"/>
      <c r="Y1192" s="214"/>
      <c r="Z1192" s="214"/>
      <c r="AF1192" s="212"/>
      <c r="AG1192" s="212"/>
    </row>
    <row r="1193" spans="5:33">
      <c r="E1193" s="376"/>
      <c r="F1193" s="376"/>
      <c r="G1193" s="376"/>
      <c r="H1193" s="376"/>
      <c r="K1193" s="214"/>
      <c r="S1193" s="214"/>
      <c r="Y1193" s="214"/>
      <c r="Z1193" s="214"/>
      <c r="AF1193" s="212"/>
      <c r="AG1193" s="212"/>
    </row>
    <row r="1194" spans="5:33">
      <c r="E1194" s="376"/>
      <c r="F1194" s="376"/>
      <c r="G1194" s="376"/>
      <c r="H1194" s="376"/>
      <c r="K1194" s="214"/>
      <c r="S1194" s="214"/>
      <c r="Y1194" s="214"/>
      <c r="Z1194" s="214"/>
      <c r="AF1194" s="212"/>
      <c r="AG1194" s="212"/>
    </row>
    <row r="1195" spans="5:33">
      <c r="E1195" s="376"/>
      <c r="F1195" s="376"/>
      <c r="G1195" s="376"/>
      <c r="H1195" s="376"/>
      <c r="K1195" s="214"/>
      <c r="S1195" s="214"/>
      <c r="Y1195" s="214"/>
      <c r="Z1195" s="214"/>
      <c r="AF1195" s="212"/>
      <c r="AG1195" s="212"/>
    </row>
    <row r="1196" spans="5:33">
      <c r="E1196" s="376"/>
      <c r="F1196" s="376"/>
      <c r="G1196" s="376"/>
      <c r="H1196" s="376"/>
      <c r="K1196" s="214"/>
      <c r="S1196" s="214"/>
      <c r="Y1196" s="214"/>
      <c r="Z1196" s="214"/>
      <c r="AF1196" s="212"/>
      <c r="AG1196" s="212"/>
    </row>
    <row r="1197" spans="5:33">
      <c r="E1197" s="376"/>
      <c r="F1197" s="376"/>
      <c r="G1197" s="376"/>
      <c r="H1197" s="376"/>
      <c r="K1197" s="214"/>
      <c r="S1197" s="214"/>
      <c r="Y1197" s="214"/>
      <c r="Z1197" s="214"/>
      <c r="AF1197" s="212"/>
      <c r="AG1197" s="212"/>
    </row>
    <row r="1198" spans="5:33">
      <c r="E1198" s="376"/>
      <c r="F1198" s="376"/>
      <c r="G1198" s="376"/>
      <c r="H1198" s="376"/>
      <c r="K1198" s="214"/>
      <c r="S1198" s="214"/>
      <c r="Y1198" s="214"/>
      <c r="Z1198" s="214"/>
      <c r="AF1198" s="212"/>
      <c r="AG1198" s="212"/>
    </row>
    <row r="1199" spans="5:33">
      <c r="E1199" s="376"/>
      <c r="F1199" s="376"/>
      <c r="G1199" s="376"/>
      <c r="H1199" s="376"/>
      <c r="K1199" s="214"/>
      <c r="S1199" s="214"/>
      <c r="Y1199" s="214"/>
      <c r="Z1199" s="214"/>
      <c r="AF1199" s="212"/>
      <c r="AG1199" s="212"/>
    </row>
    <row r="1200" spans="5:33">
      <c r="E1200" s="376"/>
      <c r="F1200" s="376"/>
      <c r="G1200" s="376"/>
      <c r="H1200" s="376"/>
      <c r="K1200" s="214"/>
      <c r="S1200" s="214"/>
      <c r="Y1200" s="214"/>
      <c r="Z1200" s="214"/>
      <c r="AF1200" s="212"/>
      <c r="AG1200" s="212"/>
    </row>
    <row r="1201" spans="5:33">
      <c r="E1201" s="376"/>
      <c r="F1201" s="376"/>
      <c r="G1201" s="376"/>
      <c r="H1201" s="376"/>
      <c r="K1201" s="214"/>
      <c r="S1201" s="214"/>
      <c r="Y1201" s="214"/>
      <c r="Z1201" s="214"/>
      <c r="AF1201" s="212"/>
      <c r="AG1201" s="212"/>
    </row>
    <row r="1202" spans="5:33">
      <c r="E1202" s="376"/>
      <c r="F1202" s="376"/>
      <c r="G1202" s="376"/>
      <c r="H1202" s="376"/>
      <c r="K1202" s="214"/>
      <c r="S1202" s="214"/>
      <c r="Y1202" s="214"/>
      <c r="Z1202" s="214"/>
      <c r="AF1202" s="212"/>
      <c r="AG1202" s="212"/>
    </row>
    <row r="1203" spans="5:33">
      <c r="E1203" s="376"/>
      <c r="F1203" s="376"/>
      <c r="G1203" s="376"/>
      <c r="H1203" s="376"/>
      <c r="K1203" s="214"/>
      <c r="S1203" s="214"/>
      <c r="Y1203" s="214"/>
      <c r="Z1203" s="214"/>
      <c r="AF1203" s="212"/>
      <c r="AG1203" s="212"/>
    </row>
    <row r="1204" spans="5:33">
      <c r="E1204" s="376"/>
      <c r="F1204" s="376"/>
      <c r="G1204" s="376"/>
      <c r="H1204" s="376"/>
      <c r="K1204" s="214"/>
      <c r="S1204" s="214"/>
      <c r="Y1204" s="214"/>
      <c r="Z1204" s="214"/>
      <c r="AF1204" s="212"/>
      <c r="AG1204" s="212"/>
    </row>
    <row r="1205" spans="5:33">
      <c r="E1205" s="376"/>
      <c r="F1205" s="376"/>
      <c r="G1205" s="376"/>
      <c r="H1205" s="376"/>
      <c r="K1205" s="214"/>
      <c r="S1205" s="214"/>
      <c r="Y1205" s="214"/>
      <c r="Z1205" s="214"/>
      <c r="AF1205" s="212"/>
      <c r="AG1205" s="212"/>
    </row>
    <row r="1206" spans="5:33">
      <c r="E1206" s="376"/>
      <c r="F1206" s="376"/>
      <c r="G1206" s="376"/>
      <c r="H1206" s="376"/>
      <c r="K1206" s="214"/>
      <c r="S1206" s="214"/>
      <c r="Y1206" s="214"/>
      <c r="Z1206" s="214"/>
      <c r="AF1206" s="212"/>
      <c r="AG1206" s="212"/>
    </row>
    <row r="1207" spans="5:33">
      <c r="E1207" s="376"/>
      <c r="F1207" s="376"/>
      <c r="G1207" s="376"/>
      <c r="H1207" s="376"/>
      <c r="K1207" s="214"/>
      <c r="S1207" s="214"/>
      <c r="Y1207" s="214"/>
      <c r="Z1207" s="214"/>
      <c r="AF1207" s="212"/>
      <c r="AG1207" s="212"/>
    </row>
    <row r="1208" spans="5:33">
      <c r="E1208" s="376"/>
      <c r="F1208" s="376"/>
      <c r="G1208" s="376"/>
      <c r="H1208" s="376"/>
      <c r="K1208" s="214"/>
      <c r="S1208" s="214"/>
      <c r="Y1208" s="214"/>
      <c r="Z1208" s="214"/>
      <c r="AF1208" s="212"/>
      <c r="AG1208" s="212"/>
    </row>
    <row r="1209" spans="5:33">
      <c r="E1209" s="376"/>
      <c r="F1209" s="376"/>
      <c r="G1209" s="376"/>
      <c r="H1209" s="376"/>
      <c r="K1209" s="214"/>
      <c r="S1209" s="214"/>
      <c r="Y1209" s="214"/>
      <c r="Z1209" s="214"/>
      <c r="AF1209" s="212"/>
      <c r="AG1209" s="212"/>
    </row>
    <row r="1210" spans="5:33">
      <c r="E1210" s="376"/>
      <c r="F1210" s="376"/>
      <c r="G1210" s="376"/>
      <c r="H1210" s="376"/>
      <c r="K1210" s="214"/>
      <c r="S1210" s="214"/>
      <c r="Y1210" s="214"/>
      <c r="Z1210" s="214"/>
      <c r="AF1210" s="212"/>
      <c r="AG1210" s="212"/>
    </row>
    <row r="1211" spans="5:33">
      <c r="E1211" s="376"/>
      <c r="F1211" s="376"/>
      <c r="G1211" s="376"/>
      <c r="H1211" s="376"/>
      <c r="K1211" s="214"/>
      <c r="S1211" s="214"/>
      <c r="Y1211" s="214"/>
      <c r="Z1211" s="214"/>
      <c r="AF1211" s="212"/>
      <c r="AG1211" s="212"/>
    </row>
    <row r="1212" spans="5:33">
      <c r="E1212" s="376"/>
      <c r="F1212" s="376"/>
      <c r="G1212" s="376"/>
      <c r="H1212" s="376"/>
      <c r="K1212" s="214"/>
      <c r="S1212" s="214"/>
      <c r="Y1212" s="214"/>
      <c r="Z1212" s="214"/>
      <c r="AF1212" s="212"/>
      <c r="AG1212" s="212"/>
    </row>
    <row r="1213" spans="5:33">
      <c r="E1213" s="376"/>
      <c r="F1213" s="376"/>
      <c r="G1213" s="376"/>
      <c r="H1213" s="376"/>
      <c r="K1213" s="214"/>
      <c r="S1213" s="214"/>
      <c r="Y1213" s="214"/>
      <c r="Z1213" s="214"/>
      <c r="AF1213" s="212"/>
      <c r="AG1213" s="212"/>
    </row>
    <row r="1214" spans="5:33">
      <c r="E1214" s="376"/>
      <c r="F1214" s="376"/>
      <c r="G1214" s="376"/>
      <c r="H1214" s="376"/>
      <c r="K1214" s="214"/>
      <c r="S1214" s="214"/>
      <c r="Y1214" s="214"/>
      <c r="Z1214" s="214"/>
      <c r="AF1214" s="212"/>
      <c r="AG1214" s="212"/>
    </row>
    <row r="1215" spans="5:33">
      <c r="E1215" s="376"/>
      <c r="F1215" s="376"/>
      <c r="G1215" s="376"/>
      <c r="H1215" s="376"/>
      <c r="K1215" s="214"/>
      <c r="S1215" s="214"/>
      <c r="Y1215" s="214"/>
      <c r="Z1215" s="214"/>
      <c r="AF1215" s="212"/>
      <c r="AG1215" s="212"/>
    </row>
    <row r="1216" spans="5:33">
      <c r="E1216" s="376"/>
      <c r="F1216" s="376"/>
      <c r="G1216" s="376"/>
      <c r="H1216" s="376"/>
      <c r="K1216" s="214"/>
      <c r="S1216" s="214"/>
      <c r="Y1216" s="214"/>
      <c r="Z1216" s="214"/>
      <c r="AF1216" s="212"/>
      <c r="AG1216" s="212"/>
    </row>
    <row r="1217" spans="5:33">
      <c r="E1217" s="376"/>
      <c r="F1217" s="376"/>
      <c r="G1217" s="376"/>
      <c r="H1217" s="376"/>
      <c r="K1217" s="214"/>
      <c r="S1217" s="214"/>
      <c r="Y1217" s="214"/>
      <c r="Z1217" s="214"/>
      <c r="AF1217" s="212"/>
      <c r="AG1217" s="212"/>
    </row>
    <row r="1218" spans="5:33">
      <c r="E1218" s="376"/>
      <c r="F1218" s="376"/>
      <c r="G1218" s="376"/>
      <c r="H1218" s="376"/>
      <c r="K1218" s="214"/>
      <c r="S1218" s="214"/>
      <c r="Y1218" s="214"/>
      <c r="Z1218" s="214"/>
      <c r="AF1218" s="212"/>
      <c r="AG1218" s="212"/>
    </row>
    <row r="1219" spans="5:33">
      <c r="E1219" s="376"/>
      <c r="F1219" s="376"/>
      <c r="G1219" s="376"/>
      <c r="H1219" s="376"/>
      <c r="K1219" s="214"/>
      <c r="S1219" s="214"/>
      <c r="Y1219" s="214"/>
      <c r="Z1219" s="214"/>
      <c r="AF1219" s="212"/>
      <c r="AG1219" s="212"/>
    </row>
    <row r="1220" spans="5:33">
      <c r="E1220" s="376"/>
      <c r="F1220" s="376"/>
      <c r="G1220" s="376"/>
      <c r="H1220" s="376"/>
      <c r="K1220" s="214"/>
      <c r="S1220" s="214"/>
      <c r="Y1220" s="214"/>
      <c r="Z1220" s="214"/>
      <c r="AF1220" s="212"/>
      <c r="AG1220" s="212"/>
    </row>
    <row r="1221" spans="5:33">
      <c r="E1221" s="376"/>
      <c r="F1221" s="376"/>
      <c r="G1221" s="376"/>
      <c r="H1221" s="376"/>
      <c r="K1221" s="214"/>
      <c r="S1221" s="214"/>
      <c r="Y1221" s="214"/>
      <c r="Z1221" s="214"/>
      <c r="AF1221" s="212"/>
      <c r="AG1221" s="212"/>
    </row>
    <row r="1222" spans="5:33">
      <c r="E1222" s="376"/>
      <c r="F1222" s="376"/>
      <c r="G1222" s="376"/>
      <c r="H1222" s="376"/>
      <c r="K1222" s="214"/>
      <c r="S1222" s="214"/>
      <c r="Y1222" s="214"/>
      <c r="Z1222" s="214"/>
      <c r="AF1222" s="212"/>
      <c r="AG1222" s="212"/>
    </row>
    <row r="1223" spans="5:33">
      <c r="E1223" s="376"/>
      <c r="F1223" s="376"/>
      <c r="G1223" s="376"/>
      <c r="H1223" s="376"/>
      <c r="K1223" s="214"/>
      <c r="S1223" s="214"/>
      <c r="Y1223" s="214"/>
      <c r="Z1223" s="214"/>
      <c r="AF1223" s="212"/>
      <c r="AG1223" s="212"/>
    </row>
    <row r="1224" spans="5:33">
      <c r="E1224" s="376"/>
      <c r="F1224" s="376"/>
      <c r="G1224" s="376"/>
      <c r="H1224" s="376"/>
      <c r="K1224" s="214"/>
      <c r="S1224" s="214"/>
      <c r="Y1224" s="214"/>
      <c r="Z1224" s="214"/>
      <c r="AF1224" s="212"/>
      <c r="AG1224" s="212"/>
    </row>
    <row r="1225" spans="5:33">
      <c r="E1225" s="376"/>
      <c r="F1225" s="376"/>
      <c r="G1225" s="376"/>
      <c r="H1225" s="376"/>
      <c r="K1225" s="214"/>
      <c r="S1225" s="214"/>
      <c r="Y1225" s="214"/>
      <c r="Z1225" s="214"/>
      <c r="AF1225" s="212"/>
      <c r="AG1225" s="212"/>
    </row>
    <row r="1226" spans="5:33">
      <c r="E1226" s="376"/>
      <c r="F1226" s="376"/>
      <c r="G1226" s="376"/>
      <c r="H1226" s="376"/>
      <c r="K1226" s="214"/>
      <c r="S1226" s="214"/>
      <c r="Y1226" s="214"/>
      <c r="Z1226" s="214"/>
      <c r="AF1226" s="212"/>
      <c r="AG1226" s="212"/>
    </row>
    <row r="1227" spans="5:33">
      <c r="E1227" s="376"/>
      <c r="F1227" s="376"/>
      <c r="G1227" s="376"/>
      <c r="H1227" s="376"/>
      <c r="K1227" s="214"/>
      <c r="S1227" s="214"/>
      <c r="Y1227" s="214"/>
      <c r="Z1227" s="214"/>
      <c r="AF1227" s="212"/>
      <c r="AG1227" s="212"/>
    </row>
    <row r="1228" spans="5:33">
      <c r="E1228" s="376"/>
      <c r="F1228" s="376"/>
      <c r="G1228" s="376"/>
      <c r="H1228" s="376"/>
      <c r="K1228" s="214"/>
      <c r="S1228" s="214"/>
      <c r="Y1228" s="214"/>
      <c r="Z1228" s="214"/>
      <c r="AF1228" s="212"/>
      <c r="AG1228" s="212"/>
    </row>
    <row r="1229" spans="5:33">
      <c r="E1229" s="376"/>
      <c r="F1229" s="376"/>
      <c r="G1229" s="376"/>
      <c r="H1229" s="376"/>
      <c r="K1229" s="214"/>
      <c r="S1229" s="214"/>
      <c r="Y1229" s="214"/>
      <c r="Z1229" s="214"/>
      <c r="AF1229" s="212"/>
      <c r="AG1229" s="212"/>
    </row>
    <row r="1230" spans="5:33">
      <c r="E1230" s="376"/>
      <c r="F1230" s="376"/>
      <c r="G1230" s="376"/>
      <c r="H1230" s="376"/>
      <c r="K1230" s="214"/>
      <c r="S1230" s="214"/>
      <c r="Y1230" s="214"/>
      <c r="Z1230" s="214"/>
      <c r="AF1230" s="212"/>
      <c r="AG1230" s="212"/>
    </row>
    <row r="1231" spans="5:33">
      <c r="E1231" s="376"/>
      <c r="F1231" s="376"/>
      <c r="G1231" s="376"/>
      <c r="H1231" s="376"/>
      <c r="K1231" s="214"/>
      <c r="S1231" s="214"/>
      <c r="Y1231" s="214"/>
      <c r="Z1231" s="214"/>
      <c r="AF1231" s="212"/>
      <c r="AG1231" s="212"/>
    </row>
    <row r="1232" spans="5:33">
      <c r="E1232" s="376"/>
      <c r="F1232" s="376"/>
      <c r="G1232" s="376"/>
      <c r="H1232" s="376"/>
      <c r="K1232" s="214"/>
      <c r="S1232" s="214"/>
      <c r="Y1232" s="214"/>
      <c r="Z1232" s="214"/>
      <c r="AF1232" s="212"/>
      <c r="AG1232" s="212"/>
    </row>
    <row r="1233" spans="5:33">
      <c r="E1233" s="376"/>
      <c r="F1233" s="376"/>
      <c r="G1233" s="376"/>
      <c r="H1233" s="376"/>
      <c r="K1233" s="214"/>
      <c r="S1233" s="214"/>
      <c r="Y1233" s="214"/>
      <c r="Z1233" s="214"/>
      <c r="AF1233" s="212"/>
      <c r="AG1233" s="212"/>
    </row>
    <row r="1234" spans="5:33">
      <c r="E1234" s="376"/>
      <c r="F1234" s="376"/>
      <c r="G1234" s="376"/>
      <c r="H1234" s="376"/>
      <c r="K1234" s="214"/>
      <c r="S1234" s="214"/>
      <c r="Y1234" s="214"/>
      <c r="Z1234" s="214"/>
      <c r="AF1234" s="212"/>
      <c r="AG1234" s="212"/>
    </row>
    <row r="1235" spans="5:33">
      <c r="E1235" s="376"/>
      <c r="F1235" s="376"/>
      <c r="G1235" s="376"/>
      <c r="H1235" s="376"/>
      <c r="K1235" s="214"/>
      <c r="S1235" s="214"/>
      <c r="Y1235" s="214"/>
      <c r="Z1235" s="214"/>
      <c r="AF1235" s="212"/>
      <c r="AG1235" s="212"/>
    </row>
    <row r="1236" spans="5:33">
      <c r="E1236" s="376"/>
      <c r="F1236" s="376"/>
      <c r="G1236" s="376"/>
      <c r="H1236" s="376"/>
      <c r="K1236" s="214"/>
      <c r="S1236" s="214"/>
      <c r="Y1236" s="214"/>
      <c r="Z1236" s="214"/>
      <c r="AF1236" s="212"/>
      <c r="AG1236" s="212"/>
    </row>
    <row r="1237" spans="5:33">
      <c r="E1237" s="376"/>
      <c r="F1237" s="376"/>
      <c r="G1237" s="376"/>
      <c r="H1237" s="376"/>
      <c r="K1237" s="214"/>
      <c r="S1237" s="214"/>
      <c r="Y1237" s="214"/>
      <c r="Z1237" s="214"/>
      <c r="AF1237" s="212"/>
      <c r="AG1237" s="212"/>
    </row>
    <row r="1238" spans="5:33">
      <c r="E1238" s="376"/>
      <c r="F1238" s="376"/>
      <c r="G1238" s="376"/>
      <c r="H1238" s="376"/>
      <c r="K1238" s="214"/>
      <c r="S1238" s="214"/>
      <c r="Y1238" s="214"/>
      <c r="Z1238" s="214"/>
      <c r="AF1238" s="212"/>
      <c r="AG1238" s="212"/>
    </row>
    <row r="1239" spans="5:33">
      <c r="E1239" s="376"/>
      <c r="F1239" s="376"/>
      <c r="G1239" s="376"/>
      <c r="H1239" s="376"/>
      <c r="K1239" s="214"/>
      <c r="S1239" s="214"/>
      <c r="Y1239" s="214"/>
      <c r="Z1239" s="214"/>
      <c r="AF1239" s="212"/>
      <c r="AG1239" s="212"/>
    </row>
    <row r="1240" spans="5:33">
      <c r="E1240" s="376"/>
      <c r="F1240" s="376"/>
      <c r="G1240" s="376"/>
      <c r="H1240" s="376"/>
      <c r="K1240" s="214"/>
      <c r="S1240" s="214"/>
      <c r="Y1240" s="214"/>
      <c r="Z1240" s="214"/>
      <c r="AF1240" s="212"/>
      <c r="AG1240" s="212"/>
    </row>
    <row r="1241" spans="5:33">
      <c r="E1241" s="376"/>
      <c r="F1241" s="376"/>
      <c r="G1241" s="376"/>
      <c r="H1241" s="376"/>
      <c r="K1241" s="214"/>
      <c r="S1241" s="214"/>
      <c r="Y1241" s="214"/>
      <c r="Z1241" s="214"/>
      <c r="AF1241" s="212"/>
      <c r="AG1241" s="212"/>
    </row>
    <row r="1242" spans="5:33">
      <c r="E1242" s="376"/>
      <c r="F1242" s="376"/>
      <c r="G1242" s="376"/>
      <c r="H1242" s="376"/>
      <c r="K1242" s="214"/>
      <c r="S1242" s="214"/>
      <c r="Y1242" s="214"/>
      <c r="Z1242" s="214"/>
      <c r="AF1242" s="212"/>
      <c r="AG1242" s="212"/>
    </row>
    <row r="1243" spans="5:33">
      <c r="E1243" s="376"/>
      <c r="F1243" s="376"/>
      <c r="G1243" s="376"/>
      <c r="H1243" s="376"/>
      <c r="K1243" s="214"/>
      <c r="S1243" s="214"/>
      <c r="Y1243" s="214"/>
      <c r="Z1243" s="214"/>
      <c r="AF1243" s="212"/>
      <c r="AG1243" s="212"/>
    </row>
    <row r="1244" spans="5:33">
      <c r="E1244" s="376"/>
      <c r="F1244" s="376"/>
      <c r="G1244" s="376"/>
      <c r="H1244" s="376"/>
      <c r="K1244" s="214"/>
      <c r="S1244" s="214"/>
      <c r="Y1244" s="214"/>
      <c r="Z1244" s="214"/>
      <c r="AF1244" s="212"/>
      <c r="AG1244" s="212"/>
    </row>
    <row r="1245" spans="5:33">
      <c r="E1245" s="376"/>
      <c r="F1245" s="376"/>
      <c r="G1245" s="376"/>
      <c r="H1245" s="376"/>
      <c r="K1245" s="214"/>
      <c r="S1245" s="214"/>
      <c r="Y1245" s="214"/>
      <c r="Z1245" s="214"/>
      <c r="AF1245" s="212"/>
      <c r="AG1245" s="212"/>
    </row>
    <row r="1246" spans="5:33">
      <c r="E1246" s="376"/>
      <c r="F1246" s="376"/>
      <c r="G1246" s="376"/>
      <c r="H1246" s="376"/>
      <c r="K1246" s="214"/>
      <c r="S1246" s="214"/>
      <c r="Y1246" s="214"/>
      <c r="Z1246" s="214"/>
      <c r="AF1246" s="212"/>
      <c r="AG1246" s="212"/>
    </row>
    <row r="1247" spans="5:33">
      <c r="E1247" s="376"/>
      <c r="F1247" s="376"/>
      <c r="G1247" s="376"/>
      <c r="H1247" s="376"/>
      <c r="K1247" s="214"/>
      <c r="S1247" s="214"/>
      <c r="Y1247" s="214"/>
      <c r="Z1247" s="214"/>
      <c r="AF1247" s="212"/>
      <c r="AG1247" s="212"/>
    </row>
    <row r="1248" spans="5:33">
      <c r="E1248" s="376"/>
      <c r="F1248" s="376"/>
      <c r="G1248" s="376"/>
      <c r="H1248" s="376"/>
      <c r="K1248" s="214"/>
      <c r="S1248" s="214"/>
      <c r="Y1248" s="214"/>
      <c r="Z1248" s="214"/>
      <c r="AF1248" s="212"/>
      <c r="AG1248" s="212"/>
    </row>
    <row r="1249" spans="5:33">
      <c r="E1249" s="376"/>
      <c r="F1249" s="376"/>
      <c r="G1249" s="376"/>
      <c r="H1249" s="376"/>
      <c r="K1249" s="214"/>
      <c r="S1249" s="214"/>
      <c r="Y1249" s="214"/>
      <c r="Z1249" s="214"/>
      <c r="AF1249" s="212"/>
      <c r="AG1249" s="212"/>
    </row>
    <row r="1250" spans="5:33">
      <c r="E1250" s="376"/>
      <c r="F1250" s="376"/>
      <c r="G1250" s="376"/>
      <c r="H1250" s="376"/>
      <c r="K1250" s="214"/>
      <c r="S1250" s="214"/>
      <c r="Y1250" s="214"/>
      <c r="Z1250" s="214"/>
      <c r="AF1250" s="212"/>
      <c r="AG1250" s="212"/>
    </row>
    <row r="1251" spans="5:33">
      <c r="E1251" s="376"/>
      <c r="F1251" s="376"/>
      <c r="G1251" s="376"/>
      <c r="H1251" s="376"/>
      <c r="K1251" s="214"/>
      <c r="S1251" s="214"/>
      <c r="Y1251" s="214"/>
      <c r="Z1251" s="214"/>
      <c r="AF1251" s="212"/>
      <c r="AG1251" s="212"/>
    </row>
    <row r="1252" spans="5:33">
      <c r="E1252" s="376"/>
      <c r="F1252" s="376"/>
      <c r="G1252" s="376"/>
      <c r="H1252" s="376"/>
      <c r="K1252" s="214"/>
      <c r="S1252" s="214"/>
      <c r="Y1252" s="214"/>
      <c r="Z1252" s="214"/>
      <c r="AF1252" s="212"/>
      <c r="AG1252" s="212"/>
    </row>
    <row r="1253" spans="5:33">
      <c r="E1253" s="376"/>
      <c r="F1253" s="376"/>
      <c r="G1253" s="376"/>
      <c r="H1253" s="376"/>
      <c r="K1253" s="214"/>
      <c r="S1253" s="214"/>
      <c r="Y1253" s="214"/>
      <c r="Z1253" s="214"/>
      <c r="AF1253" s="212"/>
      <c r="AG1253" s="212"/>
    </row>
    <row r="1254" spans="5:33">
      <c r="E1254" s="376"/>
      <c r="F1254" s="376"/>
      <c r="G1254" s="376"/>
      <c r="H1254" s="376"/>
      <c r="K1254" s="214"/>
      <c r="S1254" s="214"/>
      <c r="Y1254" s="214"/>
      <c r="Z1254" s="214"/>
      <c r="AF1254" s="212"/>
      <c r="AG1254" s="212"/>
    </row>
    <row r="1255" spans="5:33">
      <c r="E1255" s="376"/>
      <c r="F1255" s="376"/>
      <c r="G1255" s="376"/>
      <c r="H1255" s="376"/>
      <c r="K1255" s="214"/>
      <c r="S1255" s="214"/>
      <c r="Y1255" s="214"/>
      <c r="Z1255" s="214"/>
      <c r="AF1255" s="212"/>
      <c r="AG1255" s="212"/>
    </row>
    <row r="1256" spans="5:33">
      <c r="E1256" s="376"/>
      <c r="F1256" s="376"/>
      <c r="G1256" s="376"/>
      <c r="H1256" s="376"/>
      <c r="K1256" s="214"/>
      <c r="S1256" s="214"/>
      <c r="Y1256" s="214"/>
      <c r="Z1256" s="214"/>
      <c r="AF1256" s="212"/>
      <c r="AG1256" s="212"/>
    </row>
    <row r="1257" spans="5:33">
      <c r="E1257" s="376"/>
      <c r="F1257" s="376"/>
      <c r="G1257" s="376"/>
      <c r="H1257" s="376"/>
      <c r="K1257" s="214"/>
      <c r="S1257" s="214"/>
      <c r="Y1257" s="214"/>
      <c r="Z1257" s="214"/>
      <c r="AF1257" s="212"/>
      <c r="AG1257" s="212"/>
    </row>
    <row r="1258" spans="5:33">
      <c r="E1258" s="376"/>
      <c r="F1258" s="376"/>
      <c r="G1258" s="376"/>
      <c r="H1258" s="376"/>
      <c r="K1258" s="214"/>
      <c r="S1258" s="214"/>
      <c r="Y1258" s="214"/>
      <c r="Z1258" s="214"/>
      <c r="AF1258" s="212"/>
      <c r="AG1258" s="212"/>
    </row>
    <row r="1259" spans="5:33">
      <c r="E1259" s="376"/>
      <c r="F1259" s="376"/>
      <c r="G1259" s="376"/>
      <c r="H1259" s="376"/>
      <c r="K1259" s="214"/>
      <c r="S1259" s="214"/>
      <c r="Y1259" s="214"/>
      <c r="Z1259" s="214"/>
      <c r="AF1259" s="212"/>
      <c r="AG1259" s="212"/>
    </row>
    <row r="1260" spans="5:33">
      <c r="E1260" s="376"/>
      <c r="F1260" s="376"/>
      <c r="G1260" s="376"/>
      <c r="H1260" s="376"/>
      <c r="K1260" s="214"/>
      <c r="S1260" s="214"/>
      <c r="Y1260" s="214"/>
      <c r="Z1260" s="214"/>
      <c r="AF1260" s="212"/>
      <c r="AG1260" s="212"/>
    </row>
    <row r="1261" spans="5:33">
      <c r="E1261" s="376"/>
      <c r="F1261" s="376"/>
      <c r="G1261" s="376"/>
      <c r="H1261" s="376"/>
      <c r="K1261" s="214"/>
      <c r="S1261" s="214"/>
      <c r="Y1261" s="214"/>
      <c r="Z1261" s="214"/>
      <c r="AF1261" s="212"/>
      <c r="AG1261" s="212"/>
    </row>
    <row r="1262" spans="5:33">
      <c r="E1262" s="376"/>
      <c r="F1262" s="376"/>
      <c r="G1262" s="376"/>
      <c r="H1262" s="376"/>
      <c r="K1262" s="214"/>
      <c r="S1262" s="214"/>
      <c r="Y1262" s="214"/>
      <c r="Z1262" s="214"/>
      <c r="AF1262" s="212"/>
      <c r="AG1262" s="212"/>
    </row>
    <row r="1263" spans="5:33">
      <c r="E1263" s="376"/>
      <c r="F1263" s="376"/>
      <c r="G1263" s="376"/>
      <c r="H1263" s="376"/>
      <c r="K1263" s="214"/>
      <c r="S1263" s="214"/>
      <c r="Y1263" s="214"/>
      <c r="Z1263" s="214"/>
      <c r="AF1263" s="212"/>
      <c r="AG1263" s="212"/>
    </row>
    <row r="1264" spans="5:33">
      <c r="E1264" s="376"/>
      <c r="F1264" s="376"/>
      <c r="G1264" s="376"/>
      <c r="H1264" s="376"/>
      <c r="K1264" s="214"/>
      <c r="S1264" s="214"/>
      <c r="Y1264" s="214"/>
      <c r="Z1264" s="214"/>
      <c r="AF1264" s="212"/>
      <c r="AG1264" s="212"/>
    </row>
    <row r="1265" spans="5:33">
      <c r="E1265" s="376"/>
      <c r="F1265" s="376"/>
      <c r="G1265" s="376"/>
      <c r="H1265" s="376"/>
      <c r="K1265" s="214"/>
      <c r="S1265" s="214"/>
      <c r="Y1265" s="214"/>
      <c r="Z1265" s="214"/>
      <c r="AF1265" s="212"/>
      <c r="AG1265" s="212"/>
    </row>
    <row r="1266" spans="5:33">
      <c r="E1266" s="376"/>
      <c r="F1266" s="376"/>
      <c r="G1266" s="376"/>
      <c r="H1266" s="376"/>
      <c r="K1266" s="214"/>
      <c r="S1266" s="214"/>
      <c r="Y1266" s="214"/>
      <c r="Z1266" s="214"/>
      <c r="AF1266" s="212"/>
      <c r="AG1266" s="212"/>
    </row>
    <row r="1267" spans="5:33">
      <c r="E1267" s="376"/>
      <c r="F1267" s="376"/>
      <c r="G1267" s="376"/>
      <c r="H1267" s="376"/>
      <c r="K1267" s="214"/>
      <c r="S1267" s="214"/>
      <c r="Y1267" s="214"/>
      <c r="Z1267" s="214"/>
      <c r="AF1267" s="212"/>
      <c r="AG1267" s="212"/>
    </row>
    <row r="1268" spans="5:33">
      <c r="E1268" s="376"/>
      <c r="F1268" s="376"/>
      <c r="G1268" s="376"/>
      <c r="H1268" s="376"/>
      <c r="K1268" s="214"/>
      <c r="S1268" s="214"/>
      <c r="Y1268" s="214"/>
      <c r="Z1268" s="214"/>
      <c r="AF1268" s="212"/>
      <c r="AG1268" s="212"/>
    </row>
    <row r="1269" spans="5:33">
      <c r="E1269" s="376"/>
      <c r="F1269" s="376"/>
      <c r="G1269" s="376"/>
      <c r="H1269" s="376"/>
      <c r="K1269" s="214"/>
      <c r="S1269" s="214"/>
      <c r="Y1269" s="214"/>
      <c r="Z1269" s="214"/>
      <c r="AF1269" s="212"/>
      <c r="AG1269" s="212"/>
    </row>
    <row r="1270" spans="5:33">
      <c r="E1270" s="376"/>
      <c r="F1270" s="376"/>
      <c r="G1270" s="376"/>
      <c r="H1270" s="376"/>
      <c r="K1270" s="214"/>
      <c r="S1270" s="214"/>
      <c r="Y1270" s="214"/>
      <c r="Z1270" s="214"/>
      <c r="AF1270" s="212"/>
      <c r="AG1270" s="212"/>
    </row>
    <row r="1271" spans="5:33">
      <c r="E1271" s="376"/>
      <c r="F1271" s="376"/>
      <c r="G1271" s="376"/>
      <c r="H1271" s="376"/>
      <c r="K1271" s="214"/>
      <c r="S1271" s="214"/>
      <c r="Y1271" s="214"/>
      <c r="Z1271" s="214"/>
      <c r="AF1271" s="212"/>
      <c r="AG1271" s="212"/>
    </row>
    <row r="1272" spans="5:33">
      <c r="E1272" s="376"/>
      <c r="F1272" s="376"/>
      <c r="G1272" s="376"/>
      <c r="H1272" s="376"/>
      <c r="K1272" s="214"/>
      <c r="S1272" s="214"/>
      <c r="Y1272" s="214"/>
      <c r="Z1272" s="214"/>
      <c r="AF1272" s="212"/>
      <c r="AG1272" s="212"/>
    </row>
    <row r="1273" spans="5:33">
      <c r="E1273" s="376"/>
      <c r="F1273" s="376"/>
      <c r="G1273" s="376"/>
      <c r="H1273" s="376"/>
      <c r="K1273" s="214"/>
      <c r="S1273" s="214"/>
      <c r="Y1273" s="214"/>
      <c r="Z1273" s="214"/>
      <c r="AF1273" s="212"/>
      <c r="AG1273" s="212"/>
    </row>
    <row r="1274" spans="5:33">
      <c r="E1274" s="376"/>
      <c r="F1274" s="376"/>
      <c r="G1274" s="376"/>
      <c r="H1274" s="376"/>
      <c r="K1274" s="214"/>
      <c r="S1274" s="214"/>
      <c r="Y1274" s="214"/>
      <c r="Z1274" s="214"/>
      <c r="AF1274" s="212"/>
      <c r="AG1274" s="212"/>
    </row>
    <row r="1275" spans="5:33">
      <c r="E1275" s="376"/>
      <c r="F1275" s="376"/>
      <c r="G1275" s="376"/>
      <c r="H1275" s="376"/>
      <c r="K1275" s="214"/>
      <c r="S1275" s="214"/>
      <c r="Y1275" s="214"/>
      <c r="Z1275" s="214"/>
      <c r="AF1275" s="212"/>
      <c r="AG1275" s="212"/>
    </row>
    <row r="1276" spans="5:33">
      <c r="E1276" s="376"/>
      <c r="F1276" s="376"/>
      <c r="G1276" s="376"/>
      <c r="H1276" s="376"/>
      <c r="K1276" s="214"/>
      <c r="S1276" s="214"/>
      <c r="Y1276" s="214"/>
      <c r="Z1276" s="214"/>
      <c r="AF1276" s="212"/>
      <c r="AG1276" s="212"/>
    </row>
    <row r="1277" spans="5:33">
      <c r="E1277" s="376"/>
      <c r="F1277" s="376"/>
      <c r="G1277" s="376"/>
      <c r="H1277" s="376"/>
      <c r="K1277" s="214"/>
      <c r="S1277" s="214"/>
      <c r="Y1277" s="214"/>
      <c r="Z1277" s="214"/>
      <c r="AF1277" s="212"/>
      <c r="AG1277" s="212"/>
    </row>
    <row r="1278" spans="5:33">
      <c r="E1278" s="376"/>
      <c r="F1278" s="376"/>
      <c r="G1278" s="376"/>
      <c r="H1278" s="376"/>
      <c r="K1278" s="214"/>
      <c r="S1278" s="214"/>
      <c r="Y1278" s="214"/>
      <c r="Z1278" s="214"/>
      <c r="AF1278" s="212"/>
      <c r="AG1278" s="212"/>
    </row>
    <row r="1279" spans="5:33">
      <c r="E1279" s="376"/>
      <c r="F1279" s="376"/>
      <c r="G1279" s="376"/>
      <c r="H1279" s="376"/>
      <c r="K1279" s="214"/>
      <c r="S1279" s="214"/>
      <c r="Y1279" s="214"/>
      <c r="Z1279" s="214"/>
      <c r="AF1279" s="212"/>
      <c r="AG1279" s="212"/>
    </row>
    <row r="1280" spans="5:33">
      <c r="E1280" s="376"/>
      <c r="F1280" s="376"/>
      <c r="G1280" s="376"/>
      <c r="H1280" s="376"/>
      <c r="K1280" s="214"/>
      <c r="S1280" s="214"/>
      <c r="Y1280" s="214"/>
      <c r="Z1280" s="214"/>
      <c r="AF1280" s="212"/>
      <c r="AG1280" s="212"/>
    </row>
    <row r="1281" spans="5:33">
      <c r="E1281" s="376"/>
      <c r="F1281" s="376"/>
      <c r="G1281" s="376"/>
      <c r="H1281" s="376"/>
      <c r="K1281" s="214"/>
      <c r="S1281" s="214"/>
      <c r="Y1281" s="214"/>
      <c r="Z1281" s="214"/>
      <c r="AF1281" s="212"/>
      <c r="AG1281" s="212"/>
    </row>
    <row r="1282" spans="5:33">
      <c r="E1282" s="376"/>
      <c r="F1282" s="376"/>
      <c r="G1282" s="376"/>
      <c r="H1282" s="376"/>
      <c r="K1282" s="214"/>
      <c r="S1282" s="214"/>
      <c r="Y1282" s="214"/>
      <c r="Z1282" s="214"/>
      <c r="AF1282" s="212"/>
      <c r="AG1282" s="212"/>
    </row>
    <row r="1283" spans="5:33">
      <c r="E1283" s="376"/>
      <c r="F1283" s="376"/>
      <c r="G1283" s="376"/>
      <c r="H1283" s="376"/>
      <c r="K1283" s="214"/>
      <c r="S1283" s="214"/>
      <c r="Y1283" s="214"/>
      <c r="Z1283" s="214"/>
      <c r="AF1283" s="212"/>
      <c r="AG1283" s="212"/>
    </row>
    <row r="1284" spans="5:33">
      <c r="E1284" s="376"/>
      <c r="F1284" s="376"/>
      <c r="G1284" s="376"/>
      <c r="H1284" s="376"/>
      <c r="K1284" s="214"/>
      <c r="S1284" s="214"/>
      <c r="Y1284" s="214"/>
      <c r="Z1284" s="214"/>
      <c r="AF1284" s="212"/>
      <c r="AG1284" s="212"/>
    </row>
    <row r="1285" spans="5:33">
      <c r="E1285" s="376"/>
      <c r="F1285" s="376"/>
      <c r="G1285" s="376"/>
      <c r="H1285" s="376"/>
      <c r="K1285" s="214"/>
      <c r="S1285" s="214"/>
      <c r="Y1285" s="214"/>
      <c r="Z1285" s="214"/>
      <c r="AF1285" s="212"/>
      <c r="AG1285" s="212"/>
    </row>
    <row r="1286" spans="5:33">
      <c r="E1286" s="376"/>
      <c r="F1286" s="376"/>
      <c r="G1286" s="376"/>
      <c r="H1286" s="376"/>
      <c r="K1286" s="214"/>
      <c r="S1286" s="214"/>
      <c r="Y1286" s="214"/>
      <c r="Z1286" s="214"/>
      <c r="AF1286" s="212"/>
      <c r="AG1286" s="212"/>
    </row>
    <row r="1287" spans="5:33">
      <c r="E1287" s="376"/>
      <c r="F1287" s="376"/>
      <c r="G1287" s="376"/>
      <c r="H1287" s="376"/>
      <c r="K1287" s="214"/>
      <c r="S1287" s="214"/>
      <c r="Y1287" s="214"/>
      <c r="Z1287" s="214"/>
      <c r="AF1287" s="212"/>
      <c r="AG1287" s="212"/>
    </row>
    <row r="1288" spans="5:33">
      <c r="E1288" s="376"/>
      <c r="F1288" s="376"/>
      <c r="G1288" s="376"/>
      <c r="H1288" s="376"/>
      <c r="K1288" s="214"/>
      <c r="S1288" s="214"/>
      <c r="Y1288" s="214"/>
      <c r="Z1288" s="214"/>
      <c r="AF1288" s="212"/>
      <c r="AG1288" s="212"/>
    </row>
    <row r="1289" spans="5:33">
      <c r="E1289" s="376"/>
      <c r="F1289" s="376"/>
      <c r="G1289" s="376"/>
      <c r="H1289" s="376"/>
      <c r="K1289" s="214"/>
      <c r="S1289" s="214"/>
      <c r="Y1289" s="214"/>
      <c r="Z1289" s="214"/>
      <c r="AF1289" s="212"/>
      <c r="AG1289" s="212"/>
    </row>
    <row r="1290" spans="5:33">
      <c r="E1290" s="376"/>
      <c r="F1290" s="376"/>
      <c r="G1290" s="376"/>
      <c r="H1290" s="376"/>
      <c r="K1290" s="214"/>
      <c r="S1290" s="214"/>
      <c r="Y1290" s="214"/>
      <c r="Z1290" s="214"/>
      <c r="AF1290" s="212"/>
      <c r="AG1290" s="212"/>
    </row>
    <row r="1291" spans="5:33">
      <c r="E1291" s="376"/>
      <c r="F1291" s="376"/>
      <c r="G1291" s="376"/>
      <c r="H1291" s="376"/>
      <c r="K1291" s="214"/>
      <c r="S1291" s="214"/>
      <c r="Y1291" s="214"/>
      <c r="Z1291" s="214"/>
      <c r="AF1291" s="212"/>
      <c r="AG1291" s="212"/>
    </row>
    <row r="1292" spans="5:33">
      <c r="E1292" s="376"/>
      <c r="F1292" s="376"/>
      <c r="G1292" s="376"/>
      <c r="H1292" s="376"/>
      <c r="K1292" s="214"/>
      <c r="S1292" s="214"/>
      <c r="Y1292" s="214"/>
      <c r="Z1292" s="214"/>
      <c r="AF1292" s="212"/>
      <c r="AG1292" s="212"/>
    </row>
    <row r="1293" spans="5:33">
      <c r="E1293" s="376"/>
      <c r="F1293" s="376"/>
      <c r="G1293" s="376"/>
      <c r="H1293" s="376"/>
      <c r="K1293" s="214"/>
      <c r="S1293" s="214"/>
      <c r="Y1293" s="214"/>
      <c r="Z1293" s="214"/>
      <c r="AF1293" s="212"/>
      <c r="AG1293" s="212"/>
    </row>
    <row r="1294" spans="5:33">
      <c r="E1294" s="376"/>
      <c r="F1294" s="376"/>
      <c r="G1294" s="376"/>
      <c r="H1294" s="376"/>
      <c r="K1294" s="214"/>
      <c r="S1294" s="214"/>
      <c r="Y1294" s="214"/>
      <c r="Z1294" s="214"/>
      <c r="AF1294" s="212"/>
      <c r="AG1294" s="212"/>
    </row>
    <row r="1295" spans="5:33">
      <c r="E1295" s="376"/>
      <c r="F1295" s="376"/>
      <c r="G1295" s="376"/>
      <c r="H1295" s="376"/>
      <c r="K1295" s="214"/>
      <c r="S1295" s="214"/>
      <c r="Y1295" s="214"/>
      <c r="Z1295" s="214"/>
      <c r="AF1295" s="212"/>
      <c r="AG1295" s="212"/>
    </row>
    <row r="1296" spans="5:33">
      <c r="E1296" s="376"/>
      <c r="F1296" s="376"/>
      <c r="G1296" s="376"/>
      <c r="H1296" s="376"/>
      <c r="K1296" s="214"/>
      <c r="S1296" s="214"/>
      <c r="Y1296" s="214"/>
      <c r="Z1296" s="214"/>
      <c r="AF1296" s="212"/>
      <c r="AG1296" s="212"/>
    </row>
    <row r="1297" spans="5:33">
      <c r="E1297" s="376"/>
      <c r="F1297" s="376"/>
      <c r="G1297" s="376"/>
      <c r="H1297" s="376"/>
      <c r="K1297" s="214"/>
      <c r="S1297" s="214"/>
      <c r="Y1297" s="214"/>
      <c r="Z1297" s="214"/>
      <c r="AF1297" s="212"/>
      <c r="AG1297" s="212"/>
    </row>
    <row r="1298" spans="5:33">
      <c r="E1298" s="376"/>
      <c r="F1298" s="376"/>
      <c r="G1298" s="376"/>
      <c r="H1298" s="376"/>
      <c r="K1298" s="214"/>
      <c r="S1298" s="214"/>
      <c r="Y1298" s="214"/>
      <c r="Z1298" s="214"/>
      <c r="AF1298" s="212"/>
      <c r="AG1298" s="212"/>
    </row>
    <row r="1299" spans="5:33">
      <c r="E1299" s="376"/>
      <c r="F1299" s="376"/>
      <c r="G1299" s="376"/>
      <c r="H1299" s="376"/>
      <c r="K1299" s="214"/>
      <c r="S1299" s="214"/>
      <c r="Y1299" s="214"/>
      <c r="Z1299" s="214"/>
      <c r="AF1299" s="212"/>
      <c r="AG1299" s="212"/>
    </row>
    <row r="1300" spans="5:33">
      <c r="E1300" s="376"/>
      <c r="F1300" s="376"/>
      <c r="G1300" s="376"/>
      <c r="H1300" s="376"/>
      <c r="K1300" s="214"/>
      <c r="S1300" s="214"/>
      <c r="Y1300" s="214"/>
      <c r="Z1300" s="214"/>
      <c r="AF1300" s="212"/>
      <c r="AG1300" s="212"/>
    </row>
    <row r="1301" spans="5:33">
      <c r="E1301" s="376"/>
      <c r="F1301" s="376"/>
      <c r="G1301" s="376"/>
      <c r="H1301" s="376"/>
      <c r="K1301" s="214"/>
      <c r="S1301" s="214"/>
      <c r="Y1301" s="214"/>
      <c r="Z1301" s="214"/>
      <c r="AF1301" s="212"/>
      <c r="AG1301" s="212"/>
    </row>
    <row r="1302" spans="5:33">
      <c r="E1302" s="376"/>
      <c r="F1302" s="376"/>
      <c r="G1302" s="376"/>
      <c r="H1302" s="376"/>
      <c r="K1302" s="214"/>
      <c r="S1302" s="214"/>
      <c r="Y1302" s="214"/>
      <c r="Z1302" s="214"/>
      <c r="AF1302" s="212"/>
      <c r="AG1302" s="212"/>
    </row>
    <row r="1303" spans="5:33">
      <c r="E1303" s="376"/>
      <c r="F1303" s="376"/>
      <c r="G1303" s="376"/>
      <c r="H1303" s="376"/>
      <c r="K1303" s="214"/>
      <c r="S1303" s="214"/>
      <c r="Y1303" s="214"/>
      <c r="Z1303" s="214"/>
      <c r="AF1303" s="212"/>
      <c r="AG1303" s="212"/>
    </row>
    <row r="1304" spans="5:33">
      <c r="E1304" s="376"/>
      <c r="F1304" s="376"/>
      <c r="G1304" s="376"/>
      <c r="H1304" s="376"/>
      <c r="K1304" s="214"/>
      <c r="S1304" s="214"/>
      <c r="Y1304" s="214"/>
      <c r="Z1304" s="214"/>
      <c r="AF1304" s="212"/>
      <c r="AG1304" s="212"/>
    </row>
    <row r="1305" spans="5:33">
      <c r="E1305" s="376"/>
      <c r="F1305" s="376"/>
      <c r="G1305" s="376"/>
      <c r="H1305" s="376"/>
      <c r="K1305" s="214"/>
      <c r="S1305" s="214"/>
      <c r="Y1305" s="214"/>
      <c r="Z1305" s="214"/>
      <c r="AF1305" s="212"/>
      <c r="AG1305" s="212"/>
    </row>
    <row r="1306" spans="5:33">
      <c r="E1306" s="376"/>
      <c r="F1306" s="376"/>
      <c r="G1306" s="376"/>
      <c r="H1306" s="376"/>
      <c r="K1306" s="214"/>
      <c r="S1306" s="214"/>
      <c r="Y1306" s="214"/>
      <c r="Z1306" s="214"/>
      <c r="AF1306" s="212"/>
      <c r="AG1306" s="212"/>
    </row>
    <row r="1307" spans="5:33">
      <c r="E1307" s="376"/>
      <c r="F1307" s="376"/>
      <c r="G1307" s="376"/>
      <c r="H1307" s="376"/>
      <c r="K1307" s="214"/>
      <c r="S1307" s="214"/>
      <c r="Y1307" s="214"/>
      <c r="Z1307" s="214"/>
      <c r="AF1307" s="212"/>
      <c r="AG1307" s="212"/>
    </row>
    <row r="1308" spans="5:33">
      <c r="E1308" s="376"/>
      <c r="F1308" s="376"/>
      <c r="G1308" s="376"/>
      <c r="H1308" s="376"/>
      <c r="K1308" s="214"/>
      <c r="S1308" s="214"/>
      <c r="Y1308" s="214"/>
      <c r="Z1308" s="214"/>
      <c r="AF1308" s="212"/>
      <c r="AG1308" s="212"/>
    </row>
    <row r="1309" spans="5:33">
      <c r="E1309" s="376"/>
      <c r="F1309" s="376"/>
      <c r="G1309" s="376"/>
      <c r="H1309" s="376"/>
      <c r="K1309" s="214"/>
      <c r="S1309" s="214"/>
      <c r="Y1309" s="214"/>
      <c r="Z1309" s="214"/>
      <c r="AF1309" s="212"/>
      <c r="AG1309" s="212"/>
    </row>
    <row r="1310" spans="5:33">
      <c r="E1310" s="376"/>
      <c r="F1310" s="376"/>
      <c r="G1310" s="376"/>
      <c r="H1310" s="376"/>
      <c r="K1310" s="214"/>
      <c r="S1310" s="214"/>
      <c r="Y1310" s="214"/>
      <c r="Z1310" s="214"/>
      <c r="AF1310" s="212"/>
      <c r="AG1310" s="212"/>
    </row>
    <row r="1311" spans="5:33">
      <c r="E1311" s="376"/>
      <c r="F1311" s="376"/>
      <c r="G1311" s="376"/>
      <c r="H1311" s="376"/>
      <c r="K1311" s="214"/>
      <c r="S1311" s="214"/>
      <c r="Y1311" s="214"/>
      <c r="Z1311" s="214"/>
      <c r="AF1311" s="212"/>
      <c r="AG1311" s="212"/>
    </row>
    <row r="1312" spans="5:33">
      <c r="E1312" s="376"/>
      <c r="F1312" s="376"/>
      <c r="G1312" s="376"/>
      <c r="H1312" s="376"/>
      <c r="K1312" s="214"/>
      <c r="S1312" s="214"/>
      <c r="Y1312" s="214"/>
      <c r="Z1312" s="214"/>
      <c r="AF1312" s="212"/>
      <c r="AG1312" s="212"/>
    </row>
    <row r="1313" spans="5:33">
      <c r="E1313" s="376"/>
      <c r="F1313" s="376"/>
      <c r="G1313" s="376"/>
      <c r="H1313" s="376"/>
      <c r="K1313" s="214"/>
      <c r="S1313" s="214"/>
      <c r="Y1313" s="214"/>
      <c r="Z1313" s="214"/>
      <c r="AF1313" s="212"/>
      <c r="AG1313" s="212"/>
    </row>
    <row r="1314" spans="5:33">
      <c r="E1314" s="376"/>
      <c r="F1314" s="376"/>
      <c r="G1314" s="376"/>
      <c r="H1314" s="376"/>
      <c r="K1314" s="214"/>
      <c r="S1314" s="214"/>
      <c r="Y1314" s="214"/>
      <c r="Z1314" s="214"/>
      <c r="AF1314" s="212"/>
      <c r="AG1314" s="212"/>
    </row>
    <row r="1315" spans="5:33">
      <c r="E1315" s="376"/>
      <c r="F1315" s="376"/>
      <c r="G1315" s="376"/>
      <c r="H1315" s="376"/>
      <c r="K1315" s="214"/>
      <c r="S1315" s="214"/>
      <c r="Y1315" s="214"/>
      <c r="Z1315" s="214"/>
      <c r="AF1315" s="212"/>
      <c r="AG1315" s="212"/>
    </row>
    <row r="1316" spans="5:33">
      <c r="E1316" s="376"/>
      <c r="F1316" s="376"/>
      <c r="G1316" s="376"/>
      <c r="H1316" s="376"/>
      <c r="K1316" s="214"/>
      <c r="S1316" s="214"/>
      <c r="Y1316" s="214"/>
      <c r="Z1316" s="214"/>
      <c r="AF1316" s="212"/>
      <c r="AG1316" s="212"/>
    </row>
    <row r="1317" spans="5:33">
      <c r="E1317" s="376"/>
      <c r="F1317" s="376"/>
      <c r="G1317" s="376"/>
      <c r="H1317" s="376"/>
      <c r="K1317" s="214"/>
      <c r="S1317" s="214"/>
      <c r="Y1317" s="214"/>
      <c r="Z1317" s="214"/>
      <c r="AF1317" s="212"/>
      <c r="AG1317" s="212"/>
    </row>
    <row r="1318" spans="5:33">
      <c r="E1318" s="376"/>
      <c r="F1318" s="376"/>
      <c r="G1318" s="376"/>
      <c r="H1318" s="376"/>
      <c r="K1318" s="214"/>
      <c r="S1318" s="214"/>
      <c r="Y1318" s="214"/>
      <c r="Z1318" s="214"/>
      <c r="AF1318" s="212"/>
      <c r="AG1318" s="212"/>
    </row>
    <row r="1319" spans="5:33">
      <c r="E1319" s="376"/>
      <c r="F1319" s="376"/>
      <c r="G1319" s="376"/>
      <c r="H1319" s="376"/>
      <c r="K1319" s="214"/>
      <c r="S1319" s="214"/>
      <c r="Y1319" s="214"/>
      <c r="Z1319" s="214"/>
      <c r="AF1319" s="212"/>
      <c r="AG1319" s="212"/>
    </row>
    <row r="1320" spans="5:33">
      <c r="E1320" s="376"/>
      <c r="F1320" s="376"/>
      <c r="G1320" s="376"/>
      <c r="H1320" s="376"/>
      <c r="K1320" s="214"/>
      <c r="S1320" s="214"/>
      <c r="Y1320" s="214"/>
      <c r="Z1320" s="214"/>
      <c r="AF1320" s="212"/>
      <c r="AG1320" s="212"/>
    </row>
    <row r="1321" spans="5:33">
      <c r="E1321" s="376"/>
      <c r="F1321" s="376"/>
      <c r="G1321" s="376"/>
      <c r="H1321" s="376"/>
      <c r="K1321" s="214"/>
      <c r="S1321" s="214"/>
      <c r="Y1321" s="214"/>
      <c r="Z1321" s="214"/>
      <c r="AF1321" s="212"/>
      <c r="AG1321" s="212"/>
    </row>
    <row r="1322" spans="5:33">
      <c r="E1322" s="376"/>
      <c r="F1322" s="376"/>
      <c r="G1322" s="376"/>
      <c r="H1322" s="376"/>
      <c r="K1322" s="214"/>
      <c r="S1322" s="214"/>
      <c r="Y1322" s="214"/>
      <c r="Z1322" s="214"/>
      <c r="AF1322" s="212"/>
      <c r="AG1322" s="212"/>
    </row>
    <row r="1323" spans="5:33">
      <c r="E1323" s="376"/>
      <c r="F1323" s="376"/>
      <c r="G1323" s="376"/>
      <c r="H1323" s="376"/>
      <c r="K1323" s="214"/>
      <c r="S1323" s="214"/>
      <c r="Y1323" s="214"/>
      <c r="Z1323" s="214"/>
      <c r="AF1323" s="212"/>
      <c r="AG1323" s="212"/>
    </row>
    <row r="1324" spans="5:33">
      <c r="E1324" s="376"/>
      <c r="F1324" s="376"/>
      <c r="G1324" s="376"/>
      <c r="H1324" s="376"/>
      <c r="K1324" s="214"/>
      <c r="S1324" s="214"/>
      <c r="Y1324" s="214"/>
      <c r="Z1324" s="214"/>
      <c r="AF1324" s="212"/>
      <c r="AG1324" s="212"/>
    </row>
    <row r="1325" spans="5:33">
      <c r="E1325" s="376"/>
      <c r="F1325" s="376"/>
      <c r="G1325" s="376"/>
      <c r="H1325" s="376"/>
      <c r="K1325" s="214"/>
      <c r="S1325" s="214"/>
      <c r="Y1325" s="214"/>
      <c r="Z1325" s="214"/>
      <c r="AF1325" s="212"/>
      <c r="AG1325" s="212"/>
    </row>
    <row r="1326" spans="5:33">
      <c r="E1326" s="376"/>
      <c r="F1326" s="376"/>
      <c r="G1326" s="376"/>
      <c r="H1326" s="376"/>
      <c r="K1326" s="214"/>
      <c r="S1326" s="214"/>
      <c r="Y1326" s="214"/>
      <c r="Z1326" s="214"/>
      <c r="AF1326" s="212"/>
      <c r="AG1326" s="212"/>
    </row>
    <row r="1327" spans="5:33">
      <c r="E1327" s="376"/>
      <c r="F1327" s="376"/>
      <c r="G1327" s="376"/>
      <c r="H1327" s="376"/>
      <c r="K1327" s="214"/>
      <c r="S1327" s="214"/>
      <c r="Y1327" s="214"/>
      <c r="Z1327" s="214"/>
      <c r="AF1327" s="212"/>
      <c r="AG1327" s="212"/>
    </row>
    <row r="1328" spans="5:33">
      <c r="E1328" s="376"/>
      <c r="F1328" s="376"/>
      <c r="G1328" s="376"/>
      <c r="H1328" s="376"/>
      <c r="K1328" s="214"/>
      <c r="S1328" s="214"/>
      <c r="Y1328" s="214"/>
      <c r="Z1328" s="214"/>
      <c r="AF1328" s="212"/>
      <c r="AG1328" s="212"/>
    </row>
    <row r="1329" spans="5:33">
      <c r="E1329" s="376"/>
      <c r="F1329" s="376"/>
      <c r="G1329" s="376"/>
      <c r="H1329" s="376"/>
      <c r="K1329" s="214"/>
      <c r="S1329" s="214"/>
      <c r="Y1329" s="214"/>
      <c r="Z1329" s="214"/>
      <c r="AF1329" s="212"/>
      <c r="AG1329" s="212"/>
    </row>
    <row r="1330" spans="5:33">
      <c r="E1330" s="376"/>
      <c r="F1330" s="376"/>
      <c r="G1330" s="376"/>
      <c r="H1330" s="376"/>
      <c r="K1330" s="214"/>
      <c r="S1330" s="214"/>
      <c r="Y1330" s="214"/>
      <c r="Z1330" s="214"/>
      <c r="AF1330" s="212"/>
      <c r="AG1330" s="212"/>
    </row>
    <row r="1331" spans="5:33">
      <c r="E1331" s="376"/>
      <c r="F1331" s="376"/>
      <c r="G1331" s="376"/>
      <c r="H1331" s="376"/>
      <c r="K1331" s="214"/>
      <c r="S1331" s="214"/>
      <c r="Y1331" s="214"/>
      <c r="Z1331" s="214"/>
      <c r="AF1331" s="212"/>
      <c r="AG1331" s="212"/>
    </row>
    <row r="1332" spans="5:33">
      <c r="E1332" s="376"/>
      <c r="F1332" s="376"/>
      <c r="G1332" s="376"/>
      <c r="H1332" s="376"/>
      <c r="K1332" s="214"/>
      <c r="S1332" s="214"/>
      <c r="Y1332" s="214"/>
      <c r="Z1332" s="214"/>
      <c r="AF1332" s="212"/>
      <c r="AG1332" s="212"/>
    </row>
    <row r="1333" spans="5:33">
      <c r="E1333" s="376"/>
      <c r="F1333" s="376"/>
      <c r="G1333" s="376"/>
      <c r="H1333" s="376"/>
      <c r="K1333" s="214"/>
      <c r="S1333" s="214"/>
      <c r="Y1333" s="214"/>
      <c r="Z1333" s="214"/>
      <c r="AF1333" s="212"/>
      <c r="AG1333" s="212"/>
    </row>
    <row r="1334" spans="5:33">
      <c r="E1334" s="376"/>
      <c r="F1334" s="376"/>
      <c r="G1334" s="376"/>
      <c r="H1334" s="376"/>
      <c r="K1334" s="214"/>
      <c r="S1334" s="214"/>
      <c r="Y1334" s="214"/>
      <c r="Z1334" s="214"/>
      <c r="AF1334" s="212"/>
      <c r="AG1334" s="212"/>
    </row>
    <row r="1335" spans="5:33">
      <c r="E1335" s="376"/>
      <c r="F1335" s="376"/>
      <c r="G1335" s="376"/>
      <c r="H1335" s="376"/>
      <c r="K1335" s="214"/>
      <c r="S1335" s="214"/>
      <c r="Y1335" s="214"/>
      <c r="Z1335" s="214"/>
      <c r="AF1335" s="212"/>
      <c r="AG1335" s="212"/>
    </row>
    <row r="1336" spans="5:33">
      <c r="E1336" s="376"/>
      <c r="F1336" s="376"/>
      <c r="G1336" s="376"/>
      <c r="H1336" s="376"/>
      <c r="K1336" s="214"/>
      <c r="S1336" s="214"/>
      <c r="Y1336" s="214"/>
      <c r="Z1336" s="214"/>
      <c r="AF1336" s="212"/>
      <c r="AG1336" s="212"/>
    </row>
    <row r="1337" spans="5:33">
      <c r="E1337" s="376"/>
      <c r="F1337" s="376"/>
      <c r="G1337" s="376"/>
      <c r="H1337" s="376"/>
      <c r="K1337" s="214"/>
      <c r="S1337" s="214"/>
      <c r="Y1337" s="214"/>
      <c r="Z1337" s="214"/>
      <c r="AF1337" s="212"/>
      <c r="AG1337" s="212"/>
    </row>
    <row r="1338" spans="5:33">
      <c r="E1338" s="376"/>
      <c r="F1338" s="376"/>
      <c r="G1338" s="376"/>
      <c r="H1338" s="376"/>
      <c r="K1338" s="214"/>
      <c r="S1338" s="214"/>
      <c r="Y1338" s="214"/>
      <c r="Z1338" s="214"/>
      <c r="AF1338" s="212"/>
      <c r="AG1338" s="212"/>
    </row>
    <row r="1339" spans="5:33">
      <c r="E1339" s="376"/>
      <c r="F1339" s="376"/>
      <c r="G1339" s="376"/>
      <c r="H1339" s="376"/>
      <c r="K1339" s="214"/>
      <c r="S1339" s="214"/>
      <c r="Y1339" s="214"/>
      <c r="Z1339" s="214"/>
      <c r="AF1339" s="212"/>
      <c r="AG1339" s="212"/>
    </row>
    <row r="1340" spans="5:33">
      <c r="E1340" s="376"/>
      <c r="F1340" s="376"/>
      <c r="G1340" s="376"/>
      <c r="H1340" s="376"/>
      <c r="K1340" s="214"/>
      <c r="S1340" s="214"/>
      <c r="Y1340" s="214"/>
      <c r="Z1340" s="214"/>
      <c r="AF1340" s="212"/>
      <c r="AG1340" s="212"/>
    </row>
    <row r="1341" spans="5:33">
      <c r="E1341" s="376"/>
      <c r="F1341" s="376"/>
      <c r="G1341" s="376"/>
      <c r="H1341" s="376"/>
      <c r="K1341" s="214"/>
      <c r="S1341" s="214"/>
      <c r="Y1341" s="214"/>
      <c r="Z1341" s="214"/>
      <c r="AF1341" s="212"/>
      <c r="AG1341" s="212"/>
    </row>
    <row r="1342" spans="5:33">
      <c r="E1342" s="376"/>
      <c r="F1342" s="376"/>
      <c r="G1342" s="376"/>
      <c r="H1342" s="376"/>
      <c r="K1342" s="214"/>
      <c r="S1342" s="214"/>
      <c r="Y1342" s="214"/>
      <c r="Z1342" s="214"/>
      <c r="AF1342" s="212"/>
      <c r="AG1342" s="212"/>
    </row>
    <row r="1343" spans="5:33">
      <c r="E1343" s="376"/>
      <c r="F1343" s="376"/>
      <c r="G1343" s="376"/>
      <c r="H1343" s="376"/>
      <c r="K1343" s="214"/>
      <c r="S1343" s="214"/>
      <c r="Y1343" s="214"/>
      <c r="Z1343" s="214"/>
      <c r="AF1343" s="212"/>
      <c r="AG1343" s="212"/>
    </row>
    <row r="1344" spans="5:33">
      <c r="E1344" s="376"/>
      <c r="F1344" s="376"/>
      <c r="G1344" s="376"/>
      <c r="H1344" s="376"/>
      <c r="K1344" s="214"/>
      <c r="S1344" s="214"/>
      <c r="Y1344" s="214"/>
      <c r="Z1344" s="214"/>
      <c r="AF1344" s="212"/>
      <c r="AG1344" s="212"/>
    </row>
    <row r="1345" spans="5:33">
      <c r="E1345" s="376"/>
      <c r="F1345" s="376"/>
      <c r="G1345" s="376"/>
      <c r="H1345" s="376"/>
      <c r="K1345" s="214"/>
      <c r="S1345" s="214"/>
      <c r="Y1345" s="214"/>
      <c r="Z1345" s="214"/>
      <c r="AF1345" s="212"/>
      <c r="AG1345" s="212"/>
    </row>
    <row r="1346" spans="5:33">
      <c r="E1346" s="376"/>
      <c r="F1346" s="376"/>
      <c r="G1346" s="376"/>
      <c r="H1346" s="376"/>
      <c r="K1346" s="214"/>
      <c r="S1346" s="214"/>
      <c r="Y1346" s="214"/>
      <c r="Z1346" s="214"/>
      <c r="AF1346" s="212"/>
      <c r="AG1346" s="212"/>
    </row>
    <row r="1347" spans="5:33">
      <c r="E1347" s="376"/>
      <c r="F1347" s="376"/>
      <c r="G1347" s="376"/>
      <c r="H1347" s="376"/>
      <c r="K1347" s="214"/>
      <c r="S1347" s="214"/>
      <c r="Y1347" s="214"/>
      <c r="Z1347" s="214"/>
      <c r="AF1347" s="212"/>
      <c r="AG1347" s="212"/>
    </row>
    <row r="1348" spans="5:33">
      <c r="E1348" s="376"/>
      <c r="F1348" s="376"/>
      <c r="G1348" s="376"/>
      <c r="H1348" s="376"/>
      <c r="K1348" s="214"/>
      <c r="S1348" s="214"/>
      <c r="Y1348" s="214"/>
      <c r="Z1348" s="214"/>
      <c r="AF1348" s="212"/>
      <c r="AG1348" s="212"/>
    </row>
    <row r="1349" spans="5:33">
      <c r="E1349" s="376"/>
      <c r="F1349" s="376"/>
      <c r="G1349" s="376"/>
      <c r="H1349" s="376"/>
      <c r="K1349" s="214"/>
      <c r="S1349" s="214"/>
      <c r="Y1349" s="214"/>
      <c r="Z1349" s="214"/>
      <c r="AF1349" s="212"/>
      <c r="AG1349" s="212"/>
    </row>
    <row r="1350" spans="5:33">
      <c r="E1350" s="376"/>
      <c r="F1350" s="376"/>
      <c r="G1350" s="376"/>
      <c r="H1350" s="376"/>
      <c r="K1350" s="214"/>
      <c r="S1350" s="214"/>
      <c r="Y1350" s="214"/>
      <c r="Z1350" s="214"/>
      <c r="AF1350" s="212"/>
      <c r="AG1350" s="212"/>
    </row>
    <row r="1351" spans="5:33">
      <c r="E1351" s="376"/>
      <c r="F1351" s="376"/>
      <c r="G1351" s="376"/>
      <c r="H1351" s="376"/>
      <c r="K1351" s="214"/>
      <c r="S1351" s="214"/>
      <c r="Y1351" s="214"/>
      <c r="Z1351" s="214"/>
      <c r="AF1351" s="212"/>
      <c r="AG1351" s="212"/>
    </row>
    <row r="1352" spans="5:33">
      <c r="E1352" s="376"/>
      <c r="F1352" s="376"/>
      <c r="G1352" s="376"/>
      <c r="H1352" s="376"/>
      <c r="K1352" s="214"/>
      <c r="S1352" s="214"/>
      <c r="Y1352" s="214"/>
      <c r="Z1352" s="214"/>
      <c r="AF1352" s="212"/>
      <c r="AG1352" s="212"/>
    </row>
    <row r="1353" spans="5:33">
      <c r="E1353" s="376"/>
      <c r="F1353" s="376"/>
      <c r="G1353" s="376"/>
      <c r="H1353" s="376"/>
      <c r="K1353" s="214"/>
      <c r="S1353" s="214"/>
      <c r="Y1353" s="214"/>
      <c r="Z1353" s="214"/>
      <c r="AF1353" s="212"/>
      <c r="AG1353" s="212"/>
    </row>
    <row r="1354" spans="5:33">
      <c r="E1354" s="376"/>
      <c r="F1354" s="376"/>
      <c r="G1354" s="376"/>
      <c r="H1354" s="376"/>
      <c r="K1354" s="214"/>
      <c r="S1354" s="214"/>
      <c r="Y1354" s="214"/>
      <c r="Z1354" s="214"/>
      <c r="AF1354" s="212"/>
      <c r="AG1354" s="212"/>
    </row>
    <row r="1355" spans="5:33">
      <c r="E1355" s="376"/>
      <c r="F1355" s="376"/>
      <c r="G1355" s="376"/>
      <c r="H1355" s="376"/>
      <c r="K1355" s="214"/>
      <c r="S1355" s="214"/>
      <c r="Y1355" s="214"/>
      <c r="Z1355" s="214"/>
      <c r="AF1355" s="212"/>
      <c r="AG1355" s="212"/>
    </row>
    <row r="1356" spans="5:33">
      <c r="E1356" s="376"/>
      <c r="F1356" s="376"/>
      <c r="G1356" s="376"/>
      <c r="H1356" s="376"/>
      <c r="K1356" s="214"/>
      <c r="S1356" s="214"/>
      <c r="Y1356" s="214"/>
      <c r="Z1356" s="214"/>
      <c r="AF1356" s="212"/>
      <c r="AG1356" s="212"/>
    </row>
    <row r="1357" spans="5:33">
      <c r="E1357" s="376"/>
      <c r="F1357" s="376"/>
      <c r="G1357" s="376"/>
      <c r="H1357" s="376"/>
      <c r="K1357" s="214"/>
      <c r="S1357" s="214"/>
      <c r="Y1357" s="214"/>
      <c r="Z1357" s="214"/>
      <c r="AF1357" s="212"/>
      <c r="AG1357" s="212"/>
    </row>
    <row r="1358" spans="5:33">
      <c r="E1358" s="376"/>
      <c r="F1358" s="376"/>
      <c r="G1358" s="376"/>
      <c r="H1358" s="376"/>
      <c r="K1358" s="214"/>
      <c r="S1358" s="214"/>
      <c r="Y1358" s="214"/>
      <c r="Z1358" s="214"/>
      <c r="AF1358" s="212"/>
      <c r="AG1358" s="212"/>
    </row>
    <row r="1359" spans="5:33">
      <c r="E1359" s="376"/>
      <c r="F1359" s="376"/>
      <c r="G1359" s="376"/>
      <c r="H1359" s="376"/>
      <c r="K1359" s="214"/>
      <c r="S1359" s="214"/>
      <c r="Y1359" s="214"/>
      <c r="Z1359" s="214"/>
      <c r="AF1359" s="212"/>
      <c r="AG1359" s="212"/>
    </row>
    <row r="1360" spans="5:33">
      <c r="E1360" s="376"/>
      <c r="F1360" s="376"/>
      <c r="G1360" s="376"/>
      <c r="H1360" s="376"/>
      <c r="K1360" s="214"/>
      <c r="S1360" s="214"/>
      <c r="Y1360" s="214"/>
      <c r="Z1360" s="214"/>
      <c r="AF1360" s="212"/>
      <c r="AG1360" s="212"/>
    </row>
    <row r="1361" spans="5:33">
      <c r="E1361" s="376"/>
      <c r="F1361" s="376"/>
      <c r="G1361" s="376"/>
      <c r="H1361" s="376"/>
      <c r="K1361" s="214"/>
      <c r="S1361" s="214"/>
      <c r="Y1361" s="214"/>
      <c r="Z1361" s="214"/>
      <c r="AF1361" s="212"/>
      <c r="AG1361" s="212"/>
    </row>
    <row r="1362" spans="5:33">
      <c r="E1362" s="376"/>
      <c r="F1362" s="376"/>
      <c r="G1362" s="376"/>
      <c r="H1362" s="376"/>
      <c r="K1362" s="214"/>
      <c r="S1362" s="214"/>
      <c r="Y1362" s="214"/>
      <c r="Z1362" s="214"/>
      <c r="AF1362" s="212"/>
      <c r="AG1362" s="212"/>
    </row>
    <row r="1363" spans="5:33">
      <c r="E1363" s="376"/>
      <c r="F1363" s="376"/>
      <c r="G1363" s="376"/>
      <c r="H1363" s="376"/>
      <c r="K1363" s="214"/>
      <c r="S1363" s="214"/>
      <c r="Y1363" s="214"/>
      <c r="Z1363" s="214"/>
      <c r="AF1363" s="212"/>
      <c r="AG1363" s="212"/>
    </row>
    <row r="1364" spans="5:33">
      <c r="E1364" s="376"/>
      <c r="F1364" s="376"/>
      <c r="G1364" s="376"/>
      <c r="H1364" s="376"/>
      <c r="K1364" s="214"/>
      <c r="S1364" s="214"/>
      <c r="Y1364" s="214"/>
      <c r="Z1364" s="214"/>
      <c r="AF1364" s="212"/>
      <c r="AG1364" s="212"/>
    </row>
    <row r="1365" spans="5:33">
      <c r="E1365" s="376"/>
      <c r="F1365" s="376"/>
      <c r="G1365" s="376"/>
      <c r="H1365" s="376"/>
      <c r="K1365" s="214"/>
      <c r="S1365" s="214"/>
      <c r="Y1365" s="214"/>
      <c r="Z1365" s="214"/>
      <c r="AF1365" s="212"/>
      <c r="AG1365" s="212"/>
    </row>
    <row r="1366" spans="5:33">
      <c r="E1366" s="376"/>
      <c r="F1366" s="376"/>
      <c r="G1366" s="376"/>
      <c r="H1366" s="376"/>
      <c r="K1366" s="214"/>
      <c r="S1366" s="214"/>
      <c r="Y1366" s="214"/>
      <c r="Z1366" s="214"/>
      <c r="AF1366" s="212"/>
      <c r="AG1366" s="212"/>
    </row>
    <row r="1367" spans="5:33">
      <c r="E1367" s="376"/>
      <c r="F1367" s="376"/>
      <c r="G1367" s="376"/>
      <c r="H1367" s="376"/>
      <c r="K1367" s="214"/>
      <c r="S1367" s="214"/>
      <c r="Y1367" s="214"/>
      <c r="Z1367" s="214"/>
      <c r="AF1367" s="212"/>
      <c r="AG1367" s="212"/>
    </row>
    <row r="1368" spans="5:33">
      <c r="E1368" s="376"/>
      <c r="F1368" s="376"/>
      <c r="G1368" s="376"/>
      <c r="H1368" s="376"/>
      <c r="K1368" s="214"/>
      <c r="S1368" s="214"/>
      <c r="Y1368" s="214"/>
      <c r="Z1368" s="214"/>
      <c r="AF1368" s="212"/>
      <c r="AG1368" s="212"/>
    </row>
    <row r="1369" spans="5:33">
      <c r="E1369" s="376"/>
      <c r="F1369" s="376"/>
      <c r="G1369" s="376"/>
      <c r="H1369" s="376"/>
      <c r="K1369" s="214"/>
      <c r="S1369" s="214"/>
      <c r="Y1369" s="214"/>
      <c r="Z1369" s="214"/>
      <c r="AF1369" s="212"/>
      <c r="AG1369" s="212"/>
    </row>
    <row r="1370" spans="5:33">
      <c r="E1370" s="376"/>
      <c r="F1370" s="376"/>
      <c r="G1370" s="376"/>
      <c r="H1370" s="376"/>
      <c r="K1370" s="214"/>
      <c r="S1370" s="214"/>
      <c r="Y1370" s="214"/>
      <c r="Z1370" s="214"/>
      <c r="AF1370" s="212"/>
      <c r="AG1370" s="212"/>
    </row>
    <row r="1371" spans="5:33">
      <c r="E1371" s="376"/>
      <c r="F1371" s="376"/>
      <c r="G1371" s="376"/>
      <c r="H1371" s="376"/>
      <c r="K1371" s="214"/>
      <c r="S1371" s="214"/>
      <c r="Y1371" s="214"/>
      <c r="Z1371" s="214"/>
      <c r="AF1371" s="212"/>
      <c r="AG1371" s="212"/>
    </row>
    <row r="1372" spans="5:33">
      <c r="E1372" s="376"/>
      <c r="F1372" s="376"/>
      <c r="G1372" s="376"/>
      <c r="H1372" s="376"/>
      <c r="K1372" s="214"/>
      <c r="S1372" s="214"/>
      <c r="Y1372" s="214"/>
      <c r="Z1372" s="214"/>
      <c r="AF1372" s="212"/>
      <c r="AG1372" s="212"/>
    </row>
    <row r="1373" spans="5:33">
      <c r="E1373" s="376"/>
      <c r="F1373" s="376"/>
      <c r="G1373" s="376"/>
      <c r="H1373" s="376"/>
      <c r="K1373" s="214"/>
      <c r="S1373" s="214"/>
      <c r="Y1373" s="214"/>
      <c r="Z1373" s="214"/>
      <c r="AF1373" s="212"/>
      <c r="AG1373" s="212"/>
    </row>
    <row r="1374" spans="5:33">
      <c r="E1374" s="376"/>
      <c r="F1374" s="376"/>
      <c r="G1374" s="376"/>
      <c r="H1374" s="376"/>
      <c r="K1374" s="214"/>
      <c r="S1374" s="214"/>
      <c r="Y1374" s="214"/>
      <c r="Z1374" s="214"/>
      <c r="AF1374" s="212"/>
      <c r="AG1374" s="212"/>
    </row>
    <row r="1375" spans="5:33">
      <c r="E1375" s="376"/>
      <c r="F1375" s="376"/>
      <c r="G1375" s="376"/>
      <c r="H1375" s="376"/>
      <c r="K1375" s="214"/>
      <c r="S1375" s="214"/>
      <c r="Y1375" s="214"/>
      <c r="Z1375" s="214"/>
      <c r="AF1375" s="212"/>
      <c r="AG1375" s="212"/>
    </row>
    <row r="1376" spans="5:33">
      <c r="E1376" s="376"/>
      <c r="F1376" s="376"/>
      <c r="G1376" s="376"/>
      <c r="H1376" s="376"/>
      <c r="K1376" s="214"/>
      <c r="S1376" s="214"/>
      <c r="Y1376" s="214"/>
      <c r="Z1376" s="214"/>
      <c r="AF1376" s="212"/>
      <c r="AG1376" s="212"/>
    </row>
    <row r="1377" spans="5:33">
      <c r="E1377" s="376"/>
      <c r="F1377" s="376"/>
      <c r="G1377" s="376"/>
      <c r="H1377" s="376"/>
      <c r="K1377" s="214"/>
      <c r="S1377" s="214"/>
      <c r="Y1377" s="214"/>
      <c r="Z1377" s="214"/>
      <c r="AF1377" s="212"/>
      <c r="AG1377" s="212"/>
    </row>
    <row r="1378" spans="5:33">
      <c r="E1378" s="376"/>
      <c r="F1378" s="376"/>
      <c r="G1378" s="376"/>
      <c r="H1378" s="376"/>
      <c r="K1378" s="214"/>
      <c r="S1378" s="214"/>
      <c r="Y1378" s="214"/>
      <c r="Z1378" s="214"/>
      <c r="AF1378" s="212"/>
      <c r="AG1378" s="212"/>
    </row>
    <row r="1379" spans="5:33">
      <c r="E1379" s="376"/>
      <c r="F1379" s="376"/>
      <c r="G1379" s="376"/>
      <c r="H1379" s="376"/>
      <c r="K1379" s="214"/>
      <c r="S1379" s="214"/>
      <c r="Y1379" s="214"/>
      <c r="Z1379" s="214"/>
      <c r="AF1379" s="212"/>
      <c r="AG1379" s="212"/>
    </row>
    <row r="1380" spans="5:33">
      <c r="E1380" s="376"/>
      <c r="F1380" s="376"/>
      <c r="G1380" s="376"/>
      <c r="H1380" s="376"/>
      <c r="K1380" s="214"/>
      <c r="S1380" s="214"/>
      <c r="Y1380" s="214"/>
      <c r="Z1380" s="214"/>
      <c r="AF1380" s="212"/>
      <c r="AG1380" s="212"/>
    </row>
    <row r="1381" spans="5:33">
      <c r="E1381" s="376"/>
      <c r="F1381" s="376"/>
      <c r="G1381" s="376"/>
      <c r="H1381" s="376"/>
      <c r="K1381" s="214"/>
      <c r="S1381" s="214"/>
      <c r="Y1381" s="214"/>
      <c r="Z1381" s="214"/>
      <c r="AF1381" s="212"/>
      <c r="AG1381" s="212"/>
    </row>
    <row r="1382" spans="5:33">
      <c r="E1382" s="376"/>
      <c r="F1382" s="376"/>
      <c r="G1382" s="376"/>
      <c r="H1382" s="376"/>
      <c r="K1382" s="214"/>
      <c r="S1382" s="214"/>
      <c r="Y1382" s="214"/>
      <c r="Z1382" s="214"/>
      <c r="AF1382" s="212"/>
      <c r="AG1382" s="212"/>
    </row>
    <row r="1383" spans="5:33">
      <c r="E1383" s="376"/>
      <c r="F1383" s="376"/>
      <c r="G1383" s="376"/>
      <c r="H1383" s="376"/>
      <c r="K1383" s="214"/>
      <c r="S1383" s="214"/>
      <c r="Y1383" s="214"/>
      <c r="Z1383" s="214"/>
      <c r="AF1383" s="212"/>
      <c r="AG1383" s="212"/>
    </row>
    <row r="1384" spans="5:33">
      <c r="E1384" s="376"/>
      <c r="F1384" s="376"/>
      <c r="G1384" s="376"/>
      <c r="H1384" s="376"/>
      <c r="K1384" s="214"/>
      <c r="S1384" s="214"/>
      <c r="Y1384" s="214"/>
      <c r="Z1384" s="214"/>
      <c r="AF1384" s="212"/>
      <c r="AG1384" s="212"/>
    </row>
    <row r="1385" spans="5:33">
      <c r="E1385" s="376"/>
      <c r="F1385" s="376"/>
      <c r="G1385" s="376"/>
      <c r="H1385" s="376"/>
      <c r="K1385" s="214"/>
      <c r="S1385" s="214"/>
      <c r="Y1385" s="214"/>
      <c r="Z1385" s="214"/>
      <c r="AF1385" s="212"/>
      <c r="AG1385" s="212"/>
    </row>
    <row r="1386" spans="5:33">
      <c r="E1386" s="376"/>
      <c r="F1386" s="376"/>
      <c r="G1386" s="376"/>
      <c r="H1386" s="376"/>
      <c r="K1386" s="214"/>
      <c r="S1386" s="214"/>
      <c r="Y1386" s="214"/>
      <c r="Z1386" s="214"/>
      <c r="AF1386" s="212"/>
      <c r="AG1386" s="212"/>
    </row>
    <row r="1387" spans="5:33">
      <c r="E1387" s="376"/>
      <c r="F1387" s="376"/>
      <c r="G1387" s="376"/>
      <c r="H1387" s="376"/>
      <c r="K1387" s="214"/>
      <c r="S1387" s="214"/>
      <c r="Y1387" s="214"/>
      <c r="Z1387" s="214"/>
      <c r="AF1387" s="212"/>
      <c r="AG1387" s="212"/>
    </row>
    <row r="1388" spans="5:33">
      <c r="E1388" s="376"/>
      <c r="F1388" s="376"/>
      <c r="G1388" s="376"/>
      <c r="H1388" s="376"/>
      <c r="K1388" s="214"/>
      <c r="S1388" s="214"/>
      <c r="Y1388" s="214"/>
      <c r="Z1388" s="214"/>
      <c r="AF1388" s="212"/>
      <c r="AG1388" s="212"/>
    </row>
    <row r="1389" spans="5:33">
      <c r="E1389" s="376"/>
      <c r="F1389" s="376"/>
      <c r="G1389" s="376"/>
      <c r="H1389" s="376"/>
      <c r="K1389" s="214"/>
      <c r="S1389" s="214"/>
      <c r="Y1389" s="214"/>
      <c r="Z1389" s="214"/>
      <c r="AF1389" s="212"/>
      <c r="AG1389" s="212"/>
    </row>
    <row r="1390" spans="5:33">
      <c r="E1390" s="376"/>
      <c r="F1390" s="376"/>
      <c r="G1390" s="376"/>
      <c r="H1390" s="376"/>
      <c r="K1390" s="214"/>
      <c r="S1390" s="214"/>
      <c r="Y1390" s="214"/>
      <c r="Z1390" s="214"/>
      <c r="AF1390" s="212"/>
      <c r="AG1390" s="212"/>
    </row>
    <row r="1391" spans="5:33">
      <c r="E1391" s="376"/>
      <c r="F1391" s="376"/>
      <c r="G1391" s="376"/>
      <c r="H1391" s="376"/>
      <c r="K1391" s="214"/>
      <c r="S1391" s="214"/>
      <c r="Y1391" s="214"/>
      <c r="Z1391" s="214"/>
      <c r="AF1391" s="212"/>
      <c r="AG1391" s="212"/>
    </row>
    <row r="1392" spans="5:33">
      <c r="E1392" s="376"/>
      <c r="F1392" s="376"/>
      <c r="G1392" s="376"/>
      <c r="H1392" s="376"/>
      <c r="K1392" s="214"/>
      <c r="S1392" s="214"/>
      <c r="Y1392" s="214"/>
      <c r="Z1392" s="214"/>
      <c r="AF1392" s="212"/>
      <c r="AG1392" s="212"/>
    </row>
    <row r="1393" spans="5:33">
      <c r="E1393" s="376"/>
      <c r="F1393" s="376"/>
      <c r="G1393" s="376"/>
      <c r="H1393" s="376"/>
      <c r="K1393" s="214"/>
      <c r="S1393" s="214"/>
      <c r="Y1393" s="214"/>
      <c r="Z1393" s="214"/>
      <c r="AF1393" s="212"/>
      <c r="AG1393" s="212"/>
    </row>
    <row r="1394" spans="5:33">
      <c r="E1394" s="376"/>
      <c r="F1394" s="376"/>
      <c r="G1394" s="376"/>
      <c r="H1394" s="376"/>
      <c r="K1394" s="214"/>
      <c r="S1394" s="214"/>
      <c r="Y1394" s="214"/>
      <c r="Z1394" s="214"/>
      <c r="AF1394" s="212"/>
      <c r="AG1394" s="212"/>
    </row>
    <row r="1395" spans="5:33">
      <c r="E1395" s="376"/>
      <c r="F1395" s="376"/>
      <c r="G1395" s="376"/>
      <c r="H1395" s="376"/>
      <c r="K1395" s="214"/>
      <c r="S1395" s="214"/>
      <c r="Y1395" s="214"/>
      <c r="Z1395" s="214"/>
      <c r="AF1395" s="212"/>
      <c r="AG1395" s="212"/>
    </row>
    <row r="1396" spans="5:33">
      <c r="E1396" s="376"/>
      <c r="F1396" s="376"/>
      <c r="G1396" s="376"/>
      <c r="H1396" s="376"/>
      <c r="K1396" s="214"/>
      <c r="S1396" s="214"/>
      <c r="Y1396" s="214"/>
      <c r="Z1396" s="214"/>
      <c r="AF1396" s="212"/>
      <c r="AG1396" s="212"/>
    </row>
    <row r="1397" spans="5:33">
      <c r="E1397" s="376"/>
      <c r="F1397" s="376"/>
      <c r="G1397" s="376"/>
      <c r="H1397" s="376"/>
      <c r="K1397" s="214"/>
      <c r="S1397" s="214"/>
      <c r="Y1397" s="214"/>
      <c r="Z1397" s="214"/>
      <c r="AF1397" s="212"/>
      <c r="AG1397" s="212"/>
    </row>
    <row r="1398" spans="5:33">
      <c r="E1398" s="376"/>
      <c r="F1398" s="376"/>
      <c r="G1398" s="376"/>
      <c r="H1398" s="376"/>
      <c r="K1398" s="214"/>
      <c r="S1398" s="214"/>
      <c r="Y1398" s="214"/>
      <c r="Z1398" s="214"/>
      <c r="AF1398" s="212"/>
      <c r="AG1398" s="212"/>
    </row>
    <row r="1399" spans="5:33">
      <c r="E1399" s="376"/>
      <c r="F1399" s="376"/>
      <c r="G1399" s="376"/>
      <c r="H1399" s="376"/>
      <c r="K1399" s="214"/>
      <c r="S1399" s="214"/>
      <c r="Y1399" s="214"/>
      <c r="Z1399" s="214"/>
      <c r="AF1399" s="212"/>
      <c r="AG1399" s="212"/>
    </row>
    <row r="1400" spans="5:33">
      <c r="E1400" s="376"/>
      <c r="F1400" s="376"/>
      <c r="G1400" s="376"/>
      <c r="H1400" s="376"/>
      <c r="K1400" s="214"/>
      <c r="S1400" s="214"/>
      <c r="Y1400" s="214"/>
      <c r="Z1400" s="214"/>
      <c r="AF1400" s="212"/>
      <c r="AG1400" s="212"/>
    </row>
    <row r="1401" spans="5:33">
      <c r="E1401" s="376"/>
      <c r="F1401" s="376"/>
      <c r="G1401" s="376"/>
      <c r="H1401" s="376"/>
      <c r="K1401" s="214"/>
      <c r="S1401" s="214"/>
      <c r="Y1401" s="214"/>
      <c r="Z1401" s="214"/>
      <c r="AF1401" s="212"/>
      <c r="AG1401" s="212"/>
    </row>
    <row r="1402" spans="5:33">
      <c r="E1402" s="376"/>
      <c r="F1402" s="376"/>
      <c r="G1402" s="376"/>
      <c r="H1402" s="376"/>
      <c r="K1402" s="214"/>
      <c r="S1402" s="214"/>
      <c r="Y1402" s="214"/>
      <c r="Z1402" s="214"/>
      <c r="AF1402" s="212"/>
      <c r="AG1402" s="212"/>
    </row>
    <row r="1403" spans="5:33">
      <c r="E1403" s="376"/>
      <c r="F1403" s="376"/>
      <c r="G1403" s="376"/>
      <c r="H1403" s="376"/>
      <c r="K1403" s="214"/>
      <c r="S1403" s="214"/>
      <c r="Y1403" s="214"/>
      <c r="Z1403" s="214"/>
      <c r="AF1403" s="212"/>
      <c r="AG1403" s="212"/>
    </row>
    <row r="1404" spans="5:33">
      <c r="E1404" s="376"/>
      <c r="F1404" s="376"/>
      <c r="G1404" s="376"/>
      <c r="H1404" s="376"/>
      <c r="K1404" s="214"/>
      <c r="S1404" s="214"/>
      <c r="Y1404" s="214"/>
      <c r="Z1404" s="214"/>
      <c r="AF1404" s="212"/>
      <c r="AG1404" s="212"/>
    </row>
    <row r="1405" spans="5:33">
      <c r="E1405" s="376"/>
      <c r="F1405" s="376"/>
      <c r="G1405" s="376"/>
      <c r="H1405" s="376"/>
      <c r="K1405" s="214"/>
      <c r="S1405" s="214"/>
      <c r="Y1405" s="214"/>
      <c r="Z1405" s="214"/>
      <c r="AF1405" s="212"/>
      <c r="AG1405" s="212"/>
    </row>
    <row r="1406" spans="5:33">
      <c r="E1406" s="376"/>
      <c r="F1406" s="376"/>
      <c r="G1406" s="376"/>
      <c r="H1406" s="376"/>
      <c r="K1406" s="214"/>
      <c r="S1406" s="214"/>
      <c r="Y1406" s="214"/>
      <c r="Z1406" s="214"/>
      <c r="AF1406" s="212"/>
      <c r="AG1406" s="212"/>
    </row>
    <row r="1407" spans="5:33">
      <c r="E1407" s="376"/>
      <c r="F1407" s="376"/>
      <c r="G1407" s="376"/>
      <c r="H1407" s="376"/>
      <c r="K1407" s="214"/>
      <c r="S1407" s="214"/>
      <c r="Y1407" s="214"/>
      <c r="Z1407" s="214"/>
      <c r="AF1407" s="212"/>
      <c r="AG1407" s="212"/>
    </row>
    <row r="1408" spans="5:33">
      <c r="E1408" s="376"/>
      <c r="F1408" s="376"/>
      <c r="G1408" s="376"/>
      <c r="H1408" s="376"/>
      <c r="K1408" s="214"/>
      <c r="S1408" s="214"/>
      <c r="Y1408" s="214"/>
      <c r="Z1408" s="214"/>
      <c r="AF1408" s="212"/>
      <c r="AG1408" s="212"/>
    </row>
    <row r="1409" spans="5:33">
      <c r="E1409" s="376"/>
      <c r="F1409" s="376"/>
      <c r="G1409" s="376"/>
      <c r="H1409" s="376"/>
      <c r="K1409" s="214"/>
      <c r="S1409" s="214"/>
      <c r="Y1409" s="214"/>
      <c r="Z1409" s="214"/>
      <c r="AF1409" s="212"/>
      <c r="AG1409" s="212"/>
    </row>
    <row r="1410" spans="5:33">
      <c r="E1410" s="376"/>
      <c r="F1410" s="376"/>
      <c r="G1410" s="376"/>
      <c r="H1410" s="376"/>
      <c r="K1410" s="214"/>
      <c r="S1410" s="214"/>
      <c r="Y1410" s="214"/>
      <c r="Z1410" s="214"/>
      <c r="AF1410" s="212"/>
      <c r="AG1410" s="212"/>
    </row>
    <row r="1411" spans="5:33">
      <c r="E1411" s="376"/>
      <c r="F1411" s="376"/>
      <c r="G1411" s="376"/>
      <c r="H1411" s="376"/>
      <c r="K1411" s="214"/>
      <c r="S1411" s="214"/>
      <c r="Y1411" s="214"/>
      <c r="Z1411" s="214"/>
      <c r="AF1411" s="212"/>
      <c r="AG1411" s="212"/>
    </row>
    <row r="1412" spans="5:33">
      <c r="E1412" s="376"/>
      <c r="F1412" s="376"/>
      <c r="G1412" s="376"/>
      <c r="H1412" s="376"/>
      <c r="K1412" s="214"/>
      <c r="S1412" s="214"/>
      <c r="Y1412" s="214"/>
      <c r="Z1412" s="214"/>
      <c r="AF1412" s="212"/>
      <c r="AG1412" s="212"/>
    </row>
    <row r="1413" spans="5:33">
      <c r="E1413" s="376"/>
      <c r="F1413" s="376"/>
      <c r="G1413" s="376"/>
      <c r="H1413" s="376"/>
      <c r="K1413" s="214"/>
      <c r="S1413" s="214"/>
      <c r="Y1413" s="214"/>
      <c r="Z1413" s="214"/>
      <c r="AF1413" s="212"/>
      <c r="AG1413" s="212"/>
    </row>
    <row r="1414" spans="5:33">
      <c r="E1414" s="376"/>
      <c r="F1414" s="376"/>
      <c r="G1414" s="376"/>
      <c r="H1414" s="376"/>
      <c r="K1414" s="214"/>
      <c r="S1414" s="214"/>
      <c r="Y1414" s="214"/>
      <c r="Z1414" s="214"/>
      <c r="AF1414" s="212"/>
      <c r="AG1414" s="212"/>
    </row>
    <row r="1415" spans="5:33">
      <c r="E1415" s="376"/>
      <c r="F1415" s="376"/>
      <c r="G1415" s="376"/>
      <c r="H1415" s="376"/>
      <c r="K1415" s="214"/>
      <c r="S1415" s="214"/>
      <c r="Y1415" s="214"/>
      <c r="Z1415" s="214"/>
      <c r="AF1415" s="212"/>
      <c r="AG1415" s="212"/>
    </row>
    <row r="1416" spans="5:33">
      <c r="E1416" s="376"/>
      <c r="F1416" s="376"/>
      <c r="G1416" s="376"/>
      <c r="H1416" s="376"/>
      <c r="K1416" s="214"/>
      <c r="S1416" s="214"/>
      <c r="Y1416" s="214"/>
      <c r="Z1416" s="214"/>
      <c r="AF1416" s="212"/>
      <c r="AG1416" s="212"/>
    </row>
    <row r="1417" spans="5:33">
      <c r="E1417" s="376"/>
      <c r="F1417" s="376"/>
      <c r="G1417" s="376"/>
      <c r="H1417" s="376"/>
      <c r="K1417" s="214"/>
      <c r="S1417" s="214"/>
      <c r="Y1417" s="214"/>
      <c r="Z1417" s="214"/>
      <c r="AF1417" s="212"/>
      <c r="AG1417" s="212"/>
    </row>
    <row r="1418" spans="5:33">
      <c r="E1418" s="376"/>
      <c r="F1418" s="376"/>
      <c r="G1418" s="376"/>
      <c r="H1418" s="376"/>
      <c r="K1418" s="214"/>
      <c r="S1418" s="214"/>
      <c r="Y1418" s="214"/>
      <c r="Z1418" s="214"/>
      <c r="AF1418" s="212"/>
      <c r="AG1418" s="212"/>
    </row>
    <row r="1419" spans="5:33">
      <c r="E1419" s="376"/>
      <c r="F1419" s="376"/>
      <c r="G1419" s="376"/>
      <c r="H1419" s="376"/>
      <c r="K1419" s="214"/>
      <c r="S1419" s="214"/>
      <c r="Y1419" s="214"/>
      <c r="Z1419" s="214"/>
      <c r="AF1419" s="212"/>
      <c r="AG1419" s="212"/>
    </row>
    <row r="1420" spans="5:33">
      <c r="E1420" s="376"/>
      <c r="F1420" s="376"/>
      <c r="G1420" s="376"/>
      <c r="H1420" s="376"/>
      <c r="K1420" s="214"/>
      <c r="S1420" s="214"/>
      <c r="Y1420" s="214"/>
      <c r="Z1420" s="214"/>
      <c r="AF1420" s="212"/>
      <c r="AG1420" s="212"/>
    </row>
    <row r="1421" spans="5:33">
      <c r="E1421" s="376"/>
      <c r="F1421" s="376"/>
      <c r="G1421" s="376"/>
      <c r="H1421" s="376"/>
      <c r="K1421" s="214"/>
      <c r="S1421" s="214"/>
      <c r="Y1421" s="214"/>
      <c r="Z1421" s="214"/>
      <c r="AF1421" s="212"/>
      <c r="AG1421" s="212"/>
    </row>
    <row r="1422" spans="5:33">
      <c r="E1422" s="376"/>
      <c r="F1422" s="376"/>
      <c r="G1422" s="376"/>
      <c r="H1422" s="376"/>
      <c r="K1422" s="214"/>
      <c r="S1422" s="214"/>
      <c r="Y1422" s="214"/>
      <c r="Z1422" s="214"/>
      <c r="AF1422" s="212"/>
      <c r="AG1422" s="212"/>
    </row>
    <row r="1423" spans="5:33">
      <c r="E1423" s="376"/>
      <c r="F1423" s="376"/>
      <c r="G1423" s="376"/>
      <c r="H1423" s="376"/>
      <c r="K1423" s="214"/>
      <c r="S1423" s="214"/>
      <c r="Y1423" s="214"/>
      <c r="Z1423" s="214"/>
      <c r="AF1423" s="212"/>
      <c r="AG1423" s="212"/>
    </row>
    <row r="1424" spans="5:33">
      <c r="E1424" s="376"/>
      <c r="F1424" s="376"/>
      <c r="G1424" s="376"/>
      <c r="H1424" s="376"/>
      <c r="K1424" s="214"/>
      <c r="S1424" s="214"/>
      <c r="Y1424" s="214"/>
      <c r="Z1424" s="214"/>
      <c r="AF1424" s="212"/>
      <c r="AG1424" s="212"/>
    </row>
    <row r="1425" spans="5:33">
      <c r="E1425" s="376"/>
      <c r="F1425" s="376"/>
      <c r="G1425" s="376"/>
      <c r="H1425" s="376"/>
      <c r="K1425" s="214"/>
      <c r="S1425" s="214"/>
      <c r="Y1425" s="214"/>
      <c r="Z1425" s="214"/>
      <c r="AF1425" s="212"/>
      <c r="AG1425" s="212"/>
    </row>
    <row r="1426" spans="5:33">
      <c r="E1426" s="376"/>
      <c r="F1426" s="376"/>
      <c r="G1426" s="376"/>
      <c r="H1426" s="376"/>
      <c r="K1426" s="214"/>
      <c r="S1426" s="214"/>
      <c r="Y1426" s="214"/>
      <c r="Z1426" s="214"/>
      <c r="AF1426" s="212"/>
      <c r="AG1426" s="212"/>
    </row>
    <row r="1427" spans="5:33">
      <c r="E1427" s="376"/>
      <c r="F1427" s="376"/>
      <c r="G1427" s="376"/>
      <c r="H1427" s="376"/>
      <c r="K1427" s="214"/>
      <c r="S1427" s="214"/>
      <c r="Y1427" s="214"/>
      <c r="Z1427" s="214"/>
      <c r="AF1427" s="212"/>
      <c r="AG1427" s="212"/>
    </row>
    <row r="1428" spans="5:33">
      <c r="E1428" s="376"/>
      <c r="F1428" s="376"/>
      <c r="G1428" s="376"/>
      <c r="H1428" s="376"/>
      <c r="K1428" s="214"/>
      <c r="S1428" s="214"/>
      <c r="Y1428" s="214"/>
      <c r="Z1428" s="214"/>
      <c r="AF1428" s="212"/>
      <c r="AG1428" s="212"/>
    </row>
    <row r="1429" spans="5:33">
      <c r="E1429" s="376"/>
      <c r="F1429" s="376"/>
      <c r="G1429" s="376"/>
      <c r="H1429" s="376"/>
      <c r="K1429" s="214"/>
      <c r="S1429" s="214"/>
      <c r="Y1429" s="214"/>
      <c r="Z1429" s="214"/>
      <c r="AF1429" s="212"/>
      <c r="AG1429" s="212"/>
    </row>
    <row r="1430" spans="5:33">
      <c r="E1430" s="376"/>
      <c r="F1430" s="376"/>
      <c r="G1430" s="376"/>
      <c r="H1430" s="376"/>
      <c r="K1430" s="214"/>
      <c r="S1430" s="214"/>
      <c r="Y1430" s="214"/>
      <c r="Z1430" s="214"/>
      <c r="AF1430" s="212"/>
      <c r="AG1430" s="212"/>
    </row>
    <row r="1431" spans="5:33">
      <c r="E1431" s="376"/>
      <c r="F1431" s="376"/>
      <c r="G1431" s="376"/>
      <c r="H1431" s="376"/>
      <c r="K1431" s="214"/>
      <c r="S1431" s="214"/>
      <c r="Y1431" s="214"/>
      <c r="Z1431" s="214"/>
      <c r="AF1431" s="212"/>
      <c r="AG1431" s="212"/>
    </row>
    <row r="1432" spans="5:33">
      <c r="E1432" s="376"/>
      <c r="F1432" s="376"/>
      <c r="G1432" s="376"/>
      <c r="H1432" s="376"/>
      <c r="K1432" s="214"/>
      <c r="S1432" s="214"/>
      <c r="Y1432" s="214"/>
      <c r="Z1432" s="214"/>
      <c r="AF1432" s="212"/>
      <c r="AG1432" s="212"/>
    </row>
    <row r="1433" spans="5:33">
      <c r="E1433" s="376"/>
      <c r="F1433" s="376"/>
      <c r="G1433" s="376"/>
      <c r="H1433" s="376"/>
      <c r="K1433" s="214"/>
      <c r="S1433" s="214"/>
      <c r="Y1433" s="214"/>
      <c r="Z1433" s="214"/>
      <c r="AF1433" s="212"/>
      <c r="AG1433" s="212"/>
    </row>
    <row r="1434" spans="5:33">
      <c r="E1434" s="376"/>
      <c r="F1434" s="376"/>
      <c r="G1434" s="376"/>
      <c r="H1434" s="376"/>
      <c r="K1434" s="214"/>
      <c r="S1434" s="214"/>
      <c r="Y1434" s="214"/>
      <c r="Z1434" s="214"/>
      <c r="AF1434" s="212"/>
      <c r="AG1434" s="212"/>
    </row>
    <row r="1435" spans="5:33">
      <c r="E1435" s="376"/>
      <c r="F1435" s="376"/>
      <c r="G1435" s="376"/>
      <c r="H1435" s="376"/>
      <c r="K1435" s="214"/>
      <c r="S1435" s="214"/>
      <c r="Y1435" s="214"/>
      <c r="Z1435" s="214"/>
      <c r="AF1435" s="212"/>
      <c r="AG1435" s="212"/>
    </row>
    <row r="1436" spans="5:33">
      <c r="E1436" s="376"/>
      <c r="F1436" s="376"/>
      <c r="G1436" s="376"/>
      <c r="H1436" s="376"/>
      <c r="K1436" s="214"/>
      <c r="S1436" s="214"/>
      <c r="Y1436" s="214"/>
      <c r="Z1436" s="214"/>
      <c r="AF1436" s="212"/>
      <c r="AG1436" s="212"/>
    </row>
    <row r="1437" spans="5:33">
      <c r="E1437" s="376"/>
      <c r="F1437" s="376"/>
      <c r="G1437" s="376"/>
      <c r="H1437" s="376"/>
      <c r="K1437" s="214"/>
      <c r="S1437" s="214"/>
      <c r="Y1437" s="214"/>
      <c r="Z1437" s="214"/>
      <c r="AF1437" s="212"/>
      <c r="AG1437" s="212"/>
    </row>
    <row r="1438" spans="5:33">
      <c r="E1438" s="376"/>
      <c r="F1438" s="376"/>
      <c r="G1438" s="376"/>
      <c r="H1438" s="376"/>
      <c r="K1438" s="214"/>
      <c r="S1438" s="214"/>
      <c r="Y1438" s="214"/>
      <c r="Z1438" s="214"/>
      <c r="AF1438" s="212"/>
      <c r="AG1438" s="212"/>
    </row>
    <row r="1439" spans="5:33">
      <c r="E1439" s="376"/>
      <c r="F1439" s="376"/>
      <c r="G1439" s="376"/>
      <c r="H1439" s="376"/>
      <c r="K1439" s="214"/>
      <c r="S1439" s="214"/>
      <c r="Y1439" s="214"/>
      <c r="Z1439" s="214"/>
      <c r="AF1439" s="212"/>
      <c r="AG1439" s="212"/>
    </row>
    <row r="1440" spans="5:33">
      <c r="E1440" s="376"/>
      <c r="F1440" s="376"/>
      <c r="G1440" s="376"/>
      <c r="H1440" s="376"/>
      <c r="K1440" s="214"/>
      <c r="S1440" s="214"/>
      <c r="Y1440" s="214"/>
      <c r="Z1440" s="214"/>
      <c r="AF1440" s="212"/>
      <c r="AG1440" s="212"/>
    </row>
    <row r="1441" spans="5:33">
      <c r="E1441" s="376"/>
      <c r="F1441" s="376"/>
      <c r="G1441" s="376"/>
      <c r="H1441" s="376"/>
      <c r="K1441" s="214"/>
      <c r="S1441" s="214"/>
      <c r="Y1441" s="214"/>
      <c r="Z1441" s="214"/>
      <c r="AF1441" s="212"/>
      <c r="AG1441" s="212"/>
    </row>
    <row r="1442" spans="5:33">
      <c r="E1442" s="376"/>
      <c r="F1442" s="376"/>
      <c r="G1442" s="376"/>
      <c r="H1442" s="376"/>
      <c r="K1442" s="214"/>
      <c r="S1442" s="214"/>
      <c r="Y1442" s="214"/>
      <c r="Z1442" s="214"/>
      <c r="AF1442" s="212"/>
      <c r="AG1442" s="212"/>
    </row>
    <row r="1443" spans="5:33">
      <c r="E1443" s="376"/>
      <c r="F1443" s="376"/>
      <c r="G1443" s="376"/>
      <c r="H1443" s="376"/>
      <c r="K1443" s="214"/>
      <c r="S1443" s="214"/>
      <c r="Y1443" s="214"/>
      <c r="Z1443" s="214"/>
      <c r="AF1443" s="212"/>
      <c r="AG1443" s="212"/>
    </row>
    <row r="1444" spans="5:33">
      <c r="E1444" s="376"/>
      <c r="F1444" s="376"/>
      <c r="G1444" s="376"/>
      <c r="H1444" s="376"/>
      <c r="K1444" s="214"/>
      <c r="S1444" s="214"/>
      <c r="Y1444" s="214"/>
      <c r="Z1444" s="214"/>
      <c r="AF1444" s="212"/>
      <c r="AG1444" s="212"/>
    </row>
    <row r="1445" spans="5:33">
      <c r="E1445" s="376"/>
      <c r="F1445" s="376"/>
      <c r="G1445" s="376"/>
      <c r="H1445" s="376"/>
      <c r="K1445" s="214"/>
      <c r="S1445" s="214"/>
      <c r="Y1445" s="214"/>
      <c r="Z1445" s="214"/>
      <c r="AF1445" s="212"/>
      <c r="AG1445" s="212"/>
    </row>
    <row r="1446" spans="5:33">
      <c r="E1446" s="376"/>
      <c r="F1446" s="376"/>
      <c r="G1446" s="376"/>
      <c r="H1446" s="376"/>
      <c r="K1446" s="214"/>
      <c r="S1446" s="214"/>
      <c r="Y1446" s="214"/>
      <c r="Z1446" s="214"/>
      <c r="AF1446" s="212"/>
      <c r="AG1446" s="212"/>
    </row>
    <row r="1447" spans="5:33">
      <c r="E1447" s="376"/>
      <c r="F1447" s="376"/>
      <c r="G1447" s="376"/>
      <c r="H1447" s="376"/>
      <c r="K1447" s="214"/>
      <c r="S1447" s="214"/>
      <c r="Y1447" s="214"/>
      <c r="Z1447" s="214"/>
      <c r="AF1447" s="212"/>
      <c r="AG1447" s="212"/>
    </row>
    <row r="1448" spans="5:33">
      <c r="E1448" s="376"/>
      <c r="F1448" s="376"/>
      <c r="G1448" s="376"/>
      <c r="H1448" s="376"/>
      <c r="K1448" s="214"/>
      <c r="S1448" s="214"/>
      <c r="Y1448" s="214"/>
      <c r="Z1448" s="214"/>
      <c r="AF1448" s="212"/>
      <c r="AG1448" s="212"/>
    </row>
    <row r="1449" spans="5:33">
      <c r="E1449" s="376"/>
      <c r="F1449" s="376"/>
      <c r="G1449" s="376"/>
      <c r="H1449" s="376"/>
      <c r="K1449" s="214"/>
      <c r="S1449" s="214"/>
      <c r="Y1449" s="214"/>
      <c r="Z1449" s="214"/>
      <c r="AF1449" s="212"/>
      <c r="AG1449" s="212"/>
    </row>
    <row r="1450" spans="5:33">
      <c r="E1450" s="376"/>
      <c r="F1450" s="376"/>
      <c r="G1450" s="376"/>
      <c r="H1450" s="376"/>
      <c r="K1450" s="214"/>
      <c r="S1450" s="214"/>
      <c r="Y1450" s="214"/>
      <c r="Z1450" s="214"/>
      <c r="AF1450" s="212"/>
      <c r="AG1450" s="212"/>
    </row>
    <row r="1451" spans="5:33">
      <c r="E1451" s="376"/>
      <c r="F1451" s="376"/>
      <c r="G1451" s="376"/>
      <c r="H1451" s="376"/>
      <c r="K1451" s="214"/>
      <c r="S1451" s="214"/>
      <c r="Y1451" s="214"/>
      <c r="Z1451" s="214"/>
      <c r="AF1451" s="212"/>
      <c r="AG1451" s="212"/>
    </row>
    <row r="1452" spans="5:33">
      <c r="E1452" s="376"/>
      <c r="F1452" s="376"/>
      <c r="G1452" s="376"/>
      <c r="H1452" s="376"/>
      <c r="K1452" s="214"/>
      <c r="S1452" s="214"/>
      <c r="Y1452" s="214"/>
      <c r="Z1452" s="214"/>
      <c r="AF1452" s="212"/>
      <c r="AG1452" s="212"/>
    </row>
    <row r="1453" spans="5:33">
      <c r="E1453" s="376"/>
      <c r="F1453" s="376"/>
      <c r="G1453" s="376"/>
      <c r="H1453" s="376"/>
      <c r="K1453" s="214"/>
      <c r="S1453" s="214"/>
      <c r="Y1453" s="214"/>
      <c r="Z1453" s="214"/>
      <c r="AF1453" s="212"/>
      <c r="AG1453" s="212"/>
    </row>
    <row r="1454" spans="5:33">
      <c r="E1454" s="376"/>
      <c r="F1454" s="376"/>
      <c r="G1454" s="376"/>
      <c r="H1454" s="376"/>
      <c r="K1454" s="214"/>
      <c r="S1454" s="214"/>
      <c r="Y1454" s="214"/>
      <c r="Z1454" s="214"/>
      <c r="AF1454" s="212"/>
      <c r="AG1454" s="212"/>
    </row>
    <row r="1455" spans="5:33">
      <c r="E1455" s="376"/>
      <c r="F1455" s="376"/>
      <c r="G1455" s="376"/>
      <c r="H1455" s="376"/>
      <c r="K1455" s="214"/>
      <c r="S1455" s="214"/>
      <c r="Y1455" s="214"/>
      <c r="Z1455" s="214"/>
      <c r="AF1455" s="212"/>
      <c r="AG1455" s="212"/>
    </row>
    <row r="1456" spans="5:33">
      <c r="E1456" s="376"/>
      <c r="F1456" s="376"/>
      <c r="G1456" s="376"/>
      <c r="H1456" s="376"/>
      <c r="K1456" s="214"/>
      <c r="S1456" s="214"/>
      <c r="Y1456" s="214"/>
      <c r="Z1456" s="214"/>
      <c r="AF1456" s="212"/>
      <c r="AG1456" s="212"/>
    </row>
    <row r="1457" spans="5:33">
      <c r="E1457" s="376"/>
      <c r="F1457" s="376"/>
      <c r="G1457" s="376"/>
      <c r="H1457" s="376"/>
      <c r="K1457" s="214"/>
      <c r="S1457" s="214"/>
      <c r="Y1457" s="214"/>
      <c r="Z1457" s="214"/>
      <c r="AF1457" s="212"/>
      <c r="AG1457" s="212"/>
    </row>
    <row r="1458" spans="5:33">
      <c r="E1458" s="376"/>
      <c r="F1458" s="376"/>
      <c r="G1458" s="376"/>
      <c r="H1458" s="376"/>
      <c r="K1458" s="214"/>
      <c r="S1458" s="214"/>
      <c r="Y1458" s="214"/>
      <c r="Z1458" s="214"/>
      <c r="AF1458" s="212"/>
      <c r="AG1458" s="212"/>
    </row>
    <row r="1459" spans="5:33">
      <c r="E1459" s="376"/>
      <c r="F1459" s="376"/>
      <c r="G1459" s="376"/>
      <c r="H1459" s="376"/>
      <c r="K1459" s="214"/>
      <c r="S1459" s="214"/>
      <c r="Y1459" s="214"/>
      <c r="Z1459" s="214"/>
      <c r="AF1459" s="212"/>
      <c r="AG1459" s="212"/>
    </row>
    <row r="1460" spans="5:33">
      <c r="E1460" s="376"/>
      <c r="F1460" s="376"/>
      <c r="G1460" s="376"/>
      <c r="H1460" s="376"/>
      <c r="K1460" s="214"/>
      <c r="S1460" s="214"/>
      <c r="Y1460" s="214"/>
      <c r="Z1460" s="214"/>
      <c r="AF1460" s="212"/>
      <c r="AG1460" s="212"/>
    </row>
    <row r="1461" spans="5:33">
      <c r="E1461" s="376"/>
      <c r="F1461" s="376"/>
      <c r="G1461" s="376"/>
      <c r="H1461" s="376"/>
      <c r="K1461" s="214"/>
      <c r="S1461" s="214"/>
      <c r="Y1461" s="214"/>
      <c r="Z1461" s="214"/>
      <c r="AF1461" s="212"/>
      <c r="AG1461" s="212"/>
    </row>
    <row r="1462" spans="5:33">
      <c r="E1462" s="376"/>
      <c r="F1462" s="376"/>
      <c r="G1462" s="376"/>
      <c r="H1462" s="376"/>
      <c r="K1462" s="214"/>
      <c r="S1462" s="214"/>
      <c r="Y1462" s="214"/>
      <c r="Z1462" s="214"/>
      <c r="AF1462" s="212"/>
      <c r="AG1462" s="212"/>
    </row>
    <row r="1463" spans="5:33">
      <c r="E1463" s="376"/>
      <c r="F1463" s="376"/>
      <c r="G1463" s="376"/>
      <c r="H1463" s="376"/>
      <c r="K1463" s="214"/>
      <c r="S1463" s="214"/>
      <c r="Y1463" s="214"/>
      <c r="Z1463" s="214"/>
      <c r="AF1463" s="212"/>
      <c r="AG1463" s="212"/>
    </row>
    <row r="1464" spans="5:33">
      <c r="E1464" s="376"/>
      <c r="F1464" s="376"/>
      <c r="G1464" s="376"/>
      <c r="H1464" s="376"/>
      <c r="K1464" s="214"/>
      <c r="S1464" s="214"/>
      <c r="Y1464" s="214"/>
      <c r="Z1464" s="214"/>
      <c r="AF1464" s="212"/>
      <c r="AG1464" s="212"/>
    </row>
    <row r="1465" spans="5:33">
      <c r="E1465" s="376"/>
      <c r="F1465" s="376"/>
      <c r="G1465" s="376"/>
      <c r="H1465" s="376"/>
      <c r="K1465" s="214"/>
      <c r="S1465" s="214"/>
      <c r="Y1465" s="214"/>
      <c r="Z1465" s="214"/>
      <c r="AF1465" s="212"/>
      <c r="AG1465" s="212"/>
    </row>
    <row r="1466" spans="5:33">
      <c r="E1466" s="376"/>
      <c r="F1466" s="376"/>
      <c r="G1466" s="376"/>
      <c r="H1466" s="376"/>
      <c r="K1466" s="214"/>
      <c r="S1466" s="214"/>
      <c r="Y1466" s="214"/>
      <c r="Z1466" s="214"/>
      <c r="AF1466" s="212"/>
      <c r="AG1466" s="212"/>
    </row>
    <row r="1467" spans="5:33">
      <c r="E1467" s="376"/>
      <c r="F1467" s="376"/>
      <c r="G1467" s="376"/>
      <c r="H1467" s="376"/>
      <c r="K1467" s="214"/>
      <c r="S1467" s="214"/>
      <c r="Y1467" s="214"/>
      <c r="Z1467" s="214"/>
      <c r="AF1467" s="212"/>
      <c r="AG1467" s="212"/>
    </row>
    <row r="1468" spans="5:33">
      <c r="E1468" s="376"/>
      <c r="F1468" s="376"/>
      <c r="G1468" s="376"/>
      <c r="H1468" s="376"/>
      <c r="K1468" s="214"/>
      <c r="S1468" s="214"/>
      <c r="Y1468" s="214"/>
      <c r="Z1468" s="214"/>
      <c r="AF1468" s="212"/>
      <c r="AG1468" s="212"/>
    </row>
    <row r="1469" spans="5:33">
      <c r="E1469" s="376"/>
      <c r="F1469" s="376"/>
      <c r="G1469" s="376"/>
      <c r="H1469" s="376"/>
      <c r="K1469" s="214"/>
      <c r="S1469" s="214"/>
      <c r="Y1469" s="214"/>
      <c r="Z1469" s="214"/>
      <c r="AF1469" s="212"/>
      <c r="AG1469" s="212"/>
    </row>
    <row r="1470" spans="5:33">
      <c r="E1470" s="376"/>
      <c r="F1470" s="376"/>
      <c r="G1470" s="376"/>
      <c r="H1470" s="376"/>
      <c r="K1470" s="214"/>
      <c r="S1470" s="214"/>
      <c r="Y1470" s="214"/>
      <c r="Z1470" s="214"/>
      <c r="AF1470" s="212"/>
      <c r="AG1470" s="212"/>
    </row>
    <row r="1471" spans="5:33">
      <c r="E1471" s="376"/>
      <c r="F1471" s="376"/>
      <c r="G1471" s="376"/>
      <c r="H1471" s="376"/>
      <c r="K1471" s="214"/>
      <c r="S1471" s="214"/>
      <c r="Y1471" s="214"/>
      <c r="Z1471" s="214"/>
      <c r="AF1471" s="212"/>
      <c r="AG1471" s="212"/>
    </row>
    <row r="1472" spans="5:33">
      <c r="E1472" s="376"/>
      <c r="F1472" s="376"/>
      <c r="G1472" s="376"/>
      <c r="H1472" s="376"/>
      <c r="K1472" s="214"/>
      <c r="S1472" s="214"/>
      <c r="Y1472" s="214"/>
      <c r="Z1472" s="214"/>
      <c r="AF1472" s="212"/>
      <c r="AG1472" s="212"/>
    </row>
    <row r="1473" spans="5:33">
      <c r="E1473" s="376"/>
      <c r="F1473" s="376"/>
      <c r="G1473" s="376"/>
      <c r="H1473" s="376"/>
      <c r="K1473" s="214"/>
      <c r="S1473" s="214"/>
      <c r="Y1473" s="214"/>
      <c r="Z1473" s="214"/>
      <c r="AF1473" s="212"/>
      <c r="AG1473" s="212"/>
    </row>
    <row r="1474" spans="5:33">
      <c r="E1474" s="376"/>
      <c r="F1474" s="376"/>
      <c r="G1474" s="376"/>
      <c r="H1474" s="376"/>
      <c r="K1474" s="214"/>
      <c r="S1474" s="214"/>
      <c r="Y1474" s="214"/>
      <c r="Z1474" s="214"/>
      <c r="AF1474" s="212"/>
      <c r="AG1474" s="212"/>
    </row>
    <row r="1475" spans="5:33">
      <c r="E1475" s="376"/>
      <c r="F1475" s="376"/>
      <c r="G1475" s="376"/>
      <c r="H1475" s="376"/>
      <c r="K1475" s="214"/>
      <c r="S1475" s="214"/>
      <c r="Y1475" s="214"/>
      <c r="Z1475" s="214"/>
      <c r="AF1475" s="212"/>
      <c r="AG1475" s="212"/>
    </row>
    <row r="1476" spans="5:33">
      <c r="E1476" s="376"/>
      <c r="F1476" s="376"/>
      <c r="G1476" s="376"/>
      <c r="H1476" s="376"/>
      <c r="K1476" s="214"/>
      <c r="S1476" s="214"/>
      <c r="Y1476" s="214"/>
      <c r="Z1476" s="214"/>
      <c r="AF1476" s="212"/>
      <c r="AG1476" s="212"/>
    </row>
    <row r="1477" spans="5:33">
      <c r="E1477" s="376"/>
      <c r="F1477" s="376"/>
      <c r="G1477" s="376"/>
      <c r="H1477" s="376"/>
      <c r="K1477" s="214"/>
      <c r="S1477" s="214"/>
      <c r="Y1477" s="214"/>
      <c r="Z1477" s="214"/>
      <c r="AF1477" s="212"/>
      <c r="AG1477" s="212"/>
    </row>
    <row r="1478" spans="5:33">
      <c r="E1478" s="376"/>
      <c r="F1478" s="376"/>
      <c r="G1478" s="376"/>
      <c r="H1478" s="376"/>
      <c r="K1478" s="214"/>
      <c r="S1478" s="214"/>
      <c r="Y1478" s="214"/>
      <c r="Z1478" s="214"/>
      <c r="AF1478" s="212"/>
      <c r="AG1478" s="212"/>
    </row>
    <row r="1479" spans="5:33">
      <c r="E1479" s="376"/>
      <c r="F1479" s="376"/>
      <c r="G1479" s="376"/>
      <c r="H1479" s="376"/>
      <c r="K1479" s="214"/>
      <c r="S1479" s="214"/>
      <c r="Y1479" s="214"/>
      <c r="Z1479" s="214"/>
      <c r="AF1479" s="212"/>
      <c r="AG1479" s="212"/>
    </row>
    <row r="1480" spans="5:33">
      <c r="E1480" s="376"/>
      <c r="F1480" s="376"/>
      <c r="G1480" s="376"/>
      <c r="H1480" s="376"/>
      <c r="K1480" s="214"/>
      <c r="S1480" s="214"/>
      <c r="Y1480" s="214"/>
      <c r="Z1480" s="214"/>
      <c r="AF1480" s="212"/>
      <c r="AG1480" s="212"/>
    </row>
    <row r="1481" spans="5:33">
      <c r="E1481" s="376"/>
      <c r="F1481" s="376"/>
      <c r="G1481" s="376"/>
      <c r="H1481" s="376"/>
      <c r="K1481" s="214"/>
      <c r="S1481" s="214"/>
      <c r="Y1481" s="214"/>
      <c r="Z1481" s="214"/>
      <c r="AF1481" s="212"/>
      <c r="AG1481" s="212"/>
    </row>
    <row r="1482" spans="5:33">
      <c r="E1482" s="376"/>
      <c r="F1482" s="376"/>
      <c r="G1482" s="376"/>
      <c r="H1482" s="376"/>
      <c r="K1482" s="214"/>
      <c r="S1482" s="214"/>
      <c r="Y1482" s="214"/>
      <c r="Z1482" s="214"/>
      <c r="AF1482" s="212"/>
      <c r="AG1482" s="212"/>
    </row>
    <row r="1483" spans="5:33">
      <c r="E1483" s="376"/>
      <c r="F1483" s="376"/>
      <c r="G1483" s="376"/>
      <c r="H1483" s="376"/>
      <c r="K1483" s="214"/>
      <c r="S1483" s="214"/>
      <c r="Y1483" s="214"/>
      <c r="Z1483" s="214"/>
      <c r="AF1483" s="212"/>
      <c r="AG1483" s="212"/>
    </row>
    <row r="1484" spans="5:33">
      <c r="E1484" s="376"/>
      <c r="F1484" s="376"/>
      <c r="G1484" s="376"/>
      <c r="H1484" s="376"/>
      <c r="K1484" s="214"/>
      <c r="S1484" s="214"/>
      <c r="Y1484" s="214"/>
      <c r="Z1484" s="214"/>
      <c r="AF1484" s="212"/>
      <c r="AG1484" s="212"/>
    </row>
    <row r="1485" spans="5:33">
      <c r="E1485" s="376"/>
      <c r="F1485" s="376"/>
      <c r="G1485" s="376"/>
      <c r="H1485" s="376"/>
      <c r="K1485" s="214"/>
      <c r="S1485" s="214"/>
      <c r="Y1485" s="214"/>
      <c r="Z1485" s="214"/>
      <c r="AF1485" s="212"/>
      <c r="AG1485" s="212"/>
    </row>
    <row r="1486" spans="5:33">
      <c r="E1486" s="376"/>
      <c r="F1486" s="376"/>
      <c r="G1486" s="376"/>
      <c r="H1486" s="376"/>
      <c r="K1486" s="214"/>
      <c r="S1486" s="214"/>
      <c r="Y1486" s="214"/>
      <c r="Z1486" s="214"/>
      <c r="AF1486" s="212"/>
      <c r="AG1486" s="212"/>
    </row>
    <row r="1487" spans="5:33">
      <c r="E1487" s="376"/>
      <c r="F1487" s="376"/>
      <c r="G1487" s="376"/>
      <c r="H1487" s="376"/>
      <c r="K1487" s="214"/>
      <c r="S1487" s="214"/>
      <c r="Y1487" s="214"/>
      <c r="Z1487" s="214"/>
      <c r="AF1487" s="212"/>
      <c r="AG1487" s="212"/>
    </row>
    <row r="1488" spans="5:33">
      <c r="E1488" s="376"/>
      <c r="F1488" s="376"/>
      <c r="G1488" s="376"/>
      <c r="H1488" s="376"/>
      <c r="K1488" s="214"/>
      <c r="S1488" s="214"/>
      <c r="Y1488" s="214"/>
      <c r="Z1488" s="214"/>
      <c r="AF1488" s="212"/>
      <c r="AG1488" s="212"/>
    </row>
    <row r="1489" spans="5:33">
      <c r="E1489" s="376"/>
      <c r="F1489" s="376"/>
      <c r="G1489" s="376"/>
      <c r="H1489" s="376"/>
      <c r="K1489" s="214"/>
      <c r="S1489" s="214"/>
      <c r="Y1489" s="214"/>
      <c r="Z1489" s="214"/>
      <c r="AF1489" s="212"/>
      <c r="AG1489" s="212"/>
    </row>
    <row r="1490" spans="5:33">
      <c r="E1490" s="376"/>
      <c r="F1490" s="376"/>
      <c r="G1490" s="376"/>
      <c r="H1490" s="376"/>
      <c r="K1490" s="214"/>
      <c r="S1490" s="214"/>
      <c r="Y1490" s="214"/>
      <c r="Z1490" s="214"/>
      <c r="AF1490" s="212"/>
      <c r="AG1490" s="212"/>
    </row>
    <row r="1491" spans="5:33">
      <c r="E1491" s="376"/>
      <c r="F1491" s="376"/>
      <c r="G1491" s="376"/>
      <c r="H1491" s="376"/>
      <c r="K1491" s="214"/>
      <c r="S1491" s="214"/>
      <c r="Y1491" s="214"/>
      <c r="Z1491" s="214"/>
      <c r="AF1491" s="212"/>
      <c r="AG1491" s="212"/>
    </row>
    <row r="1492" spans="5:33">
      <c r="E1492" s="376"/>
      <c r="F1492" s="376"/>
      <c r="G1492" s="376"/>
      <c r="H1492" s="376"/>
      <c r="K1492" s="214"/>
      <c r="S1492" s="214"/>
      <c r="Y1492" s="214"/>
      <c r="Z1492" s="214"/>
      <c r="AF1492" s="212"/>
      <c r="AG1492" s="212"/>
    </row>
    <row r="1493" spans="5:33">
      <c r="E1493" s="376"/>
      <c r="F1493" s="376"/>
      <c r="G1493" s="376"/>
      <c r="H1493" s="376"/>
      <c r="K1493" s="214"/>
      <c r="S1493" s="214"/>
      <c r="Y1493" s="214"/>
      <c r="Z1493" s="214"/>
      <c r="AF1493" s="212"/>
      <c r="AG1493" s="212"/>
    </row>
    <row r="1494" spans="5:33">
      <c r="E1494" s="376"/>
      <c r="F1494" s="376"/>
      <c r="G1494" s="376"/>
      <c r="H1494" s="376"/>
      <c r="K1494" s="214"/>
      <c r="S1494" s="214"/>
      <c r="Y1494" s="214"/>
      <c r="Z1494" s="214"/>
      <c r="AF1494" s="212"/>
      <c r="AG1494" s="212"/>
    </row>
    <row r="1495" spans="5:33">
      <c r="E1495" s="376"/>
      <c r="F1495" s="376"/>
      <c r="G1495" s="376"/>
      <c r="H1495" s="376"/>
      <c r="K1495" s="214"/>
      <c r="S1495" s="214"/>
      <c r="Y1495" s="214"/>
      <c r="Z1495" s="214"/>
      <c r="AF1495" s="212"/>
      <c r="AG1495" s="212"/>
    </row>
    <row r="1496" spans="5:33">
      <c r="E1496" s="376"/>
      <c r="F1496" s="376"/>
      <c r="G1496" s="376"/>
      <c r="H1496" s="376"/>
      <c r="K1496" s="214"/>
      <c r="S1496" s="214"/>
      <c r="Y1496" s="214"/>
      <c r="Z1496" s="214"/>
      <c r="AF1496" s="212"/>
      <c r="AG1496" s="212"/>
    </row>
    <row r="1497" spans="5:33">
      <c r="E1497" s="376"/>
      <c r="F1497" s="376"/>
      <c r="G1497" s="376"/>
      <c r="H1497" s="376"/>
      <c r="K1497" s="214"/>
      <c r="S1497" s="214"/>
      <c r="Y1497" s="214"/>
      <c r="Z1497" s="214"/>
      <c r="AF1497" s="212"/>
      <c r="AG1497" s="212"/>
    </row>
    <row r="1498" spans="5:33">
      <c r="E1498" s="376"/>
      <c r="F1498" s="376"/>
      <c r="G1498" s="376"/>
      <c r="H1498" s="376"/>
      <c r="K1498" s="214"/>
      <c r="S1498" s="214"/>
      <c r="Y1498" s="214"/>
      <c r="Z1498" s="214"/>
      <c r="AF1498" s="212"/>
      <c r="AG1498" s="212"/>
    </row>
    <row r="1499" spans="5:33">
      <c r="E1499" s="376"/>
      <c r="F1499" s="376"/>
      <c r="G1499" s="376"/>
      <c r="H1499" s="376"/>
      <c r="K1499" s="214"/>
      <c r="S1499" s="214"/>
      <c r="Y1499" s="214"/>
      <c r="Z1499" s="214"/>
      <c r="AF1499" s="212"/>
      <c r="AG1499" s="212"/>
    </row>
    <row r="1500" spans="5:33">
      <c r="E1500" s="376"/>
      <c r="F1500" s="376"/>
      <c r="G1500" s="376"/>
      <c r="H1500" s="376"/>
      <c r="K1500" s="214"/>
      <c r="S1500" s="214"/>
      <c r="Y1500" s="214"/>
      <c r="Z1500" s="214"/>
      <c r="AF1500" s="212"/>
      <c r="AG1500" s="212"/>
    </row>
    <row r="1501" spans="5:33">
      <c r="E1501" s="376"/>
      <c r="F1501" s="376"/>
      <c r="G1501" s="376"/>
      <c r="H1501" s="376"/>
      <c r="K1501" s="214"/>
      <c r="S1501" s="214"/>
      <c r="Y1501" s="214"/>
      <c r="Z1501" s="214"/>
      <c r="AF1501" s="212"/>
      <c r="AG1501" s="212"/>
    </row>
    <row r="1502" spans="5:33">
      <c r="E1502" s="376"/>
      <c r="F1502" s="376"/>
      <c r="G1502" s="376"/>
      <c r="H1502" s="376"/>
      <c r="K1502" s="214"/>
      <c r="S1502" s="214"/>
      <c r="Y1502" s="214"/>
      <c r="Z1502" s="214"/>
      <c r="AF1502" s="212"/>
      <c r="AG1502" s="212"/>
    </row>
    <row r="1503" spans="5:33">
      <c r="E1503" s="376"/>
      <c r="F1503" s="376"/>
      <c r="G1503" s="376"/>
      <c r="H1503" s="376"/>
      <c r="K1503" s="214"/>
      <c r="S1503" s="214"/>
      <c r="Y1503" s="214"/>
      <c r="Z1503" s="214"/>
      <c r="AF1503" s="212"/>
      <c r="AG1503" s="212"/>
    </row>
    <row r="1504" spans="5:33">
      <c r="E1504" s="376"/>
      <c r="F1504" s="376"/>
      <c r="G1504" s="376"/>
      <c r="H1504" s="376"/>
      <c r="K1504" s="214"/>
      <c r="S1504" s="214"/>
      <c r="Y1504" s="214"/>
      <c r="Z1504" s="214"/>
      <c r="AF1504" s="212"/>
      <c r="AG1504" s="212"/>
    </row>
    <row r="1505" spans="5:33">
      <c r="E1505" s="376"/>
      <c r="F1505" s="376"/>
      <c r="G1505" s="376"/>
      <c r="H1505" s="376"/>
      <c r="K1505" s="214"/>
      <c r="S1505" s="214"/>
      <c r="Y1505" s="214"/>
      <c r="Z1505" s="214"/>
      <c r="AF1505" s="212"/>
      <c r="AG1505" s="212"/>
    </row>
    <row r="1506" spans="5:33">
      <c r="E1506" s="376"/>
      <c r="F1506" s="376"/>
      <c r="G1506" s="376"/>
      <c r="H1506" s="376"/>
      <c r="K1506" s="214"/>
      <c r="S1506" s="214"/>
      <c r="Y1506" s="214"/>
      <c r="Z1506" s="214"/>
      <c r="AF1506" s="212"/>
      <c r="AG1506" s="212"/>
    </row>
    <row r="1507" spans="5:33">
      <c r="E1507" s="376"/>
      <c r="F1507" s="376"/>
      <c r="G1507" s="376"/>
      <c r="H1507" s="376"/>
      <c r="K1507" s="214"/>
      <c r="S1507" s="214"/>
      <c r="Y1507" s="214"/>
      <c r="Z1507" s="214"/>
      <c r="AF1507" s="212"/>
      <c r="AG1507" s="212"/>
    </row>
    <row r="1508" spans="5:33">
      <c r="E1508" s="376"/>
      <c r="F1508" s="376"/>
      <c r="G1508" s="376"/>
      <c r="H1508" s="376"/>
      <c r="K1508" s="214"/>
      <c r="S1508" s="214"/>
      <c r="Y1508" s="214"/>
      <c r="Z1508" s="214"/>
      <c r="AF1508" s="212"/>
      <c r="AG1508" s="212"/>
    </row>
    <row r="1509" spans="5:33">
      <c r="E1509" s="376"/>
      <c r="F1509" s="376"/>
      <c r="G1509" s="376"/>
      <c r="H1509" s="376"/>
      <c r="K1509" s="214"/>
      <c r="S1509" s="214"/>
      <c r="Y1509" s="214"/>
      <c r="Z1509" s="214"/>
      <c r="AF1509" s="212"/>
      <c r="AG1509" s="212"/>
    </row>
    <row r="1510" spans="5:33">
      <c r="E1510" s="376"/>
      <c r="F1510" s="376"/>
      <c r="G1510" s="376"/>
      <c r="H1510" s="376"/>
      <c r="K1510" s="214"/>
      <c r="S1510" s="214"/>
      <c r="Y1510" s="214"/>
      <c r="Z1510" s="214"/>
      <c r="AF1510" s="212"/>
      <c r="AG1510" s="212"/>
    </row>
    <row r="1511" spans="5:33">
      <c r="E1511" s="376"/>
      <c r="F1511" s="376"/>
      <c r="G1511" s="376"/>
      <c r="H1511" s="376"/>
      <c r="K1511" s="214"/>
      <c r="S1511" s="214"/>
      <c r="Y1511" s="214"/>
      <c r="Z1511" s="214"/>
      <c r="AF1511" s="212"/>
      <c r="AG1511" s="212"/>
    </row>
    <row r="1512" spans="5:33">
      <c r="E1512" s="376"/>
      <c r="F1512" s="376"/>
      <c r="G1512" s="376"/>
      <c r="H1512" s="376"/>
      <c r="K1512" s="214"/>
      <c r="S1512" s="214"/>
      <c r="Y1512" s="214"/>
      <c r="Z1512" s="214"/>
      <c r="AF1512" s="212"/>
      <c r="AG1512" s="212"/>
    </row>
    <row r="1513" spans="5:33">
      <c r="E1513" s="376"/>
      <c r="F1513" s="376"/>
      <c r="G1513" s="376"/>
      <c r="H1513" s="376"/>
      <c r="K1513" s="214"/>
      <c r="S1513" s="214"/>
      <c r="Y1513" s="214"/>
      <c r="Z1513" s="214"/>
      <c r="AF1513" s="212"/>
      <c r="AG1513" s="212"/>
    </row>
    <row r="1514" spans="5:33">
      <c r="E1514" s="376"/>
      <c r="F1514" s="376"/>
      <c r="G1514" s="376"/>
      <c r="H1514" s="376"/>
      <c r="K1514" s="214"/>
      <c r="S1514" s="214"/>
      <c r="Y1514" s="214"/>
      <c r="Z1514" s="214"/>
      <c r="AF1514" s="212"/>
      <c r="AG1514" s="212"/>
    </row>
    <row r="1515" spans="5:33">
      <c r="E1515" s="376"/>
      <c r="F1515" s="376"/>
      <c r="G1515" s="376"/>
      <c r="H1515" s="376"/>
      <c r="K1515" s="214"/>
      <c r="S1515" s="214"/>
      <c r="Y1515" s="214"/>
      <c r="Z1515" s="214"/>
      <c r="AF1515" s="212"/>
      <c r="AG1515" s="212"/>
    </row>
    <row r="1516" spans="5:33">
      <c r="E1516" s="376"/>
      <c r="F1516" s="376"/>
      <c r="G1516" s="376"/>
      <c r="H1516" s="376"/>
      <c r="K1516" s="214"/>
      <c r="S1516" s="214"/>
      <c r="Y1516" s="214"/>
      <c r="Z1516" s="214"/>
      <c r="AF1516" s="212"/>
      <c r="AG1516" s="212"/>
    </row>
    <row r="1517" spans="5:33">
      <c r="E1517" s="376"/>
      <c r="F1517" s="376"/>
      <c r="G1517" s="376"/>
      <c r="H1517" s="376"/>
      <c r="K1517" s="214"/>
      <c r="S1517" s="214"/>
      <c r="Y1517" s="214"/>
      <c r="Z1517" s="214"/>
      <c r="AF1517" s="212"/>
      <c r="AG1517" s="212"/>
    </row>
    <row r="1518" spans="5:33">
      <c r="E1518" s="376"/>
      <c r="F1518" s="376"/>
      <c r="G1518" s="376"/>
      <c r="H1518" s="376"/>
      <c r="K1518" s="214"/>
      <c r="S1518" s="214"/>
      <c r="Y1518" s="214"/>
      <c r="Z1518" s="214"/>
      <c r="AF1518" s="212"/>
      <c r="AG1518" s="212"/>
    </row>
    <row r="1519" spans="5:33">
      <c r="E1519" s="376"/>
      <c r="F1519" s="376"/>
      <c r="G1519" s="376"/>
      <c r="H1519" s="376"/>
      <c r="K1519" s="214"/>
      <c r="S1519" s="214"/>
      <c r="Y1519" s="214"/>
      <c r="Z1519" s="214"/>
      <c r="AF1519" s="212"/>
      <c r="AG1519" s="212"/>
    </row>
    <row r="1520" spans="5:33">
      <c r="E1520" s="376"/>
      <c r="F1520" s="376"/>
      <c r="G1520" s="376"/>
      <c r="H1520" s="376"/>
      <c r="K1520" s="214"/>
      <c r="S1520" s="214"/>
      <c r="Y1520" s="214"/>
      <c r="Z1520" s="214"/>
      <c r="AF1520" s="212"/>
      <c r="AG1520" s="212"/>
    </row>
    <row r="1521" spans="5:33">
      <c r="E1521" s="376"/>
      <c r="F1521" s="376"/>
      <c r="G1521" s="376"/>
      <c r="H1521" s="376"/>
      <c r="K1521" s="214"/>
      <c r="S1521" s="214"/>
      <c r="Y1521" s="214"/>
      <c r="Z1521" s="214"/>
      <c r="AF1521" s="212"/>
      <c r="AG1521" s="212"/>
    </row>
    <row r="1522" spans="5:33">
      <c r="E1522" s="376"/>
      <c r="F1522" s="376"/>
      <c r="G1522" s="376"/>
      <c r="H1522" s="376"/>
      <c r="K1522" s="214"/>
      <c r="S1522" s="214"/>
      <c r="Y1522" s="214"/>
      <c r="Z1522" s="214"/>
      <c r="AF1522" s="212"/>
      <c r="AG1522" s="212"/>
    </row>
    <row r="1523" spans="5:33">
      <c r="E1523" s="376"/>
      <c r="F1523" s="376"/>
      <c r="G1523" s="376"/>
      <c r="H1523" s="376"/>
      <c r="K1523" s="214"/>
      <c r="S1523" s="214"/>
      <c r="Y1523" s="214"/>
      <c r="Z1523" s="214"/>
      <c r="AF1523" s="212"/>
      <c r="AG1523" s="212"/>
    </row>
    <row r="1524" spans="5:33">
      <c r="E1524" s="376"/>
      <c r="F1524" s="376"/>
      <c r="G1524" s="376"/>
      <c r="H1524" s="376"/>
      <c r="K1524" s="214"/>
      <c r="S1524" s="214"/>
      <c r="Y1524" s="214"/>
      <c r="Z1524" s="214"/>
      <c r="AF1524" s="212"/>
      <c r="AG1524" s="212"/>
    </row>
    <row r="1525" spans="5:33">
      <c r="E1525" s="376"/>
      <c r="F1525" s="376"/>
      <c r="G1525" s="376"/>
      <c r="H1525" s="376"/>
      <c r="K1525" s="214"/>
      <c r="S1525" s="214"/>
      <c r="Y1525" s="214"/>
      <c r="Z1525" s="214"/>
      <c r="AF1525" s="212"/>
      <c r="AG1525" s="212"/>
    </row>
    <row r="1526" spans="5:33">
      <c r="E1526" s="376"/>
      <c r="F1526" s="376"/>
      <c r="G1526" s="376"/>
      <c r="H1526" s="376"/>
      <c r="K1526" s="214"/>
      <c r="S1526" s="214"/>
      <c r="Y1526" s="214"/>
      <c r="Z1526" s="214"/>
      <c r="AF1526" s="212"/>
      <c r="AG1526" s="212"/>
    </row>
    <row r="1527" spans="5:33">
      <c r="E1527" s="376"/>
      <c r="F1527" s="376"/>
      <c r="G1527" s="376"/>
      <c r="H1527" s="376"/>
      <c r="K1527" s="214"/>
      <c r="S1527" s="214"/>
      <c r="Y1527" s="214"/>
      <c r="Z1527" s="214"/>
      <c r="AF1527" s="212"/>
      <c r="AG1527" s="212"/>
    </row>
    <row r="1528" spans="5:33">
      <c r="E1528" s="376"/>
      <c r="F1528" s="376"/>
      <c r="G1528" s="376"/>
      <c r="H1528" s="376"/>
      <c r="K1528" s="214"/>
      <c r="S1528" s="214"/>
      <c r="Y1528" s="214"/>
      <c r="Z1528" s="214"/>
      <c r="AF1528" s="212"/>
      <c r="AG1528" s="212"/>
    </row>
    <row r="1529" spans="5:33">
      <c r="E1529" s="376"/>
      <c r="F1529" s="376"/>
      <c r="G1529" s="376"/>
      <c r="H1529" s="376"/>
      <c r="K1529" s="214"/>
      <c r="S1529" s="214"/>
      <c r="Y1529" s="214"/>
      <c r="Z1529" s="214"/>
      <c r="AF1529" s="212"/>
      <c r="AG1529" s="212"/>
    </row>
    <row r="1530" spans="5:33">
      <c r="E1530" s="376"/>
      <c r="F1530" s="376"/>
      <c r="G1530" s="376"/>
      <c r="H1530" s="376"/>
      <c r="K1530" s="214"/>
      <c r="S1530" s="214"/>
      <c r="Y1530" s="214"/>
      <c r="Z1530" s="214"/>
      <c r="AF1530" s="212"/>
      <c r="AG1530" s="212"/>
    </row>
    <row r="1531" spans="5:33">
      <c r="E1531" s="376"/>
      <c r="F1531" s="376"/>
      <c r="G1531" s="376"/>
      <c r="H1531" s="376"/>
      <c r="K1531" s="214"/>
      <c r="S1531" s="214"/>
      <c r="Y1531" s="214"/>
      <c r="Z1531" s="214"/>
      <c r="AF1531" s="212"/>
      <c r="AG1531" s="212"/>
    </row>
    <row r="1532" spans="5:33">
      <c r="E1532" s="376"/>
      <c r="F1532" s="376"/>
      <c r="G1532" s="376"/>
      <c r="H1532" s="376"/>
      <c r="K1532" s="214"/>
      <c r="S1532" s="214"/>
      <c r="Y1532" s="214"/>
      <c r="Z1532" s="214"/>
      <c r="AF1532" s="212"/>
      <c r="AG1532" s="212"/>
    </row>
    <row r="1533" spans="5:33">
      <c r="E1533" s="376"/>
      <c r="F1533" s="376"/>
      <c r="G1533" s="376"/>
      <c r="H1533" s="376"/>
      <c r="K1533" s="214"/>
      <c r="S1533" s="214"/>
      <c r="Y1533" s="214"/>
      <c r="Z1533" s="214"/>
      <c r="AF1533" s="212"/>
      <c r="AG1533" s="212"/>
    </row>
    <row r="1534" spans="5:33">
      <c r="E1534" s="376"/>
      <c r="F1534" s="376"/>
      <c r="G1534" s="376"/>
      <c r="H1534" s="376"/>
      <c r="K1534" s="214"/>
      <c r="S1534" s="214"/>
      <c r="Y1534" s="214"/>
      <c r="Z1534" s="214"/>
      <c r="AF1534" s="212"/>
      <c r="AG1534" s="212"/>
    </row>
    <row r="1535" spans="5:33">
      <c r="E1535" s="376"/>
      <c r="F1535" s="376"/>
      <c r="G1535" s="376"/>
      <c r="H1535" s="376"/>
      <c r="K1535" s="214"/>
      <c r="S1535" s="214"/>
      <c r="Y1535" s="214"/>
      <c r="Z1535" s="214"/>
      <c r="AF1535" s="212"/>
      <c r="AG1535" s="212"/>
    </row>
    <row r="1536" spans="5:33">
      <c r="E1536" s="376"/>
      <c r="F1536" s="376"/>
      <c r="G1536" s="376"/>
      <c r="H1536" s="376"/>
      <c r="K1536" s="214"/>
      <c r="S1536" s="214"/>
      <c r="Y1536" s="214"/>
      <c r="Z1536" s="214"/>
      <c r="AF1536" s="212"/>
      <c r="AG1536" s="212"/>
    </row>
    <row r="1537" spans="5:33">
      <c r="E1537" s="376"/>
      <c r="F1537" s="376"/>
      <c r="G1537" s="376"/>
      <c r="H1537" s="376"/>
      <c r="K1537" s="214"/>
      <c r="S1537" s="214"/>
      <c r="Y1537" s="214"/>
      <c r="Z1537" s="214"/>
      <c r="AF1537" s="212"/>
      <c r="AG1537" s="212"/>
    </row>
    <row r="1538" spans="5:33">
      <c r="E1538" s="376"/>
      <c r="F1538" s="376"/>
      <c r="G1538" s="376"/>
      <c r="H1538" s="376"/>
      <c r="K1538" s="214"/>
      <c r="S1538" s="214"/>
      <c r="Y1538" s="214"/>
      <c r="Z1538" s="214"/>
      <c r="AF1538" s="212"/>
      <c r="AG1538" s="212"/>
    </row>
    <row r="1539" spans="5:33">
      <c r="E1539" s="376"/>
      <c r="F1539" s="376"/>
      <c r="G1539" s="376"/>
      <c r="H1539" s="376"/>
      <c r="K1539" s="214"/>
      <c r="S1539" s="214"/>
      <c r="Y1539" s="214"/>
      <c r="Z1539" s="214"/>
      <c r="AF1539" s="212"/>
      <c r="AG1539" s="212"/>
    </row>
    <row r="1540" spans="5:33">
      <c r="E1540" s="376"/>
      <c r="F1540" s="376"/>
      <c r="G1540" s="376"/>
      <c r="H1540" s="376"/>
      <c r="K1540" s="214"/>
      <c r="S1540" s="214"/>
      <c r="Y1540" s="214"/>
      <c r="Z1540" s="214"/>
      <c r="AF1540" s="212"/>
      <c r="AG1540" s="212"/>
    </row>
    <row r="1541" spans="5:33">
      <c r="E1541" s="376"/>
      <c r="F1541" s="376"/>
      <c r="G1541" s="376"/>
      <c r="H1541" s="376"/>
      <c r="K1541" s="214"/>
      <c r="S1541" s="214"/>
      <c r="Y1541" s="214"/>
      <c r="Z1541" s="214"/>
      <c r="AF1541" s="212"/>
      <c r="AG1541" s="212"/>
    </row>
    <row r="1542" spans="5:33">
      <c r="E1542" s="376"/>
      <c r="F1542" s="376"/>
      <c r="G1542" s="376"/>
      <c r="H1542" s="376"/>
      <c r="K1542" s="214"/>
      <c r="S1542" s="214"/>
      <c r="Y1542" s="214"/>
      <c r="Z1542" s="214"/>
      <c r="AF1542" s="212"/>
      <c r="AG1542" s="212"/>
    </row>
    <row r="1543" spans="5:33">
      <c r="E1543" s="376"/>
      <c r="F1543" s="376"/>
      <c r="G1543" s="376"/>
      <c r="H1543" s="376"/>
      <c r="K1543" s="214"/>
      <c r="S1543" s="214"/>
      <c r="Y1543" s="214"/>
      <c r="Z1543" s="214"/>
      <c r="AF1543" s="212"/>
      <c r="AG1543" s="212"/>
    </row>
    <row r="1544" spans="5:33">
      <c r="E1544" s="376"/>
      <c r="F1544" s="376"/>
      <c r="G1544" s="376"/>
      <c r="H1544" s="376"/>
      <c r="K1544" s="214"/>
      <c r="S1544" s="214"/>
      <c r="Y1544" s="214"/>
      <c r="Z1544" s="214"/>
      <c r="AF1544" s="212"/>
      <c r="AG1544" s="212"/>
    </row>
    <row r="1545" spans="5:33">
      <c r="E1545" s="376"/>
      <c r="F1545" s="376"/>
      <c r="G1545" s="376"/>
      <c r="H1545" s="376"/>
      <c r="K1545" s="214"/>
      <c r="S1545" s="214"/>
      <c r="Y1545" s="214"/>
      <c r="Z1545" s="214"/>
      <c r="AF1545" s="212"/>
      <c r="AG1545" s="212"/>
    </row>
    <row r="1546" spans="5:33">
      <c r="E1546" s="376"/>
      <c r="F1546" s="376"/>
      <c r="G1546" s="376"/>
      <c r="H1546" s="376"/>
      <c r="K1546" s="214"/>
      <c r="S1546" s="214"/>
      <c r="Y1546" s="214"/>
      <c r="Z1546" s="214"/>
      <c r="AF1546" s="212"/>
      <c r="AG1546" s="212"/>
    </row>
    <row r="1547" spans="5:33">
      <c r="E1547" s="376"/>
      <c r="F1547" s="376"/>
      <c r="G1547" s="376"/>
      <c r="H1547" s="376"/>
      <c r="K1547" s="214"/>
      <c r="S1547" s="214"/>
      <c r="Y1547" s="214"/>
      <c r="Z1547" s="214"/>
      <c r="AF1547" s="212"/>
      <c r="AG1547" s="212"/>
    </row>
    <row r="1548" spans="5:33">
      <c r="E1548" s="376"/>
      <c r="F1548" s="376"/>
      <c r="G1548" s="376"/>
      <c r="H1548" s="376"/>
      <c r="K1548" s="214"/>
      <c r="S1548" s="214"/>
      <c r="Y1548" s="214"/>
      <c r="Z1548" s="214"/>
      <c r="AF1548" s="212"/>
      <c r="AG1548" s="212"/>
    </row>
    <row r="1549" spans="5:33">
      <c r="E1549" s="376"/>
      <c r="F1549" s="376"/>
      <c r="G1549" s="376"/>
      <c r="H1549" s="376"/>
      <c r="K1549" s="214"/>
      <c r="S1549" s="214"/>
      <c r="Y1549" s="214"/>
      <c r="Z1549" s="214"/>
      <c r="AF1549" s="212"/>
      <c r="AG1549" s="212"/>
    </row>
    <row r="1550" spans="5:33">
      <c r="E1550" s="376"/>
      <c r="F1550" s="376"/>
      <c r="G1550" s="376"/>
      <c r="H1550" s="376"/>
      <c r="K1550" s="214"/>
      <c r="S1550" s="214"/>
      <c r="Y1550" s="214"/>
      <c r="Z1550" s="214"/>
      <c r="AF1550" s="212"/>
      <c r="AG1550" s="212"/>
    </row>
    <row r="1551" spans="5:33">
      <c r="E1551" s="376"/>
      <c r="F1551" s="376"/>
      <c r="G1551" s="376"/>
      <c r="H1551" s="376"/>
      <c r="K1551" s="214"/>
      <c r="S1551" s="214"/>
      <c r="Y1551" s="214"/>
      <c r="Z1551" s="214"/>
      <c r="AF1551" s="212"/>
      <c r="AG1551" s="212"/>
    </row>
    <row r="1552" spans="5:33">
      <c r="E1552" s="376"/>
      <c r="F1552" s="376"/>
      <c r="G1552" s="376"/>
      <c r="H1552" s="376"/>
      <c r="K1552" s="214"/>
      <c r="S1552" s="214"/>
      <c r="Y1552" s="214"/>
      <c r="Z1552" s="214"/>
      <c r="AF1552" s="212"/>
      <c r="AG1552" s="212"/>
    </row>
    <row r="1553" spans="5:33">
      <c r="E1553" s="376"/>
      <c r="F1553" s="376"/>
      <c r="G1553" s="376"/>
      <c r="H1553" s="376"/>
      <c r="K1553" s="214"/>
      <c r="S1553" s="214"/>
      <c r="Y1553" s="214"/>
      <c r="Z1553" s="214"/>
      <c r="AF1553" s="212"/>
      <c r="AG1553" s="212"/>
    </row>
    <row r="1554" spans="5:33">
      <c r="E1554" s="376"/>
      <c r="F1554" s="376"/>
      <c r="G1554" s="376"/>
      <c r="H1554" s="376"/>
      <c r="K1554" s="214"/>
      <c r="S1554" s="214"/>
      <c r="Y1554" s="214"/>
      <c r="Z1554" s="214"/>
      <c r="AF1554" s="212"/>
      <c r="AG1554" s="212"/>
    </row>
    <row r="1555" spans="5:33">
      <c r="E1555" s="376"/>
      <c r="F1555" s="376"/>
      <c r="G1555" s="376"/>
      <c r="H1555" s="376"/>
      <c r="K1555" s="214"/>
      <c r="S1555" s="214"/>
      <c r="Y1555" s="214"/>
      <c r="Z1555" s="214"/>
      <c r="AF1555" s="212"/>
      <c r="AG1555" s="212"/>
    </row>
    <row r="1556" spans="5:33">
      <c r="E1556" s="376"/>
      <c r="F1556" s="376"/>
      <c r="G1556" s="376"/>
      <c r="H1556" s="376"/>
      <c r="K1556" s="214"/>
      <c r="S1556" s="214"/>
      <c r="Y1556" s="214"/>
      <c r="Z1556" s="214"/>
      <c r="AF1556" s="212"/>
      <c r="AG1556" s="212"/>
    </row>
    <row r="1557" spans="5:33">
      <c r="E1557" s="376"/>
      <c r="F1557" s="376"/>
      <c r="G1557" s="376"/>
      <c r="H1557" s="376"/>
      <c r="K1557" s="214"/>
      <c r="S1557" s="214"/>
      <c r="Y1557" s="214"/>
      <c r="Z1557" s="214"/>
      <c r="AF1557" s="212"/>
      <c r="AG1557" s="212"/>
    </row>
    <row r="1558" spans="5:33">
      <c r="E1558" s="376"/>
      <c r="F1558" s="376"/>
      <c r="G1558" s="376"/>
      <c r="H1558" s="376"/>
      <c r="K1558" s="214"/>
      <c r="S1558" s="214"/>
      <c r="Y1558" s="214"/>
      <c r="Z1558" s="214"/>
      <c r="AF1558" s="212"/>
      <c r="AG1558" s="212"/>
    </row>
    <row r="1559" spans="5:33">
      <c r="E1559" s="376"/>
      <c r="F1559" s="376"/>
      <c r="G1559" s="376"/>
      <c r="H1559" s="376"/>
      <c r="K1559" s="214"/>
      <c r="S1559" s="214"/>
      <c r="Y1559" s="214"/>
      <c r="Z1559" s="214"/>
      <c r="AF1559" s="212"/>
      <c r="AG1559" s="212"/>
    </row>
    <row r="1560" spans="5:33">
      <c r="E1560" s="376"/>
      <c r="F1560" s="376"/>
      <c r="G1560" s="376"/>
      <c r="H1560" s="376"/>
      <c r="K1560" s="214"/>
      <c r="S1560" s="214"/>
      <c r="Y1560" s="214"/>
      <c r="Z1560" s="214"/>
      <c r="AF1560" s="212"/>
      <c r="AG1560" s="212"/>
    </row>
    <row r="1561" spans="5:33">
      <c r="E1561" s="376"/>
      <c r="F1561" s="376"/>
      <c r="G1561" s="376"/>
      <c r="H1561" s="376"/>
      <c r="K1561" s="214"/>
      <c r="S1561" s="214"/>
      <c r="Y1561" s="214"/>
      <c r="Z1561" s="214"/>
      <c r="AF1561" s="212"/>
      <c r="AG1561" s="212"/>
    </row>
    <row r="1562" spans="5:33">
      <c r="E1562" s="376"/>
      <c r="F1562" s="376"/>
      <c r="G1562" s="376"/>
      <c r="H1562" s="376"/>
      <c r="K1562" s="214"/>
      <c r="S1562" s="214"/>
      <c r="Y1562" s="214"/>
      <c r="Z1562" s="214"/>
      <c r="AF1562" s="212"/>
      <c r="AG1562" s="212"/>
    </row>
    <row r="1563" spans="5:33">
      <c r="E1563" s="376"/>
      <c r="F1563" s="376"/>
      <c r="G1563" s="376"/>
      <c r="H1563" s="376"/>
      <c r="K1563" s="214"/>
      <c r="S1563" s="214"/>
      <c r="Y1563" s="214"/>
      <c r="Z1563" s="214"/>
      <c r="AF1563" s="212"/>
      <c r="AG1563" s="212"/>
    </row>
    <row r="1564" spans="5:33">
      <c r="E1564" s="376"/>
      <c r="F1564" s="376"/>
      <c r="G1564" s="376"/>
      <c r="H1564" s="376"/>
      <c r="K1564" s="214"/>
      <c r="S1564" s="214"/>
      <c r="Y1564" s="214"/>
      <c r="Z1564" s="214"/>
      <c r="AF1564" s="212"/>
      <c r="AG1564" s="212"/>
    </row>
    <row r="1565" spans="5:33">
      <c r="E1565" s="376"/>
      <c r="F1565" s="376"/>
      <c r="G1565" s="376"/>
      <c r="H1565" s="376"/>
      <c r="K1565" s="214"/>
      <c r="S1565" s="214"/>
      <c r="Y1565" s="214"/>
      <c r="Z1565" s="214"/>
      <c r="AF1565" s="212"/>
      <c r="AG1565" s="212"/>
    </row>
    <row r="1566" spans="5:33">
      <c r="E1566" s="376"/>
      <c r="F1566" s="376"/>
      <c r="G1566" s="376"/>
      <c r="H1566" s="376"/>
      <c r="K1566" s="214"/>
      <c r="S1566" s="214"/>
      <c r="Y1566" s="214"/>
      <c r="Z1566" s="214"/>
      <c r="AF1566" s="212"/>
      <c r="AG1566" s="212"/>
    </row>
    <row r="1567" spans="5:33">
      <c r="E1567" s="376"/>
      <c r="F1567" s="376"/>
      <c r="G1567" s="376"/>
      <c r="H1567" s="376"/>
      <c r="K1567" s="214"/>
      <c r="S1567" s="214"/>
      <c r="Y1567" s="214"/>
      <c r="Z1567" s="214"/>
      <c r="AF1567" s="212"/>
      <c r="AG1567" s="212"/>
    </row>
    <row r="1568" spans="5:33">
      <c r="E1568" s="376"/>
      <c r="F1568" s="376"/>
      <c r="G1568" s="376"/>
      <c r="H1568" s="376"/>
      <c r="K1568" s="214"/>
      <c r="S1568" s="214"/>
      <c r="Y1568" s="214"/>
      <c r="Z1568" s="214"/>
      <c r="AF1568" s="212"/>
      <c r="AG1568" s="212"/>
    </row>
    <row r="1569" spans="5:33">
      <c r="E1569" s="376"/>
      <c r="F1569" s="376"/>
      <c r="G1569" s="376"/>
      <c r="H1569" s="376"/>
      <c r="K1569" s="214"/>
      <c r="S1569" s="214"/>
      <c r="Y1569" s="214"/>
      <c r="Z1569" s="214"/>
      <c r="AF1569" s="212"/>
      <c r="AG1569" s="212"/>
    </row>
    <row r="1570" spans="5:33">
      <c r="E1570" s="376"/>
      <c r="F1570" s="376"/>
      <c r="G1570" s="376"/>
      <c r="H1570" s="376"/>
      <c r="K1570" s="214"/>
      <c r="S1570" s="214"/>
      <c r="Y1570" s="214"/>
      <c r="Z1570" s="214"/>
      <c r="AF1570" s="212"/>
      <c r="AG1570" s="212"/>
    </row>
    <row r="1571" spans="5:33">
      <c r="E1571" s="376"/>
      <c r="F1571" s="376"/>
      <c r="G1571" s="376"/>
      <c r="H1571" s="376"/>
      <c r="K1571" s="214"/>
      <c r="S1571" s="214"/>
      <c r="Y1571" s="214"/>
      <c r="Z1571" s="214"/>
      <c r="AF1571" s="212"/>
      <c r="AG1571" s="212"/>
    </row>
    <row r="1572" spans="5:33">
      <c r="E1572" s="376"/>
      <c r="F1572" s="376"/>
      <c r="G1572" s="376"/>
      <c r="H1572" s="376"/>
      <c r="K1572" s="214"/>
      <c r="S1572" s="214"/>
      <c r="Y1572" s="214"/>
      <c r="Z1572" s="214"/>
      <c r="AF1572" s="212"/>
      <c r="AG1572" s="212"/>
    </row>
    <row r="1573" spans="5:33">
      <c r="E1573" s="376"/>
      <c r="F1573" s="376"/>
      <c r="G1573" s="376"/>
      <c r="H1573" s="376"/>
      <c r="K1573" s="214"/>
      <c r="S1573" s="214"/>
      <c r="Y1573" s="214"/>
      <c r="Z1573" s="214"/>
      <c r="AF1573" s="212"/>
      <c r="AG1573" s="212"/>
    </row>
    <row r="1574" spans="5:33">
      <c r="E1574" s="376"/>
      <c r="F1574" s="376"/>
      <c r="G1574" s="376"/>
      <c r="H1574" s="376"/>
      <c r="K1574" s="214"/>
      <c r="S1574" s="214"/>
      <c r="Y1574" s="214"/>
      <c r="Z1574" s="214"/>
      <c r="AF1574" s="212"/>
      <c r="AG1574" s="212"/>
    </row>
    <row r="1575" spans="5:33">
      <c r="E1575" s="376"/>
      <c r="F1575" s="376"/>
      <c r="G1575" s="376"/>
      <c r="H1575" s="376"/>
      <c r="K1575" s="214"/>
      <c r="S1575" s="214"/>
      <c r="Y1575" s="214"/>
      <c r="Z1575" s="214"/>
      <c r="AF1575" s="212"/>
      <c r="AG1575" s="212"/>
    </row>
    <row r="1576" spans="5:33">
      <c r="E1576" s="376"/>
      <c r="F1576" s="376"/>
      <c r="G1576" s="376"/>
      <c r="H1576" s="376"/>
      <c r="K1576" s="214"/>
      <c r="S1576" s="214"/>
      <c r="Y1576" s="214"/>
      <c r="Z1576" s="214"/>
      <c r="AF1576" s="212"/>
      <c r="AG1576" s="212"/>
    </row>
    <row r="1577" spans="5:33">
      <c r="E1577" s="376"/>
      <c r="F1577" s="376"/>
      <c r="G1577" s="376"/>
      <c r="H1577" s="376"/>
      <c r="K1577" s="214"/>
      <c r="S1577" s="214"/>
      <c r="Y1577" s="214"/>
      <c r="Z1577" s="214"/>
      <c r="AF1577" s="212"/>
      <c r="AG1577" s="212"/>
    </row>
    <row r="1578" spans="5:33">
      <c r="E1578" s="376"/>
      <c r="F1578" s="376"/>
      <c r="G1578" s="376"/>
      <c r="H1578" s="376"/>
      <c r="K1578" s="214"/>
      <c r="S1578" s="214"/>
      <c r="Y1578" s="214"/>
      <c r="Z1578" s="214"/>
      <c r="AF1578" s="212"/>
      <c r="AG1578" s="212"/>
    </row>
    <row r="1579" spans="5:33">
      <c r="E1579" s="376"/>
      <c r="F1579" s="376"/>
      <c r="G1579" s="376"/>
      <c r="H1579" s="376"/>
      <c r="K1579" s="214"/>
      <c r="S1579" s="214"/>
      <c r="Y1579" s="214"/>
      <c r="Z1579" s="214"/>
      <c r="AF1579" s="212"/>
      <c r="AG1579" s="212"/>
    </row>
    <row r="1580" spans="5:33">
      <c r="E1580" s="376"/>
      <c r="F1580" s="376"/>
      <c r="G1580" s="376"/>
      <c r="H1580" s="376"/>
      <c r="K1580" s="214"/>
      <c r="S1580" s="214"/>
      <c r="Y1580" s="214"/>
      <c r="Z1580" s="214"/>
      <c r="AF1580" s="212"/>
      <c r="AG1580" s="212"/>
    </row>
    <row r="1581" spans="5:33">
      <c r="E1581" s="376"/>
      <c r="F1581" s="376"/>
      <c r="G1581" s="376"/>
      <c r="H1581" s="376"/>
      <c r="K1581" s="214"/>
      <c r="S1581" s="214"/>
      <c r="Y1581" s="214"/>
      <c r="Z1581" s="214"/>
      <c r="AF1581" s="212"/>
      <c r="AG1581" s="212"/>
    </row>
    <row r="1582" spans="5:33">
      <c r="E1582" s="376"/>
      <c r="F1582" s="376"/>
      <c r="G1582" s="376"/>
      <c r="H1582" s="376"/>
      <c r="K1582" s="214"/>
      <c r="S1582" s="214"/>
      <c r="Y1582" s="214"/>
      <c r="Z1582" s="214"/>
      <c r="AF1582" s="212"/>
      <c r="AG1582" s="212"/>
    </row>
    <row r="1583" spans="5:33">
      <c r="E1583" s="376"/>
      <c r="F1583" s="376"/>
      <c r="G1583" s="376"/>
      <c r="H1583" s="376"/>
      <c r="K1583" s="214"/>
      <c r="S1583" s="214"/>
      <c r="Y1583" s="214"/>
      <c r="Z1583" s="214"/>
      <c r="AF1583" s="212"/>
      <c r="AG1583" s="212"/>
    </row>
    <row r="1584" spans="5:33">
      <c r="E1584" s="376"/>
      <c r="F1584" s="376"/>
      <c r="G1584" s="376"/>
      <c r="H1584" s="376"/>
      <c r="K1584" s="214"/>
      <c r="S1584" s="214"/>
      <c r="Y1584" s="214"/>
      <c r="Z1584" s="214"/>
      <c r="AF1584" s="212"/>
      <c r="AG1584" s="212"/>
    </row>
    <row r="1585" spans="5:33">
      <c r="E1585" s="376"/>
      <c r="F1585" s="376"/>
      <c r="G1585" s="376"/>
      <c r="H1585" s="376"/>
      <c r="K1585" s="214"/>
      <c r="S1585" s="214"/>
      <c r="Y1585" s="214"/>
      <c r="Z1585" s="214"/>
      <c r="AF1585" s="212"/>
      <c r="AG1585" s="212"/>
    </row>
    <row r="1586" spans="5:33">
      <c r="E1586" s="376"/>
      <c r="F1586" s="376"/>
      <c r="G1586" s="376"/>
      <c r="H1586" s="376"/>
      <c r="K1586" s="214"/>
      <c r="S1586" s="214"/>
      <c r="Y1586" s="214"/>
      <c r="Z1586" s="214"/>
      <c r="AF1586" s="212"/>
      <c r="AG1586" s="212"/>
    </row>
    <row r="1587" spans="5:33">
      <c r="E1587" s="376"/>
      <c r="F1587" s="376"/>
      <c r="G1587" s="376"/>
      <c r="H1587" s="376"/>
      <c r="K1587" s="214"/>
      <c r="S1587" s="214"/>
      <c r="Y1587" s="214"/>
      <c r="Z1587" s="214"/>
      <c r="AF1587" s="212"/>
      <c r="AG1587" s="212"/>
    </row>
    <row r="1588" spans="5:33">
      <c r="E1588" s="376"/>
      <c r="F1588" s="376"/>
      <c r="G1588" s="376"/>
      <c r="H1588" s="376"/>
      <c r="K1588" s="214"/>
      <c r="S1588" s="214"/>
      <c r="Y1588" s="214"/>
      <c r="Z1588" s="214"/>
      <c r="AF1588" s="212"/>
      <c r="AG1588" s="212"/>
    </row>
    <row r="1589" spans="5:33">
      <c r="E1589" s="376"/>
      <c r="F1589" s="376"/>
      <c r="G1589" s="376"/>
      <c r="H1589" s="376"/>
      <c r="K1589" s="214"/>
      <c r="S1589" s="214"/>
      <c r="Y1589" s="214"/>
      <c r="Z1589" s="214"/>
      <c r="AF1589" s="212"/>
      <c r="AG1589" s="212"/>
    </row>
    <row r="1590" spans="5:33">
      <c r="E1590" s="376"/>
      <c r="F1590" s="376"/>
      <c r="G1590" s="376"/>
      <c r="H1590" s="376"/>
      <c r="K1590" s="214"/>
      <c r="S1590" s="214"/>
      <c r="Y1590" s="214"/>
      <c r="Z1590" s="214"/>
      <c r="AF1590" s="212"/>
      <c r="AG1590" s="212"/>
    </row>
    <row r="1591" spans="5:33">
      <c r="E1591" s="376"/>
      <c r="F1591" s="376"/>
      <c r="G1591" s="376"/>
      <c r="H1591" s="376"/>
      <c r="K1591" s="214"/>
      <c r="S1591" s="214"/>
      <c r="Y1591" s="214"/>
      <c r="Z1591" s="214"/>
      <c r="AF1591" s="212"/>
      <c r="AG1591" s="212"/>
    </row>
    <row r="1592" spans="5:33">
      <c r="E1592" s="376"/>
      <c r="F1592" s="376"/>
      <c r="G1592" s="376"/>
      <c r="H1592" s="376"/>
      <c r="K1592" s="214"/>
      <c r="S1592" s="214"/>
      <c r="Y1592" s="214"/>
      <c r="Z1592" s="214"/>
      <c r="AF1592" s="212"/>
      <c r="AG1592" s="212"/>
    </row>
    <row r="1593" spans="5:33">
      <c r="E1593" s="376"/>
      <c r="F1593" s="376"/>
      <c r="G1593" s="376"/>
      <c r="H1593" s="376"/>
      <c r="K1593" s="214"/>
      <c r="S1593" s="214"/>
      <c r="Y1593" s="214"/>
      <c r="Z1593" s="214"/>
      <c r="AF1593" s="212"/>
      <c r="AG1593" s="212"/>
    </row>
    <row r="1594" spans="5:33">
      <c r="E1594" s="376"/>
      <c r="F1594" s="376"/>
      <c r="G1594" s="376"/>
      <c r="H1594" s="376"/>
      <c r="K1594" s="214"/>
      <c r="S1594" s="214"/>
      <c r="Y1594" s="214"/>
      <c r="Z1594" s="214"/>
      <c r="AF1594" s="212"/>
      <c r="AG1594" s="212"/>
    </row>
    <row r="1595" spans="5:33">
      <c r="E1595" s="376"/>
      <c r="F1595" s="376"/>
      <c r="G1595" s="376"/>
      <c r="H1595" s="376"/>
      <c r="K1595" s="214"/>
      <c r="S1595" s="214"/>
      <c r="Y1595" s="214"/>
      <c r="Z1595" s="214"/>
      <c r="AF1595" s="212"/>
      <c r="AG1595" s="212"/>
    </row>
    <row r="1596" spans="5:33">
      <c r="E1596" s="376"/>
      <c r="F1596" s="376"/>
      <c r="G1596" s="376"/>
      <c r="H1596" s="376"/>
      <c r="K1596" s="214"/>
      <c r="S1596" s="214"/>
      <c r="Y1596" s="214"/>
      <c r="Z1596" s="214"/>
      <c r="AF1596" s="212"/>
      <c r="AG1596" s="212"/>
    </row>
    <row r="1597" spans="5:33">
      <c r="E1597" s="376"/>
      <c r="F1597" s="376"/>
      <c r="G1597" s="376"/>
      <c r="H1597" s="376"/>
      <c r="K1597" s="214"/>
      <c r="S1597" s="214"/>
      <c r="Y1597" s="214"/>
      <c r="Z1597" s="214"/>
      <c r="AF1597" s="212"/>
      <c r="AG1597" s="212"/>
    </row>
    <row r="1598" spans="5:33">
      <c r="E1598" s="376"/>
      <c r="F1598" s="376"/>
      <c r="G1598" s="376"/>
      <c r="H1598" s="376"/>
      <c r="K1598" s="214"/>
      <c r="S1598" s="214"/>
      <c r="Y1598" s="214"/>
      <c r="Z1598" s="214"/>
      <c r="AF1598" s="212"/>
      <c r="AG1598" s="212"/>
    </row>
    <row r="1599" spans="5:33">
      <c r="E1599" s="376"/>
      <c r="F1599" s="376"/>
      <c r="G1599" s="376"/>
      <c r="H1599" s="376"/>
      <c r="K1599" s="214"/>
      <c r="S1599" s="214"/>
      <c r="Y1599" s="214"/>
      <c r="Z1599" s="214"/>
      <c r="AF1599" s="212"/>
      <c r="AG1599" s="212"/>
    </row>
    <row r="1600" spans="5:33">
      <c r="E1600" s="376"/>
      <c r="F1600" s="376"/>
      <c r="G1600" s="376"/>
      <c r="H1600" s="376"/>
      <c r="K1600" s="214"/>
      <c r="S1600" s="214"/>
      <c r="Y1600" s="214"/>
      <c r="Z1600" s="214"/>
      <c r="AF1600" s="212"/>
      <c r="AG1600" s="212"/>
    </row>
    <row r="1601" spans="5:33">
      <c r="E1601" s="376"/>
      <c r="F1601" s="376"/>
      <c r="G1601" s="376"/>
      <c r="H1601" s="376"/>
      <c r="K1601" s="214"/>
      <c r="S1601" s="214"/>
      <c r="Y1601" s="214"/>
      <c r="Z1601" s="214"/>
      <c r="AF1601" s="212"/>
      <c r="AG1601" s="212"/>
    </row>
    <row r="1602" spans="5:33">
      <c r="E1602" s="376"/>
      <c r="F1602" s="376"/>
      <c r="G1602" s="376"/>
      <c r="H1602" s="376"/>
      <c r="K1602" s="214"/>
      <c r="S1602" s="214"/>
      <c r="Y1602" s="214"/>
      <c r="Z1602" s="214"/>
      <c r="AF1602" s="212"/>
      <c r="AG1602" s="212"/>
    </row>
    <row r="1603" spans="5:33">
      <c r="E1603" s="376"/>
      <c r="F1603" s="376"/>
      <c r="G1603" s="376"/>
      <c r="H1603" s="376"/>
      <c r="K1603" s="214"/>
      <c r="S1603" s="214"/>
      <c r="Y1603" s="214"/>
      <c r="Z1603" s="214"/>
      <c r="AF1603" s="212"/>
      <c r="AG1603" s="212"/>
    </row>
    <row r="1604" spans="5:33">
      <c r="E1604" s="376"/>
      <c r="F1604" s="376"/>
      <c r="G1604" s="376"/>
      <c r="H1604" s="376"/>
      <c r="K1604" s="214"/>
      <c r="S1604" s="214"/>
      <c r="Y1604" s="214"/>
      <c r="Z1604" s="214"/>
      <c r="AF1604" s="212"/>
      <c r="AG1604" s="212"/>
    </row>
    <row r="1605" spans="5:33">
      <c r="E1605" s="376"/>
      <c r="F1605" s="376"/>
      <c r="G1605" s="376"/>
      <c r="H1605" s="376"/>
      <c r="K1605" s="214"/>
      <c r="S1605" s="214"/>
      <c r="Y1605" s="214"/>
      <c r="Z1605" s="214"/>
      <c r="AF1605" s="212"/>
      <c r="AG1605" s="212"/>
    </row>
    <row r="1606" spans="5:33">
      <c r="E1606" s="376"/>
      <c r="F1606" s="376"/>
      <c r="G1606" s="376"/>
      <c r="H1606" s="376"/>
      <c r="K1606" s="214"/>
      <c r="S1606" s="214"/>
      <c r="Y1606" s="214"/>
      <c r="Z1606" s="214"/>
      <c r="AF1606" s="212"/>
      <c r="AG1606" s="212"/>
    </row>
    <row r="1607" spans="5:33">
      <c r="E1607" s="376"/>
      <c r="F1607" s="376"/>
      <c r="G1607" s="376"/>
      <c r="H1607" s="376"/>
      <c r="K1607" s="214"/>
      <c r="S1607" s="214"/>
      <c r="Y1607" s="214"/>
      <c r="Z1607" s="214"/>
      <c r="AF1607" s="212"/>
      <c r="AG1607" s="212"/>
    </row>
    <row r="1608" spans="5:33">
      <c r="E1608" s="376"/>
      <c r="F1608" s="376"/>
      <c r="G1608" s="376"/>
      <c r="H1608" s="376"/>
      <c r="K1608" s="214"/>
      <c r="S1608" s="214"/>
      <c r="Y1608" s="214"/>
      <c r="Z1608" s="214"/>
      <c r="AF1608" s="212"/>
      <c r="AG1608" s="212"/>
    </row>
    <row r="1609" spans="5:33">
      <c r="E1609" s="376"/>
      <c r="F1609" s="376"/>
      <c r="G1609" s="376"/>
      <c r="H1609" s="376"/>
      <c r="K1609" s="214"/>
      <c r="S1609" s="214"/>
      <c r="Y1609" s="214"/>
      <c r="Z1609" s="214"/>
      <c r="AF1609" s="212"/>
      <c r="AG1609" s="212"/>
    </row>
    <row r="1610" spans="5:33">
      <c r="E1610" s="376"/>
      <c r="F1610" s="376"/>
      <c r="G1610" s="376"/>
      <c r="H1610" s="376"/>
      <c r="K1610" s="214"/>
      <c r="S1610" s="214"/>
      <c r="Y1610" s="214"/>
      <c r="Z1610" s="214"/>
      <c r="AF1610" s="212"/>
      <c r="AG1610" s="212"/>
    </row>
    <row r="1611" spans="5:33">
      <c r="E1611" s="376"/>
      <c r="F1611" s="376"/>
      <c r="G1611" s="376"/>
      <c r="H1611" s="376"/>
      <c r="K1611" s="214"/>
      <c r="S1611" s="214"/>
      <c r="Y1611" s="214"/>
      <c r="Z1611" s="214"/>
      <c r="AF1611" s="212"/>
      <c r="AG1611" s="212"/>
    </row>
    <row r="1612" spans="5:33">
      <c r="E1612" s="376"/>
      <c r="F1612" s="376"/>
      <c r="G1612" s="376"/>
      <c r="H1612" s="376"/>
      <c r="K1612" s="214"/>
      <c r="S1612" s="214"/>
      <c r="Y1612" s="214"/>
      <c r="Z1612" s="214"/>
      <c r="AF1612" s="212"/>
      <c r="AG1612" s="212"/>
    </row>
    <row r="1613" spans="5:33">
      <c r="E1613" s="376"/>
      <c r="F1613" s="376"/>
      <c r="G1613" s="376"/>
      <c r="H1613" s="376"/>
      <c r="K1613" s="214"/>
      <c r="S1613" s="214"/>
      <c r="Y1613" s="214"/>
      <c r="Z1613" s="214"/>
      <c r="AF1613" s="212"/>
      <c r="AG1613" s="212"/>
    </row>
    <row r="1614" spans="5:33">
      <c r="E1614" s="376"/>
      <c r="F1614" s="376"/>
      <c r="G1614" s="376"/>
      <c r="H1614" s="376"/>
      <c r="K1614" s="214"/>
      <c r="S1614" s="214"/>
      <c r="Y1614" s="214"/>
      <c r="Z1614" s="214"/>
      <c r="AF1614" s="212"/>
      <c r="AG1614" s="212"/>
    </row>
    <row r="1615" spans="5:33">
      <c r="E1615" s="376"/>
      <c r="F1615" s="376"/>
      <c r="G1615" s="376"/>
      <c r="H1615" s="376"/>
      <c r="K1615" s="214"/>
      <c r="S1615" s="214"/>
      <c r="Y1615" s="214"/>
      <c r="Z1615" s="214"/>
      <c r="AF1615" s="212"/>
      <c r="AG1615" s="212"/>
    </row>
    <row r="1616" spans="5:33">
      <c r="E1616" s="376"/>
      <c r="F1616" s="376"/>
      <c r="G1616" s="376"/>
      <c r="H1616" s="376"/>
      <c r="K1616" s="214"/>
      <c r="S1616" s="214"/>
      <c r="Y1616" s="214"/>
      <c r="Z1616" s="214"/>
      <c r="AF1616" s="212"/>
      <c r="AG1616" s="212"/>
    </row>
    <row r="1617" spans="5:33">
      <c r="E1617" s="376"/>
      <c r="F1617" s="376"/>
      <c r="G1617" s="376"/>
      <c r="H1617" s="376"/>
      <c r="K1617" s="214"/>
      <c r="S1617" s="214"/>
      <c r="Y1617" s="214"/>
      <c r="Z1617" s="214"/>
      <c r="AF1617" s="212"/>
      <c r="AG1617" s="212"/>
    </row>
    <row r="1618" spans="5:33">
      <c r="E1618" s="376"/>
      <c r="F1618" s="376"/>
      <c r="G1618" s="376"/>
      <c r="H1618" s="376"/>
      <c r="K1618" s="214"/>
      <c r="S1618" s="214"/>
      <c r="Y1618" s="214"/>
      <c r="Z1618" s="214"/>
      <c r="AF1618" s="212"/>
      <c r="AG1618" s="212"/>
    </row>
    <row r="1619" spans="5:33">
      <c r="E1619" s="376"/>
      <c r="F1619" s="376"/>
      <c r="G1619" s="376"/>
      <c r="H1619" s="376"/>
      <c r="K1619" s="214"/>
      <c r="S1619" s="214"/>
      <c r="Y1619" s="214"/>
      <c r="Z1619" s="214"/>
      <c r="AF1619" s="212"/>
      <c r="AG1619" s="212"/>
    </row>
    <row r="1620" spans="5:33">
      <c r="E1620" s="376"/>
      <c r="F1620" s="376"/>
      <c r="G1620" s="376"/>
      <c r="H1620" s="376"/>
      <c r="K1620" s="214"/>
      <c r="S1620" s="214"/>
      <c r="Y1620" s="214"/>
      <c r="Z1620" s="214"/>
      <c r="AF1620" s="212"/>
      <c r="AG1620" s="212"/>
    </row>
    <row r="1621" spans="5:33">
      <c r="E1621" s="376"/>
      <c r="F1621" s="376"/>
      <c r="G1621" s="376"/>
      <c r="H1621" s="376"/>
      <c r="K1621" s="214"/>
      <c r="S1621" s="214"/>
      <c r="Y1621" s="214"/>
      <c r="Z1621" s="214"/>
      <c r="AF1621" s="212"/>
      <c r="AG1621" s="212"/>
    </row>
    <row r="1622" spans="5:33">
      <c r="E1622" s="376"/>
      <c r="F1622" s="376"/>
      <c r="G1622" s="376"/>
      <c r="H1622" s="376"/>
      <c r="K1622" s="214"/>
      <c r="S1622" s="214"/>
      <c r="Y1622" s="214"/>
      <c r="Z1622" s="214"/>
      <c r="AF1622" s="212"/>
      <c r="AG1622" s="212"/>
    </row>
    <row r="1623" spans="5:33">
      <c r="E1623" s="376"/>
      <c r="F1623" s="376"/>
      <c r="G1623" s="376"/>
      <c r="H1623" s="376"/>
      <c r="K1623" s="214"/>
      <c r="S1623" s="214"/>
      <c r="Y1623" s="214"/>
      <c r="Z1623" s="214"/>
      <c r="AF1623" s="212"/>
      <c r="AG1623" s="212"/>
    </row>
    <row r="1624" spans="5:33">
      <c r="E1624" s="376"/>
      <c r="F1624" s="376"/>
      <c r="G1624" s="376"/>
      <c r="H1624" s="376"/>
      <c r="K1624" s="214"/>
      <c r="S1624" s="214"/>
      <c r="Y1624" s="214"/>
      <c r="Z1624" s="214"/>
      <c r="AF1624" s="212"/>
      <c r="AG1624" s="212"/>
    </row>
    <row r="1625" spans="5:33">
      <c r="E1625" s="376"/>
      <c r="F1625" s="376"/>
      <c r="G1625" s="376"/>
      <c r="H1625" s="376"/>
      <c r="K1625" s="214"/>
      <c r="S1625" s="214"/>
      <c r="Y1625" s="214"/>
      <c r="Z1625" s="214"/>
      <c r="AF1625" s="212"/>
      <c r="AG1625" s="212"/>
    </row>
    <row r="1626" spans="5:33">
      <c r="E1626" s="376"/>
      <c r="F1626" s="376"/>
      <c r="G1626" s="376"/>
      <c r="H1626" s="376"/>
      <c r="K1626" s="214"/>
      <c r="S1626" s="214"/>
      <c r="Y1626" s="214"/>
      <c r="Z1626" s="214"/>
      <c r="AF1626" s="212"/>
      <c r="AG1626" s="212"/>
    </row>
    <row r="1627" spans="5:33">
      <c r="E1627" s="376"/>
      <c r="F1627" s="376"/>
      <c r="G1627" s="376"/>
      <c r="H1627" s="376"/>
      <c r="K1627" s="214"/>
      <c r="S1627" s="214"/>
      <c r="Y1627" s="214"/>
      <c r="Z1627" s="214"/>
      <c r="AF1627" s="212"/>
      <c r="AG1627" s="212"/>
    </row>
    <row r="1628" spans="5:33">
      <c r="E1628" s="376"/>
      <c r="F1628" s="376"/>
      <c r="G1628" s="376"/>
      <c r="H1628" s="376"/>
      <c r="K1628" s="214"/>
      <c r="S1628" s="214"/>
      <c r="Y1628" s="214"/>
      <c r="Z1628" s="214"/>
      <c r="AF1628" s="212"/>
      <c r="AG1628" s="212"/>
    </row>
    <row r="1629" spans="5:33">
      <c r="E1629" s="376"/>
      <c r="F1629" s="376"/>
      <c r="G1629" s="376"/>
      <c r="H1629" s="376"/>
      <c r="K1629" s="214"/>
      <c r="S1629" s="214"/>
      <c r="Y1629" s="214"/>
      <c r="Z1629" s="214"/>
      <c r="AF1629" s="212"/>
      <c r="AG1629" s="212"/>
    </row>
    <row r="1630" spans="5:33">
      <c r="E1630" s="376"/>
      <c r="F1630" s="376"/>
      <c r="G1630" s="376"/>
      <c r="H1630" s="376"/>
      <c r="K1630" s="214"/>
      <c r="S1630" s="214"/>
      <c r="Y1630" s="214"/>
      <c r="Z1630" s="214"/>
      <c r="AF1630" s="212"/>
      <c r="AG1630" s="212"/>
    </row>
    <row r="1631" spans="5:33">
      <c r="E1631" s="376"/>
      <c r="F1631" s="376"/>
      <c r="G1631" s="376"/>
      <c r="H1631" s="376"/>
      <c r="K1631" s="214"/>
      <c r="S1631" s="214"/>
      <c r="Y1631" s="214"/>
      <c r="Z1631" s="214"/>
      <c r="AF1631" s="212"/>
      <c r="AG1631" s="212"/>
    </row>
    <row r="1632" spans="5:33">
      <c r="E1632" s="376"/>
      <c r="F1632" s="376"/>
      <c r="G1632" s="376"/>
      <c r="H1632" s="376"/>
      <c r="K1632" s="214"/>
      <c r="S1632" s="214"/>
      <c r="Y1632" s="214"/>
      <c r="Z1632" s="214"/>
      <c r="AF1632" s="212"/>
      <c r="AG1632" s="212"/>
    </row>
    <row r="1633" spans="5:33">
      <c r="E1633" s="376"/>
      <c r="F1633" s="376"/>
      <c r="G1633" s="376"/>
      <c r="H1633" s="376"/>
      <c r="K1633" s="214"/>
      <c r="S1633" s="214"/>
      <c r="Y1633" s="214"/>
      <c r="Z1633" s="214"/>
      <c r="AF1633" s="212"/>
      <c r="AG1633" s="212"/>
    </row>
    <row r="1634" spans="5:33">
      <c r="E1634" s="376"/>
      <c r="F1634" s="376"/>
      <c r="G1634" s="376"/>
      <c r="H1634" s="376"/>
      <c r="K1634" s="214"/>
      <c r="S1634" s="214"/>
      <c r="Y1634" s="214"/>
      <c r="Z1634" s="214"/>
      <c r="AF1634" s="212"/>
      <c r="AG1634" s="212"/>
    </row>
    <row r="1635" spans="5:33">
      <c r="E1635" s="376"/>
      <c r="F1635" s="376"/>
      <c r="G1635" s="376"/>
      <c r="H1635" s="376"/>
      <c r="K1635" s="214"/>
      <c r="S1635" s="214"/>
      <c r="Y1635" s="214"/>
      <c r="Z1635" s="214"/>
      <c r="AF1635" s="212"/>
      <c r="AG1635" s="212"/>
    </row>
    <row r="1636" spans="5:33">
      <c r="E1636" s="376"/>
      <c r="F1636" s="376"/>
      <c r="G1636" s="376"/>
      <c r="H1636" s="376"/>
      <c r="K1636" s="214"/>
      <c r="S1636" s="214"/>
      <c r="Y1636" s="214"/>
      <c r="Z1636" s="214"/>
      <c r="AF1636" s="212"/>
      <c r="AG1636" s="212"/>
    </row>
    <row r="1637" spans="5:33">
      <c r="E1637" s="376"/>
      <c r="F1637" s="376"/>
      <c r="G1637" s="376"/>
      <c r="H1637" s="376"/>
      <c r="K1637" s="214"/>
      <c r="S1637" s="214"/>
      <c r="Y1637" s="214"/>
      <c r="Z1637" s="214"/>
      <c r="AF1637" s="212"/>
      <c r="AG1637" s="212"/>
    </row>
    <row r="1638" spans="5:33">
      <c r="E1638" s="376"/>
      <c r="F1638" s="376"/>
      <c r="G1638" s="376"/>
      <c r="H1638" s="376"/>
      <c r="K1638" s="214"/>
      <c r="S1638" s="214"/>
      <c r="Y1638" s="214"/>
      <c r="Z1638" s="214"/>
      <c r="AF1638" s="212"/>
      <c r="AG1638" s="212"/>
    </row>
    <row r="1639" spans="5:33">
      <c r="E1639" s="376"/>
      <c r="F1639" s="376"/>
      <c r="G1639" s="376"/>
      <c r="H1639" s="376"/>
      <c r="K1639" s="214"/>
      <c r="S1639" s="214"/>
      <c r="Y1639" s="214"/>
      <c r="Z1639" s="214"/>
      <c r="AF1639" s="212"/>
      <c r="AG1639" s="212"/>
    </row>
    <row r="1640" spans="5:33">
      <c r="E1640" s="376"/>
      <c r="F1640" s="376"/>
      <c r="G1640" s="376"/>
      <c r="H1640" s="376"/>
      <c r="K1640" s="214"/>
      <c r="S1640" s="214"/>
      <c r="Y1640" s="214"/>
      <c r="Z1640" s="214"/>
      <c r="AF1640" s="212"/>
      <c r="AG1640" s="212"/>
    </row>
    <row r="1641" spans="5:33">
      <c r="E1641" s="376"/>
      <c r="F1641" s="376"/>
      <c r="G1641" s="376"/>
      <c r="H1641" s="376"/>
      <c r="K1641" s="214"/>
      <c r="S1641" s="214"/>
      <c r="Y1641" s="214"/>
      <c r="Z1641" s="214"/>
      <c r="AF1641" s="212"/>
      <c r="AG1641" s="212"/>
    </row>
    <row r="1642" spans="5:33">
      <c r="E1642" s="376"/>
      <c r="F1642" s="376"/>
      <c r="G1642" s="376"/>
      <c r="H1642" s="376"/>
      <c r="K1642" s="214"/>
      <c r="S1642" s="214"/>
      <c r="Y1642" s="214"/>
      <c r="Z1642" s="214"/>
      <c r="AF1642" s="212"/>
      <c r="AG1642" s="212"/>
    </row>
    <row r="1643" spans="5:33">
      <c r="E1643" s="376"/>
      <c r="F1643" s="376"/>
      <c r="G1643" s="376"/>
      <c r="H1643" s="376"/>
      <c r="K1643" s="214"/>
      <c r="S1643" s="214"/>
      <c r="Y1643" s="214"/>
      <c r="Z1643" s="214"/>
      <c r="AF1643" s="212"/>
      <c r="AG1643" s="212"/>
    </row>
    <row r="1644" spans="5:33">
      <c r="E1644" s="376"/>
      <c r="F1644" s="376"/>
      <c r="G1644" s="376"/>
      <c r="H1644" s="376"/>
      <c r="K1644" s="214"/>
      <c r="S1644" s="214"/>
      <c r="Y1644" s="214"/>
      <c r="Z1644" s="214"/>
      <c r="AF1644" s="212"/>
      <c r="AG1644" s="212"/>
    </row>
    <row r="1645" spans="5:33">
      <c r="E1645" s="376"/>
      <c r="F1645" s="376"/>
      <c r="G1645" s="376"/>
      <c r="H1645" s="376"/>
      <c r="K1645" s="214"/>
      <c r="S1645" s="214"/>
      <c r="Y1645" s="214"/>
      <c r="Z1645" s="214"/>
      <c r="AF1645" s="212"/>
      <c r="AG1645" s="212"/>
    </row>
    <row r="1646" spans="5:33">
      <c r="E1646" s="376"/>
      <c r="F1646" s="376"/>
      <c r="G1646" s="376"/>
      <c r="H1646" s="376"/>
      <c r="K1646" s="214"/>
      <c r="S1646" s="214"/>
      <c r="Y1646" s="214"/>
      <c r="Z1646" s="214"/>
      <c r="AF1646" s="212"/>
      <c r="AG1646" s="212"/>
    </row>
    <row r="1647" spans="5:33">
      <c r="E1647" s="376"/>
      <c r="F1647" s="376"/>
      <c r="G1647" s="376"/>
      <c r="H1647" s="376"/>
      <c r="K1647" s="214"/>
      <c r="S1647" s="214"/>
      <c r="Y1647" s="214"/>
      <c r="Z1647" s="214"/>
      <c r="AF1647" s="212"/>
      <c r="AG1647" s="212"/>
    </row>
    <row r="1648" spans="5:33">
      <c r="E1648" s="376"/>
      <c r="F1648" s="376"/>
      <c r="G1648" s="376"/>
      <c r="H1648" s="376"/>
      <c r="K1648" s="214"/>
      <c r="S1648" s="214"/>
      <c r="Y1648" s="214"/>
      <c r="Z1648" s="214"/>
      <c r="AF1648" s="212"/>
      <c r="AG1648" s="212"/>
    </row>
    <row r="1649" spans="5:33">
      <c r="E1649" s="376"/>
      <c r="F1649" s="376"/>
      <c r="G1649" s="376"/>
      <c r="H1649" s="376"/>
      <c r="K1649" s="214"/>
      <c r="S1649" s="214"/>
      <c r="Y1649" s="214"/>
      <c r="Z1649" s="214"/>
      <c r="AF1649" s="212"/>
      <c r="AG1649" s="212"/>
    </row>
    <row r="1650" spans="5:33">
      <c r="E1650" s="376"/>
      <c r="F1650" s="376"/>
      <c r="G1650" s="376"/>
      <c r="H1650" s="376"/>
      <c r="K1650" s="214"/>
      <c r="S1650" s="214"/>
      <c r="Y1650" s="214"/>
      <c r="Z1650" s="214"/>
      <c r="AF1650" s="212"/>
      <c r="AG1650" s="212"/>
    </row>
    <row r="1651" spans="5:33">
      <c r="E1651" s="376"/>
      <c r="F1651" s="376"/>
      <c r="G1651" s="376"/>
      <c r="H1651" s="376"/>
      <c r="K1651" s="214"/>
      <c r="S1651" s="214"/>
      <c r="Y1651" s="214"/>
      <c r="Z1651" s="214"/>
      <c r="AF1651" s="212"/>
      <c r="AG1651" s="212"/>
    </row>
    <row r="1652" spans="5:33">
      <c r="E1652" s="376"/>
      <c r="F1652" s="376"/>
      <c r="G1652" s="376"/>
      <c r="H1652" s="376"/>
      <c r="K1652" s="214"/>
      <c r="S1652" s="214"/>
      <c r="Y1652" s="214"/>
      <c r="Z1652" s="214"/>
      <c r="AF1652" s="212"/>
      <c r="AG1652" s="212"/>
    </row>
    <row r="1653" spans="5:33">
      <c r="E1653" s="376"/>
      <c r="F1653" s="376"/>
      <c r="G1653" s="376"/>
      <c r="H1653" s="376"/>
      <c r="K1653" s="214"/>
      <c r="S1653" s="214"/>
      <c r="Y1653" s="214"/>
      <c r="Z1653" s="214"/>
      <c r="AF1653" s="212"/>
      <c r="AG1653" s="212"/>
    </row>
    <row r="1654" spans="5:33">
      <c r="E1654" s="376"/>
      <c r="F1654" s="376"/>
      <c r="G1654" s="376"/>
      <c r="H1654" s="376"/>
      <c r="K1654" s="214"/>
      <c r="S1654" s="214"/>
      <c r="Y1654" s="214"/>
      <c r="Z1654" s="214"/>
      <c r="AF1654" s="212"/>
      <c r="AG1654" s="212"/>
    </row>
    <row r="1655" spans="5:33">
      <c r="E1655" s="376"/>
      <c r="F1655" s="376"/>
      <c r="G1655" s="376"/>
      <c r="H1655" s="376"/>
      <c r="K1655" s="214"/>
      <c r="S1655" s="214"/>
      <c r="Y1655" s="214"/>
      <c r="Z1655" s="214"/>
      <c r="AF1655" s="212"/>
      <c r="AG1655" s="212"/>
    </row>
    <row r="1656" spans="5:33">
      <c r="E1656" s="376"/>
      <c r="F1656" s="376"/>
      <c r="G1656" s="376"/>
      <c r="H1656" s="376"/>
      <c r="K1656" s="214"/>
      <c r="S1656" s="214"/>
      <c r="Y1656" s="214"/>
      <c r="Z1656" s="214"/>
      <c r="AF1656" s="212"/>
      <c r="AG1656" s="212"/>
    </row>
    <row r="1657" spans="5:33">
      <c r="E1657" s="376"/>
      <c r="F1657" s="376"/>
      <c r="G1657" s="376"/>
      <c r="H1657" s="376"/>
      <c r="K1657" s="214"/>
      <c r="S1657" s="214"/>
      <c r="Y1657" s="214"/>
      <c r="Z1657" s="214"/>
      <c r="AF1657" s="212"/>
      <c r="AG1657" s="212"/>
    </row>
    <row r="1658" spans="5:33">
      <c r="E1658" s="376"/>
      <c r="F1658" s="376"/>
      <c r="G1658" s="376"/>
      <c r="H1658" s="376"/>
      <c r="K1658" s="214"/>
      <c r="S1658" s="214"/>
      <c r="Y1658" s="214"/>
      <c r="Z1658" s="214"/>
      <c r="AF1658" s="212"/>
      <c r="AG1658" s="212"/>
    </row>
    <row r="1659" spans="5:33">
      <c r="E1659" s="376"/>
      <c r="F1659" s="376"/>
      <c r="G1659" s="376"/>
      <c r="H1659" s="376"/>
      <c r="K1659" s="214"/>
      <c r="S1659" s="214"/>
      <c r="Y1659" s="214"/>
      <c r="Z1659" s="214"/>
      <c r="AF1659" s="212"/>
      <c r="AG1659" s="212"/>
    </row>
    <row r="1660" spans="5:33">
      <c r="E1660" s="376"/>
      <c r="F1660" s="376"/>
      <c r="G1660" s="376"/>
      <c r="H1660" s="376"/>
      <c r="K1660" s="214"/>
      <c r="S1660" s="214"/>
      <c r="Y1660" s="214"/>
      <c r="Z1660" s="214"/>
      <c r="AF1660" s="212"/>
      <c r="AG1660" s="212"/>
    </row>
    <row r="1661" spans="5:33">
      <c r="E1661" s="376"/>
      <c r="F1661" s="376"/>
      <c r="G1661" s="376"/>
      <c r="H1661" s="376"/>
      <c r="K1661" s="214"/>
      <c r="S1661" s="214"/>
      <c r="Y1661" s="214"/>
      <c r="Z1661" s="214"/>
      <c r="AF1661" s="212"/>
      <c r="AG1661" s="212"/>
    </row>
    <row r="1662" spans="5:33">
      <c r="E1662" s="376"/>
      <c r="F1662" s="376"/>
      <c r="G1662" s="376"/>
      <c r="H1662" s="376"/>
      <c r="K1662" s="214"/>
      <c r="S1662" s="214"/>
      <c r="Y1662" s="214"/>
      <c r="Z1662" s="214"/>
      <c r="AF1662" s="212"/>
      <c r="AG1662" s="212"/>
    </row>
    <row r="1663" spans="5:33">
      <c r="E1663" s="376"/>
      <c r="F1663" s="376"/>
      <c r="G1663" s="376"/>
      <c r="H1663" s="376"/>
      <c r="K1663" s="214"/>
      <c r="S1663" s="214"/>
      <c r="Y1663" s="214"/>
      <c r="Z1663" s="214"/>
      <c r="AF1663" s="212"/>
      <c r="AG1663" s="212"/>
    </row>
    <row r="1664" spans="5:33">
      <c r="E1664" s="376"/>
      <c r="F1664" s="376"/>
      <c r="G1664" s="376"/>
      <c r="H1664" s="376"/>
      <c r="K1664" s="214"/>
      <c r="S1664" s="214"/>
      <c r="Y1664" s="214"/>
      <c r="Z1664" s="214"/>
      <c r="AF1664" s="212"/>
      <c r="AG1664" s="212"/>
    </row>
    <row r="1665" spans="5:33">
      <c r="E1665" s="376"/>
      <c r="F1665" s="376"/>
      <c r="G1665" s="376"/>
      <c r="H1665" s="376"/>
      <c r="K1665" s="214"/>
      <c r="S1665" s="214"/>
      <c r="Y1665" s="214"/>
      <c r="Z1665" s="214"/>
      <c r="AF1665" s="212"/>
      <c r="AG1665" s="212"/>
    </row>
    <row r="1666" spans="5:33">
      <c r="E1666" s="376"/>
      <c r="F1666" s="376"/>
      <c r="G1666" s="376"/>
      <c r="H1666" s="376"/>
      <c r="K1666" s="214"/>
      <c r="S1666" s="214"/>
      <c r="Y1666" s="214"/>
      <c r="Z1666" s="214"/>
      <c r="AF1666" s="212"/>
      <c r="AG1666" s="212"/>
    </row>
    <row r="1667" spans="5:33">
      <c r="E1667" s="376"/>
      <c r="F1667" s="376"/>
      <c r="G1667" s="376"/>
      <c r="H1667" s="376"/>
      <c r="K1667" s="214"/>
      <c r="S1667" s="214"/>
      <c r="Y1667" s="214"/>
      <c r="Z1667" s="214"/>
      <c r="AF1667" s="212"/>
      <c r="AG1667" s="212"/>
    </row>
    <row r="1668" spans="5:33">
      <c r="E1668" s="376"/>
      <c r="F1668" s="376"/>
      <c r="G1668" s="376"/>
      <c r="H1668" s="376"/>
      <c r="K1668" s="214"/>
      <c r="S1668" s="214"/>
      <c r="Y1668" s="214"/>
      <c r="Z1668" s="214"/>
      <c r="AF1668" s="212"/>
      <c r="AG1668" s="212"/>
    </row>
    <row r="1669" spans="5:33">
      <c r="E1669" s="376"/>
      <c r="F1669" s="376"/>
      <c r="G1669" s="376"/>
      <c r="H1669" s="376"/>
      <c r="K1669" s="214"/>
      <c r="S1669" s="214"/>
      <c r="Y1669" s="214"/>
      <c r="Z1669" s="214"/>
      <c r="AF1669" s="212"/>
      <c r="AG1669" s="212"/>
    </row>
    <row r="1670" spans="5:33">
      <c r="E1670" s="376"/>
      <c r="F1670" s="376"/>
      <c r="G1670" s="376"/>
      <c r="H1670" s="376"/>
      <c r="K1670" s="214"/>
      <c r="S1670" s="214"/>
      <c r="Y1670" s="214"/>
      <c r="Z1670" s="214"/>
      <c r="AF1670" s="212"/>
      <c r="AG1670" s="212"/>
    </row>
    <row r="1671" spans="5:33">
      <c r="E1671" s="376"/>
      <c r="F1671" s="376"/>
      <c r="G1671" s="376"/>
      <c r="H1671" s="376"/>
      <c r="K1671" s="214"/>
      <c r="S1671" s="214"/>
      <c r="Y1671" s="214"/>
      <c r="Z1671" s="214"/>
      <c r="AF1671" s="212"/>
      <c r="AG1671" s="212"/>
    </row>
    <row r="1672" spans="5:33">
      <c r="E1672" s="376"/>
      <c r="F1672" s="376"/>
      <c r="G1672" s="376"/>
      <c r="H1672" s="376"/>
      <c r="K1672" s="214"/>
      <c r="S1672" s="214"/>
      <c r="Y1672" s="214"/>
      <c r="Z1672" s="214"/>
      <c r="AF1672" s="212"/>
      <c r="AG1672" s="212"/>
    </row>
    <row r="1673" spans="5:33">
      <c r="E1673" s="376"/>
      <c r="F1673" s="376"/>
      <c r="G1673" s="376"/>
      <c r="H1673" s="376"/>
      <c r="K1673" s="214"/>
      <c r="S1673" s="214"/>
      <c r="Y1673" s="214"/>
      <c r="Z1673" s="214"/>
      <c r="AF1673" s="212"/>
      <c r="AG1673" s="212"/>
    </row>
    <row r="1674" spans="5:33">
      <c r="E1674" s="376"/>
      <c r="F1674" s="376"/>
      <c r="G1674" s="376"/>
      <c r="H1674" s="376"/>
      <c r="K1674" s="214"/>
      <c r="S1674" s="214"/>
      <c r="Y1674" s="214"/>
      <c r="Z1674" s="214"/>
      <c r="AF1674" s="212"/>
      <c r="AG1674" s="212"/>
    </row>
    <row r="1675" spans="5:33">
      <c r="E1675" s="376"/>
      <c r="F1675" s="376"/>
      <c r="G1675" s="376"/>
      <c r="H1675" s="376"/>
      <c r="K1675" s="214"/>
      <c r="S1675" s="214"/>
      <c r="Y1675" s="214"/>
      <c r="Z1675" s="214"/>
      <c r="AF1675" s="212"/>
      <c r="AG1675" s="212"/>
    </row>
    <row r="1676" spans="5:33">
      <c r="E1676" s="376"/>
      <c r="F1676" s="376"/>
      <c r="G1676" s="376"/>
      <c r="H1676" s="376"/>
      <c r="K1676" s="214"/>
      <c r="S1676" s="214"/>
      <c r="Y1676" s="214"/>
      <c r="Z1676" s="214"/>
      <c r="AF1676" s="212"/>
      <c r="AG1676" s="212"/>
    </row>
    <row r="1677" spans="5:33">
      <c r="E1677" s="376"/>
      <c r="F1677" s="376"/>
      <c r="G1677" s="376"/>
      <c r="H1677" s="376"/>
      <c r="K1677" s="214"/>
      <c r="S1677" s="214"/>
      <c r="Y1677" s="214"/>
      <c r="Z1677" s="214"/>
      <c r="AF1677" s="212"/>
      <c r="AG1677" s="212"/>
    </row>
    <row r="1678" spans="5:33">
      <c r="E1678" s="376"/>
      <c r="F1678" s="376"/>
      <c r="G1678" s="376"/>
      <c r="H1678" s="376"/>
      <c r="K1678" s="214"/>
      <c r="S1678" s="214"/>
      <c r="Y1678" s="214"/>
      <c r="Z1678" s="214"/>
      <c r="AF1678" s="212"/>
      <c r="AG1678" s="212"/>
    </row>
    <row r="1679" spans="5:33">
      <c r="E1679" s="376"/>
      <c r="F1679" s="376"/>
      <c r="G1679" s="376"/>
      <c r="H1679" s="376"/>
      <c r="K1679" s="214"/>
      <c r="S1679" s="214"/>
      <c r="Y1679" s="214"/>
      <c r="Z1679" s="214"/>
      <c r="AF1679" s="212"/>
      <c r="AG1679" s="212"/>
    </row>
    <row r="1680" spans="5:33">
      <c r="E1680" s="376"/>
      <c r="F1680" s="376"/>
      <c r="G1680" s="376"/>
      <c r="H1680" s="376"/>
      <c r="K1680" s="214"/>
      <c r="S1680" s="214"/>
      <c r="Y1680" s="214"/>
      <c r="Z1680" s="214"/>
      <c r="AF1680" s="212"/>
      <c r="AG1680" s="212"/>
    </row>
    <row r="1681" spans="5:33">
      <c r="E1681" s="376"/>
      <c r="F1681" s="376"/>
      <c r="G1681" s="376"/>
      <c r="H1681" s="376"/>
      <c r="K1681" s="214"/>
      <c r="S1681" s="214"/>
      <c r="Y1681" s="214"/>
      <c r="Z1681" s="214"/>
      <c r="AF1681" s="212"/>
      <c r="AG1681" s="212"/>
    </row>
    <row r="1682" spans="5:33">
      <c r="E1682" s="376"/>
      <c r="F1682" s="376"/>
      <c r="G1682" s="376"/>
      <c r="H1682" s="376"/>
      <c r="K1682" s="214"/>
      <c r="S1682" s="214"/>
      <c r="Y1682" s="214"/>
      <c r="Z1682" s="214"/>
      <c r="AF1682" s="212"/>
      <c r="AG1682" s="212"/>
    </row>
    <row r="1683" spans="5:33">
      <c r="E1683" s="376"/>
      <c r="F1683" s="376"/>
      <c r="G1683" s="376"/>
      <c r="H1683" s="376"/>
      <c r="K1683" s="214"/>
      <c r="S1683" s="214"/>
      <c r="Y1683" s="214"/>
      <c r="Z1683" s="214"/>
      <c r="AF1683" s="212"/>
      <c r="AG1683" s="212"/>
    </row>
    <row r="1684" spans="5:33">
      <c r="E1684" s="376"/>
      <c r="F1684" s="376"/>
      <c r="G1684" s="376"/>
      <c r="H1684" s="376"/>
      <c r="K1684" s="214"/>
      <c r="S1684" s="214"/>
      <c r="Y1684" s="214"/>
      <c r="Z1684" s="214"/>
      <c r="AF1684" s="212"/>
      <c r="AG1684" s="212"/>
    </row>
    <row r="1685" spans="5:33">
      <c r="E1685" s="376"/>
      <c r="F1685" s="376"/>
      <c r="G1685" s="376"/>
      <c r="H1685" s="376"/>
      <c r="K1685" s="214"/>
      <c r="S1685" s="214"/>
      <c r="Y1685" s="214"/>
      <c r="Z1685" s="214"/>
      <c r="AF1685" s="212"/>
      <c r="AG1685" s="212"/>
    </row>
    <row r="1686" spans="5:33">
      <c r="E1686" s="376"/>
      <c r="F1686" s="376"/>
      <c r="G1686" s="376"/>
      <c r="H1686" s="376"/>
      <c r="K1686" s="214"/>
      <c r="S1686" s="214"/>
      <c r="Y1686" s="214"/>
      <c r="Z1686" s="214"/>
      <c r="AF1686" s="212"/>
      <c r="AG1686" s="212"/>
    </row>
    <row r="1687" spans="5:33">
      <c r="E1687" s="376"/>
      <c r="F1687" s="376"/>
      <c r="G1687" s="376"/>
      <c r="H1687" s="376"/>
      <c r="K1687" s="214"/>
      <c r="S1687" s="214"/>
      <c r="Y1687" s="214"/>
      <c r="Z1687" s="214"/>
      <c r="AF1687" s="212"/>
      <c r="AG1687" s="212"/>
    </row>
    <row r="1688" spans="5:33">
      <c r="E1688" s="376"/>
      <c r="F1688" s="376"/>
      <c r="G1688" s="376"/>
      <c r="H1688" s="376"/>
      <c r="K1688" s="214"/>
      <c r="S1688" s="214"/>
      <c r="Y1688" s="214"/>
      <c r="Z1688" s="214"/>
      <c r="AF1688" s="212"/>
      <c r="AG1688" s="212"/>
    </row>
    <row r="1689" spans="5:33">
      <c r="E1689" s="376"/>
      <c r="F1689" s="376"/>
      <c r="G1689" s="376"/>
      <c r="H1689" s="376"/>
      <c r="K1689" s="214"/>
      <c r="S1689" s="214"/>
      <c r="Y1689" s="214"/>
      <c r="Z1689" s="214"/>
      <c r="AF1689" s="212"/>
      <c r="AG1689" s="212"/>
    </row>
    <row r="1690" spans="5:33">
      <c r="E1690" s="376"/>
      <c r="F1690" s="376"/>
      <c r="G1690" s="376"/>
      <c r="H1690" s="376"/>
      <c r="K1690" s="214"/>
      <c r="S1690" s="214"/>
      <c r="Y1690" s="214"/>
      <c r="Z1690" s="214"/>
      <c r="AF1690" s="212"/>
      <c r="AG1690" s="212"/>
    </row>
    <row r="1691" spans="5:33">
      <c r="E1691" s="376"/>
      <c r="F1691" s="376"/>
      <c r="G1691" s="376"/>
      <c r="H1691" s="376"/>
      <c r="K1691" s="214"/>
      <c r="S1691" s="214"/>
      <c r="Y1691" s="214"/>
      <c r="Z1691" s="214"/>
      <c r="AF1691" s="212"/>
      <c r="AG1691" s="212"/>
    </row>
    <row r="1692" spans="5:33">
      <c r="E1692" s="376"/>
      <c r="F1692" s="376"/>
      <c r="G1692" s="376"/>
      <c r="H1692" s="376"/>
      <c r="K1692" s="214"/>
      <c r="S1692" s="214"/>
      <c r="Y1692" s="214"/>
      <c r="Z1692" s="214"/>
      <c r="AF1692" s="212"/>
      <c r="AG1692" s="212"/>
    </row>
    <row r="1693" spans="5:33">
      <c r="E1693" s="376"/>
      <c r="F1693" s="376"/>
      <c r="G1693" s="376"/>
      <c r="H1693" s="376"/>
      <c r="K1693" s="214"/>
      <c r="S1693" s="214"/>
      <c r="Y1693" s="214"/>
      <c r="Z1693" s="214"/>
      <c r="AF1693" s="212"/>
      <c r="AG1693" s="212"/>
    </row>
    <row r="1694" spans="5:33">
      <c r="E1694" s="376"/>
      <c r="F1694" s="376"/>
      <c r="G1694" s="376"/>
      <c r="H1694" s="376"/>
      <c r="K1694" s="214"/>
      <c r="S1694" s="214"/>
      <c r="Y1694" s="214"/>
      <c r="Z1694" s="214"/>
      <c r="AF1694" s="212"/>
      <c r="AG1694" s="212"/>
    </row>
    <row r="1695" spans="5:33">
      <c r="E1695" s="376"/>
      <c r="F1695" s="376"/>
      <c r="G1695" s="376"/>
      <c r="H1695" s="376"/>
      <c r="K1695" s="214"/>
      <c r="S1695" s="214"/>
      <c r="Y1695" s="214"/>
      <c r="Z1695" s="214"/>
      <c r="AF1695" s="212"/>
      <c r="AG1695" s="212"/>
    </row>
    <row r="1696" spans="5:33">
      <c r="E1696" s="376"/>
      <c r="F1696" s="376"/>
      <c r="G1696" s="376"/>
      <c r="H1696" s="376"/>
      <c r="K1696" s="214"/>
      <c r="S1696" s="214"/>
      <c r="Y1696" s="214"/>
      <c r="Z1696" s="214"/>
      <c r="AF1696" s="212"/>
      <c r="AG1696" s="212"/>
    </row>
    <row r="1697" spans="5:33">
      <c r="E1697" s="376"/>
      <c r="F1697" s="376"/>
      <c r="G1697" s="376"/>
      <c r="H1697" s="376"/>
      <c r="K1697" s="214"/>
      <c r="S1697" s="214"/>
      <c r="Y1697" s="214"/>
      <c r="Z1697" s="214"/>
      <c r="AF1697" s="212"/>
      <c r="AG1697" s="212"/>
    </row>
    <row r="1698" spans="5:33">
      <c r="E1698" s="376"/>
      <c r="F1698" s="376"/>
      <c r="G1698" s="376"/>
      <c r="H1698" s="376"/>
      <c r="K1698" s="214"/>
      <c r="S1698" s="214"/>
      <c r="Y1698" s="214"/>
      <c r="Z1698" s="214"/>
      <c r="AF1698" s="212"/>
      <c r="AG1698" s="212"/>
    </row>
    <row r="1699" spans="5:33">
      <c r="E1699" s="376"/>
      <c r="F1699" s="376"/>
      <c r="G1699" s="376"/>
      <c r="H1699" s="376"/>
      <c r="K1699" s="214"/>
      <c r="S1699" s="214"/>
      <c r="Y1699" s="214"/>
      <c r="Z1699" s="214"/>
      <c r="AF1699" s="212"/>
      <c r="AG1699" s="212"/>
    </row>
    <row r="1700" spans="5:33">
      <c r="E1700" s="376"/>
      <c r="F1700" s="376"/>
      <c r="G1700" s="376"/>
      <c r="H1700" s="376"/>
      <c r="K1700" s="214"/>
      <c r="S1700" s="214"/>
      <c r="Y1700" s="214"/>
      <c r="Z1700" s="214"/>
      <c r="AF1700" s="212"/>
      <c r="AG1700" s="212"/>
    </row>
    <row r="1701" spans="5:33">
      <c r="E1701" s="376"/>
      <c r="F1701" s="376"/>
      <c r="G1701" s="376"/>
      <c r="H1701" s="376"/>
      <c r="K1701" s="214"/>
      <c r="S1701" s="214"/>
      <c r="Y1701" s="214"/>
      <c r="Z1701" s="214"/>
      <c r="AF1701" s="212"/>
      <c r="AG1701" s="212"/>
    </row>
    <row r="1702" spans="5:33">
      <c r="E1702" s="376"/>
      <c r="F1702" s="376"/>
      <c r="G1702" s="376"/>
      <c r="H1702" s="376"/>
      <c r="K1702" s="214"/>
      <c r="S1702" s="214"/>
      <c r="Y1702" s="214"/>
      <c r="Z1702" s="214"/>
      <c r="AF1702" s="212"/>
      <c r="AG1702" s="212"/>
    </row>
    <row r="1703" spans="5:33">
      <c r="E1703" s="376"/>
      <c r="F1703" s="376"/>
      <c r="G1703" s="376"/>
      <c r="H1703" s="376"/>
      <c r="K1703" s="214"/>
      <c r="S1703" s="214"/>
      <c r="Y1703" s="214"/>
      <c r="Z1703" s="214"/>
      <c r="AF1703" s="212"/>
      <c r="AG1703" s="212"/>
    </row>
    <row r="1704" spans="5:33">
      <c r="E1704" s="376"/>
      <c r="F1704" s="376"/>
      <c r="G1704" s="376"/>
      <c r="H1704" s="376"/>
      <c r="K1704" s="214"/>
      <c r="S1704" s="214"/>
      <c r="Y1704" s="214"/>
      <c r="Z1704" s="214"/>
      <c r="AF1704" s="212"/>
      <c r="AG1704" s="212"/>
    </row>
    <row r="1705" spans="5:33">
      <c r="E1705" s="376"/>
      <c r="F1705" s="376"/>
      <c r="G1705" s="376"/>
      <c r="H1705" s="376"/>
      <c r="K1705" s="214"/>
      <c r="S1705" s="214"/>
      <c r="Y1705" s="214"/>
      <c r="Z1705" s="214"/>
      <c r="AF1705" s="212"/>
      <c r="AG1705" s="212"/>
    </row>
    <row r="1706" spans="5:33">
      <c r="E1706" s="376"/>
      <c r="F1706" s="376"/>
      <c r="G1706" s="376"/>
      <c r="H1706" s="376"/>
      <c r="K1706" s="214"/>
      <c r="S1706" s="214"/>
      <c r="Y1706" s="214"/>
      <c r="Z1706" s="214"/>
      <c r="AF1706" s="212"/>
      <c r="AG1706" s="212"/>
    </row>
    <row r="1707" spans="5:33">
      <c r="E1707" s="376"/>
      <c r="F1707" s="376"/>
      <c r="G1707" s="376"/>
      <c r="H1707" s="376"/>
      <c r="K1707" s="214"/>
      <c r="S1707" s="214"/>
      <c r="Y1707" s="214"/>
      <c r="Z1707" s="214"/>
      <c r="AF1707" s="212"/>
      <c r="AG1707" s="212"/>
    </row>
    <row r="1708" spans="5:33">
      <c r="E1708" s="376"/>
      <c r="F1708" s="376"/>
      <c r="G1708" s="376"/>
      <c r="H1708" s="376"/>
      <c r="K1708" s="214"/>
      <c r="S1708" s="214"/>
      <c r="Y1708" s="214"/>
      <c r="Z1708" s="214"/>
      <c r="AF1708" s="212"/>
      <c r="AG1708" s="212"/>
    </row>
    <row r="1709" spans="5:33">
      <c r="E1709" s="376"/>
      <c r="F1709" s="376"/>
      <c r="G1709" s="376"/>
      <c r="H1709" s="376"/>
      <c r="K1709" s="214"/>
      <c r="S1709" s="214"/>
      <c r="Y1709" s="214"/>
      <c r="Z1709" s="214"/>
      <c r="AF1709" s="212"/>
      <c r="AG1709" s="212"/>
    </row>
    <row r="1710" spans="5:33">
      <c r="E1710" s="376"/>
      <c r="F1710" s="376"/>
      <c r="G1710" s="376"/>
      <c r="H1710" s="376"/>
      <c r="K1710" s="214"/>
      <c r="S1710" s="214"/>
      <c r="Y1710" s="214"/>
      <c r="Z1710" s="214"/>
      <c r="AF1710" s="212"/>
      <c r="AG1710" s="212"/>
    </row>
    <row r="1711" spans="5:33">
      <c r="E1711" s="376"/>
      <c r="F1711" s="376"/>
      <c r="G1711" s="376"/>
      <c r="H1711" s="376"/>
      <c r="K1711" s="214"/>
      <c r="S1711" s="214"/>
      <c r="Y1711" s="214"/>
      <c r="Z1711" s="214"/>
      <c r="AF1711" s="212"/>
      <c r="AG1711" s="212"/>
    </row>
    <row r="1712" spans="5:33">
      <c r="E1712" s="376"/>
      <c r="F1712" s="376"/>
      <c r="G1712" s="376"/>
      <c r="H1712" s="376"/>
      <c r="K1712" s="214"/>
      <c r="S1712" s="214"/>
      <c r="Y1712" s="214"/>
      <c r="Z1712" s="214"/>
      <c r="AF1712" s="212"/>
      <c r="AG1712" s="212"/>
    </row>
    <row r="1713" spans="5:33">
      <c r="E1713" s="376"/>
      <c r="F1713" s="376"/>
      <c r="G1713" s="376"/>
      <c r="H1713" s="376"/>
      <c r="K1713" s="214"/>
      <c r="S1713" s="214"/>
      <c r="Y1713" s="214"/>
      <c r="Z1713" s="214"/>
      <c r="AF1713" s="212"/>
      <c r="AG1713" s="212"/>
    </row>
    <row r="1714" spans="5:33">
      <c r="E1714" s="376"/>
      <c r="F1714" s="376"/>
      <c r="G1714" s="376"/>
      <c r="H1714" s="376"/>
      <c r="K1714" s="214"/>
      <c r="S1714" s="214"/>
      <c r="Y1714" s="214"/>
      <c r="Z1714" s="214"/>
      <c r="AF1714" s="212"/>
      <c r="AG1714" s="212"/>
    </row>
    <row r="1715" spans="5:33">
      <c r="E1715" s="376"/>
      <c r="F1715" s="376"/>
      <c r="G1715" s="376"/>
      <c r="H1715" s="376"/>
      <c r="K1715" s="214"/>
      <c r="S1715" s="214"/>
      <c r="Y1715" s="214"/>
      <c r="Z1715" s="214"/>
      <c r="AF1715" s="212"/>
      <c r="AG1715" s="212"/>
    </row>
    <row r="1716" spans="5:33">
      <c r="E1716" s="376"/>
      <c r="F1716" s="376"/>
      <c r="G1716" s="376"/>
      <c r="H1716" s="376"/>
      <c r="K1716" s="214"/>
      <c r="S1716" s="214"/>
      <c r="Y1716" s="214"/>
      <c r="Z1716" s="214"/>
      <c r="AF1716" s="212"/>
      <c r="AG1716" s="212"/>
    </row>
    <row r="1717" spans="5:33">
      <c r="E1717" s="376"/>
      <c r="F1717" s="376"/>
      <c r="G1717" s="376"/>
      <c r="H1717" s="376"/>
      <c r="K1717" s="214"/>
      <c r="S1717" s="214"/>
      <c r="Y1717" s="214"/>
      <c r="Z1717" s="214"/>
      <c r="AF1717" s="212"/>
      <c r="AG1717" s="212"/>
    </row>
    <row r="1718" spans="5:33">
      <c r="E1718" s="376"/>
      <c r="F1718" s="376"/>
      <c r="G1718" s="376"/>
      <c r="H1718" s="376"/>
      <c r="K1718" s="214"/>
      <c r="S1718" s="214"/>
      <c r="Y1718" s="214"/>
      <c r="Z1718" s="214"/>
      <c r="AF1718" s="212"/>
      <c r="AG1718" s="212"/>
    </row>
    <row r="1719" spans="5:33">
      <c r="E1719" s="376"/>
      <c r="F1719" s="376"/>
      <c r="G1719" s="376"/>
      <c r="H1719" s="376"/>
      <c r="K1719" s="214"/>
      <c r="S1719" s="214"/>
      <c r="Y1719" s="214"/>
      <c r="Z1719" s="214"/>
      <c r="AF1719" s="212"/>
      <c r="AG1719" s="212"/>
    </row>
    <row r="1720" spans="5:33">
      <c r="E1720" s="376"/>
      <c r="F1720" s="376"/>
      <c r="G1720" s="376"/>
      <c r="H1720" s="376"/>
      <c r="K1720" s="214"/>
      <c r="S1720" s="214"/>
      <c r="Y1720" s="214"/>
      <c r="Z1720" s="214"/>
      <c r="AF1720" s="212"/>
      <c r="AG1720" s="212"/>
    </row>
    <row r="1721" spans="5:33">
      <c r="E1721" s="376"/>
      <c r="F1721" s="376"/>
      <c r="G1721" s="376"/>
      <c r="H1721" s="376"/>
      <c r="K1721" s="214"/>
      <c r="S1721" s="214"/>
      <c r="Y1721" s="214"/>
      <c r="Z1721" s="214"/>
      <c r="AF1721" s="212"/>
      <c r="AG1721" s="212"/>
    </row>
    <row r="1722" spans="5:33">
      <c r="E1722" s="376"/>
      <c r="F1722" s="376"/>
      <c r="G1722" s="376"/>
      <c r="H1722" s="376"/>
      <c r="K1722" s="214"/>
      <c r="S1722" s="214"/>
      <c r="Y1722" s="214"/>
      <c r="Z1722" s="214"/>
      <c r="AF1722" s="212"/>
      <c r="AG1722" s="212"/>
    </row>
    <row r="1723" spans="5:33">
      <c r="E1723" s="376"/>
      <c r="F1723" s="376"/>
      <c r="G1723" s="376"/>
      <c r="H1723" s="376"/>
      <c r="K1723" s="214"/>
      <c r="S1723" s="214"/>
      <c r="Y1723" s="214"/>
      <c r="Z1723" s="214"/>
      <c r="AF1723" s="212"/>
      <c r="AG1723" s="212"/>
    </row>
    <row r="1724" spans="5:33">
      <c r="E1724" s="376"/>
      <c r="F1724" s="376"/>
      <c r="G1724" s="376"/>
      <c r="H1724" s="376"/>
      <c r="K1724" s="214"/>
      <c r="S1724" s="214"/>
      <c r="Y1724" s="214"/>
      <c r="Z1724" s="214"/>
      <c r="AF1724" s="212"/>
      <c r="AG1724" s="212"/>
    </row>
    <row r="1725" spans="5:33">
      <c r="E1725" s="376"/>
      <c r="F1725" s="376"/>
      <c r="G1725" s="376"/>
      <c r="H1725" s="376"/>
      <c r="K1725" s="214"/>
      <c r="S1725" s="214"/>
      <c r="Y1725" s="214"/>
      <c r="Z1725" s="214"/>
      <c r="AF1725" s="212"/>
      <c r="AG1725" s="212"/>
    </row>
    <row r="1726" spans="5:33">
      <c r="E1726" s="376"/>
      <c r="F1726" s="376"/>
      <c r="G1726" s="376"/>
      <c r="H1726" s="376"/>
      <c r="K1726" s="214"/>
      <c r="S1726" s="214"/>
      <c r="Y1726" s="214"/>
      <c r="Z1726" s="214"/>
      <c r="AF1726" s="212"/>
      <c r="AG1726" s="212"/>
    </row>
    <row r="1727" spans="5:33">
      <c r="E1727" s="376"/>
      <c r="F1727" s="376"/>
      <c r="G1727" s="376"/>
      <c r="H1727" s="376"/>
      <c r="K1727" s="214"/>
      <c r="S1727" s="214"/>
      <c r="Y1727" s="214"/>
      <c r="Z1727" s="214"/>
      <c r="AF1727" s="212"/>
      <c r="AG1727" s="212"/>
    </row>
    <row r="1728" spans="5:33">
      <c r="E1728" s="376"/>
      <c r="F1728" s="376"/>
      <c r="G1728" s="376"/>
      <c r="H1728" s="376"/>
      <c r="K1728" s="214"/>
      <c r="S1728" s="214"/>
      <c r="Y1728" s="214"/>
      <c r="Z1728" s="214"/>
      <c r="AF1728" s="212"/>
      <c r="AG1728" s="212"/>
    </row>
    <row r="1729" spans="5:33">
      <c r="E1729" s="376"/>
      <c r="F1729" s="376"/>
      <c r="G1729" s="376"/>
      <c r="H1729" s="376"/>
      <c r="K1729" s="214"/>
      <c r="S1729" s="214"/>
      <c r="Y1729" s="214"/>
      <c r="Z1729" s="214"/>
      <c r="AF1729" s="212"/>
      <c r="AG1729" s="212"/>
    </row>
    <row r="1730" spans="5:33">
      <c r="E1730" s="376"/>
      <c r="F1730" s="376"/>
      <c r="G1730" s="376"/>
      <c r="H1730" s="376"/>
      <c r="K1730" s="214"/>
      <c r="S1730" s="214"/>
      <c r="Y1730" s="214"/>
      <c r="Z1730" s="214"/>
      <c r="AF1730" s="212"/>
      <c r="AG1730" s="212"/>
    </row>
    <row r="1731" spans="5:33">
      <c r="E1731" s="376"/>
      <c r="F1731" s="376"/>
      <c r="G1731" s="376"/>
      <c r="H1731" s="376"/>
      <c r="K1731" s="214"/>
      <c r="S1731" s="214"/>
      <c r="Y1731" s="214"/>
      <c r="Z1731" s="214"/>
      <c r="AF1731" s="212"/>
      <c r="AG1731" s="212"/>
    </row>
    <row r="1732" spans="5:33">
      <c r="E1732" s="376"/>
      <c r="F1732" s="376"/>
      <c r="G1732" s="376"/>
      <c r="H1732" s="376"/>
      <c r="K1732" s="214"/>
      <c r="S1732" s="214"/>
      <c r="Y1732" s="214"/>
      <c r="Z1732" s="214"/>
      <c r="AF1732" s="212"/>
      <c r="AG1732" s="212"/>
    </row>
    <row r="1733" spans="5:33">
      <c r="E1733" s="376"/>
      <c r="F1733" s="376"/>
      <c r="G1733" s="376"/>
      <c r="H1733" s="376"/>
      <c r="K1733" s="214"/>
      <c r="S1733" s="214"/>
      <c r="Y1733" s="214"/>
      <c r="Z1733" s="214"/>
      <c r="AF1733" s="212"/>
      <c r="AG1733" s="212"/>
    </row>
    <row r="1734" spans="5:33">
      <c r="E1734" s="376"/>
      <c r="F1734" s="376"/>
      <c r="G1734" s="376"/>
      <c r="H1734" s="376"/>
      <c r="K1734" s="214"/>
      <c r="S1734" s="214"/>
      <c r="Y1734" s="214"/>
      <c r="Z1734" s="214"/>
      <c r="AF1734" s="212"/>
      <c r="AG1734" s="212"/>
    </row>
    <row r="1735" spans="5:33">
      <c r="E1735" s="376"/>
      <c r="F1735" s="376"/>
      <c r="G1735" s="376"/>
      <c r="H1735" s="376"/>
      <c r="K1735" s="214"/>
      <c r="S1735" s="214"/>
      <c r="Y1735" s="214"/>
      <c r="Z1735" s="214"/>
      <c r="AF1735" s="212"/>
      <c r="AG1735" s="212"/>
    </row>
    <row r="1736" spans="5:33">
      <c r="E1736" s="376"/>
      <c r="F1736" s="376"/>
      <c r="G1736" s="376"/>
      <c r="H1736" s="376"/>
      <c r="K1736" s="214"/>
      <c r="S1736" s="214"/>
      <c r="Y1736" s="214"/>
      <c r="Z1736" s="214"/>
      <c r="AF1736" s="212"/>
      <c r="AG1736" s="212"/>
    </row>
    <row r="1737" spans="5:33">
      <c r="E1737" s="376"/>
      <c r="F1737" s="376"/>
      <c r="G1737" s="376"/>
      <c r="H1737" s="376"/>
      <c r="K1737" s="214"/>
      <c r="S1737" s="214"/>
      <c r="Y1737" s="214"/>
      <c r="Z1737" s="214"/>
      <c r="AF1737" s="212"/>
      <c r="AG1737" s="212"/>
    </row>
    <row r="1738" spans="5:33">
      <c r="E1738" s="376"/>
      <c r="F1738" s="376"/>
      <c r="G1738" s="376"/>
      <c r="H1738" s="376"/>
      <c r="K1738" s="214"/>
      <c r="S1738" s="214"/>
      <c r="Y1738" s="214"/>
      <c r="Z1738" s="214"/>
      <c r="AF1738" s="212"/>
      <c r="AG1738" s="212"/>
    </row>
    <row r="1739" spans="5:33">
      <c r="E1739" s="376"/>
      <c r="F1739" s="376"/>
      <c r="G1739" s="376"/>
      <c r="H1739" s="376"/>
      <c r="K1739" s="214"/>
      <c r="S1739" s="214"/>
      <c r="Y1739" s="214"/>
      <c r="Z1739" s="214"/>
      <c r="AF1739" s="212"/>
      <c r="AG1739" s="212"/>
    </row>
    <row r="1740" spans="5:33">
      <c r="E1740" s="376"/>
      <c r="F1740" s="376"/>
      <c r="G1740" s="376"/>
      <c r="H1740" s="376"/>
      <c r="K1740" s="214"/>
      <c r="S1740" s="214"/>
      <c r="Y1740" s="214"/>
      <c r="Z1740" s="214"/>
      <c r="AF1740" s="212"/>
      <c r="AG1740" s="212"/>
    </row>
    <row r="1741" spans="5:33">
      <c r="E1741" s="376"/>
      <c r="F1741" s="376"/>
      <c r="G1741" s="376"/>
      <c r="H1741" s="376"/>
      <c r="K1741" s="214"/>
      <c r="S1741" s="214"/>
      <c r="Y1741" s="214"/>
      <c r="Z1741" s="214"/>
      <c r="AF1741" s="212"/>
      <c r="AG1741" s="212"/>
    </row>
    <row r="1742" spans="5:33">
      <c r="E1742" s="376"/>
      <c r="F1742" s="376"/>
      <c r="G1742" s="376"/>
      <c r="H1742" s="376"/>
      <c r="K1742" s="214"/>
      <c r="S1742" s="214"/>
      <c r="Y1742" s="214"/>
      <c r="Z1742" s="214"/>
      <c r="AF1742" s="212"/>
      <c r="AG1742" s="212"/>
    </row>
    <row r="1743" spans="5:33">
      <c r="E1743" s="376"/>
      <c r="F1743" s="376"/>
      <c r="G1743" s="376"/>
      <c r="H1743" s="376"/>
      <c r="K1743" s="214"/>
      <c r="S1743" s="214"/>
      <c r="Y1743" s="214"/>
      <c r="Z1743" s="214"/>
      <c r="AF1743" s="212"/>
      <c r="AG1743" s="212"/>
    </row>
    <row r="1744" spans="5:33">
      <c r="E1744" s="376"/>
      <c r="F1744" s="376"/>
      <c r="G1744" s="376"/>
      <c r="H1744" s="376"/>
      <c r="K1744" s="214"/>
      <c r="S1744" s="214"/>
      <c r="Y1744" s="214"/>
      <c r="Z1744" s="214"/>
      <c r="AF1744" s="212"/>
      <c r="AG1744" s="212"/>
    </row>
    <row r="1745" spans="5:33">
      <c r="E1745" s="376"/>
      <c r="F1745" s="376"/>
      <c r="G1745" s="376"/>
      <c r="H1745" s="376"/>
      <c r="K1745" s="214"/>
      <c r="S1745" s="214"/>
      <c r="Y1745" s="214"/>
      <c r="Z1745" s="214"/>
      <c r="AF1745" s="212"/>
      <c r="AG1745" s="212"/>
    </row>
    <row r="1746" spans="5:33">
      <c r="E1746" s="376"/>
      <c r="F1746" s="376"/>
      <c r="G1746" s="376"/>
      <c r="H1746" s="376"/>
      <c r="K1746" s="214"/>
      <c r="S1746" s="214"/>
      <c r="Y1746" s="214"/>
      <c r="Z1746" s="214"/>
      <c r="AF1746" s="212"/>
      <c r="AG1746" s="212"/>
    </row>
    <row r="1747" spans="5:33">
      <c r="E1747" s="376"/>
      <c r="F1747" s="376"/>
      <c r="G1747" s="376"/>
      <c r="H1747" s="376"/>
      <c r="K1747" s="214"/>
      <c r="S1747" s="214"/>
      <c r="Y1747" s="214"/>
      <c r="Z1747" s="214"/>
      <c r="AF1747" s="212"/>
      <c r="AG1747" s="212"/>
    </row>
    <row r="1748" spans="5:33">
      <c r="E1748" s="376"/>
      <c r="F1748" s="376"/>
      <c r="G1748" s="376"/>
      <c r="H1748" s="376"/>
      <c r="K1748" s="214"/>
      <c r="S1748" s="214"/>
      <c r="Y1748" s="214"/>
      <c r="Z1748" s="214"/>
      <c r="AF1748" s="212"/>
      <c r="AG1748" s="212"/>
    </row>
    <row r="1749" spans="5:33">
      <c r="E1749" s="376"/>
      <c r="F1749" s="376"/>
      <c r="G1749" s="376"/>
      <c r="H1749" s="376"/>
      <c r="K1749" s="214"/>
      <c r="S1749" s="214"/>
      <c r="Y1749" s="214"/>
      <c r="Z1749" s="214"/>
      <c r="AF1749" s="212"/>
      <c r="AG1749" s="212"/>
    </row>
    <row r="1750" spans="5:33">
      <c r="E1750" s="376"/>
      <c r="F1750" s="376"/>
      <c r="G1750" s="376"/>
      <c r="H1750" s="376"/>
      <c r="K1750" s="214"/>
      <c r="S1750" s="214"/>
      <c r="Y1750" s="214"/>
      <c r="Z1750" s="214"/>
      <c r="AF1750" s="212"/>
      <c r="AG1750" s="212"/>
    </row>
    <row r="1751" spans="5:33">
      <c r="E1751" s="376"/>
      <c r="F1751" s="376"/>
      <c r="G1751" s="376"/>
      <c r="H1751" s="376"/>
      <c r="K1751" s="214"/>
      <c r="S1751" s="214"/>
      <c r="Y1751" s="214"/>
      <c r="Z1751" s="214"/>
      <c r="AF1751" s="212"/>
      <c r="AG1751" s="212"/>
    </row>
    <row r="1752" spans="5:33">
      <c r="E1752" s="376"/>
      <c r="F1752" s="376"/>
      <c r="G1752" s="376"/>
      <c r="H1752" s="376"/>
      <c r="K1752" s="214"/>
      <c r="S1752" s="214"/>
      <c r="Y1752" s="214"/>
      <c r="Z1752" s="214"/>
      <c r="AF1752" s="212"/>
      <c r="AG1752" s="212"/>
    </row>
    <row r="1753" spans="5:33">
      <c r="E1753" s="376"/>
      <c r="F1753" s="376"/>
      <c r="G1753" s="376"/>
      <c r="H1753" s="376"/>
      <c r="K1753" s="214"/>
      <c r="S1753" s="214"/>
      <c r="Y1753" s="214"/>
      <c r="Z1753" s="214"/>
      <c r="AF1753" s="212"/>
      <c r="AG1753" s="212"/>
    </row>
    <row r="1754" spans="5:33">
      <c r="E1754" s="376"/>
      <c r="F1754" s="376"/>
      <c r="G1754" s="376"/>
      <c r="H1754" s="376"/>
      <c r="K1754" s="214"/>
      <c r="S1754" s="214"/>
      <c r="Y1754" s="214"/>
      <c r="Z1754" s="214"/>
      <c r="AF1754" s="212"/>
      <c r="AG1754" s="212"/>
    </row>
    <row r="1755" spans="5:33">
      <c r="E1755" s="376"/>
      <c r="F1755" s="376"/>
      <c r="G1755" s="376"/>
      <c r="H1755" s="376"/>
      <c r="K1755" s="214"/>
      <c r="S1755" s="214"/>
      <c r="Y1755" s="214"/>
      <c r="Z1755" s="214"/>
      <c r="AF1755" s="212"/>
      <c r="AG1755" s="212"/>
    </row>
    <row r="1756" spans="5:33">
      <c r="E1756" s="376"/>
      <c r="F1756" s="376"/>
      <c r="G1756" s="376"/>
      <c r="H1756" s="376"/>
      <c r="K1756" s="214"/>
      <c r="S1756" s="214"/>
      <c r="Y1756" s="214"/>
      <c r="Z1756" s="214"/>
      <c r="AF1756" s="212"/>
      <c r="AG1756" s="212"/>
    </row>
    <row r="1757" spans="5:33">
      <c r="E1757" s="376"/>
      <c r="F1757" s="376"/>
      <c r="G1757" s="376"/>
      <c r="H1757" s="376"/>
      <c r="K1757" s="214"/>
      <c r="S1757" s="214"/>
      <c r="Y1757" s="214"/>
      <c r="Z1757" s="214"/>
      <c r="AF1757" s="212"/>
      <c r="AG1757" s="212"/>
    </row>
    <row r="1758" spans="5:33">
      <c r="E1758" s="376"/>
      <c r="F1758" s="376"/>
      <c r="G1758" s="376"/>
      <c r="H1758" s="376"/>
      <c r="K1758" s="214"/>
      <c r="S1758" s="214"/>
      <c r="Y1758" s="214"/>
      <c r="Z1758" s="214"/>
      <c r="AF1758" s="212"/>
      <c r="AG1758" s="212"/>
    </row>
    <row r="1759" spans="5:33">
      <c r="E1759" s="376"/>
      <c r="F1759" s="376"/>
      <c r="G1759" s="376"/>
      <c r="H1759" s="376"/>
      <c r="K1759" s="214"/>
      <c r="S1759" s="214"/>
      <c r="Y1759" s="214"/>
      <c r="Z1759" s="214"/>
      <c r="AF1759" s="212"/>
      <c r="AG1759" s="212"/>
    </row>
    <row r="1760" spans="5:33">
      <c r="E1760" s="376"/>
      <c r="F1760" s="376"/>
      <c r="G1760" s="376"/>
      <c r="H1760" s="376"/>
      <c r="K1760" s="214"/>
      <c r="S1760" s="214"/>
      <c r="Y1760" s="214"/>
      <c r="Z1760" s="214"/>
      <c r="AF1760" s="212"/>
      <c r="AG1760" s="212"/>
    </row>
    <row r="1761" spans="5:33">
      <c r="E1761" s="376"/>
      <c r="F1761" s="376"/>
      <c r="G1761" s="376"/>
      <c r="H1761" s="376"/>
      <c r="K1761" s="214"/>
      <c r="S1761" s="214"/>
      <c r="Y1761" s="214"/>
      <c r="Z1761" s="214"/>
      <c r="AF1761" s="212"/>
      <c r="AG1761" s="212"/>
    </row>
    <row r="1762" spans="5:33">
      <c r="E1762" s="376"/>
      <c r="F1762" s="376"/>
      <c r="G1762" s="376"/>
      <c r="H1762" s="376"/>
      <c r="K1762" s="214"/>
      <c r="S1762" s="214"/>
      <c r="Y1762" s="214"/>
      <c r="Z1762" s="214"/>
      <c r="AF1762" s="212"/>
      <c r="AG1762" s="212"/>
    </row>
    <row r="1763" spans="5:33">
      <c r="E1763" s="376"/>
      <c r="F1763" s="376"/>
      <c r="G1763" s="376"/>
      <c r="H1763" s="376"/>
      <c r="K1763" s="214"/>
      <c r="S1763" s="214"/>
      <c r="Y1763" s="214"/>
      <c r="Z1763" s="214"/>
      <c r="AF1763" s="212"/>
      <c r="AG1763" s="212"/>
    </row>
    <row r="1764" spans="5:33">
      <c r="E1764" s="376"/>
      <c r="F1764" s="376"/>
      <c r="G1764" s="376"/>
      <c r="H1764" s="376"/>
      <c r="K1764" s="214"/>
      <c r="S1764" s="214"/>
      <c r="Y1764" s="214"/>
      <c r="Z1764" s="214"/>
      <c r="AF1764" s="212"/>
      <c r="AG1764" s="212"/>
    </row>
    <row r="1765" spans="5:33">
      <c r="E1765" s="376"/>
      <c r="F1765" s="376"/>
      <c r="G1765" s="376"/>
      <c r="H1765" s="376"/>
      <c r="K1765" s="214"/>
      <c r="S1765" s="214"/>
      <c r="Y1765" s="214"/>
      <c r="Z1765" s="214"/>
      <c r="AF1765" s="212"/>
      <c r="AG1765" s="212"/>
    </row>
    <row r="1766" spans="5:33">
      <c r="E1766" s="376"/>
      <c r="F1766" s="376"/>
      <c r="G1766" s="376"/>
      <c r="H1766" s="376"/>
      <c r="K1766" s="214"/>
      <c r="S1766" s="214"/>
      <c r="Y1766" s="214"/>
      <c r="Z1766" s="214"/>
      <c r="AF1766" s="212"/>
      <c r="AG1766" s="212"/>
    </row>
    <row r="1767" spans="5:33">
      <c r="E1767" s="376"/>
      <c r="F1767" s="376"/>
      <c r="G1767" s="376"/>
      <c r="H1767" s="376"/>
      <c r="K1767" s="214"/>
      <c r="S1767" s="214"/>
      <c r="Y1767" s="214"/>
      <c r="Z1767" s="214"/>
      <c r="AF1767" s="212"/>
      <c r="AG1767" s="212"/>
    </row>
    <row r="1768" spans="5:33">
      <c r="E1768" s="376"/>
      <c r="F1768" s="376"/>
      <c r="G1768" s="376"/>
      <c r="H1768" s="376"/>
      <c r="K1768" s="214"/>
      <c r="S1768" s="214"/>
      <c r="Y1768" s="214"/>
      <c r="Z1768" s="214"/>
      <c r="AF1768" s="212"/>
      <c r="AG1768" s="212"/>
    </row>
    <row r="1769" spans="5:33">
      <c r="E1769" s="376"/>
      <c r="F1769" s="376"/>
      <c r="G1769" s="376"/>
      <c r="H1769" s="376"/>
      <c r="K1769" s="214"/>
      <c r="S1769" s="214"/>
      <c r="Y1769" s="214"/>
      <c r="Z1769" s="214"/>
      <c r="AF1769" s="212"/>
      <c r="AG1769" s="212"/>
    </row>
    <row r="1770" spans="5:33">
      <c r="E1770" s="376"/>
      <c r="F1770" s="376"/>
      <c r="G1770" s="376"/>
      <c r="H1770" s="376"/>
      <c r="K1770" s="214"/>
      <c r="S1770" s="214"/>
      <c r="Y1770" s="214"/>
      <c r="Z1770" s="214"/>
      <c r="AF1770" s="212"/>
      <c r="AG1770" s="212"/>
    </row>
    <row r="1771" spans="5:33">
      <c r="E1771" s="376"/>
      <c r="F1771" s="376"/>
      <c r="G1771" s="376"/>
      <c r="H1771" s="376"/>
      <c r="K1771" s="214"/>
      <c r="S1771" s="214"/>
      <c r="Y1771" s="214"/>
      <c r="Z1771" s="214"/>
      <c r="AF1771" s="212"/>
      <c r="AG1771" s="212"/>
    </row>
    <row r="1772" spans="5:33">
      <c r="E1772" s="376"/>
      <c r="F1772" s="376"/>
      <c r="G1772" s="376"/>
      <c r="H1772" s="376"/>
      <c r="K1772" s="214"/>
      <c r="S1772" s="214"/>
      <c r="Y1772" s="214"/>
      <c r="Z1772" s="214"/>
      <c r="AF1772" s="212"/>
      <c r="AG1772" s="212"/>
    </row>
    <row r="1773" spans="5:33">
      <c r="E1773" s="376"/>
      <c r="F1773" s="376"/>
      <c r="G1773" s="376"/>
      <c r="H1773" s="376"/>
      <c r="K1773" s="214"/>
      <c r="S1773" s="214"/>
      <c r="Y1773" s="214"/>
      <c r="Z1773" s="214"/>
      <c r="AF1773" s="212"/>
      <c r="AG1773" s="212"/>
    </row>
    <row r="1774" spans="5:33">
      <c r="E1774" s="376"/>
      <c r="F1774" s="376"/>
      <c r="G1774" s="376"/>
      <c r="H1774" s="376"/>
      <c r="K1774" s="214"/>
      <c r="S1774" s="214"/>
      <c r="Y1774" s="214"/>
      <c r="Z1774" s="214"/>
      <c r="AF1774" s="212"/>
      <c r="AG1774" s="212"/>
    </row>
    <row r="1775" spans="5:33">
      <c r="E1775" s="376"/>
      <c r="F1775" s="376"/>
      <c r="G1775" s="376"/>
      <c r="H1775" s="376"/>
      <c r="K1775" s="214"/>
      <c r="S1775" s="214"/>
      <c r="Y1775" s="214"/>
      <c r="Z1775" s="214"/>
      <c r="AF1775" s="212"/>
      <c r="AG1775" s="212"/>
    </row>
    <row r="1776" spans="5:33">
      <c r="E1776" s="376"/>
      <c r="F1776" s="376"/>
      <c r="G1776" s="376"/>
      <c r="H1776" s="376"/>
      <c r="K1776" s="214"/>
      <c r="S1776" s="214"/>
      <c r="Y1776" s="214"/>
      <c r="Z1776" s="214"/>
      <c r="AF1776" s="212"/>
      <c r="AG1776" s="212"/>
    </row>
    <row r="1777" spans="5:33">
      <c r="E1777" s="376"/>
      <c r="F1777" s="376"/>
      <c r="G1777" s="376"/>
      <c r="H1777" s="376"/>
      <c r="K1777" s="214"/>
      <c r="S1777" s="214"/>
      <c r="Y1777" s="214"/>
      <c r="Z1777" s="214"/>
      <c r="AF1777" s="212"/>
      <c r="AG1777" s="212"/>
    </row>
    <row r="1778" spans="5:33">
      <c r="E1778" s="376"/>
      <c r="F1778" s="376"/>
      <c r="G1778" s="376"/>
      <c r="H1778" s="376"/>
      <c r="K1778" s="214"/>
      <c r="S1778" s="214"/>
      <c r="Y1778" s="214"/>
      <c r="Z1778" s="214"/>
      <c r="AF1778" s="212"/>
      <c r="AG1778" s="212"/>
    </row>
    <row r="1779" spans="5:33">
      <c r="E1779" s="376"/>
      <c r="F1779" s="376"/>
      <c r="G1779" s="376"/>
      <c r="H1779" s="376"/>
      <c r="K1779" s="214"/>
      <c r="S1779" s="214"/>
      <c r="Y1779" s="214"/>
      <c r="Z1779" s="214"/>
      <c r="AF1779" s="212"/>
      <c r="AG1779" s="212"/>
    </row>
    <row r="1780" spans="5:33">
      <c r="E1780" s="376"/>
      <c r="F1780" s="376"/>
      <c r="G1780" s="376"/>
      <c r="H1780" s="376"/>
      <c r="K1780" s="214"/>
      <c r="S1780" s="214"/>
      <c r="Y1780" s="214"/>
      <c r="Z1780" s="214"/>
      <c r="AF1780" s="212"/>
      <c r="AG1780" s="212"/>
    </row>
    <row r="1781" spans="5:33">
      <c r="E1781" s="376"/>
      <c r="F1781" s="376"/>
      <c r="G1781" s="376"/>
      <c r="H1781" s="376"/>
      <c r="K1781" s="214"/>
      <c r="S1781" s="214"/>
      <c r="Y1781" s="214"/>
      <c r="Z1781" s="214"/>
      <c r="AF1781" s="212"/>
      <c r="AG1781" s="212"/>
    </row>
    <row r="1782" spans="5:33">
      <c r="E1782" s="376"/>
      <c r="F1782" s="376"/>
      <c r="G1782" s="376"/>
      <c r="H1782" s="376"/>
      <c r="K1782" s="214"/>
      <c r="S1782" s="214"/>
      <c r="Y1782" s="214"/>
      <c r="Z1782" s="214"/>
      <c r="AF1782" s="212"/>
      <c r="AG1782" s="212"/>
    </row>
    <row r="1783" spans="5:33">
      <c r="E1783" s="376"/>
      <c r="F1783" s="376"/>
      <c r="G1783" s="376"/>
      <c r="H1783" s="376"/>
      <c r="K1783" s="214"/>
      <c r="S1783" s="214"/>
      <c r="Y1783" s="214"/>
      <c r="Z1783" s="214"/>
      <c r="AF1783" s="212"/>
      <c r="AG1783" s="212"/>
    </row>
    <row r="1784" spans="5:33">
      <c r="E1784" s="376"/>
      <c r="F1784" s="376"/>
      <c r="G1784" s="376"/>
      <c r="H1784" s="376"/>
      <c r="K1784" s="214"/>
      <c r="S1784" s="214"/>
      <c r="Y1784" s="214"/>
      <c r="Z1784" s="214"/>
      <c r="AF1784" s="212"/>
      <c r="AG1784" s="212"/>
    </row>
    <row r="1785" spans="5:33">
      <c r="E1785" s="376"/>
      <c r="F1785" s="376"/>
      <c r="G1785" s="376"/>
      <c r="H1785" s="376"/>
      <c r="K1785" s="214"/>
      <c r="S1785" s="214"/>
      <c r="Y1785" s="214"/>
      <c r="Z1785" s="214"/>
      <c r="AF1785" s="212"/>
      <c r="AG1785" s="212"/>
    </row>
    <row r="1786" spans="5:33">
      <c r="E1786" s="376"/>
      <c r="F1786" s="376"/>
      <c r="G1786" s="376"/>
      <c r="H1786" s="376"/>
      <c r="K1786" s="214"/>
      <c r="S1786" s="214"/>
      <c r="Y1786" s="214"/>
      <c r="Z1786" s="214"/>
      <c r="AF1786" s="212"/>
      <c r="AG1786" s="212"/>
    </row>
    <row r="1787" spans="5:33">
      <c r="E1787" s="376"/>
      <c r="F1787" s="376"/>
      <c r="G1787" s="376"/>
      <c r="H1787" s="376"/>
      <c r="K1787" s="214"/>
      <c r="S1787" s="214"/>
      <c r="Y1787" s="214"/>
      <c r="Z1787" s="214"/>
      <c r="AF1787" s="212"/>
      <c r="AG1787" s="212"/>
    </row>
    <row r="1788" spans="5:33">
      <c r="E1788" s="376"/>
      <c r="F1788" s="376"/>
      <c r="G1788" s="376"/>
      <c r="H1788" s="376"/>
      <c r="K1788" s="214"/>
      <c r="S1788" s="214"/>
      <c r="Y1788" s="214"/>
      <c r="Z1788" s="214"/>
      <c r="AF1788" s="212"/>
      <c r="AG1788" s="212"/>
    </row>
    <row r="1789" spans="5:33">
      <c r="E1789" s="376"/>
      <c r="F1789" s="376"/>
      <c r="G1789" s="376"/>
      <c r="H1789" s="376"/>
      <c r="K1789" s="214"/>
      <c r="S1789" s="214"/>
      <c r="Y1789" s="214"/>
      <c r="Z1789" s="214"/>
      <c r="AF1789" s="212"/>
      <c r="AG1789" s="212"/>
    </row>
    <row r="1790" spans="5:33">
      <c r="E1790" s="376"/>
      <c r="F1790" s="376"/>
      <c r="G1790" s="376"/>
      <c r="H1790" s="376"/>
      <c r="K1790" s="214"/>
      <c r="S1790" s="214"/>
      <c r="Y1790" s="214"/>
      <c r="Z1790" s="214"/>
      <c r="AF1790" s="212"/>
      <c r="AG1790" s="212"/>
    </row>
    <row r="1791" spans="5:33">
      <c r="E1791" s="376"/>
      <c r="F1791" s="376"/>
      <c r="G1791" s="376"/>
      <c r="H1791" s="376"/>
      <c r="K1791" s="214"/>
      <c r="S1791" s="214"/>
      <c r="Y1791" s="214"/>
      <c r="Z1791" s="214"/>
      <c r="AF1791" s="212"/>
      <c r="AG1791" s="212"/>
    </row>
    <row r="1792" spans="5:33">
      <c r="E1792" s="376"/>
      <c r="F1792" s="376"/>
      <c r="G1792" s="376"/>
      <c r="H1792" s="376"/>
      <c r="K1792" s="214"/>
      <c r="S1792" s="214"/>
      <c r="Y1792" s="214"/>
      <c r="Z1792" s="214"/>
      <c r="AF1792" s="212"/>
      <c r="AG1792" s="212"/>
    </row>
    <row r="1793" spans="5:33">
      <c r="E1793" s="376"/>
      <c r="F1793" s="376"/>
      <c r="G1793" s="376"/>
      <c r="H1793" s="376"/>
      <c r="K1793" s="214"/>
      <c r="S1793" s="214"/>
      <c r="Y1793" s="214"/>
      <c r="Z1793" s="214"/>
      <c r="AF1793" s="212"/>
      <c r="AG1793" s="212"/>
    </row>
    <row r="1794" spans="5:33">
      <c r="E1794" s="376"/>
      <c r="F1794" s="376"/>
      <c r="G1794" s="376"/>
      <c r="H1794" s="376"/>
      <c r="K1794" s="214"/>
      <c r="S1794" s="214"/>
      <c r="Y1794" s="214"/>
      <c r="Z1794" s="214"/>
      <c r="AF1794" s="212"/>
      <c r="AG1794" s="212"/>
    </row>
    <row r="1795" spans="5:33">
      <c r="E1795" s="376"/>
      <c r="F1795" s="376"/>
      <c r="G1795" s="376"/>
      <c r="H1795" s="376"/>
      <c r="K1795" s="214"/>
      <c r="S1795" s="214"/>
      <c r="Y1795" s="214"/>
      <c r="Z1795" s="214"/>
      <c r="AF1795" s="212"/>
      <c r="AG1795" s="212"/>
    </row>
    <row r="1796" spans="5:33">
      <c r="E1796" s="376"/>
      <c r="F1796" s="376"/>
      <c r="G1796" s="376"/>
      <c r="H1796" s="376"/>
      <c r="K1796" s="214"/>
      <c r="S1796" s="214"/>
      <c r="Y1796" s="214"/>
      <c r="Z1796" s="214"/>
      <c r="AF1796" s="212"/>
      <c r="AG1796" s="212"/>
    </row>
    <row r="1797" spans="5:33">
      <c r="E1797" s="376"/>
      <c r="F1797" s="376"/>
      <c r="G1797" s="376"/>
      <c r="H1797" s="376"/>
      <c r="K1797" s="214"/>
      <c r="S1797" s="214"/>
      <c r="Y1797" s="214"/>
      <c r="Z1797" s="214"/>
      <c r="AF1797" s="212"/>
      <c r="AG1797" s="212"/>
    </row>
    <row r="1798" spans="5:33">
      <c r="E1798" s="376"/>
      <c r="F1798" s="376"/>
      <c r="G1798" s="376"/>
      <c r="H1798" s="376"/>
      <c r="K1798" s="214"/>
      <c r="S1798" s="214"/>
      <c r="Y1798" s="214"/>
      <c r="Z1798" s="214"/>
      <c r="AF1798" s="212"/>
      <c r="AG1798" s="212"/>
    </row>
    <row r="1799" spans="5:33">
      <c r="E1799" s="376"/>
      <c r="F1799" s="376"/>
      <c r="G1799" s="376"/>
      <c r="H1799" s="376"/>
      <c r="K1799" s="214"/>
      <c r="S1799" s="214"/>
      <c r="Y1799" s="214"/>
      <c r="Z1799" s="214"/>
      <c r="AF1799" s="212"/>
      <c r="AG1799" s="212"/>
    </row>
    <row r="1800" spans="5:33">
      <c r="E1800" s="376"/>
      <c r="F1800" s="376"/>
      <c r="G1800" s="376"/>
      <c r="H1800" s="376"/>
      <c r="K1800" s="214"/>
      <c r="S1800" s="214"/>
      <c r="Y1800" s="214"/>
      <c r="Z1800" s="214"/>
      <c r="AF1800" s="212"/>
      <c r="AG1800" s="212"/>
    </row>
    <row r="1801" spans="5:33">
      <c r="E1801" s="376"/>
      <c r="F1801" s="376"/>
      <c r="G1801" s="376"/>
      <c r="H1801" s="376"/>
      <c r="K1801" s="214"/>
      <c r="S1801" s="214"/>
      <c r="Y1801" s="214"/>
      <c r="Z1801" s="214"/>
      <c r="AF1801" s="212"/>
      <c r="AG1801" s="212"/>
    </row>
    <row r="1802" spans="5:33">
      <c r="E1802" s="376"/>
      <c r="F1802" s="376"/>
      <c r="G1802" s="376"/>
      <c r="H1802" s="376"/>
      <c r="K1802" s="214"/>
      <c r="S1802" s="214"/>
      <c r="Y1802" s="214"/>
      <c r="Z1802" s="214"/>
      <c r="AF1802" s="212"/>
      <c r="AG1802" s="212"/>
    </row>
    <row r="1803" spans="5:33">
      <c r="E1803" s="376"/>
      <c r="F1803" s="376"/>
      <c r="G1803" s="376"/>
      <c r="H1803" s="376"/>
      <c r="K1803" s="214"/>
      <c r="S1803" s="214"/>
      <c r="Y1803" s="214"/>
      <c r="Z1803" s="214"/>
      <c r="AF1803" s="212"/>
      <c r="AG1803" s="212"/>
    </row>
    <row r="1804" spans="5:33">
      <c r="E1804" s="376"/>
      <c r="F1804" s="376"/>
      <c r="G1804" s="376"/>
      <c r="H1804" s="376"/>
      <c r="K1804" s="214"/>
      <c r="S1804" s="214"/>
      <c r="Y1804" s="214"/>
      <c r="Z1804" s="214"/>
      <c r="AF1804" s="212"/>
      <c r="AG1804" s="212"/>
    </row>
    <row r="1805" spans="5:33">
      <c r="E1805" s="376"/>
      <c r="F1805" s="376"/>
      <c r="G1805" s="376"/>
      <c r="H1805" s="376"/>
      <c r="K1805" s="214"/>
      <c r="S1805" s="214"/>
      <c r="Y1805" s="214"/>
      <c r="Z1805" s="214"/>
      <c r="AF1805" s="212"/>
      <c r="AG1805" s="212"/>
    </row>
    <row r="1806" spans="5:33">
      <c r="E1806" s="376"/>
      <c r="F1806" s="376"/>
      <c r="G1806" s="376"/>
      <c r="H1806" s="376"/>
      <c r="K1806" s="214"/>
      <c r="S1806" s="214"/>
      <c r="Y1806" s="214"/>
      <c r="Z1806" s="214"/>
      <c r="AF1806" s="212"/>
      <c r="AG1806" s="212"/>
    </row>
    <row r="1807" spans="5:33">
      <c r="E1807" s="376"/>
      <c r="F1807" s="376"/>
      <c r="G1807" s="376"/>
      <c r="H1807" s="376"/>
      <c r="K1807" s="214"/>
      <c r="S1807" s="214"/>
      <c r="Y1807" s="214"/>
      <c r="Z1807" s="214"/>
      <c r="AF1807" s="212"/>
      <c r="AG1807" s="212"/>
    </row>
    <row r="1808" spans="5:33">
      <c r="E1808" s="376"/>
      <c r="F1808" s="376"/>
      <c r="G1808" s="376"/>
      <c r="H1808" s="376"/>
      <c r="K1808" s="214"/>
      <c r="S1808" s="214"/>
      <c r="Y1808" s="214"/>
      <c r="Z1808" s="214"/>
      <c r="AF1808" s="212"/>
      <c r="AG1808" s="212"/>
    </row>
    <row r="1809" spans="5:33">
      <c r="E1809" s="376"/>
      <c r="F1809" s="376"/>
      <c r="G1809" s="376"/>
      <c r="H1809" s="376"/>
      <c r="K1809" s="214"/>
      <c r="S1809" s="214"/>
      <c r="Y1809" s="214"/>
      <c r="Z1809" s="214"/>
      <c r="AF1809" s="212"/>
      <c r="AG1809" s="212"/>
    </row>
    <row r="1810" spans="5:33">
      <c r="E1810" s="376"/>
      <c r="F1810" s="376"/>
      <c r="G1810" s="376"/>
      <c r="H1810" s="376"/>
      <c r="K1810" s="214"/>
      <c r="S1810" s="214"/>
      <c r="Y1810" s="214"/>
      <c r="Z1810" s="214"/>
      <c r="AF1810" s="212"/>
      <c r="AG1810" s="212"/>
    </row>
    <row r="1811" spans="5:33">
      <c r="E1811" s="376"/>
      <c r="F1811" s="376"/>
      <c r="G1811" s="376"/>
      <c r="H1811" s="376"/>
      <c r="K1811" s="214"/>
      <c r="S1811" s="214"/>
      <c r="Y1811" s="214"/>
      <c r="Z1811" s="214"/>
      <c r="AF1811" s="212"/>
      <c r="AG1811" s="212"/>
    </row>
    <row r="1812" spans="5:33">
      <c r="E1812" s="376"/>
      <c r="F1812" s="376"/>
      <c r="G1812" s="376"/>
      <c r="H1812" s="376"/>
      <c r="K1812" s="214"/>
      <c r="S1812" s="214"/>
      <c r="Y1812" s="214"/>
      <c r="Z1812" s="214"/>
      <c r="AF1812" s="212"/>
      <c r="AG1812" s="212"/>
    </row>
    <row r="1813" spans="5:33">
      <c r="E1813" s="376"/>
      <c r="F1813" s="376"/>
      <c r="G1813" s="376"/>
      <c r="H1813" s="376"/>
      <c r="K1813" s="214"/>
      <c r="S1813" s="214"/>
      <c r="Y1813" s="214"/>
      <c r="Z1813" s="214"/>
      <c r="AF1813" s="212"/>
      <c r="AG1813" s="212"/>
    </row>
    <row r="1814" spans="5:33">
      <c r="E1814" s="376"/>
      <c r="F1814" s="376"/>
      <c r="G1814" s="376"/>
      <c r="H1814" s="376"/>
      <c r="K1814" s="214"/>
      <c r="S1814" s="214"/>
      <c r="Y1814" s="214"/>
      <c r="Z1814" s="214"/>
      <c r="AF1814" s="212"/>
      <c r="AG1814" s="212"/>
    </row>
    <row r="1815" spans="5:33">
      <c r="E1815" s="376"/>
      <c r="F1815" s="376"/>
      <c r="G1815" s="376"/>
      <c r="H1815" s="376"/>
      <c r="K1815" s="214"/>
      <c r="S1815" s="214"/>
      <c r="Y1815" s="214"/>
      <c r="Z1815" s="214"/>
      <c r="AF1815" s="212"/>
      <c r="AG1815" s="212"/>
    </row>
    <row r="1816" spans="5:33">
      <c r="E1816" s="376"/>
      <c r="F1816" s="376"/>
      <c r="G1816" s="376"/>
      <c r="H1816" s="376"/>
      <c r="K1816" s="214"/>
      <c r="S1816" s="214"/>
      <c r="Y1816" s="214"/>
      <c r="Z1816" s="214"/>
      <c r="AF1816" s="212"/>
      <c r="AG1816" s="212"/>
    </row>
    <row r="1817" spans="5:33">
      <c r="E1817" s="376"/>
      <c r="F1817" s="376"/>
      <c r="G1817" s="376"/>
      <c r="H1817" s="376"/>
      <c r="K1817" s="214"/>
      <c r="S1817" s="214"/>
      <c r="Y1817" s="214"/>
      <c r="Z1817" s="214"/>
      <c r="AF1817" s="212"/>
      <c r="AG1817" s="212"/>
    </row>
    <row r="1818" spans="5:33">
      <c r="E1818" s="376"/>
      <c r="F1818" s="376"/>
      <c r="G1818" s="376"/>
      <c r="H1818" s="376"/>
      <c r="K1818" s="214"/>
      <c r="S1818" s="214"/>
      <c r="Y1818" s="214"/>
      <c r="Z1818" s="214"/>
      <c r="AF1818" s="212"/>
      <c r="AG1818" s="212"/>
    </row>
    <row r="1819" spans="5:33">
      <c r="E1819" s="376"/>
      <c r="F1819" s="376"/>
      <c r="G1819" s="376"/>
      <c r="H1819" s="376"/>
      <c r="K1819" s="214"/>
      <c r="S1819" s="214"/>
      <c r="Y1819" s="214"/>
      <c r="Z1819" s="214"/>
      <c r="AF1819" s="212"/>
      <c r="AG1819" s="212"/>
    </row>
    <row r="1820" spans="5:33">
      <c r="E1820" s="376"/>
      <c r="F1820" s="376"/>
      <c r="G1820" s="376"/>
      <c r="H1820" s="376"/>
      <c r="K1820" s="214"/>
      <c r="S1820" s="214"/>
      <c r="Y1820" s="214"/>
      <c r="Z1820" s="214"/>
      <c r="AF1820" s="212"/>
      <c r="AG1820" s="212"/>
    </row>
    <row r="1821" spans="5:33">
      <c r="E1821" s="376"/>
      <c r="F1821" s="376"/>
      <c r="G1821" s="376"/>
      <c r="H1821" s="376"/>
      <c r="K1821" s="214"/>
      <c r="S1821" s="214"/>
      <c r="Y1821" s="214"/>
      <c r="Z1821" s="214"/>
      <c r="AF1821" s="212"/>
      <c r="AG1821" s="212"/>
    </row>
    <row r="1822" spans="5:33">
      <c r="E1822" s="376"/>
      <c r="F1822" s="376"/>
      <c r="G1822" s="376"/>
      <c r="H1822" s="376"/>
      <c r="K1822" s="214"/>
      <c r="S1822" s="214"/>
      <c r="Y1822" s="214"/>
      <c r="Z1822" s="214"/>
      <c r="AF1822" s="212"/>
      <c r="AG1822" s="212"/>
    </row>
    <row r="1823" spans="5:33">
      <c r="E1823" s="376"/>
      <c r="F1823" s="376"/>
      <c r="G1823" s="376"/>
      <c r="H1823" s="376"/>
      <c r="K1823" s="214"/>
      <c r="S1823" s="214"/>
      <c r="Y1823" s="214"/>
      <c r="Z1823" s="214"/>
      <c r="AF1823" s="212"/>
      <c r="AG1823" s="212"/>
    </row>
    <row r="1824" spans="5:33">
      <c r="E1824" s="376"/>
      <c r="F1824" s="376"/>
      <c r="G1824" s="376"/>
      <c r="H1824" s="376"/>
      <c r="K1824" s="214"/>
      <c r="S1824" s="214"/>
      <c r="Y1824" s="214"/>
      <c r="Z1824" s="214"/>
      <c r="AF1824" s="212"/>
      <c r="AG1824" s="212"/>
    </row>
    <row r="1825" spans="5:33">
      <c r="E1825" s="376"/>
      <c r="F1825" s="376"/>
      <c r="G1825" s="376"/>
      <c r="H1825" s="376"/>
      <c r="K1825" s="214"/>
      <c r="S1825" s="214"/>
      <c r="Y1825" s="214"/>
      <c r="Z1825" s="214"/>
      <c r="AF1825" s="212"/>
      <c r="AG1825" s="212"/>
    </row>
    <row r="1826" spans="5:33">
      <c r="E1826" s="376"/>
      <c r="F1826" s="376"/>
      <c r="G1826" s="376"/>
      <c r="H1826" s="376"/>
      <c r="K1826" s="214"/>
      <c r="S1826" s="214"/>
      <c r="Y1826" s="214"/>
      <c r="Z1826" s="214"/>
      <c r="AF1826" s="212"/>
      <c r="AG1826" s="212"/>
    </row>
    <row r="1827" spans="5:33">
      <c r="E1827" s="376"/>
      <c r="F1827" s="376"/>
      <c r="G1827" s="376"/>
      <c r="H1827" s="376"/>
      <c r="K1827" s="214"/>
      <c r="S1827" s="214"/>
      <c r="Y1827" s="214"/>
      <c r="Z1827" s="214"/>
      <c r="AF1827" s="212"/>
      <c r="AG1827" s="212"/>
    </row>
    <row r="1828" spans="5:33">
      <c r="E1828" s="376"/>
      <c r="F1828" s="376"/>
      <c r="G1828" s="376"/>
      <c r="H1828" s="376"/>
      <c r="K1828" s="214"/>
      <c r="S1828" s="214"/>
      <c r="Y1828" s="214"/>
      <c r="Z1828" s="214"/>
      <c r="AF1828" s="212"/>
      <c r="AG1828" s="212"/>
    </row>
    <row r="1829" spans="5:33">
      <c r="E1829" s="376"/>
      <c r="F1829" s="376"/>
      <c r="G1829" s="376"/>
      <c r="H1829" s="376"/>
      <c r="K1829" s="214"/>
      <c r="S1829" s="214"/>
      <c r="Y1829" s="214"/>
      <c r="Z1829" s="214"/>
      <c r="AF1829" s="212"/>
      <c r="AG1829" s="212"/>
    </row>
    <row r="1830" spans="5:33">
      <c r="E1830" s="376"/>
      <c r="F1830" s="376"/>
      <c r="G1830" s="376"/>
      <c r="H1830" s="376"/>
      <c r="K1830" s="214"/>
      <c r="S1830" s="214"/>
      <c r="Y1830" s="214"/>
      <c r="Z1830" s="214"/>
      <c r="AF1830" s="212"/>
      <c r="AG1830" s="212"/>
    </row>
    <row r="1831" spans="5:33">
      <c r="E1831" s="376"/>
      <c r="F1831" s="376"/>
      <c r="G1831" s="376"/>
      <c r="H1831" s="376"/>
      <c r="K1831" s="214"/>
      <c r="S1831" s="214"/>
      <c r="Y1831" s="214"/>
      <c r="Z1831" s="214"/>
      <c r="AF1831" s="212"/>
      <c r="AG1831" s="212"/>
    </row>
    <row r="1832" spans="5:33">
      <c r="E1832" s="376"/>
      <c r="F1832" s="376"/>
      <c r="G1832" s="376"/>
      <c r="H1832" s="376"/>
      <c r="K1832" s="214"/>
      <c r="S1832" s="214"/>
      <c r="Y1832" s="214"/>
      <c r="Z1832" s="214"/>
      <c r="AF1832" s="212"/>
      <c r="AG1832" s="212"/>
    </row>
    <row r="1833" spans="5:33">
      <c r="E1833" s="376"/>
      <c r="F1833" s="376"/>
      <c r="G1833" s="376"/>
      <c r="H1833" s="376"/>
      <c r="K1833" s="214"/>
      <c r="S1833" s="214"/>
      <c r="Y1833" s="214"/>
      <c r="Z1833" s="214"/>
      <c r="AF1833" s="212"/>
      <c r="AG1833" s="212"/>
    </row>
    <row r="1834" spans="5:33">
      <c r="E1834" s="376"/>
      <c r="F1834" s="376"/>
      <c r="G1834" s="376"/>
      <c r="H1834" s="376"/>
      <c r="K1834" s="214"/>
      <c r="S1834" s="214"/>
      <c r="Y1834" s="214"/>
      <c r="Z1834" s="214"/>
      <c r="AF1834" s="212"/>
      <c r="AG1834" s="212"/>
    </row>
    <row r="1835" spans="5:33">
      <c r="E1835" s="376"/>
      <c r="F1835" s="376"/>
      <c r="G1835" s="376"/>
      <c r="H1835" s="376"/>
      <c r="K1835" s="214"/>
      <c r="S1835" s="214"/>
      <c r="Y1835" s="214"/>
      <c r="Z1835" s="214"/>
      <c r="AF1835" s="212"/>
      <c r="AG1835" s="212"/>
    </row>
    <row r="1836" spans="5:33">
      <c r="E1836" s="376"/>
      <c r="F1836" s="376"/>
      <c r="G1836" s="376"/>
      <c r="H1836" s="376"/>
      <c r="K1836" s="214"/>
      <c r="S1836" s="214"/>
      <c r="Y1836" s="214"/>
      <c r="Z1836" s="214"/>
      <c r="AF1836" s="212"/>
      <c r="AG1836" s="212"/>
    </row>
    <row r="1837" spans="5:33">
      <c r="E1837" s="376"/>
      <c r="F1837" s="376"/>
      <c r="G1837" s="376"/>
      <c r="H1837" s="376"/>
      <c r="K1837" s="214"/>
      <c r="S1837" s="214"/>
      <c r="Y1837" s="214"/>
      <c r="Z1837" s="214"/>
      <c r="AF1837" s="212"/>
      <c r="AG1837" s="212"/>
    </row>
    <row r="1838" spans="5:33">
      <c r="E1838" s="376"/>
      <c r="F1838" s="376"/>
      <c r="G1838" s="376"/>
      <c r="H1838" s="376"/>
      <c r="K1838" s="214"/>
      <c r="S1838" s="214"/>
      <c r="Y1838" s="214"/>
      <c r="Z1838" s="214"/>
      <c r="AF1838" s="212"/>
      <c r="AG1838" s="212"/>
    </row>
    <row r="1839" spans="5:33">
      <c r="E1839" s="376"/>
      <c r="F1839" s="376"/>
      <c r="G1839" s="376"/>
      <c r="H1839" s="376"/>
      <c r="K1839" s="214"/>
      <c r="S1839" s="214"/>
      <c r="Y1839" s="214"/>
      <c r="Z1839" s="214"/>
      <c r="AF1839" s="212"/>
      <c r="AG1839" s="212"/>
    </row>
    <row r="1840" spans="5:33">
      <c r="E1840" s="376"/>
      <c r="F1840" s="376"/>
      <c r="G1840" s="376"/>
      <c r="H1840" s="376"/>
      <c r="K1840" s="214"/>
      <c r="S1840" s="214"/>
      <c r="Y1840" s="214"/>
      <c r="Z1840" s="214"/>
      <c r="AF1840" s="212"/>
      <c r="AG1840" s="212"/>
    </row>
    <row r="1841" spans="5:33">
      <c r="E1841" s="376"/>
      <c r="F1841" s="376"/>
      <c r="G1841" s="376"/>
      <c r="H1841" s="376"/>
      <c r="K1841" s="214"/>
      <c r="S1841" s="214"/>
      <c r="Y1841" s="214"/>
      <c r="Z1841" s="214"/>
      <c r="AF1841" s="212"/>
      <c r="AG1841" s="212"/>
    </row>
    <row r="1842" spans="5:33">
      <c r="E1842" s="376"/>
      <c r="F1842" s="376"/>
      <c r="G1842" s="376"/>
      <c r="H1842" s="376"/>
      <c r="K1842" s="214"/>
      <c r="S1842" s="214"/>
      <c r="Y1842" s="214"/>
      <c r="Z1842" s="214"/>
      <c r="AF1842" s="212"/>
      <c r="AG1842" s="212"/>
    </row>
    <row r="1843" spans="5:33">
      <c r="E1843" s="376"/>
      <c r="F1843" s="376"/>
      <c r="G1843" s="376"/>
      <c r="H1843" s="376"/>
      <c r="K1843" s="214"/>
      <c r="S1843" s="214"/>
      <c r="Y1843" s="214"/>
      <c r="Z1843" s="214"/>
      <c r="AF1843" s="212"/>
      <c r="AG1843" s="212"/>
    </row>
    <row r="1844" spans="5:33">
      <c r="E1844" s="376"/>
      <c r="F1844" s="376"/>
      <c r="G1844" s="376"/>
      <c r="H1844" s="376"/>
      <c r="K1844" s="214"/>
      <c r="S1844" s="214"/>
      <c r="Y1844" s="214"/>
      <c r="Z1844" s="214"/>
      <c r="AF1844" s="212"/>
      <c r="AG1844" s="212"/>
    </row>
    <row r="1845" spans="5:33">
      <c r="E1845" s="376"/>
      <c r="F1845" s="376"/>
      <c r="G1845" s="376"/>
      <c r="H1845" s="376"/>
      <c r="K1845" s="214"/>
      <c r="S1845" s="214"/>
      <c r="Y1845" s="214"/>
      <c r="Z1845" s="214"/>
      <c r="AF1845" s="212"/>
      <c r="AG1845" s="212"/>
    </row>
    <row r="1846" spans="5:33">
      <c r="E1846" s="376"/>
      <c r="F1846" s="376"/>
      <c r="G1846" s="376"/>
      <c r="H1846" s="376"/>
      <c r="K1846" s="214"/>
      <c r="S1846" s="214"/>
      <c r="Y1846" s="214"/>
      <c r="Z1846" s="214"/>
      <c r="AF1846" s="212"/>
      <c r="AG1846" s="212"/>
    </row>
    <row r="1847" spans="5:33">
      <c r="E1847" s="376"/>
      <c r="F1847" s="376"/>
      <c r="G1847" s="376"/>
      <c r="H1847" s="376"/>
      <c r="K1847" s="214"/>
      <c r="S1847" s="214"/>
      <c r="Y1847" s="214"/>
      <c r="Z1847" s="214"/>
      <c r="AF1847" s="212"/>
      <c r="AG1847" s="212"/>
    </row>
    <row r="1848" spans="5:33">
      <c r="E1848" s="376"/>
      <c r="F1848" s="376"/>
      <c r="G1848" s="376"/>
      <c r="H1848" s="376"/>
      <c r="K1848" s="214"/>
      <c r="S1848" s="214"/>
      <c r="Y1848" s="214"/>
      <c r="Z1848" s="214"/>
      <c r="AF1848" s="212"/>
      <c r="AG1848" s="212"/>
    </row>
    <row r="1849" spans="5:33">
      <c r="E1849" s="376"/>
      <c r="F1849" s="376"/>
      <c r="G1849" s="376"/>
      <c r="H1849" s="376"/>
      <c r="K1849" s="214"/>
      <c r="S1849" s="214"/>
      <c r="Y1849" s="214"/>
      <c r="Z1849" s="214"/>
      <c r="AF1849" s="212"/>
      <c r="AG1849" s="212"/>
    </row>
    <row r="1850" spans="5:33">
      <c r="E1850" s="376"/>
      <c r="F1850" s="376"/>
      <c r="G1850" s="376"/>
      <c r="H1850" s="376"/>
      <c r="K1850" s="214"/>
      <c r="S1850" s="214"/>
      <c r="Y1850" s="214"/>
      <c r="Z1850" s="214"/>
      <c r="AF1850" s="212"/>
      <c r="AG1850" s="212"/>
    </row>
    <row r="1851" spans="5:33">
      <c r="E1851" s="376"/>
      <c r="F1851" s="376"/>
      <c r="G1851" s="376"/>
      <c r="H1851" s="376"/>
      <c r="K1851" s="214"/>
      <c r="S1851" s="214"/>
      <c r="Y1851" s="214"/>
      <c r="Z1851" s="214"/>
      <c r="AF1851" s="212"/>
      <c r="AG1851" s="212"/>
    </row>
    <row r="1852" spans="5:33">
      <c r="E1852" s="376"/>
      <c r="F1852" s="376"/>
      <c r="G1852" s="376"/>
      <c r="H1852" s="376"/>
      <c r="K1852" s="214"/>
      <c r="S1852" s="214"/>
      <c r="Y1852" s="214"/>
      <c r="Z1852" s="214"/>
      <c r="AF1852" s="212"/>
      <c r="AG1852" s="212"/>
    </row>
    <row r="1853" spans="5:33">
      <c r="E1853" s="376"/>
      <c r="F1853" s="376"/>
      <c r="G1853" s="376"/>
      <c r="H1853" s="376"/>
      <c r="K1853" s="214"/>
      <c r="S1853" s="214"/>
      <c r="Y1853" s="214"/>
      <c r="Z1853" s="214"/>
      <c r="AF1853" s="212"/>
      <c r="AG1853" s="212"/>
    </row>
    <row r="1854" spans="5:33">
      <c r="E1854" s="376"/>
      <c r="F1854" s="376"/>
      <c r="G1854" s="376"/>
      <c r="H1854" s="376"/>
      <c r="K1854" s="214"/>
      <c r="S1854" s="214"/>
      <c r="Y1854" s="214"/>
      <c r="Z1854" s="214"/>
      <c r="AF1854" s="212"/>
      <c r="AG1854" s="212"/>
    </row>
    <row r="1855" spans="5:33">
      <c r="E1855" s="376"/>
      <c r="F1855" s="376"/>
      <c r="G1855" s="376"/>
      <c r="H1855" s="376"/>
      <c r="K1855" s="214"/>
      <c r="S1855" s="214"/>
      <c r="Y1855" s="214"/>
      <c r="Z1855" s="214"/>
      <c r="AF1855" s="212"/>
      <c r="AG1855" s="212"/>
    </row>
    <row r="1856" spans="5:33">
      <c r="E1856" s="376"/>
      <c r="F1856" s="376"/>
      <c r="G1856" s="376"/>
      <c r="H1856" s="376"/>
      <c r="K1856" s="214"/>
      <c r="S1856" s="214"/>
      <c r="Y1856" s="214"/>
      <c r="Z1856" s="214"/>
      <c r="AF1856" s="212"/>
      <c r="AG1856" s="212"/>
    </row>
    <row r="1857" spans="5:33">
      <c r="E1857" s="376"/>
      <c r="F1857" s="376"/>
      <c r="G1857" s="376"/>
      <c r="H1857" s="376"/>
      <c r="K1857" s="214"/>
      <c r="S1857" s="214"/>
      <c r="Y1857" s="214"/>
      <c r="Z1857" s="214"/>
      <c r="AF1857" s="212"/>
      <c r="AG1857" s="212"/>
    </row>
    <row r="1858" spans="5:33">
      <c r="E1858" s="376"/>
      <c r="F1858" s="376"/>
      <c r="G1858" s="376"/>
      <c r="H1858" s="376"/>
      <c r="K1858" s="214"/>
      <c r="S1858" s="214"/>
      <c r="Y1858" s="214"/>
      <c r="Z1858" s="214"/>
      <c r="AF1858" s="212"/>
      <c r="AG1858" s="212"/>
    </row>
    <row r="1859" spans="5:33">
      <c r="E1859" s="376"/>
      <c r="F1859" s="376"/>
      <c r="G1859" s="376"/>
      <c r="H1859" s="376"/>
      <c r="K1859" s="214"/>
      <c r="S1859" s="214"/>
      <c r="Y1859" s="214"/>
      <c r="Z1859" s="214"/>
      <c r="AF1859" s="212"/>
      <c r="AG1859" s="212"/>
    </row>
    <row r="1860" spans="5:33">
      <c r="E1860" s="376"/>
      <c r="F1860" s="376"/>
      <c r="G1860" s="376"/>
      <c r="H1860" s="376"/>
      <c r="K1860" s="214"/>
      <c r="S1860" s="214"/>
      <c r="Y1860" s="214"/>
      <c r="Z1860" s="214"/>
      <c r="AF1860" s="212"/>
      <c r="AG1860" s="212"/>
    </row>
    <row r="1861" spans="5:33">
      <c r="E1861" s="376"/>
      <c r="F1861" s="376"/>
      <c r="G1861" s="376"/>
      <c r="H1861" s="376"/>
      <c r="K1861" s="214"/>
      <c r="S1861" s="214"/>
      <c r="Y1861" s="214"/>
      <c r="Z1861" s="214"/>
      <c r="AF1861" s="212"/>
      <c r="AG1861" s="212"/>
    </row>
    <row r="1862" spans="5:33">
      <c r="E1862" s="376"/>
      <c r="F1862" s="376"/>
      <c r="G1862" s="376"/>
      <c r="H1862" s="376"/>
      <c r="K1862" s="214"/>
      <c r="S1862" s="214"/>
      <c r="Y1862" s="214"/>
      <c r="Z1862" s="214"/>
      <c r="AF1862" s="212"/>
      <c r="AG1862" s="212"/>
    </row>
    <row r="1863" spans="5:33">
      <c r="E1863" s="376"/>
      <c r="F1863" s="376"/>
      <c r="G1863" s="376"/>
      <c r="H1863" s="376"/>
      <c r="K1863" s="214"/>
      <c r="S1863" s="214"/>
      <c r="Y1863" s="214"/>
      <c r="Z1863" s="214"/>
      <c r="AF1863" s="212"/>
      <c r="AG1863" s="212"/>
    </row>
    <row r="1864" spans="5:33">
      <c r="E1864" s="376"/>
      <c r="F1864" s="376"/>
      <c r="G1864" s="376"/>
      <c r="H1864" s="376"/>
      <c r="K1864" s="214"/>
      <c r="S1864" s="214"/>
      <c r="Y1864" s="214"/>
      <c r="Z1864" s="214"/>
      <c r="AF1864" s="212"/>
      <c r="AG1864" s="212"/>
    </row>
    <row r="1865" spans="5:33">
      <c r="E1865" s="376"/>
      <c r="F1865" s="376"/>
      <c r="G1865" s="376"/>
      <c r="H1865" s="376"/>
      <c r="K1865" s="214"/>
      <c r="S1865" s="214"/>
      <c r="Y1865" s="214"/>
      <c r="Z1865" s="214"/>
      <c r="AF1865" s="212"/>
      <c r="AG1865" s="212"/>
    </row>
    <row r="1866" spans="5:33">
      <c r="E1866" s="376"/>
      <c r="F1866" s="376"/>
      <c r="G1866" s="376"/>
      <c r="H1866" s="376"/>
      <c r="K1866" s="214"/>
      <c r="S1866" s="214"/>
      <c r="Y1866" s="214"/>
      <c r="Z1866" s="214"/>
      <c r="AF1866" s="212"/>
      <c r="AG1866" s="212"/>
    </row>
    <row r="1867" spans="5:33">
      <c r="E1867" s="376"/>
      <c r="F1867" s="376"/>
      <c r="G1867" s="376"/>
      <c r="H1867" s="376"/>
      <c r="K1867" s="214"/>
      <c r="S1867" s="214"/>
      <c r="Y1867" s="214"/>
      <c r="Z1867" s="214"/>
      <c r="AF1867" s="212"/>
      <c r="AG1867" s="212"/>
    </row>
    <row r="1868" spans="5:33">
      <c r="E1868" s="376"/>
      <c r="F1868" s="376"/>
      <c r="G1868" s="376"/>
      <c r="H1868" s="376"/>
      <c r="K1868" s="214"/>
      <c r="S1868" s="214"/>
      <c r="Y1868" s="214"/>
      <c r="Z1868" s="214"/>
      <c r="AF1868" s="212"/>
      <c r="AG1868" s="212"/>
    </row>
    <row r="1869" spans="5:33">
      <c r="E1869" s="376"/>
      <c r="F1869" s="376"/>
      <c r="G1869" s="376"/>
      <c r="H1869" s="376"/>
      <c r="K1869" s="214"/>
      <c r="S1869" s="214"/>
      <c r="Y1869" s="214"/>
      <c r="Z1869" s="214"/>
      <c r="AF1869" s="212"/>
      <c r="AG1869" s="212"/>
    </row>
    <row r="1870" spans="5:33">
      <c r="E1870" s="376"/>
      <c r="F1870" s="376"/>
      <c r="G1870" s="376"/>
      <c r="H1870" s="376"/>
      <c r="K1870" s="214"/>
      <c r="S1870" s="214"/>
      <c r="Y1870" s="214"/>
      <c r="Z1870" s="214"/>
      <c r="AF1870" s="212"/>
      <c r="AG1870" s="212"/>
    </row>
    <row r="1871" spans="5:33">
      <c r="E1871" s="376"/>
      <c r="F1871" s="376"/>
      <c r="G1871" s="376"/>
      <c r="H1871" s="376"/>
      <c r="K1871" s="214"/>
      <c r="S1871" s="214"/>
      <c r="Y1871" s="214"/>
      <c r="Z1871" s="214"/>
      <c r="AF1871" s="212"/>
      <c r="AG1871" s="212"/>
    </row>
    <row r="1872" spans="5:33">
      <c r="E1872" s="376"/>
      <c r="F1872" s="376"/>
      <c r="G1872" s="376"/>
      <c r="H1872" s="376"/>
      <c r="K1872" s="214"/>
      <c r="S1872" s="214"/>
      <c r="Y1872" s="214"/>
      <c r="Z1872" s="214"/>
      <c r="AF1872" s="212"/>
      <c r="AG1872" s="212"/>
    </row>
    <row r="1873" spans="5:33">
      <c r="E1873" s="376"/>
      <c r="F1873" s="376"/>
      <c r="G1873" s="376"/>
      <c r="H1873" s="376"/>
      <c r="K1873" s="214"/>
      <c r="S1873" s="214"/>
      <c r="Y1873" s="214"/>
      <c r="Z1873" s="214"/>
      <c r="AF1873" s="212"/>
      <c r="AG1873" s="212"/>
    </row>
    <row r="1874" spans="5:33">
      <c r="E1874" s="376"/>
      <c r="F1874" s="376"/>
      <c r="G1874" s="376"/>
      <c r="H1874" s="376"/>
      <c r="K1874" s="214"/>
      <c r="S1874" s="214"/>
      <c r="Y1874" s="214"/>
      <c r="Z1874" s="214"/>
      <c r="AF1874" s="212"/>
      <c r="AG1874" s="212"/>
    </row>
    <row r="1875" spans="5:33">
      <c r="E1875" s="376"/>
      <c r="F1875" s="376"/>
      <c r="G1875" s="376"/>
      <c r="H1875" s="376"/>
      <c r="K1875" s="214"/>
      <c r="S1875" s="214"/>
      <c r="Y1875" s="214"/>
      <c r="Z1875" s="214"/>
      <c r="AF1875" s="212"/>
      <c r="AG1875" s="212"/>
    </row>
    <row r="1876" spans="5:33">
      <c r="E1876" s="376"/>
      <c r="F1876" s="376"/>
      <c r="G1876" s="376"/>
      <c r="H1876" s="376"/>
      <c r="K1876" s="214"/>
      <c r="S1876" s="214"/>
      <c r="Y1876" s="214"/>
      <c r="Z1876" s="214"/>
      <c r="AF1876" s="212"/>
      <c r="AG1876" s="212"/>
    </row>
    <row r="1877" spans="5:33">
      <c r="E1877" s="376"/>
      <c r="F1877" s="376"/>
      <c r="G1877" s="376"/>
      <c r="H1877" s="376"/>
      <c r="K1877" s="214"/>
      <c r="S1877" s="214"/>
      <c r="Y1877" s="214"/>
      <c r="Z1877" s="214"/>
      <c r="AF1877" s="212"/>
      <c r="AG1877" s="212"/>
    </row>
    <row r="1878" spans="5:33">
      <c r="E1878" s="376"/>
      <c r="F1878" s="376"/>
      <c r="G1878" s="376"/>
      <c r="H1878" s="376"/>
      <c r="K1878" s="214"/>
      <c r="S1878" s="214"/>
      <c r="Y1878" s="214"/>
      <c r="Z1878" s="214"/>
      <c r="AF1878" s="212"/>
      <c r="AG1878" s="212"/>
    </row>
    <row r="1879" spans="5:33">
      <c r="E1879" s="376"/>
      <c r="F1879" s="376"/>
      <c r="G1879" s="376"/>
      <c r="H1879" s="376"/>
      <c r="K1879" s="214"/>
      <c r="S1879" s="214"/>
      <c r="Y1879" s="214"/>
      <c r="Z1879" s="214"/>
      <c r="AF1879" s="212"/>
      <c r="AG1879" s="212"/>
    </row>
    <row r="1880" spans="5:33">
      <c r="E1880" s="376"/>
      <c r="F1880" s="376"/>
      <c r="G1880" s="376"/>
      <c r="H1880" s="376"/>
      <c r="K1880" s="214"/>
      <c r="S1880" s="214"/>
      <c r="Y1880" s="214"/>
      <c r="Z1880" s="214"/>
      <c r="AF1880" s="212"/>
      <c r="AG1880" s="212"/>
    </row>
    <row r="1881" spans="5:33">
      <c r="E1881" s="376"/>
      <c r="F1881" s="376"/>
      <c r="G1881" s="376"/>
      <c r="H1881" s="376"/>
      <c r="K1881" s="214"/>
      <c r="S1881" s="214"/>
      <c r="Y1881" s="214"/>
      <c r="Z1881" s="214"/>
      <c r="AF1881" s="212"/>
      <c r="AG1881" s="212"/>
    </row>
    <row r="1882" spans="5:33">
      <c r="E1882" s="376"/>
      <c r="F1882" s="376"/>
      <c r="G1882" s="376"/>
      <c r="H1882" s="376"/>
      <c r="K1882" s="214"/>
      <c r="S1882" s="214"/>
      <c r="Y1882" s="214"/>
      <c r="Z1882" s="214"/>
      <c r="AF1882" s="212"/>
      <c r="AG1882" s="212"/>
    </row>
    <row r="1883" spans="5:33">
      <c r="E1883" s="376"/>
      <c r="F1883" s="376"/>
      <c r="G1883" s="376"/>
      <c r="H1883" s="376"/>
      <c r="K1883" s="214"/>
      <c r="S1883" s="214"/>
      <c r="Y1883" s="214"/>
      <c r="Z1883" s="214"/>
      <c r="AF1883" s="212"/>
      <c r="AG1883" s="212"/>
    </row>
    <row r="1884" spans="5:33">
      <c r="E1884" s="376"/>
      <c r="F1884" s="376"/>
      <c r="G1884" s="376"/>
      <c r="H1884" s="376"/>
      <c r="K1884" s="214"/>
      <c r="S1884" s="214"/>
      <c r="Y1884" s="214"/>
      <c r="Z1884" s="214"/>
      <c r="AF1884" s="212"/>
      <c r="AG1884" s="212"/>
    </row>
    <row r="1885" spans="5:33">
      <c r="E1885" s="376"/>
      <c r="F1885" s="376"/>
      <c r="G1885" s="376"/>
      <c r="H1885" s="376"/>
      <c r="K1885" s="214"/>
      <c r="S1885" s="214"/>
      <c r="Y1885" s="214"/>
      <c r="Z1885" s="214"/>
      <c r="AF1885" s="212"/>
      <c r="AG1885" s="212"/>
    </row>
    <row r="1886" spans="5:33">
      <c r="E1886" s="376"/>
      <c r="F1886" s="376"/>
      <c r="G1886" s="376"/>
      <c r="H1886" s="376"/>
      <c r="K1886" s="214"/>
      <c r="S1886" s="214"/>
      <c r="Y1886" s="214"/>
      <c r="Z1886" s="214"/>
      <c r="AF1886" s="212"/>
      <c r="AG1886" s="212"/>
    </row>
    <row r="1887" spans="5:33">
      <c r="E1887" s="376"/>
      <c r="F1887" s="376"/>
      <c r="G1887" s="376"/>
      <c r="H1887" s="376"/>
      <c r="K1887" s="214"/>
      <c r="S1887" s="214"/>
      <c r="Y1887" s="214"/>
      <c r="Z1887" s="214"/>
      <c r="AF1887" s="212"/>
      <c r="AG1887" s="212"/>
    </row>
    <row r="1888" spans="5:33">
      <c r="E1888" s="376"/>
      <c r="F1888" s="376"/>
      <c r="G1888" s="376"/>
      <c r="H1888" s="376"/>
      <c r="K1888" s="214"/>
      <c r="S1888" s="214"/>
      <c r="Y1888" s="214"/>
      <c r="Z1888" s="214"/>
      <c r="AF1888" s="212"/>
      <c r="AG1888" s="212"/>
    </row>
    <row r="1889" spans="5:33">
      <c r="E1889" s="376"/>
      <c r="F1889" s="376"/>
      <c r="G1889" s="376"/>
      <c r="H1889" s="376"/>
      <c r="K1889" s="214"/>
      <c r="S1889" s="214"/>
      <c r="Y1889" s="214"/>
      <c r="Z1889" s="214"/>
      <c r="AF1889" s="212"/>
      <c r="AG1889" s="212"/>
    </row>
    <row r="1890" spans="5:33">
      <c r="E1890" s="376"/>
      <c r="F1890" s="376"/>
      <c r="G1890" s="376"/>
      <c r="H1890" s="376"/>
      <c r="K1890" s="214"/>
      <c r="S1890" s="214"/>
      <c r="Y1890" s="214"/>
      <c r="Z1890" s="214"/>
      <c r="AF1890" s="212"/>
      <c r="AG1890" s="212"/>
    </row>
    <row r="1891" spans="5:33">
      <c r="E1891" s="376"/>
      <c r="F1891" s="376"/>
      <c r="G1891" s="376"/>
      <c r="H1891" s="376"/>
      <c r="K1891" s="214"/>
      <c r="S1891" s="214"/>
      <c r="Y1891" s="214"/>
      <c r="Z1891" s="214"/>
      <c r="AF1891" s="212"/>
      <c r="AG1891" s="212"/>
    </row>
    <row r="1892" spans="5:33">
      <c r="E1892" s="376"/>
      <c r="F1892" s="376"/>
      <c r="G1892" s="376"/>
      <c r="H1892" s="376"/>
      <c r="K1892" s="214"/>
      <c r="S1892" s="214"/>
      <c r="Y1892" s="214"/>
      <c r="Z1892" s="214"/>
      <c r="AF1892" s="212"/>
      <c r="AG1892" s="212"/>
    </row>
    <row r="1893" spans="5:33">
      <c r="E1893" s="376"/>
      <c r="F1893" s="376"/>
      <c r="G1893" s="376"/>
      <c r="H1893" s="376"/>
      <c r="K1893" s="214"/>
      <c r="S1893" s="214"/>
      <c r="Y1893" s="214"/>
      <c r="Z1893" s="214"/>
      <c r="AF1893" s="212"/>
      <c r="AG1893" s="212"/>
    </row>
    <row r="1894" spans="5:33">
      <c r="E1894" s="376"/>
      <c r="F1894" s="376"/>
      <c r="G1894" s="376"/>
      <c r="H1894" s="376"/>
      <c r="K1894" s="214"/>
      <c r="S1894" s="214"/>
      <c r="Y1894" s="214"/>
      <c r="Z1894" s="214"/>
      <c r="AF1894" s="212"/>
      <c r="AG1894" s="212"/>
    </row>
    <row r="1895" spans="5:33">
      <c r="E1895" s="376"/>
      <c r="F1895" s="376"/>
      <c r="G1895" s="376"/>
      <c r="H1895" s="376"/>
      <c r="K1895" s="214"/>
      <c r="S1895" s="214"/>
      <c r="Y1895" s="214"/>
      <c r="Z1895" s="214"/>
      <c r="AF1895" s="212"/>
      <c r="AG1895" s="212"/>
    </row>
    <row r="1896" spans="5:33">
      <c r="E1896" s="376"/>
      <c r="F1896" s="376"/>
      <c r="G1896" s="376"/>
      <c r="H1896" s="376"/>
      <c r="K1896" s="214"/>
      <c r="S1896" s="214"/>
      <c r="Y1896" s="214"/>
      <c r="Z1896" s="214"/>
      <c r="AF1896" s="212"/>
      <c r="AG1896" s="212"/>
    </row>
    <row r="1897" spans="5:33">
      <c r="E1897" s="376"/>
      <c r="F1897" s="376"/>
      <c r="G1897" s="376"/>
      <c r="H1897" s="376"/>
      <c r="K1897" s="214"/>
      <c r="S1897" s="214"/>
      <c r="Y1897" s="214"/>
      <c r="Z1897" s="214"/>
      <c r="AF1897" s="212"/>
      <c r="AG1897" s="212"/>
    </row>
    <row r="1898" spans="5:33">
      <c r="E1898" s="376"/>
      <c r="F1898" s="376"/>
      <c r="G1898" s="376"/>
      <c r="H1898" s="376"/>
      <c r="K1898" s="214"/>
      <c r="S1898" s="214"/>
      <c r="Y1898" s="214"/>
      <c r="Z1898" s="214"/>
      <c r="AF1898" s="212"/>
      <c r="AG1898" s="212"/>
    </row>
    <row r="1899" spans="5:33">
      <c r="E1899" s="376"/>
      <c r="F1899" s="376"/>
      <c r="G1899" s="376"/>
      <c r="H1899" s="376"/>
      <c r="K1899" s="214"/>
      <c r="S1899" s="214"/>
      <c r="Y1899" s="214"/>
      <c r="Z1899" s="214"/>
      <c r="AF1899" s="212"/>
      <c r="AG1899" s="212"/>
    </row>
    <row r="1900" spans="5:33">
      <c r="E1900" s="376"/>
      <c r="F1900" s="376"/>
      <c r="G1900" s="376"/>
      <c r="H1900" s="376"/>
      <c r="K1900" s="214"/>
      <c r="S1900" s="214"/>
      <c r="Y1900" s="214"/>
      <c r="Z1900" s="214"/>
      <c r="AF1900" s="212"/>
      <c r="AG1900" s="212"/>
    </row>
    <row r="1901" spans="5:33">
      <c r="E1901" s="376"/>
      <c r="F1901" s="376"/>
      <c r="G1901" s="376"/>
      <c r="H1901" s="376"/>
      <c r="K1901" s="214"/>
      <c r="S1901" s="214"/>
      <c r="Y1901" s="214"/>
      <c r="Z1901" s="214"/>
      <c r="AF1901" s="212"/>
      <c r="AG1901" s="212"/>
    </row>
    <row r="1902" spans="5:33">
      <c r="E1902" s="376"/>
      <c r="F1902" s="376"/>
      <c r="G1902" s="376"/>
      <c r="H1902" s="376"/>
      <c r="K1902" s="214"/>
      <c r="S1902" s="214"/>
      <c r="Y1902" s="214"/>
      <c r="Z1902" s="214"/>
      <c r="AF1902" s="212"/>
      <c r="AG1902" s="212"/>
    </row>
    <row r="1903" spans="5:33">
      <c r="E1903" s="376"/>
      <c r="F1903" s="376"/>
      <c r="G1903" s="376"/>
      <c r="H1903" s="376"/>
      <c r="K1903" s="214"/>
      <c r="S1903" s="214"/>
      <c r="Y1903" s="214"/>
      <c r="Z1903" s="214"/>
      <c r="AF1903" s="212"/>
      <c r="AG1903" s="212"/>
    </row>
    <row r="1904" spans="5:33">
      <c r="E1904" s="376"/>
      <c r="F1904" s="376"/>
      <c r="G1904" s="376"/>
      <c r="H1904" s="376"/>
      <c r="K1904" s="214"/>
      <c r="S1904" s="214"/>
      <c r="Y1904" s="214"/>
      <c r="Z1904" s="214"/>
      <c r="AF1904" s="212"/>
      <c r="AG1904" s="212"/>
    </row>
    <row r="1905" spans="5:33">
      <c r="E1905" s="376"/>
      <c r="F1905" s="376"/>
      <c r="G1905" s="376"/>
      <c r="H1905" s="376"/>
      <c r="K1905" s="214"/>
      <c r="S1905" s="214"/>
      <c r="Y1905" s="214"/>
      <c r="Z1905" s="214"/>
      <c r="AF1905" s="212"/>
      <c r="AG1905" s="212"/>
    </row>
    <row r="1906" spans="5:33">
      <c r="E1906" s="376"/>
      <c r="F1906" s="376"/>
      <c r="G1906" s="376"/>
      <c r="H1906" s="376"/>
      <c r="K1906" s="214"/>
      <c r="S1906" s="214"/>
      <c r="Y1906" s="214"/>
      <c r="Z1906" s="214"/>
      <c r="AF1906" s="212"/>
      <c r="AG1906" s="212"/>
    </row>
    <row r="1907" spans="5:33">
      <c r="E1907" s="376"/>
      <c r="F1907" s="376"/>
      <c r="G1907" s="376"/>
      <c r="H1907" s="376"/>
      <c r="K1907" s="214"/>
      <c r="S1907" s="214"/>
      <c r="Y1907" s="214"/>
      <c r="Z1907" s="214"/>
      <c r="AF1907" s="212"/>
      <c r="AG1907" s="212"/>
    </row>
    <row r="1908" spans="5:33">
      <c r="E1908" s="376"/>
      <c r="F1908" s="376"/>
      <c r="G1908" s="376"/>
      <c r="H1908" s="376"/>
      <c r="K1908" s="214"/>
      <c r="S1908" s="214"/>
      <c r="Y1908" s="214"/>
      <c r="Z1908" s="214"/>
      <c r="AF1908" s="212"/>
      <c r="AG1908" s="212"/>
    </row>
    <row r="1909" spans="5:33">
      <c r="E1909" s="376"/>
      <c r="F1909" s="376"/>
      <c r="G1909" s="376"/>
      <c r="H1909" s="376"/>
      <c r="K1909" s="214"/>
      <c r="S1909" s="214"/>
      <c r="Y1909" s="214"/>
      <c r="Z1909" s="214"/>
      <c r="AF1909" s="212"/>
      <c r="AG1909" s="212"/>
    </row>
    <row r="1910" spans="5:33">
      <c r="E1910" s="376"/>
      <c r="F1910" s="376"/>
      <c r="G1910" s="376"/>
      <c r="H1910" s="376"/>
      <c r="K1910" s="214"/>
      <c r="S1910" s="214"/>
      <c r="Y1910" s="214"/>
      <c r="Z1910" s="214"/>
      <c r="AF1910" s="212"/>
      <c r="AG1910" s="212"/>
    </row>
    <row r="1911" spans="5:33">
      <c r="E1911" s="376"/>
      <c r="F1911" s="376"/>
      <c r="G1911" s="376"/>
      <c r="H1911" s="376"/>
      <c r="K1911" s="214"/>
      <c r="S1911" s="214"/>
      <c r="Y1911" s="214"/>
      <c r="Z1911" s="214"/>
      <c r="AF1911" s="212"/>
      <c r="AG1911" s="212"/>
    </row>
    <row r="1912" spans="5:33">
      <c r="E1912" s="376"/>
      <c r="F1912" s="376"/>
      <c r="G1912" s="376"/>
      <c r="H1912" s="376"/>
      <c r="K1912" s="214"/>
      <c r="S1912" s="214"/>
      <c r="Y1912" s="214"/>
      <c r="Z1912" s="214"/>
      <c r="AF1912" s="212"/>
      <c r="AG1912" s="212"/>
    </row>
    <row r="1913" spans="5:33">
      <c r="E1913" s="376"/>
      <c r="F1913" s="376"/>
      <c r="G1913" s="376"/>
      <c r="H1913" s="376"/>
      <c r="K1913" s="214"/>
      <c r="S1913" s="214"/>
      <c r="Y1913" s="214"/>
      <c r="Z1913" s="214"/>
      <c r="AF1913" s="212"/>
      <c r="AG1913" s="212"/>
    </row>
    <row r="1914" spans="5:33">
      <c r="E1914" s="376"/>
      <c r="F1914" s="376"/>
      <c r="G1914" s="376"/>
      <c r="H1914" s="376"/>
      <c r="K1914" s="214"/>
      <c r="S1914" s="214"/>
      <c r="Y1914" s="214"/>
      <c r="Z1914" s="214"/>
      <c r="AF1914" s="212"/>
      <c r="AG1914" s="212"/>
    </row>
    <row r="1915" spans="5:33">
      <c r="E1915" s="376"/>
      <c r="F1915" s="376"/>
      <c r="G1915" s="376"/>
      <c r="H1915" s="376"/>
      <c r="K1915" s="214"/>
      <c r="S1915" s="214"/>
      <c r="Y1915" s="214"/>
      <c r="Z1915" s="214"/>
      <c r="AF1915" s="212"/>
      <c r="AG1915" s="212"/>
    </row>
    <row r="1916" spans="5:33">
      <c r="E1916" s="376"/>
      <c r="F1916" s="376"/>
      <c r="G1916" s="376"/>
      <c r="H1916" s="376"/>
      <c r="K1916" s="214"/>
      <c r="S1916" s="214"/>
      <c r="Y1916" s="214"/>
      <c r="Z1916" s="214"/>
      <c r="AF1916" s="212"/>
      <c r="AG1916" s="212"/>
    </row>
    <row r="1917" spans="5:33">
      <c r="E1917" s="376"/>
      <c r="F1917" s="376"/>
      <c r="G1917" s="376"/>
      <c r="H1917" s="376"/>
      <c r="K1917" s="214"/>
      <c r="S1917" s="214"/>
      <c r="Y1917" s="214"/>
      <c r="Z1917" s="214"/>
      <c r="AF1917" s="212"/>
      <c r="AG1917" s="212"/>
    </row>
    <row r="1918" spans="5:33">
      <c r="E1918" s="376"/>
      <c r="F1918" s="376"/>
      <c r="G1918" s="376"/>
      <c r="H1918" s="376"/>
      <c r="K1918" s="214"/>
      <c r="S1918" s="214"/>
      <c r="Y1918" s="214"/>
      <c r="Z1918" s="214"/>
      <c r="AF1918" s="212"/>
      <c r="AG1918" s="212"/>
    </row>
    <row r="1919" spans="5:33">
      <c r="E1919" s="376"/>
      <c r="F1919" s="376"/>
      <c r="G1919" s="376"/>
      <c r="H1919" s="376"/>
      <c r="K1919" s="214"/>
      <c r="S1919" s="214"/>
      <c r="Y1919" s="214"/>
      <c r="Z1919" s="214"/>
      <c r="AF1919" s="212"/>
      <c r="AG1919" s="212"/>
    </row>
    <row r="1920" spans="5:33">
      <c r="E1920" s="376"/>
      <c r="F1920" s="376"/>
      <c r="G1920" s="376"/>
      <c r="H1920" s="376"/>
      <c r="K1920" s="214"/>
      <c r="S1920" s="214"/>
      <c r="Y1920" s="214"/>
      <c r="Z1920" s="214"/>
      <c r="AF1920" s="212"/>
      <c r="AG1920" s="212"/>
    </row>
    <row r="1921" spans="5:33">
      <c r="E1921" s="376"/>
      <c r="F1921" s="376"/>
      <c r="G1921" s="376"/>
      <c r="H1921" s="376"/>
      <c r="K1921" s="214"/>
      <c r="S1921" s="214"/>
      <c r="Y1921" s="214"/>
      <c r="Z1921" s="214"/>
      <c r="AF1921" s="212"/>
      <c r="AG1921" s="212"/>
    </row>
    <row r="1922" spans="5:33">
      <c r="E1922" s="376"/>
      <c r="F1922" s="376"/>
      <c r="G1922" s="376"/>
      <c r="H1922" s="376"/>
      <c r="K1922" s="214"/>
      <c r="S1922" s="214"/>
      <c r="Y1922" s="214"/>
      <c r="Z1922" s="214"/>
      <c r="AF1922" s="212"/>
      <c r="AG1922" s="212"/>
    </row>
    <row r="1923" spans="5:33">
      <c r="E1923" s="376"/>
      <c r="F1923" s="376"/>
      <c r="G1923" s="376"/>
      <c r="H1923" s="376"/>
      <c r="K1923" s="214"/>
      <c r="S1923" s="214"/>
      <c r="Y1923" s="214"/>
      <c r="Z1923" s="214"/>
      <c r="AF1923" s="212"/>
      <c r="AG1923" s="212"/>
    </row>
    <row r="1924" spans="5:33">
      <c r="E1924" s="376"/>
      <c r="F1924" s="376"/>
      <c r="G1924" s="376"/>
      <c r="H1924" s="376"/>
      <c r="K1924" s="214"/>
      <c r="S1924" s="214"/>
      <c r="Y1924" s="214"/>
      <c r="Z1924" s="214"/>
      <c r="AF1924" s="212"/>
      <c r="AG1924" s="212"/>
    </row>
    <row r="1925" spans="5:33">
      <c r="E1925" s="376"/>
      <c r="F1925" s="376"/>
      <c r="G1925" s="376"/>
      <c r="H1925" s="376"/>
      <c r="K1925" s="214"/>
      <c r="S1925" s="214"/>
      <c r="Y1925" s="214"/>
      <c r="Z1925" s="214"/>
      <c r="AF1925" s="212"/>
      <c r="AG1925" s="212"/>
    </row>
    <row r="1926" spans="5:33">
      <c r="E1926" s="376"/>
      <c r="F1926" s="376"/>
      <c r="G1926" s="376"/>
      <c r="H1926" s="376"/>
      <c r="K1926" s="214"/>
      <c r="S1926" s="214"/>
      <c r="Y1926" s="214"/>
      <c r="Z1926" s="214"/>
      <c r="AF1926" s="212"/>
      <c r="AG1926" s="212"/>
    </row>
    <row r="1927" spans="5:33">
      <c r="E1927" s="376"/>
      <c r="F1927" s="376"/>
      <c r="G1927" s="376"/>
      <c r="H1927" s="376"/>
      <c r="K1927" s="214"/>
      <c r="S1927" s="214"/>
      <c r="Y1927" s="214"/>
      <c r="Z1927" s="214"/>
      <c r="AF1927" s="212"/>
      <c r="AG1927" s="212"/>
    </row>
    <row r="1928" spans="5:33">
      <c r="E1928" s="376"/>
      <c r="F1928" s="376"/>
      <c r="G1928" s="376"/>
      <c r="H1928" s="376"/>
      <c r="K1928" s="214"/>
      <c r="S1928" s="214"/>
      <c r="Y1928" s="214"/>
      <c r="Z1928" s="214"/>
      <c r="AF1928" s="212"/>
      <c r="AG1928" s="212"/>
    </row>
    <row r="1929" spans="5:33">
      <c r="E1929" s="376"/>
      <c r="F1929" s="376"/>
      <c r="G1929" s="376"/>
      <c r="H1929" s="376"/>
      <c r="K1929" s="214"/>
      <c r="S1929" s="214"/>
      <c r="Y1929" s="214"/>
      <c r="Z1929" s="214"/>
      <c r="AF1929" s="212"/>
      <c r="AG1929" s="212"/>
    </row>
    <row r="1930" spans="5:33">
      <c r="E1930" s="376"/>
      <c r="F1930" s="376"/>
      <c r="G1930" s="376"/>
      <c r="H1930" s="376"/>
      <c r="K1930" s="214"/>
      <c r="S1930" s="214"/>
      <c r="Y1930" s="214"/>
      <c r="Z1930" s="214"/>
      <c r="AF1930" s="212"/>
      <c r="AG1930" s="212"/>
    </row>
    <row r="1931" spans="5:33">
      <c r="E1931" s="376"/>
      <c r="F1931" s="376"/>
      <c r="G1931" s="376"/>
      <c r="H1931" s="376"/>
      <c r="K1931" s="214"/>
      <c r="S1931" s="214"/>
      <c r="Y1931" s="214"/>
      <c r="Z1931" s="214"/>
      <c r="AF1931" s="212"/>
      <c r="AG1931" s="212"/>
    </row>
    <row r="1932" spans="5:33">
      <c r="E1932" s="376"/>
      <c r="F1932" s="376"/>
      <c r="G1932" s="376"/>
      <c r="H1932" s="376"/>
      <c r="K1932" s="214"/>
      <c r="S1932" s="214"/>
      <c r="Y1932" s="214"/>
      <c r="Z1932" s="214"/>
      <c r="AF1932" s="212"/>
      <c r="AG1932" s="212"/>
    </row>
    <row r="1933" spans="5:33">
      <c r="E1933" s="376"/>
      <c r="F1933" s="376"/>
      <c r="G1933" s="376"/>
      <c r="H1933" s="376"/>
      <c r="K1933" s="214"/>
      <c r="S1933" s="214"/>
      <c r="Y1933" s="214"/>
      <c r="Z1933" s="214"/>
      <c r="AF1933" s="212"/>
      <c r="AG1933" s="212"/>
    </row>
    <row r="1934" spans="5:33">
      <c r="E1934" s="376"/>
      <c r="F1934" s="376"/>
      <c r="G1934" s="376"/>
      <c r="H1934" s="376"/>
      <c r="K1934" s="214"/>
      <c r="S1934" s="214"/>
      <c r="Y1934" s="214"/>
      <c r="Z1934" s="214"/>
      <c r="AF1934" s="212"/>
      <c r="AG1934" s="212"/>
    </row>
    <row r="1935" spans="5:33">
      <c r="E1935" s="376"/>
      <c r="F1935" s="376"/>
      <c r="G1935" s="376"/>
      <c r="H1935" s="376"/>
      <c r="K1935" s="214"/>
      <c r="S1935" s="214"/>
      <c r="Y1935" s="214"/>
      <c r="Z1935" s="214"/>
      <c r="AF1935" s="212"/>
      <c r="AG1935" s="212"/>
    </row>
    <row r="1936" spans="5:33">
      <c r="E1936" s="376"/>
      <c r="F1936" s="376"/>
      <c r="G1936" s="376"/>
      <c r="H1936" s="376"/>
      <c r="K1936" s="214"/>
      <c r="S1936" s="214"/>
      <c r="Y1936" s="214"/>
      <c r="Z1936" s="214"/>
      <c r="AF1936" s="212"/>
      <c r="AG1936" s="212"/>
    </row>
    <row r="1937" spans="5:33">
      <c r="E1937" s="376"/>
      <c r="F1937" s="376"/>
      <c r="G1937" s="376"/>
      <c r="H1937" s="376"/>
      <c r="K1937" s="214"/>
      <c r="S1937" s="214"/>
      <c r="Y1937" s="214"/>
      <c r="Z1937" s="214"/>
      <c r="AF1937" s="212"/>
      <c r="AG1937" s="212"/>
    </row>
    <row r="1938" spans="5:33">
      <c r="E1938" s="376"/>
      <c r="F1938" s="376"/>
      <c r="G1938" s="376"/>
      <c r="H1938" s="376"/>
      <c r="K1938" s="214"/>
      <c r="S1938" s="214"/>
      <c r="Y1938" s="214"/>
      <c r="Z1938" s="214"/>
      <c r="AF1938" s="212"/>
      <c r="AG1938" s="212"/>
    </row>
    <row r="1939" spans="5:33">
      <c r="E1939" s="376"/>
      <c r="F1939" s="376"/>
      <c r="G1939" s="376"/>
      <c r="H1939" s="376"/>
      <c r="K1939" s="214"/>
      <c r="S1939" s="214"/>
      <c r="Y1939" s="214"/>
      <c r="Z1939" s="214"/>
      <c r="AF1939" s="212"/>
      <c r="AG1939" s="212"/>
    </row>
    <row r="1940" spans="5:33">
      <c r="E1940" s="376"/>
      <c r="F1940" s="376"/>
      <c r="G1940" s="376"/>
      <c r="H1940" s="376"/>
      <c r="K1940" s="214"/>
      <c r="S1940" s="214"/>
      <c r="Y1940" s="214"/>
      <c r="Z1940" s="214"/>
      <c r="AF1940" s="212"/>
      <c r="AG1940" s="212"/>
    </row>
    <row r="1941" spans="5:33">
      <c r="E1941" s="376"/>
      <c r="F1941" s="376"/>
      <c r="G1941" s="376"/>
      <c r="H1941" s="376"/>
      <c r="K1941" s="214"/>
      <c r="S1941" s="214"/>
      <c r="Y1941" s="214"/>
      <c r="Z1941" s="214"/>
      <c r="AF1941" s="212"/>
      <c r="AG1941" s="212"/>
    </row>
    <row r="1942" spans="5:33">
      <c r="E1942" s="376"/>
      <c r="F1942" s="376"/>
      <c r="G1942" s="376"/>
      <c r="H1942" s="376"/>
      <c r="K1942" s="214"/>
      <c r="S1942" s="214"/>
      <c r="Y1942" s="214"/>
      <c r="Z1942" s="214"/>
      <c r="AF1942" s="212"/>
      <c r="AG1942" s="212"/>
    </row>
    <row r="1943" spans="5:33">
      <c r="E1943" s="376"/>
      <c r="F1943" s="376"/>
      <c r="G1943" s="376"/>
      <c r="H1943" s="376"/>
      <c r="K1943" s="214"/>
      <c r="S1943" s="214"/>
      <c r="Y1943" s="214"/>
      <c r="Z1943" s="214"/>
      <c r="AF1943" s="212"/>
      <c r="AG1943" s="212"/>
    </row>
    <row r="1944" spans="5:33">
      <c r="E1944" s="376"/>
      <c r="F1944" s="376"/>
      <c r="G1944" s="376"/>
      <c r="H1944" s="376"/>
      <c r="K1944" s="214"/>
      <c r="S1944" s="214"/>
      <c r="Y1944" s="214"/>
      <c r="Z1944" s="214"/>
      <c r="AF1944" s="212"/>
      <c r="AG1944" s="212"/>
    </row>
    <row r="1945" spans="5:33">
      <c r="E1945" s="376"/>
      <c r="F1945" s="376"/>
      <c r="G1945" s="376"/>
      <c r="H1945" s="376"/>
      <c r="K1945" s="214"/>
      <c r="S1945" s="214"/>
      <c r="Y1945" s="214"/>
      <c r="Z1945" s="214"/>
      <c r="AF1945" s="212"/>
      <c r="AG1945" s="212"/>
    </row>
    <row r="1946" spans="5:33">
      <c r="E1946" s="376"/>
      <c r="F1946" s="376"/>
      <c r="G1946" s="376"/>
      <c r="H1946" s="376"/>
      <c r="K1946" s="214"/>
      <c r="S1946" s="214"/>
      <c r="Y1946" s="214"/>
      <c r="Z1946" s="214"/>
      <c r="AF1946" s="212"/>
      <c r="AG1946" s="212"/>
    </row>
    <row r="1947" spans="5:33">
      <c r="E1947" s="376"/>
      <c r="F1947" s="376"/>
      <c r="G1947" s="376"/>
      <c r="H1947" s="376"/>
      <c r="K1947" s="214"/>
      <c r="S1947" s="214"/>
      <c r="Y1947" s="214"/>
      <c r="Z1947" s="214"/>
      <c r="AF1947" s="212"/>
      <c r="AG1947" s="212"/>
    </row>
    <row r="1948" spans="5:33">
      <c r="E1948" s="376"/>
      <c r="F1948" s="376"/>
      <c r="G1948" s="376"/>
      <c r="H1948" s="376"/>
      <c r="K1948" s="214"/>
      <c r="S1948" s="214"/>
      <c r="Y1948" s="214"/>
      <c r="Z1948" s="214"/>
      <c r="AF1948" s="212"/>
      <c r="AG1948" s="212"/>
    </row>
    <row r="1949" spans="5:33">
      <c r="E1949" s="376"/>
      <c r="F1949" s="376"/>
      <c r="G1949" s="376"/>
      <c r="H1949" s="376"/>
      <c r="K1949" s="214"/>
      <c r="S1949" s="214"/>
      <c r="Y1949" s="214"/>
      <c r="Z1949" s="214"/>
      <c r="AF1949" s="212"/>
      <c r="AG1949" s="212"/>
    </row>
    <row r="1950" spans="5:33">
      <c r="E1950" s="376"/>
      <c r="F1950" s="376"/>
      <c r="G1950" s="376"/>
      <c r="H1950" s="376"/>
      <c r="K1950" s="214"/>
      <c r="S1950" s="214"/>
      <c r="Y1950" s="214"/>
      <c r="Z1950" s="214"/>
      <c r="AF1950" s="212"/>
      <c r="AG1950" s="212"/>
    </row>
    <row r="1951" spans="5:33">
      <c r="E1951" s="376"/>
      <c r="F1951" s="376"/>
      <c r="G1951" s="376"/>
      <c r="H1951" s="376"/>
      <c r="K1951" s="214"/>
      <c r="S1951" s="214"/>
      <c r="Y1951" s="214"/>
      <c r="Z1951" s="214"/>
      <c r="AF1951" s="212"/>
      <c r="AG1951" s="212"/>
    </row>
    <row r="1952" spans="5:33">
      <c r="E1952" s="376"/>
      <c r="F1952" s="376"/>
      <c r="G1952" s="376"/>
      <c r="H1952" s="376"/>
      <c r="K1952" s="214"/>
      <c r="S1952" s="214"/>
      <c r="Y1952" s="214"/>
      <c r="Z1952" s="214"/>
      <c r="AF1952" s="212"/>
      <c r="AG1952" s="212"/>
    </row>
    <row r="1953" spans="5:33">
      <c r="E1953" s="376"/>
      <c r="F1953" s="376"/>
      <c r="G1953" s="376"/>
      <c r="H1953" s="376"/>
      <c r="K1953" s="214"/>
      <c r="S1953" s="214"/>
      <c r="Y1953" s="214"/>
      <c r="Z1953" s="214"/>
      <c r="AF1953" s="212"/>
      <c r="AG1953" s="212"/>
    </row>
    <row r="1954" spans="5:33">
      <c r="E1954" s="376"/>
      <c r="F1954" s="376"/>
      <c r="G1954" s="376"/>
      <c r="H1954" s="376"/>
      <c r="K1954" s="214"/>
      <c r="S1954" s="214"/>
      <c r="Y1954" s="214"/>
      <c r="Z1954" s="214"/>
      <c r="AF1954" s="212"/>
      <c r="AG1954" s="212"/>
    </row>
    <row r="1955" spans="5:33">
      <c r="E1955" s="376"/>
      <c r="F1955" s="376"/>
      <c r="G1955" s="376"/>
      <c r="H1955" s="376"/>
      <c r="K1955" s="214"/>
      <c r="S1955" s="214"/>
      <c r="Y1955" s="214"/>
      <c r="Z1955" s="214"/>
      <c r="AF1955" s="212"/>
      <c r="AG1955" s="212"/>
    </row>
    <row r="1956" spans="5:33">
      <c r="E1956" s="376"/>
      <c r="F1956" s="376"/>
      <c r="G1956" s="376"/>
      <c r="H1956" s="376"/>
      <c r="K1956" s="214"/>
      <c r="S1956" s="214"/>
      <c r="Y1956" s="214"/>
      <c r="Z1956" s="214"/>
      <c r="AF1956" s="212"/>
      <c r="AG1956" s="212"/>
    </row>
    <row r="1957" spans="5:33">
      <c r="E1957" s="376"/>
      <c r="F1957" s="376"/>
      <c r="G1957" s="376"/>
      <c r="H1957" s="376"/>
      <c r="K1957" s="214"/>
      <c r="S1957" s="214"/>
      <c r="Y1957" s="214"/>
      <c r="Z1957" s="214"/>
      <c r="AF1957" s="212"/>
      <c r="AG1957" s="212"/>
    </row>
    <row r="1958" spans="5:33">
      <c r="E1958" s="376"/>
      <c r="F1958" s="376"/>
      <c r="G1958" s="376"/>
      <c r="H1958" s="376"/>
      <c r="K1958" s="214"/>
      <c r="S1958" s="214"/>
      <c r="Y1958" s="214"/>
      <c r="Z1958" s="214"/>
      <c r="AF1958" s="212"/>
      <c r="AG1958" s="212"/>
    </row>
    <row r="1959" spans="5:33">
      <c r="E1959" s="376"/>
      <c r="F1959" s="376"/>
      <c r="G1959" s="376"/>
      <c r="H1959" s="376"/>
      <c r="K1959" s="214"/>
      <c r="S1959" s="214"/>
      <c r="Y1959" s="214"/>
      <c r="Z1959" s="214"/>
      <c r="AF1959" s="212"/>
      <c r="AG1959" s="212"/>
    </row>
    <row r="1960" spans="5:33">
      <c r="E1960" s="376"/>
      <c r="F1960" s="376"/>
      <c r="G1960" s="376"/>
      <c r="H1960" s="376"/>
      <c r="K1960" s="214"/>
      <c r="S1960" s="214"/>
      <c r="Y1960" s="214"/>
      <c r="Z1960" s="214"/>
      <c r="AF1960" s="212"/>
      <c r="AG1960" s="212"/>
    </row>
    <row r="1961" spans="5:33">
      <c r="E1961" s="376"/>
      <c r="F1961" s="376"/>
      <c r="G1961" s="376"/>
      <c r="H1961" s="376"/>
      <c r="K1961" s="214"/>
      <c r="S1961" s="214"/>
      <c r="Y1961" s="214"/>
      <c r="Z1961" s="214"/>
      <c r="AF1961" s="212"/>
      <c r="AG1961" s="212"/>
    </row>
    <row r="1962" spans="5:33">
      <c r="E1962" s="376"/>
      <c r="F1962" s="376"/>
      <c r="G1962" s="376"/>
      <c r="H1962" s="376"/>
      <c r="K1962" s="214"/>
      <c r="S1962" s="214"/>
      <c r="Y1962" s="214"/>
      <c r="Z1962" s="214"/>
      <c r="AF1962" s="212"/>
      <c r="AG1962" s="212"/>
    </row>
    <row r="1963" spans="5:33">
      <c r="E1963" s="376"/>
      <c r="F1963" s="376"/>
      <c r="G1963" s="376"/>
      <c r="H1963" s="376"/>
      <c r="K1963" s="214"/>
      <c r="S1963" s="214"/>
      <c r="Y1963" s="214"/>
      <c r="Z1963" s="214"/>
      <c r="AF1963" s="212"/>
      <c r="AG1963" s="212"/>
    </row>
    <row r="1964" spans="5:33">
      <c r="E1964" s="376"/>
      <c r="F1964" s="376"/>
      <c r="G1964" s="376"/>
      <c r="H1964" s="376"/>
      <c r="K1964" s="214"/>
      <c r="S1964" s="214"/>
      <c r="Y1964" s="214"/>
      <c r="Z1964" s="214"/>
      <c r="AF1964" s="212"/>
      <c r="AG1964" s="212"/>
    </row>
    <row r="1965" spans="5:33">
      <c r="E1965" s="376"/>
      <c r="F1965" s="376"/>
      <c r="G1965" s="376"/>
      <c r="H1965" s="376"/>
      <c r="K1965" s="214"/>
      <c r="S1965" s="214"/>
      <c r="Y1965" s="214"/>
      <c r="Z1965" s="214"/>
      <c r="AF1965" s="212"/>
      <c r="AG1965" s="212"/>
    </row>
    <row r="1966" spans="5:33">
      <c r="E1966" s="376"/>
      <c r="F1966" s="376"/>
      <c r="G1966" s="376"/>
      <c r="H1966" s="376"/>
      <c r="K1966" s="214"/>
      <c r="S1966" s="214"/>
      <c r="Y1966" s="214"/>
      <c r="Z1966" s="214"/>
      <c r="AF1966" s="212"/>
      <c r="AG1966" s="212"/>
    </row>
    <row r="1967" spans="5:33">
      <c r="E1967" s="376"/>
      <c r="F1967" s="376"/>
      <c r="G1967" s="376"/>
      <c r="H1967" s="376"/>
      <c r="K1967" s="214"/>
      <c r="S1967" s="214"/>
      <c r="Y1967" s="214"/>
      <c r="Z1967" s="214"/>
      <c r="AF1967" s="212"/>
      <c r="AG1967" s="212"/>
    </row>
    <row r="1968" spans="5:33">
      <c r="E1968" s="376"/>
      <c r="F1968" s="376"/>
      <c r="G1968" s="376"/>
      <c r="H1968" s="376"/>
      <c r="K1968" s="214"/>
      <c r="S1968" s="214"/>
      <c r="Y1968" s="214"/>
      <c r="Z1968" s="214"/>
      <c r="AF1968" s="212"/>
      <c r="AG1968" s="212"/>
    </row>
    <row r="1969" spans="5:33">
      <c r="E1969" s="376"/>
      <c r="F1969" s="376"/>
      <c r="G1969" s="376"/>
      <c r="H1969" s="376"/>
      <c r="K1969" s="214"/>
      <c r="S1969" s="214"/>
      <c r="Y1969" s="214"/>
      <c r="Z1969" s="214"/>
      <c r="AF1969" s="212"/>
      <c r="AG1969" s="212"/>
    </row>
    <row r="1970" spans="5:33">
      <c r="E1970" s="376"/>
      <c r="F1970" s="376"/>
      <c r="G1970" s="376"/>
      <c r="H1970" s="376"/>
      <c r="K1970" s="214"/>
      <c r="S1970" s="214"/>
      <c r="Y1970" s="214"/>
      <c r="Z1970" s="214"/>
      <c r="AF1970" s="212"/>
      <c r="AG1970" s="212"/>
    </row>
    <row r="1971" spans="5:33">
      <c r="E1971" s="376"/>
      <c r="F1971" s="376"/>
      <c r="G1971" s="376"/>
      <c r="H1971" s="376"/>
      <c r="K1971" s="214"/>
      <c r="S1971" s="214"/>
      <c r="Y1971" s="214"/>
      <c r="Z1971" s="214"/>
      <c r="AF1971" s="212"/>
      <c r="AG1971" s="212"/>
    </row>
    <row r="1972" spans="5:33">
      <c r="E1972" s="376"/>
      <c r="F1972" s="376"/>
      <c r="G1972" s="376"/>
      <c r="H1972" s="376"/>
      <c r="K1972" s="214"/>
      <c r="S1972" s="214"/>
      <c r="Y1972" s="214"/>
      <c r="Z1972" s="214"/>
      <c r="AF1972" s="212"/>
      <c r="AG1972" s="212"/>
    </row>
    <row r="1973" spans="5:33">
      <c r="E1973" s="376"/>
      <c r="F1973" s="376"/>
      <c r="G1973" s="376"/>
      <c r="H1973" s="376"/>
      <c r="K1973" s="214"/>
      <c r="S1973" s="214"/>
      <c r="Y1973" s="214"/>
      <c r="Z1973" s="214"/>
      <c r="AF1973" s="212"/>
      <c r="AG1973" s="212"/>
    </row>
    <row r="1974" spans="5:33">
      <c r="E1974" s="376"/>
      <c r="F1974" s="376"/>
      <c r="G1974" s="376"/>
      <c r="H1974" s="376"/>
      <c r="K1974" s="214"/>
      <c r="S1974" s="214"/>
      <c r="Y1974" s="214"/>
      <c r="Z1974" s="214"/>
      <c r="AF1974" s="212"/>
      <c r="AG1974" s="212"/>
    </row>
    <row r="1975" spans="5:33">
      <c r="E1975" s="376"/>
      <c r="F1975" s="376"/>
      <c r="G1975" s="376"/>
      <c r="H1975" s="376"/>
      <c r="K1975" s="214"/>
      <c r="S1975" s="214"/>
      <c r="Y1975" s="214"/>
      <c r="Z1975" s="214"/>
      <c r="AF1975" s="212"/>
      <c r="AG1975" s="212"/>
    </row>
    <row r="1976" spans="5:33">
      <c r="E1976" s="376"/>
      <c r="F1976" s="376"/>
      <c r="G1976" s="376"/>
      <c r="H1976" s="376"/>
      <c r="K1976" s="214"/>
      <c r="S1976" s="214"/>
      <c r="Y1976" s="214"/>
      <c r="Z1976" s="214"/>
      <c r="AF1976" s="212"/>
      <c r="AG1976" s="212"/>
    </row>
    <row r="1977" spans="5:33">
      <c r="E1977" s="376"/>
      <c r="F1977" s="376"/>
      <c r="G1977" s="376"/>
      <c r="H1977" s="376"/>
      <c r="K1977" s="214"/>
      <c r="S1977" s="214"/>
      <c r="Y1977" s="214"/>
      <c r="Z1977" s="214"/>
      <c r="AF1977" s="212"/>
      <c r="AG1977" s="212"/>
    </row>
    <row r="1978" spans="5:33">
      <c r="E1978" s="376"/>
      <c r="F1978" s="376"/>
      <c r="G1978" s="376"/>
      <c r="H1978" s="376"/>
      <c r="K1978" s="214"/>
      <c r="S1978" s="214"/>
      <c r="Y1978" s="214"/>
      <c r="Z1978" s="214"/>
      <c r="AF1978" s="212"/>
      <c r="AG1978" s="212"/>
    </row>
    <row r="1979" spans="5:33">
      <c r="E1979" s="376"/>
      <c r="F1979" s="376"/>
      <c r="G1979" s="376"/>
      <c r="H1979" s="376"/>
      <c r="K1979" s="214"/>
      <c r="S1979" s="214"/>
      <c r="Y1979" s="214"/>
      <c r="Z1979" s="214"/>
      <c r="AF1979" s="212"/>
      <c r="AG1979" s="212"/>
    </row>
    <row r="1980" spans="5:33">
      <c r="E1980" s="376"/>
      <c r="F1980" s="376"/>
      <c r="G1980" s="376"/>
      <c r="H1980" s="376"/>
      <c r="K1980" s="214"/>
      <c r="S1980" s="214"/>
      <c r="Y1980" s="214"/>
      <c r="Z1980" s="214"/>
      <c r="AF1980" s="212"/>
      <c r="AG1980" s="212"/>
    </row>
    <row r="1981" spans="5:33">
      <c r="E1981" s="376"/>
      <c r="F1981" s="376"/>
      <c r="G1981" s="376"/>
      <c r="H1981" s="376"/>
      <c r="K1981" s="214"/>
      <c r="S1981" s="214"/>
      <c r="Y1981" s="214"/>
      <c r="Z1981" s="214"/>
      <c r="AF1981" s="212"/>
      <c r="AG1981" s="212"/>
    </row>
    <row r="1982" spans="5:33">
      <c r="E1982" s="376"/>
      <c r="F1982" s="376"/>
      <c r="G1982" s="376"/>
      <c r="H1982" s="376"/>
      <c r="K1982" s="214"/>
      <c r="S1982" s="214"/>
      <c r="Y1982" s="214"/>
      <c r="Z1982" s="214"/>
      <c r="AF1982" s="212"/>
      <c r="AG1982" s="212"/>
    </row>
    <row r="1983" spans="5:33">
      <c r="E1983" s="376"/>
      <c r="F1983" s="376"/>
      <c r="G1983" s="376"/>
      <c r="H1983" s="376"/>
      <c r="K1983" s="214"/>
      <c r="S1983" s="214"/>
      <c r="Y1983" s="214"/>
      <c r="Z1983" s="214"/>
      <c r="AF1983" s="212"/>
      <c r="AG1983" s="212"/>
    </row>
    <row r="1984" spans="5:33">
      <c r="E1984" s="376"/>
      <c r="F1984" s="376"/>
      <c r="G1984" s="376"/>
      <c r="H1984" s="376"/>
      <c r="K1984" s="214"/>
      <c r="S1984" s="214"/>
      <c r="Y1984" s="214"/>
      <c r="Z1984" s="214"/>
      <c r="AF1984" s="212"/>
      <c r="AG1984" s="212"/>
    </row>
    <row r="1985" spans="5:33">
      <c r="E1985" s="376"/>
      <c r="F1985" s="376"/>
      <c r="G1985" s="376"/>
      <c r="H1985" s="376"/>
      <c r="K1985" s="214"/>
      <c r="S1985" s="214"/>
      <c r="Y1985" s="214"/>
      <c r="Z1985" s="214"/>
      <c r="AF1985" s="212"/>
      <c r="AG1985" s="212"/>
    </row>
    <row r="1986" spans="5:33">
      <c r="E1986" s="376"/>
      <c r="F1986" s="376"/>
      <c r="G1986" s="376"/>
      <c r="H1986" s="376"/>
      <c r="K1986" s="214"/>
      <c r="S1986" s="214"/>
      <c r="Y1986" s="214"/>
      <c r="Z1986" s="214"/>
      <c r="AF1986" s="212"/>
      <c r="AG1986" s="212"/>
    </row>
    <row r="1987" spans="5:33">
      <c r="E1987" s="376"/>
      <c r="F1987" s="376"/>
      <c r="G1987" s="376"/>
      <c r="H1987" s="376"/>
      <c r="K1987" s="214"/>
      <c r="S1987" s="214"/>
      <c r="Y1987" s="214"/>
      <c r="Z1987" s="214"/>
      <c r="AF1987" s="212"/>
      <c r="AG1987" s="212"/>
    </row>
    <row r="1988" spans="5:33">
      <c r="E1988" s="376"/>
      <c r="F1988" s="376"/>
      <c r="G1988" s="376"/>
      <c r="H1988" s="376"/>
      <c r="K1988" s="214"/>
      <c r="S1988" s="214"/>
      <c r="Y1988" s="214"/>
      <c r="Z1988" s="214"/>
      <c r="AF1988" s="212"/>
      <c r="AG1988" s="212"/>
    </row>
    <row r="1989" spans="5:33">
      <c r="E1989" s="376"/>
      <c r="F1989" s="376"/>
      <c r="G1989" s="376"/>
      <c r="H1989" s="376"/>
      <c r="K1989" s="214"/>
      <c r="S1989" s="214"/>
      <c r="Y1989" s="214"/>
      <c r="Z1989" s="214"/>
      <c r="AF1989" s="212"/>
      <c r="AG1989" s="212"/>
    </row>
    <row r="1990" spans="5:33">
      <c r="E1990" s="376"/>
      <c r="F1990" s="376"/>
      <c r="G1990" s="376"/>
      <c r="H1990" s="376"/>
      <c r="K1990" s="214"/>
      <c r="S1990" s="214"/>
      <c r="Y1990" s="214"/>
      <c r="Z1990" s="214"/>
      <c r="AF1990" s="212"/>
      <c r="AG1990" s="212"/>
    </row>
    <row r="1991" spans="5:33">
      <c r="E1991" s="376"/>
      <c r="F1991" s="376"/>
      <c r="G1991" s="376"/>
      <c r="H1991" s="376"/>
      <c r="K1991" s="214"/>
      <c r="S1991" s="214"/>
      <c r="Y1991" s="214"/>
      <c r="Z1991" s="214"/>
      <c r="AF1991" s="212"/>
      <c r="AG1991" s="212"/>
    </row>
    <row r="1992" spans="5:33">
      <c r="E1992" s="376"/>
      <c r="F1992" s="376"/>
      <c r="G1992" s="376"/>
      <c r="H1992" s="376"/>
      <c r="K1992" s="214"/>
      <c r="S1992" s="214"/>
      <c r="Y1992" s="214"/>
      <c r="Z1992" s="214"/>
      <c r="AF1992" s="212"/>
      <c r="AG1992" s="212"/>
    </row>
    <row r="1993" spans="5:33">
      <c r="E1993" s="376"/>
      <c r="F1993" s="376"/>
      <c r="G1993" s="376"/>
      <c r="H1993" s="376"/>
      <c r="K1993" s="214"/>
      <c r="S1993" s="214"/>
      <c r="Y1993" s="214"/>
      <c r="Z1993" s="214"/>
      <c r="AF1993" s="212"/>
      <c r="AG1993" s="212"/>
    </row>
    <row r="1994" spans="5:33">
      <c r="E1994" s="376"/>
      <c r="F1994" s="376"/>
      <c r="G1994" s="376"/>
      <c r="H1994" s="376"/>
      <c r="K1994" s="214"/>
      <c r="S1994" s="214"/>
      <c r="Y1994" s="214"/>
      <c r="Z1994" s="214"/>
      <c r="AF1994" s="212"/>
      <c r="AG1994" s="212"/>
    </row>
    <row r="1995" spans="5:33">
      <c r="E1995" s="376"/>
      <c r="F1995" s="376"/>
      <c r="G1995" s="376"/>
      <c r="H1995" s="376"/>
      <c r="K1995" s="214"/>
      <c r="S1995" s="214"/>
      <c r="Y1995" s="214"/>
      <c r="Z1995" s="214"/>
      <c r="AF1995" s="212"/>
      <c r="AG1995" s="212"/>
    </row>
    <row r="1996" spans="5:33">
      <c r="E1996" s="376"/>
      <c r="F1996" s="376"/>
      <c r="G1996" s="376"/>
      <c r="H1996" s="376"/>
      <c r="K1996" s="214"/>
      <c r="S1996" s="214"/>
      <c r="Y1996" s="214"/>
      <c r="Z1996" s="214"/>
      <c r="AF1996" s="212"/>
      <c r="AG1996" s="212"/>
    </row>
    <row r="1997" spans="5:33">
      <c r="E1997" s="376"/>
      <c r="F1997" s="376"/>
      <c r="G1997" s="376"/>
      <c r="H1997" s="376"/>
      <c r="K1997" s="214"/>
      <c r="S1997" s="214"/>
      <c r="Y1997" s="214"/>
      <c r="Z1997" s="214"/>
      <c r="AF1997" s="212"/>
      <c r="AG1997" s="212"/>
    </row>
    <row r="1998" spans="5:33">
      <c r="E1998" s="376"/>
      <c r="F1998" s="376"/>
      <c r="G1998" s="376"/>
      <c r="H1998" s="376"/>
      <c r="K1998" s="214"/>
      <c r="S1998" s="214"/>
      <c r="Y1998" s="214"/>
      <c r="Z1998" s="214"/>
      <c r="AF1998" s="212"/>
      <c r="AG1998" s="212"/>
    </row>
    <row r="1999" spans="5:33">
      <c r="E1999" s="376"/>
      <c r="F1999" s="376"/>
      <c r="G1999" s="376"/>
      <c r="H1999" s="376"/>
      <c r="K1999" s="214"/>
      <c r="S1999" s="214"/>
      <c r="Y1999" s="214"/>
      <c r="Z1999" s="214"/>
      <c r="AF1999" s="212"/>
      <c r="AG1999" s="212"/>
    </row>
    <row r="2000" spans="5:33">
      <c r="E2000" s="376"/>
      <c r="F2000" s="376"/>
      <c r="G2000" s="376"/>
      <c r="H2000" s="376"/>
      <c r="K2000" s="214"/>
      <c r="S2000" s="214"/>
      <c r="Y2000" s="214"/>
      <c r="Z2000" s="214"/>
      <c r="AF2000" s="212"/>
      <c r="AG2000" s="212"/>
    </row>
    <row r="2001" spans="5:33">
      <c r="E2001" s="376"/>
      <c r="F2001" s="376"/>
      <c r="G2001" s="376"/>
      <c r="H2001" s="376"/>
      <c r="K2001" s="214"/>
      <c r="S2001" s="214"/>
      <c r="Y2001" s="214"/>
      <c r="Z2001" s="214"/>
      <c r="AF2001" s="212"/>
      <c r="AG2001" s="212"/>
    </row>
    <row r="2002" spans="5:33">
      <c r="E2002" s="376"/>
      <c r="F2002" s="376"/>
      <c r="G2002" s="376"/>
      <c r="H2002" s="376"/>
      <c r="K2002" s="214"/>
      <c r="S2002" s="214"/>
      <c r="Y2002" s="214"/>
      <c r="Z2002" s="214"/>
      <c r="AF2002" s="212"/>
      <c r="AG2002" s="212"/>
    </row>
    <row r="2003" spans="5:33">
      <c r="E2003" s="376"/>
      <c r="F2003" s="376"/>
      <c r="G2003" s="376"/>
      <c r="H2003" s="376"/>
      <c r="K2003" s="214"/>
      <c r="S2003" s="214"/>
      <c r="Y2003" s="214"/>
      <c r="Z2003" s="214"/>
      <c r="AF2003" s="212"/>
      <c r="AG2003" s="212"/>
    </row>
    <row r="2004" spans="5:33">
      <c r="E2004" s="376"/>
      <c r="F2004" s="376"/>
      <c r="G2004" s="376"/>
      <c r="H2004" s="376"/>
      <c r="K2004" s="214"/>
      <c r="S2004" s="214"/>
      <c r="Y2004" s="214"/>
      <c r="Z2004" s="214"/>
      <c r="AF2004" s="212"/>
      <c r="AG2004" s="212"/>
    </row>
    <row r="2005" spans="5:33">
      <c r="E2005" s="376"/>
      <c r="F2005" s="376"/>
      <c r="G2005" s="376"/>
      <c r="H2005" s="376"/>
      <c r="K2005" s="214"/>
      <c r="S2005" s="214"/>
      <c r="Y2005" s="214"/>
      <c r="Z2005" s="214"/>
      <c r="AF2005" s="212"/>
      <c r="AG2005" s="212"/>
    </row>
    <row r="2006" spans="5:33">
      <c r="E2006" s="376"/>
      <c r="F2006" s="376"/>
      <c r="G2006" s="376"/>
      <c r="H2006" s="376"/>
      <c r="K2006" s="214"/>
      <c r="S2006" s="214"/>
      <c r="Y2006" s="214"/>
      <c r="Z2006" s="214"/>
      <c r="AF2006" s="212"/>
      <c r="AG2006" s="212"/>
    </row>
    <row r="2007" spans="5:33">
      <c r="E2007" s="376"/>
      <c r="F2007" s="376"/>
      <c r="G2007" s="376"/>
      <c r="H2007" s="376"/>
      <c r="K2007" s="214"/>
      <c r="S2007" s="214"/>
      <c r="Y2007" s="214"/>
      <c r="Z2007" s="214"/>
      <c r="AF2007" s="212"/>
      <c r="AG2007" s="212"/>
    </row>
    <row r="2008" spans="5:33">
      <c r="E2008" s="376"/>
      <c r="F2008" s="376"/>
      <c r="G2008" s="376"/>
      <c r="H2008" s="376"/>
      <c r="K2008" s="214"/>
      <c r="S2008" s="214"/>
      <c r="Y2008" s="214"/>
      <c r="Z2008" s="214"/>
      <c r="AF2008" s="212"/>
      <c r="AG2008" s="212"/>
    </row>
    <row r="2009" spans="5:33">
      <c r="E2009" s="376"/>
      <c r="F2009" s="376"/>
      <c r="G2009" s="376"/>
      <c r="H2009" s="376"/>
      <c r="K2009" s="214"/>
      <c r="S2009" s="214"/>
      <c r="Y2009" s="214"/>
      <c r="Z2009" s="214"/>
      <c r="AF2009" s="212"/>
      <c r="AG2009" s="212"/>
    </row>
    <row r="2010" spans="5:33">
      <c r="E2010" s="376"/>
      <c r="F2010" s="376"/>
      <c r="G2010" s="376"/>
      <c r="H2010" s="376"/>
      <c r="K2010" s="214"/>
      <c r="S2010" s="214"/>
      <c r="Y2010" s="214"/>
      <c r="Z2010" s="214"/>
      <c r="AF2010" s="212"/>
      <c r="AG2010" s="212"/>
    </row>
    <row r="2011" spans="5:33">
      <c r="E2011" s="376"/>
      <c r="F2011" s="376"/>
      <c r="G2011" s="376"/>
      <c r="H2011" s="376"/>
      <c r="K2011" s="214"/>
      <c r="S2011" s="214"/>
      <c r="Y2011" s="214"/>
      <c r="Z2011" s="214"/>
      <c r="AF2011" s="212"/>
      <c r="AG2011" s="212"/>
    </row>
    <row r="2012" spans="5:33">
      <c r="E2012" s="376"/>
      <c r="F2012" s="376"/>
      <c r="G2012" s="376"/>
      <c r="H2012" s="376"/>
      <c r="K2012" s="214"/>
      <c r="S2012" s="214"/>
      <c r="Y2012" s="214"/>
      <c r="Z2012" s="214"/>
      <c r="AF2012" s="212"/>
      <c r="AG2012" s="212"/>
    </row>
    <row r="2013" spans="5:33">
      <c r="E2013" s="376"/>
      <c r="F2013" s="376"/>
      <c r="G2013" s="376"/>
      <c r="H2013" s="376"/>
      <c r="K2013" s="214"/>
      <c r="S2013" s="214"/>
      <c r="Y2013" s="214"/>
      <c r="Z2013" s="214"/>
      <c r="AF2013" s="212"/>
      <c r="AG2013" s="212"/>
    </row>
    <row r="2014" spans="5:33">
      <c r="E2014" s="376"/>
      <c r="F2014" s="376"/>
      <c r="G2014" s="376"/>
      <c r="H2014" s="376"/>
      <c r="K2014" s="214"/>
      <c r="S2014" s="214"/>
      <c r="Y2014" s="214"/>
      <c r="Z2014" s="214"/>
      <c r="AF2014" s="212"/>
      <c r="AG2014" s="212"/>
    </row>
    <row r="2015" spans="5:33">
      <c r="E2015" s="376"/>
      <c r="F2015" s="376"/>
      <c r="G2015" s="376"/>
      <c r="H2015" s="376"/>
      <c r="K2015" s="214"/>
      <c r="S2015" s="214"/>
      <c r="Y2015" s="214"/>
      <c r="Z2015" s="214"/>
      <c r="AF2015" s="212"/>
      <c r="AG2015" s="212"/>
    </row>
    <row r="2016" spans="5:33">
      <c r="E2016" s="376"/>
      <c r="F2016" s="376"/>
      <c r="G2016" s="376"/>
      <c r="H2016" s="376"/>
      <c r="K2016" s="214"/>
      <c r="S2016" s="214"/>
      <c r="Y2016" s="214"/>
      <c r="Z2016" s="214"/>
      <c r="AF2016" s="212"/>
      <c r="AG2016" s="212"/>
    </row>
    <row r="2017" spans="5:33">
      <c r="E2017" s="376"/>
      <c r="F2017" s="376"/>
      <c r="G2017" s="376"/>
      <c r="H2017" s="376"/>
      <c r="K2017" s="214"/>
      <c r="S2017" s="214"/>
      <c r="Y2017" s="214"/>
      <c r="Z2017" s="214"/>
      <c r="AF2017" s="212"/>
      <c r="AG2017" s="212"/>
    </row>
    <row r="2018" spans="5:33">
      <c r="E2018" s="376"/>
      <c r="F2018" s="376"/>
      <c r="G2018" s="376"/>
      <c r="H2018" s="376"/>
      <c r="K2018" s="214"/>
      <c r="S2018" s="214"/>
      <c r="Y2018" s="214"/>
      <c r="Z2018" s="214"/>
      <c r="AF2018" s="212"/>
      <c r="AG2018" s="212"/>
    </row>
    <row r="2019" spans="5:33">
      <c r="E2019" s="376"/>
      <c r="F2019" s="376"/>
      <c r="G2019" s="376"/>
      <c r="H2019" s="376"/>
      <c r="K2019" s="214"/>
      <c r="S2019" s="214"/>
      <c r="Y2019" s="214"/>
      <c r="Z2019" s="214"/>
      <c r="AF2019" s="212"/>
      <c r="AG2019" s="212"/>
    </row>
    <row r="2020" spans="5:33">
      <c r="E2020" s="376"/>
      <c r="F2020" s="376"/>
      <c r="G2020" s="376"/>
      <c r="H2020" s="376"/>
      <c r="K2020" s="214"/>
      <c r="S2020" s="214"/>
      <c r="Y2020" s="214"/>
      <c r="Z2020" s="214"/>
      <c r="AF2020" s="212"/>
      <c r="AG2020" s="212"/>
    </row>
    <row r="2021" spans="5:33">
      <c r="E2021" s="376"/>
      <c r="F2021" s="376"/>
      <c r="G2021" s="376"/>
      <c r="H2021" s="376"/>
      <c r="K2021" s="214"/>
      <c r="S2021" s="214"/>
      <c r="Y2021" s="214"/>
      <c r="Z2021" s="214"/>
      <c r="AF2021" s="212"/>
      <c r="AG2021" s="212"/>
    </row>
    <row r="2022" spans="5:33">
      <c r="E2022" s="376"/>
      <c r="F2022" s="376"/>
      <c r="G2022" s="376"/>
      <c r="H2022" s="376"/>
      <c r="K2022" s="214"/>
      <c r="S2022" s="214"/>
      <c r="Y2022" s="214"/>
      <c r="Z2022" s="214"/>
      <c r="AF2022" s="212"/>
      <c r="AG2022" s="212"/>
    </row>
    <row r="2023" spans="5:33">
      <c r="E2023" s="376"/>
      <c r="F2023" s="376"/>
      <c r="G2023" s="376"/>
      <c r="H2023" s="376"/>
      <c r="K2023" s="214"/>
      <c r="S2023" s="214"/>
      <c r="Y2023" s="214"/>
      <c r="Z2023" s="214"/>
      <c r="AF2023" s="212"/>
      <c r="AG2023" s="212"/>
    </row>
    <row r="2024" spans="5:33">
      <c r="E2024" s="376"/>
      <c r="F2024" s="376"/>
      <c r="G2024" s="376"/>
      <c r="H2024" s="376"/>
      <c r="K2024" s="214"/>
      <c r="S2024" s="214"/>
      <c r="Y2024" s="214"/>
      <c r="Z2024" s="214"/>
      <c r="AF2024" s="212"/>
      <c r="AG2024" s="212"/>
    </row>
    <row r="2025" spans="5:33">
      <c r="E2025" s="376"/>
      <c r="F2025" s="376"/>
      <c r="G2025" s="376"/>
      <c r="H2025" s="376"/>
      <c r="K2025" s="214"/>
      <c r="S2025" s="214"/>
      <c r="Y2025" s="214"/>
      <c r="Z2025" s="214"/>
      <c r="AF2025" s="212"/>
      <c r="AG2025" s="212"/>
    </row>
    <row r="2026" spans="5:33">
      <c r="E2026" s="376"/>
      <c r="F2026" s="376"/>
      <c r="G2026" s="376"/>
      <c r="H2026" s="376"/>
      <c r="K2026" s="214"/>
      <c r="S2026" s="214"/>
      <c r="Y2026" s="214"/>
      <c r="Z2026" s="214"/>
      <c r="AF2026" s="212"/>
      <c r="AG2026" s="212"/>
    </row>
    <row r="2027" spans="5:33">
      <c r="E2027" s="376"/>
      <c r="F2027" s="376"/>
      <c r="G2027" s="376"/>
      <c r="H2027" s="376"/>
      <c r="K2027" s="214"/>
      <c r="S2027" s="214"/>
      <c r="Y2027" s="214"/>
      <c r="Z2027" s="214"/>
      <c r="AF2027" s="212"/>
      <c r="AG2027" s="212"/>
    </row>
    <row r="2028" spans="5:33">
      <c r="E2028" s="376"/>
      <c r="F2028" s="376"/>
      <c r="G2028" s="376"/>
      <c r="H2028" s="376"/>
      <c r="K2028" s="214"/>
      <c r="S2028" s="214"/>
      <c r="Y2028" s="214"/>
      <c r="Z2028" s="214"/>
      <c r="AF2028" s="212"/>
      <c r="AG2028" s="212"/>
    </row>
    <row r="2029" spans="5:33">
      <c r="E2029" s="376"/>
      <c r="F2029" s="376"/>
      <c r="G2029" s="376"/>
      <c r="H2029" s="376"/>
      <c r="K2029" s="214"/>
      <c r="S2029" s="214"/>
      <c r="Y2029" s="214"/>
      <c r="Z2029" s="214"/>
      <c r="AF2029" s="212"/>
      <c r="AG2029" s="212"/>
    </row>
    <row r="2030" spans="5:33">
      <c r="E2030" s="376"/>
      <c r="F2030" s="376"/>
      <c r="G2030" s="376"/>
      <c r="H2030" s="376"/>
      <c r="K2030" s="214"/>
      <c r="S2030" s="214"/>
      <c r="Y2030" s="214"/>
      <c r="Z2030" s="214"/>
      <c r="AF2030" s="212"/>
      <c r="AG2030" s="212"/>
    </row>
    <row r="2031" spans="5:33">
      <c r="E2031" s="376"/>
      <c r="F2031" s="376"/>
      <c r="G2031" s="376"/>
      <c r="H2031" s="376"/>
      <c r="K2031" s="214"/>
      <c r="S2031" s="214"/>
      <c r="Y2031" s="214"/>
      <c r="Z2031" s="214"/>
      <c r="AF2031" s="212"/>
      <c r="AG2031" s="212"/>
    </row>
    <row r="2032" spans="5:33">
      <c r="E2032" s="376"/>
      <c r="F2032" s="376"/>
      <c r="G2032" s="376"/>
      <c r="H2032" s="376"/>
      <c r="K2032" s="214"/>
      <c r="S2032" s="214"/>
      <c r="Y2032" s="214"/>
      <c r="Z2032" s="214"/>
      <c r="AF2032" s="212"/>
      <c r="AG2032" s="212"/>
    </row>
    <row r="2033" spans="5:33">
      <c r="E2033" s="376"/>
      <c r="F2033" s="376"/>
      <c r="G2033" s="376"/>
      <c r="H2033" s="376"/>
      <c r="K2033" s="214"/>
      <c r="S2033" s="214"/>
      <c r="Y2033" s="214"/>
      <c r="Z2033" s="214"/>
      <c r="AF2033" s="212"/>
      <c r="AG2033" s="212"/>
    </row>
    <row r="2034" spans="5:33">
      <c r="E2034" s="376"/>
      <c r="F2034" s="376"/>
      <c r="G2034" s="376"/>
      <c r="H2034" s="376"/>
      <c r="K2034" s="214"/>
      <c r="S2034" s="214"/>
      <c r="Y2034" s="214"/>
      <c r="Z2034" s="214"/>
      <c r="AF2034" s="212"/>
      <c r="AG2034" s="212"/>
    </row>
    <row r="2035" spans="5:33">
      <c r="E2035" s="376"/>
      <c r="F2035" s="376"/>
      <c r="G2035" s="376"/>
      <c r="H2035" s="376"/>
      <c r="K2035" s="214"/>
      <c r="S2035" s="214"/>
      <c r="Y2035" s="214"/>
      <c r="Z2035" s="214"/>
      <c r="AF2035" s="212"/>
      <c r="AG2035" s="212"/>
    </row>
    <row r="2036" spans="5:33">
      <c r="E2036" s="376"/>
      <c r="F2036" s="376"/>
      <c r="G2036" s="376"/>
      <c r="H2036" s="376"/>
      <c r="K2036" s="214"/>
      <c r="S2036" s="214"/>
      <c r="Y2036" s="214"/>
      <c r="Z2036" s="214"/>
      <c r="AF2036" s="212"/>
      <c r="AG2036" s="212"/>
    </row>
    <row r="2037" spans="5:33">
      <c r="E2037" s="376"/>
      <c r="F2037" s="376"/>
      <c r="G2037" s="376"/>
      <c r="H2037" s="376"/>
      <c r="K2037" s="214"/>
      <c r="S2037" s="214"/>
      <c r="Y2037" s="214"/>
      <c r="Z2037" s="214"/>
      <c r="AF2037" s="212"/>
      <c r="AG2037" s="212"/>
    </row>
    <row r="2038" spans="5:33">
      <c r="E2038" s="376"/>
      <c r="F2038" s="376"/>
      <c r="G2038" s="376"/>
      <c r="H2038" s="376"/>
      <c r="K2038" s="214"/>
      <c r="S2038" s="214"/>
      <c r="Y2038" s="214"/>
      <c r="Z2038" s="214"/>
      <c r="AF2038" s="212"/>
      <c r="AG2038" s="212"/>
    </row>
    <row r="2039" spans="5:33">
      <c r="E2039" s="376"/>
      <c r="F2039" s="376"/>
      <c r="G2039" s="376"/>
      <c r="H2039" s="376"/>
      <c r="K2039" s="214"/>
      <c r="S2039" s="214"/>
      <c r="Y2039" s="214"/>
      <c r="Z2039" s="214"/>
      <c r="AF2039" s="212"/>
      <c r="AG2039" s="212"/>
    </row>
    <row r="2040" spans="5:33">
      <c r="E2040" s="376"/>
      <c r="F2040" s="376"/>
      <c r="G2040" s="376"/>
      <c r="H2040" s="376"/>
      <c r="K2040" s="214"/>
      <c r="S2040" s="214"/>
      <c r="Y2040" s="214"/>
      <c r="Z2040" s="214"/>
      <c r="AF2040" s="212"/>
      <c r="AG2040" s="212"/>
    </row>
    <row r="2041" spans="5:33">
      <c r="E2041" s="376"/>
      <c r="F2041" s="376"/>
      <c r="G2041" s="376"/>
      <c r="H2041" s="376"/>
      <c r="K2041" s="214"/>
      <c r="S2041" s="214"/>
      <c r="Y2041" s="214"/>
      <c r="Z2041" s="214"/>
      <c r="AF2041" s="212"/>
      <c r="AG2041" s="212"/>
    </row>
    <row r="2042" spans="5:33">
      <c r="E2042" s="376"/>
      <c r="F2042" s="376"/>
      <c r="G2042" s="376"/>
      <c r="H2042" s="376"/>
      <c r="K2042" s="214"/>
      <c r="S2042" s="214"/>
      <c r="Y2042" s="214"/>
      <c r="Z2042" s="214"/>
      <c r="AF2042" s="212"/>
      <c r="AG2042" s="212"/>
    </row>
    <row r="2043" spans="5:33">
      <c r="E2043" s="376"/>
      <c r="F2043" s="376"/>
      <c r="G2043" s="376"/>
      <c r="H2043" s="376"/>
      <c r="K2043" s="214"/>
      <c r="S2043" s="214"/>
      <c r="Y2043" s="214"/>
      <c r="Z2043" s="214"/>
      <c r="AF2043" s="212"/>
      <c r="AG2043" s="212"/>
    </row>
    <row r="2044" spans="5:33">
      <c r="E2044" s="376"/>
      <c r="F2044" s="376"/>
      <c r="G2044" s="376"/>
      <c r="H2044" s="376"/>
      <c r="K2044" s="214"/>
      <c r="S2044" s="214"/>
      <c r="Y2044" s="214"/>
      <c r="Z2044" s="214"/>
      <c r="AF2044" s="212"/>
      <c r="AG2044" s="212"/>
    </row>
    <row r="2045" spans="5:33">
      <c r="E2045" s="376"/>
      <c r="F2045" s="376"/>
      <c r="G2045" s="376"/>
      <c r="H2045" s="376"/>
      <c r="K2045" s="214"/>
      <c r="S2045" s="214"/>
      <c r="Y2045" s="214"/>
      <c r="Z2045" s="214"/>
      <c r="AF2045" s="212"/>
      <c r="AG2045" s="212"/>
    </row>
    <row r="2046" spans="5:33">
      <c r="E2046" s="376"/>
      <c r="F2046" s="376"/>
      <c r="G2046" s="376"/>
      <c r="H2046" s="376"/>
      <c r="K2046" s="214"/>
      <c r="S2046" s="214"/>
      <c r="Y2046" s="214"/>
      <c r="Z2046" s="214"/>
      <c r="AF2046" s="212"/>
      <c r="AG2046" s="212"/>
    </row>
    <row r="2047" spans="5:33">
      <c r="E2047" s="376"/>
      <c r="F2047" s="376"/>
      <c r="G2047" s="376"/>
      <c r="H2047" s="376"/>
      <c r="K2047" s="214"/>
      <c r="S2047" s="214"/>
      <c r="Y2047" s="214"/>
      <c r="Z2047" s="214"/>
      <c r="AF2047" s="212"/>
      <c r="AG2047" s="212"/>
    </row>
    <row r="2048" spans="5:33">
      <c r="E2048" s="376"/>
      <c r="F2048" s="376"/>
      <c r="G2048" s="376"/>
      <c r="H2048" s="376"/>
      <c r="K2048" s="214"/>
      <c r="S2048" s="214"/>
      <c r="Y2048" s="214"/>
      <c r="Z2048" s="214"/>
      <c r="AF2048" s="212"/>
      <c r="AG2048" s="212"/>
    </row>
    <row r="2049" spans="5:33">
      <c r="E2049" s="376"/>
      <c r="F2049" s="376"/>
      <c r="G2049" s="376"/>
      <c r="H2049" s="376"/>
      <c r="K2049" s="214"/>
      <c r="S2049" s="214"/>
      <c r="Y2049" s="214"/>
      <c r="Z2049" s="214"/>
      <c r="AF2049" s="212"/>
      <c r="AG2049" s="212"/>
    </row>
    <row r="2050" spans="5:33">
      <c r="E2050" s="376"/>
      <c r="F2050" s="376"/>
      <c r="G2050" s="376"/>
      <c r="H2050" s="376"/>
      <c r="K2050" s="214"/>
      <c r="S2050" s="214"/>
      <c r="Y2050" s="214"/>
      <c r="Z2050" s="214"/>
      <c r="AF2050" s="212"/>
      <c r="AG2050" s="212"/>
    </row>
    <row r="2051" spans="5:33">
      <c r="E2051" s="376"/>
      <c r="F2051" s="376"/>
      <c r="G2051" s="376"/>
      <c r="H2051" s="376"/>
      <c r="K2051" s="214"/>
      <c r="S2051" s="214"/>
      <c r="Y2051" s="214"/>
      <c r="Z2051" s="214"/>
      <c r="AF2051" s="212"/>
      <c r="AG2051" s="212"/>
    </row>
    <row r="2052" spans="5:33">
      <c r="E2052" s="376"/>
      <c r="F2052" s="376"/>
      <c r="G2052" s="376"/>
      <c r="H2052" s="376"/>
      <c r="K2052" s="214"/>
      <c r="S2052" s="214"/>
      <c r="Y2052" s="214"/>
      <c r="Z2052" s="214"/>
      <c r="AF2052" s="212"/>
      <c r="AG2052" s="212"/>
    </row>
    <row r="2053" spans="5:33">
      <c r="E2053" s="376"/>
      <c r="F2053" s="376"/>
      <c r="G2053" s="376"/>
      <c r="H2053" s="376"/>
      <c r="K2053" s="214"/>
      <c r="S2053" s="214"/>
      <c r="Y2053" s="214"/>
      <c r="Z2053" s="214"/>
      <c r="AF2053" s="212"/>
      <c r="AG2053" s="212"/>
    </row>
    <row r="2054" spans="5:33">
      <c r="E2054" s="376"/>
      <c r="F2054" s="376"/>
      <c r="G2054" s="376"/>
      <c r="H2054" s="376"/>
      <c r="K2054" s="214"/>
      <c r="S2054" s="214"/>
      <c r="Y2054" s="214"/>
      <c r="Z2054" s="214"/>
      <c r="AF2054" s="212"/>
      <c r="AG2054" s="212"/>
    </row>
    <row r="2055" spans="5:33">
      <c r="E2055" s="376"/>
      <c r="F2055" s="376"/>
      <c r="G2055" s="376"/>
      <c r="H2055" s="376"/>
      <c r="K2055" s="214"/>
      <c r="S2055" s="214"/>
      <c r="Y2055" s="214"/>
      <c r="Z2055" s="214"/>
      <c r="AF2055" s="212"/>
      <c r="AG2055" s="212"/>
    </row>
    <row r="2056" spans="5:33">
      <c r="E2056" s="376"/>
      <c r="F2056" s="376"/>
      <c r="G2056" s="376"/>
      <c r="H2056" s="376"/>
      <c r="K2056" s="214"/>
      <c r="S2056" s="214"/>
      <c r="Y2056" s="214"/>
      <c r="Z2056" s="214"/>
      <c r="AF2056" s="212"/>
      <c r="AG2056" s="212"/>
    </row>
    <row r="2057" spans="5:33">
      <c r="E2057" s="376"/>
      <c r="F2057" s="376"/>
      <c r="G2057" s="376"/>
      <c r="H2057" s="376"/>
      <c r="K2057" s="214"/>
      <c r="S2057" s="214"/>
      <c r="Y2057" s="214"/>
      <c r="Z2057" s="214"/>
      <c r="AF2057" s="212"/>
      <c r="AG2057" s="212"/>
    </row>
    <row r="2058" spans="5:33">
      <c r="E2058" s="376"/>
      <c r="F2058" s="376"/>
      <c r="G2058" s="376"/>
      <c r="H2058" s="376"/>
      <c r="K2058" s="214"/>
      <c r="S2058" s="214"/>
      <c r="Y2058" s="214"/>
      <c r="Z2058" s="214"/>
      <c r="AF2058" s="212"/>
      <c r="AG2058" s="212"/>
    </row>
    <row r="2059" spans="5:33">
      <c r="E2059" s="376"/>
      <c r="F2059" s="376"/>
      <c r="G2059" s="376"/>
      <c r="H2059" s="376"/>
      <c r="K2059" s="214"/>
      <c r="S2059" s="214"/>
      <c r="Y2059" s="214"/>
      <c r="Z2059" s="214"/>
      <c r="AF2059" s="212"/>
      <c r="AG2059" s="212"/>
    </row>
    <row r="2060" spans="5:33">
      <c r="E2060" s="376"/>
      <c r="F2060" s="376"/>
      <c r="G2060" s="376"/>
      <c r="H2060" s="376"/>
      <c r="K2060" s="214"/>
      <c r="S2060" s="214"/>
      <c r="Y2060" s="214"/>
      <c r="Z2060" s="214"/>
      <c r="AF2060" s="212"/>
      <c r="AG2060" s="212"/>
    </row>
    <row r="2061" spans="5:33">
      <c r="E2061" s="376"/>
      <c r="F2061" s="376"/>
      <c r="G2061" s="376"/>
      <c r="H2061" s="376"/>
      <c r="K2061" s="214"/>
      <c r="S2061" s="214"/>
      <c r="Y2061" s="214"/>
      <c r="Z2061" s="214"/>
      <c r="AF2061" s="212"/>
      <c r="AG2061" s="212"/>
    </row>
    <row r="2062" spans="5:33">
      <c r="E2062" s="376"/>
      <c r="F2062" s="376"/>
      <c r="G2062" s="376"/>
      <c r="H2062" s="376"/>
      <c r="K2062" s="214"/>
      <c r="S2062" s="214"/>
      <c r="Y2062" s="214"/>
      <c r="Z2062" s="214"/>
      <c r="AF2062" s="212"/>
      <c r="AG2062" s="212"/>
    </row>
    <row r="2063" spans="5:33">
      <c r="E2063" s="376"/>
      <c r="F2063" s="376"/>
      <c r="G2063" s="376"/>
      <c r="H2063" s="376"/>
      <c r="K2063" s="214"/>
      <c r="S2063" s="214"/>
      <c r="Y2063" s="214"/>
      <c r="Z2063" s="214"/>
      <c r="AF2063" s="212"/>
      <c r="AG2063" s="212"/>
    </row>
    <row r="2064" spans="5:33">
      <c r="E2064" s="376"/>
      <c r="F2064" s="376"/>
      <c r="G2064" s="376"/>
      <c r="H2064" s="376"/>
      <c r="K2064" s="214"/>
      <c r="S2064" s="214"/>
      <c r="Y2064" s="214"/>
      <c r="Z2064" s="214"/>
      <c r="AF2064" s="212"/>
      <c r="AG2064" s="212"/>
    </row>
    <row r="2065" spans="5:33">
      <c r="E2065" s="376"/>
      <c r="F2065" s="376"/>
      <c r="G2065" s="376"/>
      <c r="H2065" s="376"/>
      <c r="K2065" s="214"/>
      <c r="S2065" s="214"/>
      <c r="Y2065" s="214"/>
      <c r="Z2065" s="214"/>
      <c r="AF2065" s="212"/>
      <c r="AG2065" s="212"/>
    </row>
    <row r="2066" spans="5:33">
      <c r="E2066" s="376"/>
      <c r="F2066" s="376"/>
      <c r="G2066" s="376"/>
      <c r="H2066" s="376"/>
      <c r="K2066" s="214"/>
      <c r="S2066" s="214"/>
      <c r="Y2066" s="214"/>
      <c r="Z2066" s="214"/>
      <c r="AF2066" s="212"/>
      <c r="AG2066" s="212"/>
    </row>
    <row r="2067" spans="5:33">
      <c r="E2067" s="376"/>
      <c r="F2067" s="376"/>
      <c r="G2067" s="376"/>
      <c r="H2067" s="376"/>
      <c r="K2067" s="214"/>
      <c r="S2067" s="214"/>
      <c r="Y2067" s="214"/>
      <c r="Z2067" s="214"/>
      <c r="AF2067" s="212"/>
      <c r="AG2067" s="212"/>
    </row>
    <row r="2068" spans="5:33">
      <c r="E2068" s="376"/>
      <c r="F2068" s="376"/>
      <c r="G2068" s="376"/>
      <c r="H2068" s="376"/>
      <c r="K2068" s="214"/>
      <c r="S2068" s="214"/>
      <c r="Y2068" s="214"/>
      <c r="Z2068" s="214"/>
      <c r="AF2068" s="212"/>
      <c r="AG2068" s="212"/>
    </row>
    <row r="2069" spans="5:33">
      <c r="E2069" s="376"/>
      <c r="F2069" s="376"/>
      <c r="G2069" s="376"/>
      <c r="H2069" s="376"/>
      <c r="K2069" s="214"/>
      <c r="S2069" s="214"/>
      <c r="Y2069" s="214"/>
      <c r="Z2069" s="214"/>
      <c r="AF2069" s="212"/>
      <c r="AG2069" s="212"/>
    </row>
    <row r="2070" spans="5:33">
      <c r="E2070" s="376"/>
      <c r="F2070" s="376"/>
      <c r="G2070" s="376"/>
      <c r="H2070" s="376"/>
      <c r="K2070" s="214"/>
      <c r="S2070" s="214"/>
      <c r="Y2070" s="214"/>
      <c r="Z2070" s="214"/>
      <c r="AF2070" s="212"/>
      <c r="AG2070" s="212"/>
    </row>
    <row r="2071" spans="5:33">
      <c r="E2071" s="376"/>
      <c r="F2071" s="376"/>
      <c r="G2071" s="376"/>
      <c r="H2071" s="376"/>
      <c r="K2071" s="214"/>
      <c r="S2071" s="214"/>
      <c r="Y2071" s="214"/>
      <c r="Z2071" s="214"/>
      <c r="AF2071" s="212"/>
      <c r="AG2071" s="212"/>
    </row>
    <row r="2072" spans="5:33">
      <c r="E2072" s="376"/>
      <c r="F2072" s="376"/>
      <c r="G2072" s="376"/>
      <c r="H2072" s="376"/>
      <c r="K2072" s="214"/>
      <c r="S2072" s="214"/>
      <c r="Y2072" s="214"/>
      <c r="Z2072" s="214"/>
      <c r="AF2072" s="212"/>
      <c r="AG2072" s="212"/>
    </row>
    <row r="2073" spans="5:33">
      <c r="E2073" s="376"/>
      <c r="F2073" s="376"/>
      <c r="G2073" s="376"/>
      <c r="H2073" s="376"/>
      <c r="K2073" s="214"/>
      <c r="S2073" s="214"/>
      <c r="Y2073" s="214"/>
      <c r="Z2073" s="214"/>
      <c r="AF2073" s="212"/>
      <c r="AG2073" s="212"/>
    </row>
    <row r="2074" spans="5:33">
      <c r="E2074" s="376"/>
      <c r="F2074" s="376"/>
      <c r="G2074" s="376"/>
      <c r="H2074" s="376"/>
      <c r="K2074" s="214"/>
      <c r="S2074" s="214"/>
      <c r="Y2074" s="214"/>
      <c r="Z2074" s="214"/>
      <c r="AF2074" s="212"/>
      <c r="AG2074" s="212"/>
    </row>
    <row r="2075" spans="5:33">
      <c r="E2075" s="376"/>
      <c r="F2075" s="376"/>
      <c r="G2075" s="376"/>
      <c r="H2075" s="376"/>
      <c r="K2075" s="214"/>
      <c r="S2075" s="214"/>
      <c r="Y2075" s="214"/>
      <c r="Z2075" s="214"/>
      <c r="AF2075" s="212"/>
      <c r="AG2075" s="212"/>
    </row>
    <row r="2076" spans="5:33">
      <c r="E2076" s="376"/>
      <c r="F2076" s="376"/>
      <c r="G2076" s="376"/>
      <c r="H2076" s="376"/>
      <c r="K2076" s="214"/>
      <c r="S2076" s="214"/>
      <c r="Y2076" s="214"/>
      <c r="Z2076" s="214"/>
      <c r="AF2076" s="212"/>
      <c r="AG2076" s="212"/>
    </row>
    <row r="2077" spans="5:33">
      <c r="E2077" s="376"/>
      <c r="F2077" s="376"/>
      <c r="G2077" s="376"/>
      <c r="H2077" s="376"/>
      <c r="K2077" s="214"/>
      <c r="S2077" s="214"/>
      <c r="Y2077" s="214"/>
      <c r="Z2077" s="214"/>
      <c r="AF2077" s="212"/>
      <c r="AG2077" s="212"/>
    </row>
    <row r="2078" spans="5:33">
      <c r="E2078" s="376"/>
      <c r="F2078" s="376"/>
      <c r="G2078" s="376"/>
      <c r="H2078" s="376"/>
      <c r="K2078" s="214"/>
      <c r="S2078" s="214"/>
      <c r="Y2078" s="214"/>
      <c r="Z2078" s="214"/>
      <c r="AF2078" s="212"/>
      <c r="AG2078" s="212"/>
    </row>
    <row r="2079" spans="5:33">
      <c r="E2079" s="376"/>
      <c r="F2079" s="376"/>
      <c r="G2079" s="376"/>
      <c r="H2079" s="376"/>
      <c r="K2079" s="214"/>
      <c r="S2079" s="214"/>
      <c r="Y2079" s="214"/>
      <c r="Z2079" s="214"/>
      <c r="AF2079" s="212"/>
      <c r="AG2079" s="212"/>
    </row>
    <row r="2080" spans="5:33">
      <c r="E2080" s="376"/>
      <c r="F2080" s="376"/>
      <c r="G2080" s="376"/>
      <c r="H2080" s="376"/>
      <c r="K2080" s="214"/>
      <c r="S2080" s="214"/>
      <c r="Y2080" s="214"/>
      <c r="Z2080" s="214"/>
      <c r="AF2080" s="212"/>
      <c r="AG2080" s="212"/>
    </row>
    <row r="2081" spans="5:33">
      <c r="E2081" s="376"/>
      <c r="F2081" s="376"/>
      <c r="G2081" s="376"/>
      <c r="H2081" s="376"/>
      <c r="K2081" s="214"/>
      <c r="S2081" s="214"/>
      <c r="Y2081" s="214"/>
      <c r="Z2081" s="214"/>
      <c r="AF2081" s="212"/>
      <c r="AG2081" s="212"/>
    </row>
    <row r="2082" spans="5:33">
      <c r="E2082" s="376"/>
      <c r="F2082" s="376"/>
      <c r="G2082" s="376"/>
      <c r="H2082" s="376"/>
      <c r="K2082" s="214"/>
      <c r="S2082" s="214"/>
      <c r="Y2082" s="214"/>
      <c r="Z2082" s="214"/>
      <c r="AF2082" s="212"/>
      <c r="AG2082" s="212"/>
    </row>
    <row r="2083" spans="5:33">
      <c r="E2083" s="376"/>
      <c r="F2083" s="376"/>
      <c r="G2083" s="376"/>
      <c r="H2083" s="376"/>
      <c r="K2083" s="214"/>
      <c r="S2083" s="214"/>
      <c r="Y2083" s="214"/>
      <c r="Z2083" s="214"/>
      <c r="AF2083" s="212"/>
      <c r="AG2083" s="212"/>
    </row>
    <row r="2084" spans="5:33">
      <c r="E2084" s="376"/>
      <c r="F2084" s="376"/>
      <c r="G2084" s="376"/>
      <c r="H2084" s="376"/>
      <c r="K2084" s="214"/>
      <c r="S2084" s="214"/>
      <c r="Y2084" s="214"/>
      <c r="Z2084" s="214"/>
      <c r="AF2084" s="212"/>
      <c r="AG2084" s="212"/>
    </row>
    <row r="2085" spans="5:33">
      <c r="E2085" s="376"/>
      <c r="F2085" s="376"/>
      <c r="G2085" s="376"/>
      <c r="H2085" s="376"/>
      <c r="K2085" s="214"/>
      <c r="S2085" s="214"/>
      <c r="Y2085" s="214"/>
      <c r="Z2085" s="214"/>
      <c r="AF2085" s="212"/>
      <c r="AG2085" s="212"/>
    </row>
    <row r="2086" spans="5:33">
      <c r="E2086" s="376"/>
      <c r="F2086" s="376"/>
      <c r="G2086" s="376"/>
      <c r="H2086" s="376"/>
      <c r="K2086" s="214"/>
      <c r="S2086" s="214"/>
      <c r="Y2086" s="214"/>
      <c r="Z2086" s="214"/>
      <c r="AF2086" s="212"/>
      <c r="AG2086" s="212"/>
    </row>
    <row r="2087" spans="5:33">
      <c r="E2087" s="376"/>
      <c r="F2087" s="376"/>
      <c r="G2087" s="376"/>
      <c r="H2087" s="376"/>
      <c r="K2087" s="214"/>
      <c r="S2087" s="214"/>
      <c r="Y2087" s="214"/>
      <c r="Z2087" s="214"/>
      <c r="AF2087" s="212"/>
      <c r="AG2087" s="212"/>
    </row>
    <row r="2088" spans="5:33">
      <c r="E2088" s="376"/>
      <c r="F2088" s="376"/>
      <c r="G2088" s="376"/>
      <c r="H2088" s="376"/>
      <c r="K2088" s="214"/>
      <c r="S2088" s="214"/>
      <c r="Y2088" s="214"/>
      <c r="Z2088" s="214"/>
      <c r="AF2088" s="212"/>
      <c r="AG2088" s="212"/>
    </row>
    <row r="2089" spans="5:33">
      <c r="E2089" s="376"/>
      <c r="F2089" s="376"/>
      <c r="G2089" s="376"/>
      <c r="H2089" s="376"/>
      <c r="K2089" s="214"/>
      <c r="S2089" s="214"/>
      <c r="Y2089" s="214"/>
      <c r="Z2089" s="214"/>
      <c r="AF2089" s="212"/>
      <c r="AG2089" s="212"/>
    </row>
    <row r="2090" spans="5:33">
      <c r="E2090" s="376"/>
      <c r="F2090" s="376"/>
      <c r="G2090" s="376"/>
      <c r="H2090" s="376"/>
      <c r="K2090" s="214"/>
      <c r="S2090" s="214"/>
      <c r="Y2090" s="214"/>
      <c r="Z2090" s="214"/>
      <c r="AF2090" s="212"/>
      <c r="AG2090" s="212"/>
    </row>
    <row r="2091" spans="5:33">
      <c r="E2091" s="376"/>
      <c r="F2091" s="376"/>
      <c r="G2091" s="376"/>
      <c r="H2091" s="376"/>
      <c r="K2091" s="214"/>
      <c r="S2091" s="214"/>
      <c r="Y2091" s="214"/>
      <c r="Z2091" s="214"/>
      <c r="AF2091" s="212"/>
      <c r="AG2091" s="212"/>
    </row>
    <row r="2092" spans="5:33">
      <c r="E2092" s="376"/>
      <c r="F2092" s="376"/>
      <c r="G2092" s="376"/>
      <c r="H2092" s="376"/>
      <c r="K2092" s="214"/>
      <c r="S2092" s="214"/>
      <c r="Y2092" s="214"/>
      <c r="Z2092" s="214"/>
      <c r="AF2092" s="212"/>
      <c r="AG2092" s="212"/>
    </row>
    <row r="2093" spans="5:33">
      <c r="E2093" s="376"/>
      <c r="F2093" s="376"/>
      <c r="G2093" s="376"/>
      <c r="H2093" s="376"/>
      <c r="K2093" s="214"/>
      <c r="S2093" s="214"/>
      <c r="Y2093" s="214"/>
      <c r="Z2093" s="214"/>
      <c r="AF2093" s="212"/>
      <c r="AG2093" s="212"/>
    </row>
    <row r="2094" spans="5:33">
      <c r="E2094" s="376"/>
      <c r="F2094" s="376"/>
      <c r="G2094" s="376"/>
      <c r="H2094" s="376"/>
      <c r="K2094" s="214"/>
      <c r="S2094" s="214"/>
      <c r="Y2094" s="214"/>
      <c r="Z2094" s="214"/>
      <c r="AF2094" s="212"/>
      <c r="AG2094" s="212"/>
    </row>
    <row r="2095" spans="5:33">
      <c r="E2095" s="376"/>
      <c r="F2095" s="376"/>
      <c r="G2095" s="376"/>
      <c r="H2095" s="376"/>
      <c r="K2095" s="214"/>
      <c r="S2095" s="214"/>
      <c r="Y2095" s="214"/>
      <c r="Z2095" s="214"/>
      <c r="AF2095" s="212"/>
      <c r="AG2095" s="212"/>
    </row>
    <row r="2096" spans="5:33">
      <c r="E2096" s="376"/>
      <c r="F2096" s="376"/>
      <c r="G2096" s="376"/>
      <c r="H2096" s="376"/>
      <c r="K2096" s="214"/>
      <c r="S2096" s="214"/>
      <c r="Y2096" s="214"/>
      <c r="Z2096" s="214"/>
      <c r="AF2096" s="212"/>
      <c r="AG2096" s="212"/>
    </row>
    <row r="2097" spans="5:33">
      <c r="E2097" s="376"/>
      <c r="F2097" s="376"/>
      <c r="G2097" s="376"/>
      <c r="H2097" s="376"/>
      <c r="K2097" s="214"/>
      <c r="S2097" s="214"/>
      <c r="Y2097" s="214"/>
      <c r="Z2097" s="214"/>
      <c r="AF2097" s="212"/>
      <c r="AG2097" s="212"/>
    </row>
    <row r="2098" spans="5:33">
      <c r="E2098" s="376"/>
      <c r="F2098" s="376"/>
      <c r="G2098" s="376"/>
      <c r="H2098" s="376"/>
      <c r="K2098" s="214"/>
      <c r="S2098" s="214"/>
      <c r="Y2098" s="214"/>
      <c r="Z2098" s="214"/>
      <c r="AF2098" s="212"/>
      <c r="AG2098" s="212"/>
    </row>
    <row r="2099" spans="5:33">
      <c r="E2099" s="376"/>
      <c r="F2099" s="376"/>
      <c r="G2099" s="376"/>
      <c r="H2099" s="376"/>
      <c r="K2099" s="214"/>
      <c r="S2099" s="214"/>
      <c r="Y2099" s="214"/>
      <c r="Z2099" s="214"/>
      <c r="AF2099" s="212"/>
      <c r="AG2099" s="212"/>
    </row>
    <row r="2100" spans="5:33">
      <c r="E2100" s="376"/>
      <c r="F2100" s="376"/>
      <c r="G2100" s="376"/>
      <c r="H2100" s="376"/>
      <c r="K2100" s="214"/>
      <c r="S2100" s="214"/>
      <c r="Y2100" s="214"/>
      <c r="Z2100" s="214"/>
      <c r="AF2100" s="212"/>
      <c r="AG2100" s="212"/>
    </row>
    <row r="2101" spans="5:33">
      <c r="E2101" s="376"/>
      <c r="F2101" s="376"/>
      <c r="G2101" s="376"/>
      <c r="H2101" s="376"/>
      <c r="K2101" s="214"/>
      <c r="S2101" s="214"/>
      <c r="Y2101" s="214"/>
      <c r="Z2101" s="214"/>
      <c r="AF2101" s="212"/>
      <c r="AG2101" s="212"/>
    </row>
    <row r="2102" spans="5:33">
      <c r="E2102" s="376"/>
      <c r="F2102" s="376"/>
      <c r="G2102" s="376"/>
      <c r="H2102" s="376"/>
      <c r="K2102" s="214"/>
      <c r="S2102" s="214"/>
      <c r="Y2102" s="214"/>
      <c r="Z2102" s="214"/>
      <c r="AF2102" s="212"/>
      <c r="AG2102" s="212"/>
    </row>
    <row r="2103" spans="5:33">
      <c r="E2103" s="376"/>
      <c r="F2103" s="376"/>
      <c r="G2103" s="376"/>
      <c r="H2103" s="376"/>
      <c r="K2103" s="214"/>
      <c r="S2103" s="214"/>
      <c r="Y2103" s="214"/>
      <c r="Z2103" s="214"/>
      <c r="AF2103" s="212"/>
      <c r="AG2103" s="212"/>
    </row>
    <row r="2104" spans="5:33">
      <c r="E2104" s="376"/>
      <c r="F2104" s="376"/>
      <c r="G2104" s="376"/>
      <c r="H2104" s="376"/>
      <c r="K2104" s="214"/>
      <c r="S2104" s="214"/>
      <c r="Y2104" s="214"/>
      <c r="Z2104" s="214"/>
      <c r="AF2104" s="212"/>
      <c r="AG2104" s="212"/>
    </row>
    <row r="2105" spans="5:33">
      <c r="E2105" s="376"/>
      <c r="F2105" s="376"/>
      <c r="G2105" s="376"/>
      <c r="H2105" s="376"/>
      <c r="K2105" s="214"/>
      <c r="S2105" s="214"/>
      <c r="Y2105" s="214"/>
      <c r="Z2105" s="214"/>
      <c r="AF2105" s="212"/>
      <c r="AG2105" s="212"/>
    </row>
    <row r="2106" spans="5:33">
      <c r="E2106" s="376"/>
      <c r="F2106" s="376"/>
      <c r="G2106" s="376"/>
      <c r="H2106" s="376"/>
      <c r="K2106" s="214"/>
      <c r="S2106" s="214"/>
      <c r="Y2106" s="214"/>
      <c r="Z2106" s="214"/>
      <c r="AF2106" s="212"/>
      <c r="AG2106" s="212"/>
    </row>
    <row r="2107" spans="5:33">
      <c r="E2107" s="376"/>
      <c r="F2107" s="376"/>
      <c r="G2107" s="376"/>
      <c r="H2107" s="376"/>
      <c r="K2107" s="214"/>
      <c r="S2107" s="214"/>
      <c r="Y2107" s="214"/>
      <c r="Z2107" s="214"/>
      <c r="AF2107" s="212"/>
      <c r="AG2107" s="212"/>
    </row>
    <row r="2108" spans="5:33">
      <c r="E2108" s="376"/>
      <c r="F2108" s="376"/>
      <c r="G2108" s="376"/>
      <c r="H2108" s="376"/>
      <c r="K2108" s="214"/>
      <c r="S2108" s="214"/>
      <c r="Y2108" s="214"/>
      <c r="Z2108" s="214"/>
      <c r="AF2108" s="212"/>
      <c r="AG2108" s="212"/>
    </row>
    <row r="2109" spans="5:33">
      <c r="E2109" s="376"/>
      <c r="F2109" s="376"/>
      <c r="G2109" s="376"/>
      <c r="H2109" s="376"/>
      <c r="K2109" s="214"/>
      <c r="S2109" s="214"/>
      <c r="Y2109" s="214"/>
      <c r="Z2109" s="214"/>
      <c r="AF2109" s="212"/>
      <c r="AG2109" s="212"/>
    </row>
    <row r="2110" spans="5:33">
      <c r="E2110" s="376"/>
      <c r="F2110" s="376"/>
      <c r="G2110" s="376"/>
      <c r="H2110" s="376"/>
      <c r="K2110" s="214"/>
      <c r="S2110" s="214"/>
      <c r="Y2110" s="214"/>
      <c r="Z2110" s="214"/>
      <c r="AF2110" s="212"/>
      <c r="AG2110" s="212"/>
    </row>
    <row r="2111" spans="5:33">
      <c r="E2111" s="376"/>
      <c r="F2111" s="376"/>
      <c r="G2111" s="376"/>
      <c r="H2111" s="376"/>
      <c r="K2111" s="214"/>
      <c r="S2111" s="214"/>
      <c r="Y2111" s="214"/>
      <c r="Z2111" s="214"/>
      <c r="AF2111" s="212"/>
      <c r="AG2111" s="212"/>
    </row>
    <row r="2112" spans="5:33">
      <c r="E2112" s="376"/>
      <c r="F2112" s="376"/>
      <c r="G2112" s="376"/>
      <c r="H2112" s="376"/>
      <c r="K2112" s="214"/>
      <c r="S2112" s="214"/>
      <c r="Y2112" s="214"/>
      <c r="Z2112" s="214"/>
      <c r="AF2112" s="212"/>
      <c r="AG2112" s="212"/>
    </row>
    <row r="2113" spans="5:33">
      <c r="E2113" s="376"/>
      <c r="F2113" s="376"/>
      <c r="G2113" s="376"/>
      <c r="H2113" s="376"/>
      <c r="K2113" s="214"/>
      <c r="S2113" s="214"/>
      <c r="Y2113" s="214"/>
      <c r="Z2113" s="214"/>
      <c r="AF2113" s="212"/>
      <c r="AG2113" s="212"/>
    </row>
    <row r="2114" spans="5:33">
      <c r="E2114" s="376"/>
      <c r="F2114" s="376"/>
      <c r="G2114" s="376"/>
      <c r="H2114" s="376"/>
      <c r="K2114" s="214"/>
      <c r="S2114" s="214"/>
      <c r="Y2114" s="214"/>
      <c r="Z2114" s="214"/>
      <c r="AF2114" s="212"/>
      <c r="AG2114" s="212"/>
    </row>
    <row r="2115" spans="5:33">
      <c r="E2115" s="376"/>
      <c r="F2115" s="376"/>
      <c r="G2115" s="376"/>
      <c r="H2115" s="376"/>
      <c r="K2115" s="214"/>
      <c r="S2115" s="214"/>
      <c r="Y2115" s="214"/>
      <c r="Z2115" s="214"/>
      <c r="AF2115" s="212"/>
      <c r="AG2115" s="212"/>
    </row>
    <row r="2116" spans="5:33">
      <c r="E2116" s="376"/>
      <c r="F2116" s="376"/>
      <c r="G2116" s="376"/>
      <c r="H2116" s="376"/>
      <c r="K2116" s="214"/>
      <c r="S2116" s="214"/>
      <c r="Y2116" s="214"/>
      <c r="Z2116" s="214"/>
      <c r="AF2116" s="212"/>
      <c r="AG2116" s="212"/>
    </row>
    <row r="2117" spans="5:33">
      <c r="E2117" s="376"/>
      <c r="F2117" s="376"/>
      <c r="G2117" s="376"/>
      <c r="H2117" s="376"/>
      <c r="K2117" s="214"/>
      <c r="S2117" s="214"/>
      <c r="Y2117" s="214"/>
      <c r="Z2117" s="214"/>
      <c r="AF2117" s="212"/>
      <c r="AG2117" s="212"/>
    </row>
    <row r="2118" spans="5:33">
      <c r="E2118" s="376"/>
      <c r="F2118" s="376"/>
      <c r="G2118" s="376"/>
      <c r="H2118" s="376"/>
      <c r="K2118" s="214"/>
      <c r="S2118" s="214"/>
      <c r="Y2118" s="214"/>
      <c r="Z2118" s="214"/>
      <c r="AF2118" s="212"/>
      <c r="AG2118" s="212"/>
    </row>
    <row r="2119" spans="5:33">
      <c r="E2119" s="376"/>
      <c r="F2119" s="376"/>
      <c r="G2119" s="376"/>
      <c r="H2119" s="376"/>
      <c r="K2119" s="214"/>
      <c r="S2119" s="214"/>
      <c r="Y2119" s="214"/>
      <c r="Z2119" s="214"/>
      <c r="AF2119" s="212"/>
      <c r="AG2119" s="212"/>
    </row>
    <row r="2120" spans="5:33">
      <c r="E2120" s="376"/>
      <c r="F2120" s="376"/>
      <c r="G2120" s="376"/>
      <c r="H2120" s="376"/>
      <c r="K2120" s="214"/>
      <c r="S2120" s="214"/>
      <c r="Y2120" s="214"/>
      <c r="Z2120" s="214"/>
      <c r="AF2120" s="212"/>
      <c r="AG2120" s="212"/>
    </row>
    <row r="2121" spans="5:33">
      <c r="E2121" s="376"/>
      <c r="F2121" s="376"/>
      <c r="G2121" s="376"/>
      <c r="H2121" s="376"/>
      <c r="K2121" s="214"/>
      <c r="S2121" s="214"/>
      <c r="Y2121" s="214"/>
      <c r="Z2121" s="214"/>
      <c r="AF2121" s="212"/>
      <c r="AG2121" s="212"/>
    </row>
    <row r="2122" spans="5:33">
      <c r="E2122" s="376"/>
      <c r="F2122" s="376"/>
      <c r="G2122" s="376"/>
      <c r="H2122" s="376"/>
      <c r="K2122" s="214"/>
      <c r="S2122" s="214"/>
      <c r="Y2122" s="214"/>
      <c r="Z2122" s="214"/>
      <c r="AF2122" s="212"/>
      <c r="AG2122" s="212"/>
    </row>
    <row r="2123" spans="5:33">
      <c r="E2123" s="376"/>
      <c r="F2123" s="376"/>
      <c r="G2123" s="376"/>
      <c r="H2123" s="376"/>
      <c r="K2123" s="214"/>
      <c r="S2123" s="214"/>
      <c r="Y2123" s="214"/>
      <c r="Z2123" s="214"/>
      <c r="AF2123" s="212"/>
      <c r="AG2123" s="212"/>
    </row>
    <row r="2124" spans="5:33">
      <c r="E2124" s="376"/>
      <c r="F2124" s="376"/>
      <c r="G2124" s="376"/>
      <c r="H2124" s="376"/>
      <c r="K2124" s="214"/>
      <c r="S2124" s="214"/>
      <c r="Y2124" s="214"/>
      <c r="Z2124" s="214"/>
      <c r="AF2124" s="212"/>
      <c r="AG2124" s="212"/>
    </row>
    <row r="2125" spans="5:33">
      <c r="E2125" s="376"/>
      <c r="F2125" s="376"/>
      <c r="G2125" s="376"/>
      <c r="H2125" s="376"/>
      <c r="K2125" s="214"/>
      <c r="S2125" s="214"/>
      <c r="Y2125" s="214"/>
      <c r="Z2125" s="214"/>
      <c r="AF2125" s="212"/>
      <c r="AG2125" s="212"/>
    </row>
    <row r="2126" spans="5:33">
      <c r="E2126" s="376"/>
      <c r="F2126" s="376"/>
      <c r="G2126" s="376"/>
      <c r="H2126" s="376"/>
      <c r="K2126" s="214"/>
      <c r="S2126" s="214"/>
      <c r="Y2126" s="214"/>
      <c r="Z2126" s="214"/>
      <c r="AF2126" s="212"/>
      <c r="AG2126" s="212"/>
    </row>
    <row r="2127" spans="5:33">
      <c r="E2127" s="376"/>
      <c r="F2127" s="376"/>
      <c r="G2127" s="376"/>
      <c r="H2127" s="376"/>
      <c r="K2127" s="214"/>
      <c r="S2127" s="214"/>
      <c r="Y2127" s="214"/>
      <c r="Z2127" s="214"/>
      <c r="AF2127" s="212"/>
      <c r="AG2127" s="212"/>
    </row>
    <row r="2128" spans="5:33">
      <c r="E2128" s="376"/>
      <c r="F2128" s="376"/>
      <c r="G2128" s="376"/>
      <c r="H2128" s="376"/>
      <c r="K2128" s="214"/>
      <c r="S2128" s="214"/>
      <c r="Y2128" s="214"/>
      <c r="Z2128" s="214"/>
      <c r="AF2128" s="212"/>
      <c r="AG2128" s="212"/>
    </row>
    <row r="2129" spans="5:33">
      <c r="E2129" s="376"/>
      <c r="F2129" s="376"/>
      <c r="G2129" s="376"/>
      <c r="H2129" s="376"/>
      <c r="K2129" s="214"/>
      <c r="S2129" s="214"/>
      <c r="Y2129" s="214"/>
      <c r="Z2129" s="214"/>
      <c r="AF2129" s="212"/>
      <c r="AG2129" s="212"/>
    </row>
    <row r="2130" spans="5:33">
      <c r="E2130" s="376"/>
      <c r="F2130" s="376"/>
      <c r="G2130" s="376"/>
      <c r="H2130" s="376"/>
      <c r="K2130" s="214"/>
      <c r="S2130" s="214"/>
      <c r="Y2130" s="214"/>
      <c r="Z2130" s="214"/>
      <c r="AF2130" s="212"/>
      <c r="AG2130" s="212"/>
    </row>
    <row r="2131" spans="5:33">
      <c r="E2131" s="376"/>
      <c r="F2131" s="376"/>
      <c r="G2131" s="376"/>
      <c r="H2131" s="376"/>
      <c r="K2131" s="214"/>
      <c r="S2131" s="214"/>
      <c r="Y2131" s="214"/>
      <c r="Z2131" s="214"/>
      <c r="AF2131" s="212"/>
      <c r="AG2131" s="212"/>
    </row>
    <row r="2132" spans="5:33">
      <c r="E2132" s="376"/>
      <c r="F2132" s="376"/>
      <c r="G2132" s="376"/>
      <c r="H2132" s="376"/>
      <c r="K2132" s="214"/>
      <c r="S2132" s="214"/>
      <c r="Y2132" s="214"/>
      <c r="Z2132" s="214"/>
      <c r="AF2132" s="212"/>
      <c r="AG2132" s="212"/>
    </row>
    <row r="2133" spans="5:33">
      <c r="E2133" s="376"/>
      <c r="F2133" s="376"/>
      <c r="G2133" s="376"/>
      <c r="H2133" s="376"/>
      <c r="K2133" s="214"/>
      <c r="S2133" s="214"/>
      <c r="Y2133" s="214"/>
      <c r="Z2133" s="214"/>
      <c r="AF2133" s="212"/>
      <c r="AG2133" s="212"/>
    </row>
    <row r="2134" spans="5:33">
      <c r="E2134" s="376"/>
      <c r="F2134" s="376"/>
      <c r="G2134" s="376"/>
      <c r="H2134" s="376"/>
      <c r="K2134" s="214"/>
      <c r="S2134" s="214"/>
      <c r="Y2134" s="214"/>
      <c r="Z2134" s="214"/>
      <c r="AF2134" s="212"/>
      <c r="AG2134" s="212"/>
    </row>
    <row r="2135" spans="5:33">
      <c r="E2135" s="376"/>
      <c r="F2135" s="376"/>
      <c r="G2135" s="376"/>
      <c r="H2135" s="376"/>
      <c r="K2135" s="214"/>
      <c r="S2135" s="214"/>
      <c r="Y2135" s="214"/>
      <c r="Z2135" s="214"/>
      <c r="AF2135" s="212"/>
      <c r="AG2135" s="212"/>
    </row>
    <row r="2136" spans="5:33">
      <c r="E2136" s="376"/>
      <c r="F2136" s="376"/>
      <c r="G2136" s="376"/>
      <c r="H2136" s="376"/>
      <c r="K2136" s="214"/>
      <c r="S2136" s="214"/>
      <c r="Y2136" s="214"/>
      <c r="Z2136" s="214"/>
      <c r="AF2136" s="212"/>
      <c r="AG2136" s="212"/>
    </row>
    <row r="2137" spans="5:33">
      <c r="E2137" s="376"/>
      <c r="F2137" s="376"/>
      <c r="G2137" s="376"/>
      <c r="H2137" s="376"/>
      <c r="K2137" s="214"/>
      <c r="S2137" s="214"/>
      <c r="Y2137" s="214"/>
      <c r="Z2137" s="214"/>
      <c r="AF2137" s="212"/>
      <c r="AG2137" s="212"/>
    </row>
    <row r="2138" spans="5:33">
      <c r="E2138" s="376"/>
      <c r="F2138" s="376"/>
      <c r="G2138" s="376"/>
      <c r="H2138" s="376"/>
      <c r="K2138" s="214"/>
      <c r="S2138" s="214"/>
      <c r="Y2138" s="214"/>
      <c r="Z2138" s="214"/>
      <c r="AF2138" s="212"/>
      <c r="AG2138" s="212"/>
    </row>
    <row r="2139" spans="5:33">
      <c r="E2139" s="376"/>
      <c r="F2139" s="376"/>
      <c r="G2139" s="376"/>
      <c r="H2139" s="376"/>
      <c r="K2139" s="214"/>
      <c r="S2139" s="214"/>
      <c r="Y2139" s="214"/>
      <c r="Z2139" s="214"/>
      <c r="AF2139" s="212"/>
      <c r="AG2139" s="212"/>
    </row>
    <row r="2140" spans="5:33">
      <c r="E2140" s="376"/>
      <c r="F2140" s="376"/>
      <c r="G2140" s="376"/>
      <c r="H2140" s="376"/>
      <c r="K2140" s="214"/>
      <c r="S2140" s="214"/>
      <c r="Y2140" s="214"/>
      <c r="Z2140" s="214"/>
      <c r="AF2140" s="212"/>
      <c r="AG2140" s="212"/>
    </row>
    <row r="2141" spans="5:33">
      <c r="E2141" s="376"/>
      <c r="F2141" s="376"/>
      <c r="G2141" s="376"/>
      <c r="H2141" s="376"/>
      <c r="K2141" s="214"/>
      <c r="S2141" s="214"/>
      <c r="Y2141" s="214"/>
      <c r="Z2141" s="214"/>
      <c r="AF2141" s="212"/>
      <c r="AG2141" s="212"/>
    </row>
    <row r="2142" spans="5:33">
      <c r="E2142" s="376"/>
      <c r="F2142" s="376"/>
      <c r="G2142" s="376"/>
      <c r="H2142" s="376"/>
      <c r="K2142" s="214"/>
      <c r="S2142" s="214"/>
      <c r="Y2142" s="214"/>
      <c r="Z2142" s="214"/>
      <c r="AF2142" s="212"/>
      <c r="AG2142" s="212"/>
    </row>
    <row r="2143" spans="5:33">
      <c r="E2143" s="376"/>
      <c r="F2143" s="376"/>
      <c r="G2143" s="376"/>
      <c r="H2143" s="376"/>
      <c r="K2143" s="214"/>
      <c r="S2143" s="214"/>
      <c r="Y2143" s="214"/>
      <c r="Z2143" s="214"/>
      <c r="AF2143" s="212"/>
      <c r="AG2143" s="212"/>
    </row>
    <row r="2144" spans="5:33">
      <c r="E2144" s="376"/>
      <c r="F2144" s="376"/>
      <c r="G2144" s="376"/>
      <c r="H2144" s="376"/>
      <c r="K2144" s="214"/>
      <c r="S2144" s="214"/>
      <c r="Y2144" s="214"/>
      <c r="Z2144" s="214"/>
      <c r="AF2144" s="212"/>
      <c r="AG2144" s="212"/>
    </row>
    <row r="2145" spans="5:33">
      <c r="E2145" s="376"/>
      <c r="F2145" s="376"/>
      <c r="G2145" s="376"/>
      <c r="H2145" s="376"/>
      <c r="K2145" s="214"/>
      <c r="S2145" s="214"/>
      <c r="Y2145" s="214"/>
      <c r="Z2145" s="214"/>
      <c r="AF2145" s="212"/>
      <c r="AG2145" s="212"/>
    </row>
    <row r="2146" spans="5:33">
      <c r="E2146" s="376"/>
      <c r="F2146" s="376"/>
      <c r="G2146" s="376"/>
      <c r="H2146" s="376"/>
      <c r="K2146" s="214"/>
      <c r="S2146" s="214"/>
      <c r="Y2146" s="214"/>
      <c r="Z2146" s="214"/>
      <c r="AF2146" s="212"/>
      <c r="AG2146" s="212"/>
    </row>
    <row r="2147" spans="5:33">
      <c r="E2147" s="376"/>
      <c r="F2147" s="376"/>
      <c r="G2147" s="376"/>
      <c r="H2147" s="376"/>
      <c r="K2147" s="214"/>
      <c r="S2147" s="214"/>
      <c r="Y2147" s="214"/>
      <c r="Z2147" s="214"/>
      <c r="AF2147" s="212"/>
      <c r="AG2147" s="212"/>
    </row>
    <row r="2148" spans="5:33">
      <c r="E2148" s="376"/>
      <c r="F2148" s="376"/>
      <c r="G2148" s="376"/>
      <c r="H2148" s="376"/>
      <c r="K2148" s="214"/>
      <c r="S2148" s="214"/>
      <c r="Y2148" s="214"/>
      <c r="Z2148" s="214"/>
      <c r="AF2148" s="212"/>
      <c r="AG2148" s="212"/>
    </row>
    <row r="2149" spans="5:33">
      <c r="E2149" s="376"/>
      <c r="F2149" s="376"/>
      <c r="G2149" s="376"/>
      <c r="H2149" s="376"/>
      <c r="K2149" s="214"/>
      <c r="S2149" s="214"/>
      <c r="Y2149" s="214"/>
      <c r="Z2149" s="214"/>
      <c r="AF2149" s="212"/>
      <c r="AG2149" s="212"/>
    </row>
    <row r="2150" spans="5:33">
      <c r="E2150" s="376"/>
      <c r="F2150" s="376"/>
      <c r="G2150" s="376"/>
      <c r="H2150" s="376"/>
      <c r="K2150" s="214"/>
      <c r="S2150" s="214"/>
      <c r="Y2150" s="214"/>
      <c r="Z2150" s="214"/>
      <c r="AF2150" s="212"/>
      <c r="AG2150" s="212"/>
    </row>
    <row r="2151" spans="5:33">
      <c r="E2151" s="376"/>
      <c r="F2151" s="376"/>
      <c r="G2151" s="376"/>
      <c r="H2151" s="376"/>
      <c r="K2151" s="214"/>
      <c r="S2151" s="214"/>
      <c r="Y2151" s="214"/>
      <c r="Z2151" s="214"/>
      <c r="AF2151" s="212"/>
      <c r="AG2151" s="212"/>
    </row>
    <row r="2152" spans="5:33">
      <c r="E2152" s="376"/>
      <c r="F2152" s="376"/>
      <c r="G2152" s="376"/>
      <c r="H2152" s="376"/>
      <c r="K2152" s="214"/>
      <c r="S2152" s="214"/>
      <c r="Y2152" s="214"/>
      <c r="Z2152" s="214"/>
      <c r="AF2152" s="212"/>
      <c r="AG2152" s="212"/>
    </row>
    <row r="2153" spans="5:33">
      <c r="E2153" s="376"/>
      <c r="F2153" s="376"/>
      <c r="G2153" s="376"/>
      <c r="H2153" s="376"/>
      <c r="K2153" s="214"/>
      <c r="S2153" s="214"/>
      <c r="Y2153" s="214"/>
      <c r="Z2153" s="214"/>
      <c r="AF2153" s="212"/>
      <c r="AG2153" s="212"/>
    </row>
    <row r="2154" spans="5:33">
      <c r="E2154" s="376"/>
      <c r="F2154" s="376"/>
      <c r="G2154" s="376"/>
      <c r="H2154" s="376"/>
      <c r="K2154" s="214"/>
      <c r="S2154" s="214"/>
      <c r="Y2154" s="214"/>
      <c r="Z2154" s="214"/>
      <c r="AF2154" s="212"/>
      <c r="AG2154" s="212"/>
    </row>
    <row r="2155" spans="5:33">
      <c r="E2155" s="376"/>
      <c r="F2155" s="376"/>
      <c r="G2155" s="376"/>
      <c r="H2155" s="376"/>
      <c r="K2155" s="214"/>
      <c r="S2155" s="214"/>
      <c r="Y2155" s="214"/>
      <c r="Z2155" s="214"/>
      <c r="AF2155" s="212"/>
      <c r="AG2155" s="212"/>
    </row>
    <row r="2156" spans="5:33">
      <c r="E2156" s="376"/>
      <c r="F2156" s="376"/>
      <c r="G2156" s="376"/>
      <c r="H2156" s="376"/>
      <c r="K2156" s="214"/>
      <c r="S2156" s="214"/>
      <c r="Y2156" s="214"/>
      <c r="Z2156" s="214"/>
      <c r="AF2156" s="212"/>
      <c r="AG2156" s="212"/>
    </row>
    <row r="2157" spans="5:33">
      <c r="E2157" s="376"/>
      <c r="F2157" s="376"/>
      <c r="G2157" s="376"/>
      <c r="H2157" s="376"/>
      <c r="K2157" s="214"/>
      <c r="S2157" s="214"/>
      <c r="Y2157" s="214"/>
      <c r="Z2157" s="214"/>
      <c r="AF2157" s="212"/>
      <c r="AG2157" s="212"/>
    </row>
    <row r="2158" spans="5:33">
      <c r="E2158" s="376"/>
      <c r="F2158" s="376"/>
      <c r="G2158" s="376"/>
      <c r="H2158" s="376"/>
      <c r="K2158" s="214"/>
      <c r="S2158" s="214"/>
      <c r="Y2158" s="214"/>
      <c r="Z2158" s="214"/>
      <c r="AF2158" s="212"/>
      <c r="AG2158" s="212"/>
    </row>
    <row r="2159" spans="5:33">
      <c r="E2159" s="376"/>
      <c r="F2159" s="376"/>
      <c r="G2159" s="376"/>
      <c r="H2159" s="376"/>
      <c r="K2159" s="214"/>
      <c r="S2159" s="214"/>
      <c r="Y2159" s="214"/>
      <c r="Z2159" s="214"/>
      <c r="AF2159" s="212"/>
      <c r="AG2159" s="212"/>
    </row>
    <row r="2160" spans="5:33">
      <c r="E2160" s="376"/>
      <c r="F2160" s="376"/>
      <c r="G2160" s="376"/>
      <c r="H2160" s="376"/>
      <c r="K2160" s="214"/>
      <c r="S2160" s="214"/>
      <c r="Y2160" s="214"/>
      <c r="Z2160" s="214"/>
      <c r="AF2160" s="212"/>
      <c r="AG2160" s="212"/>
    </row>
    <row r="2161" spans="5:33">
      <c r="E2161" s="376"/>
      <c r="F2161" s="376"/>
      <c r="G2161" s="376"/>
      <c r="H2161" s="376"/>
      <c r="K2161" s="214"/>
      <c r="S2161" s="214"/>
      <c r="Y2161" s="214"/>
      <c r="Z2161" s="214"/>
      <c r="AF2161" s="212"/>
      <c r="AG2161" s="212"/>
    </row>
    <row r="2162" spans="5:33">
      <c r="E2162" s="376"/>
      <c r="F2162" s="376"/>
      <c r="G2162" s="376"/>
      <c r="H2162" s="376"/>
      <c r="K2162" s="214"/>
      <c r="S2162" s="214"/>
      <c r="Y2162" s="214"/>
      <c r="Z2162" s="214"/>
      <c r="AF2162" s="212"/>
      <c r="AG2162" s="212"/>
    </row>
    <row r="2163" spans="5:33">
      <c r="E2163" s="376"/>
      <c r="F2163" s="376"/>
      <c r="G2163" s="376"/>
      <c r="H2163" s="376"/>
      <c r="K2163" s="214"/>
      <c r="S2163" s="214"/>
      <c r="Y2163" s="214"/>
      <c r="Z2163" s="214"/>
      <c r="AF2163" s="212"/>
      <c r="AG2163" s="212"/>
    </row>
    <row r="2164" spans="5:33">
      <c r="E2164" s="376"/>
      <c r="F2164" s="376"/>
      <c r="G2164" s="376"/>
      <c r="H2164" s="376"/>
      <c r="K2164" s="214"/>
      <c r="S2164" s="214"/>
      <c r="Y2164" s="214"/>
      <c r="Z2164" s="214"/>
      <c r="AF2164" s="212"/>
      <c r="AG2164" s="212"/>
    </row>
    <row r="2165" spans="5:33">
      <c r="E2165" s="376"/>
      <c r="F2165" s="376"/>
      <c r="G2165" s="376"/>
      <c r="H2165" s="376"/>
      <c r="K2165" s="214"/>
      <c r="S2165" s="214"/>
      <c r="Y2165" s="214"/>
      <c r="Z2165" s="214"/>
      <c r="AF2165" s="212"/>
      <c r="AG2165" s="212"/>
    </row>
    <row r="2166" spans="5:33">
      <c r="E2166" s="376"/>
      <c r="F2166" s="376"/>
      <c r="G2166" s="376"/>
      <c r="H2166" s="376"/>
      <c r="K2166" s="214"/>
      <c r="S2166" s="214"/>
      <c r="Y2166" s="214"/>
      <c r="Z2166" s="214"/>
      <c r="AF2166" s="212"/>
      <c r="AG2166" s="212"/>
    </row>
    <row r="2167" spans="5:33">
      <c r="E2167" s="376"/>
      <c r="F2167" s="376"/>
      <c r="G2167" s="376"/>
      <c r="H2167" s="376"/>
      <c r="K2167" s="214"/>
      <c r="S2167" s="214"/>
      <c r="Y2167" s="214"/>
      <c r="Z2167" s="214"/>
      <c r="AF2167" s="212"/>
      <c r="AG2167" s="212"/>
    </row>
    <row r="2168" spans="5:33">
      <c r="E2168" s="376"/>
      <c r="F2168" s="376"/>
      <c r="G2168" s="376"/>
      <c r="H2168" s="376"/>
      <c r="K2168" s="214"/>
      <c r="S2168" s="214"/>
      <c r="Y2168" s="214"/>
      <c r="Z2168" s="214"/>
      <c r="AF2168" s="212"/>
      <c r="AG2168" s="212"/>
    </row>
    <row r="2169" spans="5:33">
      <c r="E2169" s="376"/>
      <c r="F2169" s="376"/>
      <c r="G2169" s="376"/>
      <c r="H2169" s="376"/>
      <c r="K2169" s="214"/>
      <c r="S2169" s="214"/>
      <c r="Y2169" s="214"/>
      <c r="Z2169" s="214"/>
      <c r="AF2169" s="212"/>
      <c r="AG2169" s="212"/>
    </row>
    <row r="2170" spans="5:33">
      <c r="E2170" s="376"/>
      <c r="F2170" s="376"/>
      <c r="G2170" s="376"/>
      <c r="H2170" s="376"/>
      <c r="K2170" s="214"/>
      <c r="S2170" s="214"/>
      <c r="Y2170" s="214"/>
      <c r="Z2170" s="214"/>
      <c r="AF2170" s="212"/>
      <c r="AG2170" s="212"/>
    </row>
    <row r="2171" spans="5:33">
      <c r="E2171" s="376"/>
      <c r="F2171" s="376"/>
      <c r="G2171" s="376"/>
      <c r="H2171" s="376"/>
      <c r="K2171" s="214"/>
      <c r="S2171" s="214"/>
      <c r="Y2171" s="214"/>
      <c r="Z2171" s="214"/>
      <c r="AF2171" s="212"/>
      <c r="AG2171" s="212"/>
    </row>
    <row r="2172" spans="5:33">
      <c r="E2172" s="376"/>
      <c r="F2172" s="376"/>
      <c r="G2172" s="376"/>
      <c r="H2172" s="376"/>
      <c r="K2172" s="214"/>
      <c r="S2172" s="214"/>
      <c r="Y2172" s="214"/>
      <c r="Z2172" s="214"/>
      <c r="AF2172" s="212"/>
      <c r="AG2172" s="212"/>
    </row>
    <row r="2173" spans="5:33">
      <c r="E2173" s="376"/>
      <c r="F2173" s="376"/>
      <c r="G2173" s="376"/>
      <c r="H2173" s="376"/>
      <c r="K2173" s="214"/>
      <c r="S2173" s="214"/>
      <c r="Y2173" s="214"/>
      <c r="Z2173" s="214"/>
      <c r="AF2173" s="212"/>
      <c r="AG2173" s="212"/>
    </row>
    <row r="2174" spans="5:33">
      <c r="E2174" s="376"/>
      <c r="F2174" s="376"/>
      <c r="G2174" s="376"/>
      <c r="H2174" s="376"/>
      <c r="K2174" s="214"/>
      <c r="S2174" s="214"/>
      <c r="Y2174" s="214"/>
      <c r="Z2174" s="214"/>
      <c r="AF2174" s="212"/>
      <c r="AG2174" s="212"/>
    </row>
    <row r="2175" spans="5:33">
      <c r="E2175" s="376"/>
      <c r="F2175" s="376"/>
      <c r="G2175" s="376"/>
      <c r="H2175" s="376"/>
      <c r="K2175" s="214"/>
      <c r="S2175" s="214"/>
      <c r="Y2175" s="214"/>
      <c r="Z2175" s="214"/>
      <c r="AF2175" s="212"/>
      <c r="AG2175" s="212"/>
    </row>
    <row r="2176" spans="5:33">
      <c r="E2176" s="376"/>
      <c r="F2176" s="376"/>
      <c r="G2176" s="376"/>
      <c r="H2176" s="376"/>
      <c r="K2176" s="214"/>
      <c r="S2176" s="214"/>
      <c r="Y2176" s="214"/>
      <c r="Z2176" s="214"/>
      <c r="AF2176" s="212"/>
      <c r="AG2176" s="212"/>
    </row>
    <row r="2177" spans="5:33">
      <c r="E2177" s="376"/>
      <c r="F2177" s="376"/>
      <c r="G2177" s="376"/>
      <c r="H2177" s="376"/>
      <c r="K2177" s="214"/>
      <c r="S2177" s="214"/>
      <c r="Y2177" s="214"/>
      <c r="Z2177" s="214"/>
      <c r="AF2177" s="212"/>
      <c r="AG2177" s="212"/>
    </row>
    <row r="2178" spans="5:33">
      <c r="E2178" s="376"/>
      <c r="F2178" s="376"/>
      <c r="G2178" s="376"/>
      <c r="H2178" s="376"/>
      <c r="K2178" s="214"/>
      <c r="S2178" s="214"/>
      <c r="Y2178" s="214"/>
      <c r="Z2178" s="214"/>
      <c r="AF2178" s="212"/>
      <c r="AG2178" s="212"/>
    </row>
    <row r="2179" spans="5:33">
      <c r="E2179" s="376"/>
      <c r="F2179" s="376"/>
      <c r="G2179" s="376"/>
      <c r="H2179" s="376"/>
      <c r="K2179" s="214"/>
      <c r="S2179" s="214"/>
      <c r="Y2179" s="214"/>
      <c r="Z2179" s="214"/>
      <c r="AF2179" s="212"/>
      <c r="AG2179" s="212"/>
    </row>
    <row r="2180" spans="5:33">
      <c r="E2180" s="376"/>
      <c r="F2180" s="376"/>
      <c r="G2180" s="376"/>
      <c r="H2180" s="376"/>
      <c r="K2180" s="214"/>
      <c r="S2180" s="214"/>
      <c r="Y2180" s="214"/>
      <c r="Z2180" s="214"/>
      <c r="AF2180" s="212"/>
      <c r="AG2180" s="212"/>
    </row>
    <row r="2181" spans="5:33">
      <c r="E2181" s="376"/>
      <c r="F2181" s="376"/>
      <c r="G2181" s="376"/>
      <c r="H2181" s="376"/>
      <c r="K2181" s="214"/>
      <c r="S2181" s="214"/>
      <c r="Y2181" s="214"/>
      <c r="Z2181" s="214"/>
      <c r="AF2181" s="212"/>
      <c r="AG2181" s="212"/>
    </row>
    <row r="2182" spans="5:33">
      <c r="E2182" s="376"/>
      <c r="F2182" s="376"/>
      <c r="G2182" s="376"/>
      <c r="H2182" s="376"/>
      <c r="K2182" s="214"/>
      <c r="S2182" s="214"/>
      <c r="Y2182" s="214"/>
      <c r="Z2182" s="214"/>
      <c r="AF2182" s="212"/>
      <c r="AG2182" s="212"/>
    </row>
    <row r="2183" spans="5:33">
      <c r="E2183" s="376"/>
      <c r="F2183" s="376"/>
      <c r="G2183" s="376"/>
      <c r="H2183" s="376"/>
      <c r="K2183" s="214"/>
      <c r="S2183" s="214"/>
      <c r="Y2183" s="214"/>
      <c r="Z2183" s="214"/>
      <c r="AF2183" s="212"/>
      <c r="AG2183" s="212"/>
    </row>
    <row r="2184" spans="5:33">
      <c r="E2184" s="376"/>
      <c r="F2184" s="376"/>
      <c r="G2184" s="376"/>
      <c r="H2184" s="376"/>
      <c r="K2184" s="214"/>
      <c r="S2184" s="214"/>
      <c r="Y2184" s="214"/>
      <c r="Z2184" s="214"/>
      <c r="AF2184" s="212"/>
      <c r="AG2184" s="212"/>
    </row>
    <row r="2185" spans="5:33">
      <c r="E2185" s="376"/>
      <c r="F2185" s="376"/>
      <c r="G2185" s="376"/>
      <c r="H2185" s="376"/>
      <c r="K2185" s="214"/>
      <c r="S2185" s="214"/>
      <c r="Y2185" s="214"/>
      <c r="Z2185" s="214"/>
      <c r="AF2185" s="212"/>
      <c r="AG2185" s="212"/>
    </row>
    <row r="2186" spans="5:33">
      <c r="E2186" s="376"/>
      <c r="F2186" s="376"/>
      <c r="G2186" s="376"/>
      <c r="H2186" s="376"/>
      <c r="K2186" s="214"/>
      <c r="S2186" s="214"/>
      <c r="Y2186" s="214"/>
      <c r="Z2186" s="214"/>
      <c r="AF2186" s="212"/>
      <c r="AG2186" s="212"/>
    </row>
    <row r="2187" spans="5:33">
      <c r="E2187" s="376"/>
      <c r="F2187" s="376"/>
      <c r="G2187" s="376"/>
      <c r="H2187" s="376"/>
      <c r="K2187" s="214"/>
      <c r="S2187" s="214"/>
      <c r="Y2187" s="214"/>
      <c r="Z2187" s="214"/>
      <c r="AF2187" s="212"/>
      <c r="AG2187" s="212"/>
    </row>
    <row r="2188" spans="5:33">
      <c r="E2188" s="376"/>
      <c r="F2188" s="376"/>
      <c r="G2188" s="376"/>
      <c r="H2188" s="376"/>
      <c r="K2188" s="214"/>
      <c r="S2188" s="214"/>
      <c r="Y2188" s="214"/>
      <c r="Z2188" s="214"/>
      <c r="AF2188" s="212"/>
      <c r="AG2188" s="212"/>
    </row>
    <row r="2189" spans="5:33">
      <c r="E2189" s="376"/>
      <c r="F2189" s="376"/>
      <c r="G2189" s="376"/>
      <c r="H2189" s="376"/>
      <c r="K2189" s="214"/>
      <c r="S2189" s="214"/>
      <c r="Y2189" s="214"/>
      <c r="Z2189" s="214"/>
      <c r="AF2189" s="212"/>
      <c r="AG2189" s="212"/>
    </row>
    <row r="2190" spans="5:33">
      <c r="E2190" s="376"/>
      <c r="F2190" s="376"/>
      <c r="G2190" s="376"/>
      <c r="H2190" s="376"/>
      <c r="K2190" s="214"/>
      <c r="S2190" s="214"/>
      <c r="Y2190" s="214"/>
      <c r="Z2190" s="214"/>
      <c r="AF2190" s="212"/>
      <c r="AG2190" s="212"/>
    </row>
    <row r="2191" spans="5:33">
      <c r="E2191" s="376"/>
      <c r="F2191" s="376"/>
      <c r="G2191" s="376"/>
      <c r="H2191" s="376"/>
      <c r="K2191" s="214"/>
      <c r="S2191" s="214"/>
      <c r="Y2191" s="214"/>
      <c r="Z2191" s="214"/>
      <c r="AF2191" s="212"/>
      <c r="AG2191" s="212"/>
    </row>
    <row r="2192" spans="5:33">
      <c r="E2192" s="376"/>
      <c r="F2192" s="376"/>
      <c r="G2192" s="376"/>
      <c r="H2192" s="376"/>
      <c r="K2192" s="214"/>
      <c r="S2192" s="214"/>
      <c r="Y2192" s="214"/>
      <c r="Z2192" s="214"/>
      <c r="AF2192" s="212"/>
      <c r="AG2192" s="212"/>
    </row>
    <row r="2193" spans="5:33">
      <c r="E2193" s="376"/>
      <c r="F2193" s="376"/>
      <c r="G2193" s="376"/>
      <c r="H2193" s="376"/>
      <c r="K2193" s="214"/>
      <c r="S2193" s="214"/>
      <c r="Y2193" s="214"/>
      <c r="Z2193" s="214"/>
      <c r="AF2193" s="212"/>
      <c r="AG2193" s="212"/>
    </row>
    <row r="2194" spans="5:33">
      <c r="E2194" s="376"/>
      <c r="F2194" s="376"/>
      <c r="G2194" s="376"/>
      <c r="H2194" s="376"/>
      <c r="K2194" s="214"/>
      <c r="S2194" s="214"/>
      <c r="Y2194" s="214"/>
      <c r="Z2194" s="214"/>
      <c r="AF2194" s="212"/>
      <c r="AG2194" s="212"/>
    </row>
    <row r="2195" spans="5:33">
      <c r="E2195" s="376"/>
      <c r="F2195" s="376"/>
      <c r="G2195" s="376"/>
      <c r="H2195" s="376"/>
      <c r="K2195" s="214"/>
      <c r="S2195" s="214"/>
      <c r="Y2195" s="214"/>
      <c r="Z2195" s="214"/>
      <c r="AF2195" s="212"/>
      <c r="AG2195" s="212"/>
    </row>
    <row r="2196" spans="5:33">
      <c r="E2196" s="376"/>
      <c r="F2196" s="376"/>
      <c r="G2196" s="376"/>
      <c r="H2196" s="376"/>
      <c r="K2196" s="214"/>
      <c r="S2196" s="214"/>
      <c r="Y2196" s="214"/>
      <c r="Z2196" s="214"/>
      <c r="AF2196" s="212"/>
      <c r="AG2196" s="212"/>
    </row>
    <row r="2197" spans="5:33">
      <c r="E2197" s="376"/>
      <c r="F2197" s="376"/>
      <c r="G2197" s="376"/>
      <c r="H2197" s="376"/>
      <c r="K2197" s="214"/>
      <c r="S2197" s="214"/>
      <c r="Y2197" s="214"/>
      <c r="Z2197" s="214"/>
      <c r="AF2197" s="212"/>
      <c r="AG2197" s="212"/>
    </row>
    <row r="2198" spans="5:33">
      <c r="E2198" s="376"/>
      <c r="F2198" s="376"/>
      <c r="G2198" s="376"/>
      <c r="H2198" s="376"/>
      <c r="K2198" s="214"/>
      <c r="S2198" s="214"/>
      <c r="Y2198" s="214"/>
      <c r="Z2198" s="214"/>
      <c r="AF2198" s="212"/>
      <c r="AG2198" s="212"/>
    </row>
    <row r="2199" spans="5:33">
      <c r="E2199" s="376"/>
      <c r="F2199" s="376"/>
      <c r="G2199" s="376"/>
      <c r="H2199" s="376"/>
      <c r="K2199" s="214"/>
      <c r="S2199" s="214"/>
      <c r="Y2199" s="214"/>
      <c r="Z2199" s="214"/>
      <c r="AF2199" s="212"/>
      <c r="AG2199" s="212"/>
    </row>
    <row r="2200" spans="5:33">
      <c r="E2200" s="376"/>
      <c r="F2200" s="376"/>
      <c r="G2200" s="376"/>
      <c r="H2200" s="376"/>
      <c r="K2200" s="214"/>
      <c r="S2200" s="214"/>
      <c r="Y2200" s="214"/>
      <c r="Z2200" s="214"/>
      <c r="AF2200" s="212"/>
      <c r="AG2200" s="212"/>
    </row>
    <row r="2201" spans="5:33">
      <c r="E2201" s="376"/>
      <c r="F2201" s="376"/>
      <c r="G2201" s="376"/>
      <c r="H2201" s="376"/>
      <c r="K2201" s="214"/>
      <c r="S2201" s="214"/>
      <c r="Y2201" s="214"/>
      <c r="Z2201" s="214"/>
      <c r="AF2201" s="212"/>
      <c r="AG2201" s="212"/>
    </row>
    <row r="2202" spans="5:33">
      <c r="E2202" s="376"/>
      <c r="F2202" s="376"/>
      <c r="G2202" s="376"/>
      <c r="H2202" s="376"/>
      <c r="K2202" s="214"/>
      <c r="S2202" s="214"/>
      <c r="Y2202" s="214"/>
      <c r="Z2202" s="214"/>
      <c r="AF2202" s="212"/>
      <c r="AG2202" s="212"/>
    </row>
    <row r="2203" spans="5:33">
      <c r="E2203" s="376"/>
      <c r="F2203" s="376"/>
      <c r="G2203" s="376"/>
      <c r="H2203" s="376"/>
      <c r="K2203" s="214"/>
      <c r="S2203" s="214"/>
      <c r="Y2203" s="214"/>
      <c r="Z2203" s="214"/>
      <c r="AF2203" s="212"/>
      <c r="AG2203" s="212"/>
    </row>
    <row r="2204" spans="5:33">
      <c r="E2204" s="376"/>
      <c r="F2204" s="376"/>
      <c r="G2204" s="376"/>
      <c r="H2204" s="376"/>
      <c r="K2204" s="214"/>
      <c r="S2204" s="214"/>
      <c r="Y2204" s="214"/>
      <c r="Z2204" s="214"/>
      <c r="AF2204" s="212"/>
      <c r="AG2204" s="212"/>
    </row>
    <row r="2205" spans="5:33">
      <c r="E2205" s="376"/>
      <c r="F2205" s="376"/>
      <c r="G2205" s="376"/>
      <c r="H2205" s="376"/>
      <c r="K2205" s="214"/>
      <c r="S2205" s="214"/>
      <c r="Y2205" s="214"/>
      <c r="Z2205" s="214"/>
      <c r="AF2205" s="212"/>
      <c r="AG2205" s="212"/>
    </row>
    <row r="2206" spans="5:33">
      <c r="E2206" s="376"/>
      <c r="F2206" s="376"/>
      <c r="G2206" s="376"/>
      <c r="H2206" s="376"/>
      <c r="K2206" s="214"/>
      <c r="S2206" s="214"/>
      <c r="Y2206" s="214"/>
      <c r="Z2206" s="214"/>
      <c r="AF2206" s="212"/>
      <c r="AG2206" s="212"/>
    </row>
    <row r="2207" spans="5:33">
      <c r="E2207" s="376"/>
      <c r="F2207" s="376"/>
      <c r="G2207" s="376"/>
      <c r="H2207" s="376"/>
      <c r="K2207" s="214"/>
      <c r="S2207" s="214"/>
      <c r="Y2207" s="214"/>
      <c r="Z2207" s="214"/>
      <c r="AF2207" s="212"/>
      <c r="AG2207" s="212"/>
    </row>
    <row r="2208" spans="5:33">
      <c r="E2208" s="376"/>
      <c r="F2208" s="376"/>
      <c r="G2208" s="376"/>
      <c r="H2208" s="376"/>
      <c r="K2208" s="214"/>
      <c r="S2208" s="214"/>
      <c r="Y2208" s="214"/>
      <c r="Z2208" s="214"/>
      <c r="AF2208" s="212"/>
      <c r="AG2208" s="212"/>
    </row>
    <row r="2209" spans="5:33">
      <c r="E2209" s="376"/>
      <c r="F2209" s="376"/>
      <c r="G2209" s="376"/>
      <c r="H2209" s="376"/>
      <c r="K2209" s="214"/>
      <c r="S2209" s="214"/>
      <c r="Y2209" s="214"/>
      <c r="Z2209" s="214"/>
      <c r="AF2209" s="212"/>
      <c r="AG2209" s="212"/>
    </row>
    <row r="2210" spans="5:33">
      <c r="E2210" s="376"/>
      <c r="F2210" s="376"/>
      <c r="G2210" s="376"/>
      <c r="H2210" s="376"/>
      <c r="K2210" s="214"/>
      <c r="S2210" s="214"/>
      <c r="Y2210" s="214"/>
      <c r="Z2210" s="214"/>
      <c r="AF2210" s="212"/>
      <c r="AG2210" s="212"/>
    </row>
    <row r="2211" spans="5:33">
      <c r="E2211" s="376"/>
      <c r="F2211" s="376"/>
      <c r="G2211" s="376"/>
      <c r="H2211" s="376"/>
      <c r="K2211" s="214"/>
      <c r="S2211" s="214"/>
      <c r="Y2211" s="214"/>
      <c r="Z2211" s="214"/>
      <c r="AF2211" s="212"/>
      <c r="AG2211" s="212"/>
    </row>
    <row r="2212" spans="5:33">
      <c r="E2212" s="376"/>
      <c r="F2212" s="376"/>
      <c r="G2212" s="376"/>
      <c r="H2212" s="376"/>
      <c r="K2212" s="214"/>
      <c r="S2212" s="214"/>
      <c r="Y2212" s="214"/>
      <c r="Z2212" s="214"/>
      <c r="AF2212" s="212"/>
      <c r="AG2212" s="212"/>
    </row>
    <row r="2213" spans="5:33">
      <c r="E2213" s="376"/>
      <c r="F2213" s="376"/>
      <c r="G2213" s="376"/>
      <c r="H2213" s="376"/>
      <c r="K2213" s="214"/>
      <c r="S2213" s="214"/>
      <c r="Y2213" s="214"/>
      <c r="Z2213" s="214"/>
      <c r="AF2213" s="212"/>
      <c r="AG2213" s="212"/>
    </row>
    <row r="2214" spans="5:33">
      <c r="E2214" s="376"/>
      <c r="F2214" s="376"/>
      <c r="G2214" s="376"/>
      <c r="H2214" s="376"/>
      <c r="K2214" s="214"/>
      <c r="S2214" s="214"/>
      <c r="Y2214" s="214"/>
      <c r="Z2214" s="214"/>
      <c r="AF2214" s="212"/>
      <c r="AG2214" s="212"/>
    </row>
    <row r="2215" spans="5:33">
      <c r="E2215" s="376"/>
      <c r="F2215" s="376"/>
      <c r="G2215" s="376"/>
      <c r="H2215" s="376"/>
      <c r="K2215" s="214"/>
      <c r="S2215" s="214"/>
      <c r="Y2215" s="214"/>
      <c r="Z2215" s="214"/>
      <c r="AF2215" s="212"/>
      <c r="AG2215" s="212"/>
    </row>
    <row r="2216" spans="5:33">
      <c r="E2216" s="376"/>
      <c r="F2216" s="376"/>
      <c r="G2216" s="376"/>
      <c r="H2216" s="376"/>
      <c r="K2216" s="214"/>
      <c r="S2216" s="214"/>
      <c r="Y2216" s="214"/>
      <c r="Z2216" s="214"/>
      <c r="AF2216" s="212"/>
      <c r="AG2216" s="212"/>
    </row>
    <row r="2217" spans="5:33">
      <c r="E2217" s="376"/>
      <c r="F2217" s="376"/>
      <c r="G2217" s="376"/>
      <c r="H2217" s="376"/>
      <c r="K2217" s="214"/>
      <c r="S2217" s="214"/>
      <c r="Y2217" s="214"/>
      <c r="Z2217" s="214"/>
      <c r="AF2217" s="212"/>
      <c r="AG2217" s="212"/>
    </row>
    <row r="2218" spans="5:33">
      <c r="E2218" s="376"/>
      <c r="F2218" s="376"/>
      <c r="G2218" s="376"/>
      <c r="H2218" s="376"/>
      <c r="K2218" s="214"/>
      <c r="S2218" s="214"/>
      <c r="Y2218" s="214"/>
      <c r="Z2218" s="214"/>
      <c r="AF2218" s="212"/>
      <c r="AG2218" s="212"/>
    </row>
    <row r="2219" spans="5:33">
      <c r="E2219" s="376"/>
      <c r="F2219" s="376"/>
      <c r="G2219" s="376"/>
      <c r="H2219" s="376"/>
      <c r="K2219" s="214"/>
      <c r="S2219" s="214"/>
      <c r="Y2219" s="214"/>
      <c r="Z2219" s="214"/>
      <c r="AF2219" s="212"/>
      <c r="AG2219" s="212"/>
    </row>
    <row r="2220" spans="5:33">
      <c r="E2220" s="376"/>
      <c r="F2220" s="376"/>
      <c r="G2220" s="376"/>
      <c r="H2220" s="376"/>
      <c r="K2220" s="214"/>
      <c r="S2220" s="214"/>
      <c r="Y2220" s="214"/>
      <c r="Z2220" s="214"/>
      <c r="AF2220" s="212"/>
      <c r="AG2220" s="212"/>
    </row>
    <row r="2221" spans="5:33">
      <c r="E2221" s="376"/>
      <c r="F2221" s="376"/>
      <c r="G2221" s="376"/>
      <c r="H2221" s="376"/>
      <c r="K2221" s="214"/>
      <c r="S2221" s="214"/>
      <c r="Y2221" s="214"/>
      <c r="Z2221" s="214"/>
      <c r="AF2221" s="212"/>
      <c r="AG2221" s="212"/>
    </row>
    <row r="2222" spans="5:33">
      <c r="E2222" s="376"/>
      <c r="F2222" s="376"/>
      <c r="G2222" s="376"/>
      <c r="H2222" s="376"/>
      <c r="K2222" s="214"/>
      <c r="S2222" s="214"/>
      <c r="Y2222" s="214"/>
      <c r="Z2222" s="214"/>
      <c r="AF2222" s="212"/>
      <c r="AG2222" s="212"/>
    </row>
    <row r="2223" spans="5:33">
      <c r="E2223" s="376"/>
      <c r="F2223" s="376"/>
      <c r="G2223" s="376"/>
      <c r="H2223" s="376"/>
      <c r="K2223" s="214"/>
      <c r="S2223" s="214"/>
      <c r="Y2223" s="214"/>
      <c r="Z2223" s="214"/>
      <c r="AF2223" s="212"/>
      <c r="AG2223" s="212"/>
    </row>
    <row r="2224" spans="5:33">
      <c r="E2224" s="376"/>
      <c r="F2224" s="376"/>
      <c r="G2224" s="376"/>
      <c r="H2224" s="376"/>
      <c r="K2224" s="214"/>
      <c r="S2224" s="214"/>
      <c r="Y2224" s="214"/>
      <c r="Z2224" s="214"/>
      <c r="AF2224" s="212"/>
      <c r="AG2224" s="212"/>
    </row>
    <row r="2225" spans="5:33">
      <c r="E2225" s="376"/>
      <c r="F2225" s="376"/>
      <c r="G2225" s="376"/>
      <c r="H2225" s="376"/>
      <c r="K2225" s="214"/>
      <c r="S2225" s="214"/>
      <c r="Y2225" s="214"/>
      <c r="Z2225" s="214"/>
      <c r="AF2225" s="212"/>
      <c r="AG2225" s="212"/>
    </row>
    <row r="2226" spans="5:33">
      <c r="E2226" s="376"/>
      <c r="F2226" s="376"/>
      <c r="G2226" s="376"/>
      <c r="H2226" s="376"/>
      <c r="K2226" s="214"/>
      <c r="S2226" s="214"/>
      <c r="Y2226" s="214"/>
      <c r="Z2226" s="214"/>
      <c r="AF2226" s="212"/>
      <c r="AG2226" s="212"/>
    </row>
    <row r="2227" spans="5:33">
      <c r="E2227" s="376"/>
      <c r="F2227" s="376"/>
      <c r="G2227" s="376"/>
      <c r="H2227" s="376"/>
      <c r="K2227" s="214"/>
      <c r="S2227" s="214"/>
      <c r="Y2227" s="214"/>
      <c r="Z2227" s="214"/>
      <c r="AF2227" s="212"/>
      <c r="AG2227" s="212"/>
    </row>
    <row r="2228" spans="5:33">
      <c r="E2228" s="376"/>
      <c r="F2228" s="376"/>
      <c r="G2228" s="376"/>
      <c r="H2228" s="376"/>
      <c r="K2228" s="214"/>
      <c r="S2228" s="214"/>
      <c r="Y2228" s="214"/>
      <c r="Z2228" s="214"/>
      <c r="AF2228" s="212"/>
      <c r="AG2228" s="212"/>
    </row>
    <row r="2229" spans="5:33">
      <c r="E2229" s="376"/>
      <c r="F2229" s="376"/>
      <c r="G2229" s="376"/>
      <c r="H2229" s="376"/>
      <c r="K2229" s="214"/>
      <c r="S2229" s="214"/>
      <c r="Y2229" s="214"/>
      <c r="Z2229" s="214"/>
      <c r="AF2229" s="212"/>
      <c r="AG2229" s="212"/>
    </row>
    <row r="2230" spans="5:33">
      <c r="E2230" s="376"/>
      <c r="F2230" s="376"/>
      <c r="G2230" s="376"/>
      <c r="H2230" s="376"/>
      <c r="K2230" s="214"/>
      <c r="S2230" s="214"/>
      <c r="Y2230" s="214"/>
      <c r="Z2230" s="214"/>
      <c r="AF2230" s="212"/>
      <c r="AG2230" s="212"/>
    </row>
    <row r="2231" spans="5:33">
      <c r="E2231" s="376"/>
      <c r="F2231" s="376"/>
      <c r="G2231" s="376"/>
      <c r="H2231" s="376"/>
      <c r="K2231" s="214"/>
      <c r="S2231" s="214"/>
      <c r="Y2231" s="214"/>
      <c r="Z2231" s="214"/>
      <c r="AF2231" s="212"/>
      <c r="AG2231" s="212"/>
    </row>
    <row r="2232" spans="5:33">
      <c r="E2232" s="376"/>
      <c r="F2232" s="376"/>
      <c r="G2232" s="376"/>
      <c r="H2232" s="376"/>
      <c r="K2232" s="214"/>
      <c r="S2232" s="214"/>
      <c r="Y2232" s="214"/>
      <c r="Z2232" s="214"/>
      <c r="AF2232" s="212"/>
      <c r="AG2232" s="212"/>
    </row>
    <row r="2233" spans="5:33">
      <c r="E2233" s="376"/>
      <c r="F2233" s="376"/>
      <c r="G2233" s="376"/>
      <c r="H2233" s="376"/>
      <c r="K2233" s="214"/>
      <c r="S2233" s="214"/>
      <c r="Y2233" s="214"/>
      <c r="Z2233" s="214"/>
      <c r="AF2233" s="212"/>
      <c r="AG2233" s="212"/>
    </row>
    <row r="2234" spans="5:33">
      <c r="E2234" s="376"/>
      <c r="F2234" s="376"/>
      <c r="G2234" s="376"/>
      <c r="H2234" s="376"/>
      <c r="K2234" s="214"/>
      <c r="S2234" s="214"/>
      <c r="Y2234" s="214"/>
      <c r="Z2234" s="214"/>
      <c r="AF2234" s="212"/>
      <c r="AG2234" s="212"/>
    </row>
    <row r="2235" spans="5:33">
      <c r="E2235" s="376"/>
      <c r="F2235" s="376"/>
      <c r="G2235" s="376"/>
      <c r="H2235" s="376"/>
      <c r="K2235" s="214"/>
      <c r="S2235" s="214"/>
      <c r="Y2235" s="214"/>
      <c r="Z2235" s="214"/>
      <c r="AF2235" s="212"/>
      <c r="AG2235" s="212"/>
    </row>
    <row r="2236" spans="5:33">
      <c r="E2236" s="376"/>
      <c r="F2236" s="376"/>
      <c r="G2236" s="376"/>
      <c r="H2236" s="376"/>
      <c r="K2236" s="214"/>
      <c r="S2236" s="214"/>
      <c r="Y2236" s="214"/>
      <c r="Z2236" s="214"/>
      <c r="AF2236" s="212"/>
      <c r="AG2236" s="212"/>
    </row>
    <row r="2237" spans="5:33">
      <c r="E2237" s="376"/>
      <c r="F2237" s="376"/>
      <c r="G2237" s="376"/>
      <c r="H2237" s="376"/>
      <c r="K2237" s="214"/>
      <c r="S2237" s="214"/>
      <c r="Y2237" s="214"/>
      <c r="Z2237" s="214"/>
      <c r="AF2237" s="212"/>
      <c r="AG2237" s="212"/>
    </row>
    <row r="2238" spans="5:33">
      <c r="E2238" s="376"/>
      <c r="F2238" s="376"/>
      <c r="G2238" s="376"/>
      <c r="H2238" s="376"/>
      <c r="K2238" s="214"/>
      <c r="S2238" s="214"/>
      <c r="Y2238" s="214"/>
      <c r="Z2238" s="214"/>
      <c r="AF2238" s="212"/>
      <c r="AG2238" s="212"/>
    </row>
    <row r="2239" spans="5:33">
      <c r="E2239" s="376"/>
      <c r="F2239" s="376"/>
      <c r="G2239" s="376"/>
      <c r="H2239" s="376"/>
      <c r="K2239" s="214"/>
      <c r="S2239" s="214"/>
      <c r="Y2239" s="214"/>
      <c r="Z2239" s="214"/>
      <c r="AF2239" s="212"/>
      <c r="AG2239" s="212"/>
    </row>
    <row r="2240" spans="5:33">
      <c r="E2240" s="376"/>
      <c r="F2240" s="376"/>
      <c r="G2240" s="376"/>
      <c r="H2240" s="376"/>
      <c r="K2240" s="214"/>
      <c r="S2240" s="214"/>
      <c r="Y2240" s="214"/>
      <c r="Z2240" s="214"/>
      <c r="AF2240" s="212"/>
      <c r="AG2240" s="212"/>
    </row>
    <row r="2241" spans="5:33">
      <c r="E2241" s="376"/>
      <c r="F2241" s="376"/>
      <c r="G2241" s="376"/>
      <c r="H2241" s="376"/>
      <c r="K2241" s="214"/>
      <c r="S2241" s="214"/>
      <c r="Y2241" s="214"/>
      <c r="Z2241" s="214"/>
      <c r="AF2241" s="212"/>
      <c r="AG2241" s="212"/>
    </row>
    <row r="2242" spans="5:33">
      <c r="E2242" s="376"/>
      <c r="F2242" s="376"/>
      <c r="G2242" s="376"/>
      <c r="H2242" s="376"/>
      <c r="K2242" s="214"/>
      <c r="S2242" s="214"/>
      <c r="Y2242" s="214"/>
      <c r="Z2242" s="214"/>
      <c r="AF2242" s="212"/>
      <c r="AG2242" s="212"/>
    </row>
    <row r="2243" spans="5:33">
      <c r="E2243" s="376"/>
      <c r="F2243" s="376"/>
      <c r="G2243" s="376"/>
      <c r="H2243" s="376"/>
      <c r="K2243" s="214"/>
      <c r="S2243" s="214"/>
      <c r="Y2243" s="214"/>
      <c r="Z2243" s="214"/>
      <c r="AF2243" s="212"/>
      <c r="AG2243" s="212"/>
    </row>
    <row r="2244" spans="5:33">
      <c r="E2244" s="376"/>
      <c r="F2244" s="376"/>
      <c r="G2244" s="376"/>
      <c r="H2244" s="376"/>
      <c r="K2244" s="214"/>
      <c r="S2244" s="214"/>
      <c r="Y2244" s="214"/>
      <c r="Z2244" s="214"/>
      <c r="AF2244" s="212"/>
      <c r="AG2244" s="212"/>
    </row>
    <row r="2245" spans="5:33">
      <c r="E2245" s="376"/>
      <c r="F2245" s="376"/>
      <c r="G2245" s="376"/>
      <c r="H2245" s="376"/>
      <c r="K2245" s="214"/>
      <c r="S2245" s="214"/>
      <c r="Y2245" s="214"/>
      <c r="Z2245" s="214"/>
      <c r="AF2245" s="212"/>
      <c r="AG2245" s="212"/>
    </row>
    <row r="2246" spans="5:33">
      <c r="E2246" s="376"/>
      <c r="F2246" s="376"/>
      <c r="G2246" s="376"/>
      <c r="H2246" s="376"/>
      <c r="K2246" s="214"/>
      <c r="S2246" s="214"/>
      <c r="Y2246" s="214"/>
      <c r="Z2246" s="214"/>
      <c r="AF2246" s="212"/>
      <c r="AG2246" s="212"/>
    </row>
    <row r="2247" spans="5:33">
      <c r="E2247" s="376"/>
      <c r="F2247" s="376"/>
      <c r="G2247" s="376"/>
      <c r="H2247" s="376"/>
      <c r="K2247" s="214"/>
      <c r="S2247" s="214"/>
      <c r="Y2247" s="214"/>
      <c r="Z2247" s="214"/>
      <c r="AF2247" s="212"/>
      <c r="AG2247" s="212"/>
    </row>
    <row r="2248" spans="5:33">
      <c r="E2248" s="376"/>
      <c r="F2248" s="376"/>
      <c r="G2248" s="376"/>
      <c r="H2248" s="376"/>
      <c r="K2248" s="214"/>
      <c r="S2248" s="214"/>
      <c r="Y2248" s="214"/>
      <c r="Z2248" s="214"/>
      <c r="AF2248" s="212"/>
      <c r="AG2248" s="212"/>
    </row>
    <row r="2249" spans="5:33">
      <c r="E2249" s="376"/>
      <c r="F2249" s="376"/>
      <c r="G2249" s="376"/>
      <c r="H2249" s="376"/>
      <c r="K2249" s="214"/>
      <c r="S2249" s="214"/>
      <c r="Y2249" s="214"/>
      <c r="Z2249" s="214"/>
      <c r="AF2249" s="212"/>
      <c r="AG2249" s="212"/>
    </row>
    <row r="2250" spans="5:33">
      <c r="E2250" s="376"/>
      <c r="F2250" s="376"/>
      <c r="G2250" s="376"/>
      <c r="H2250" s="376"/>
      <c r="K2250" s="214"/>
      <c r="S2250" s="214"/>
      <c r="Y2250" s="214"/>
      <c r="Z2250" s="214"/>
      <c r="AF2250" s="212"/>
      <c r="AG2250" s="212"/>
    </row>
    <row r="2251" spans="5:33">
      <c r="E2251" s="376"/>
      <c r="F2251" s="376"/>
      <c r="G2251" s="376"/>
      <c r="H2251" s="376"/>
      <c r="K2251" s="214"/>
      <c r="S2251" s="214"/>
      <c r="Y2251" s="214"/>
      <c r="Z2251" s="214"/>
      <c r="AF2251" s="212"/>
      <c r="AG2251" s="212"/>
    </row>
    <row r="2252" spans="5:33">
      <c r="E2252" s="376"/>
      <c r="F2252" s="376"/>
      <c r="G2252" s="376"/>
      <c r="H2252" s="376"/>
      <c r="K2252" s="214"/>
      <c r="S2252" s="214"/>
      <c r="Y2252" s="214"/>
      <c r="Z2252" s="214"/>
      <c r="AF2252" s="212"/>
      <c r="AG2252" s="212"/>
    </row>
    <row r="2253" spans="5:33">
      <c r="E2253" s="376"/>
      <c r="F2253" s="376"/>
      <c r="G2253" s="376"/>
      <c r="H2253" s="376"/>
      <c r="K2253" s="214"/>
      <c r="S2253" s="214"/>
      <c r="Y2253" s="214"/>
      <c r="Z2253" s="214"/>
      <c r="AF2253" s="212"/>
      <c r="AG2253" s="212"/>
    </row>
    <row r="2254" spans="5:33">
      <c r="E2254" s="376"/>
      <c r="F2254" s="376"/>
      <c r="G2254" s="376"/>
      <c r="H2254" s="376"/>
      <c r="K2254" s="214"/>
      <c r="S2254" s="214"/>
      <c r="Y2254" s="214"/>
      <c r="Z2254" s="214"/>
      <c r="AF2254" s="212"/>
      <c r="AG2254" s="212"/>
    </row>
    <row r="2255" spans="5:33">
      <c r="E2255" s="376"/>
      <c r="F2255" s="376"/>
      <c r="G2255" s="376"/>
      <c r="H2255" s="376"/>
      <c r="K2255" s="214"/>
      <c r="S2255" s="214"/>
      <c r="Y2255" s="214"/>
      <c r="Z2255" s="214"/>
      <c r="AF2255" s="212"/>
      <c r="AG2255" s="212"/>
    </row>
    <row r="2256" spans="5:33">
      <c r="E2256" s="376"/>
      <c r="F2256" s="376"/>
      <c r="G2256" s="376"/>
      <c r="H2256" s="376"/>
      <c r="K2256" s="214"/>
      <c r="S2256" s="214"/>
      <c r="Y2256" s="214"/>
      <c r="Z2256" s="214"/>
      <c r="AF2256" s="212"/>
      <c r="AG2256" s="212"/>
    </row>
    <row r="2257" spans="5:33">
      <c r="E2257" s="376"/>
      <c r="F2257" s="376"/>
      <c r="G2257" s="376"/>
      <c r="H2257" s="376"/>
      <c r="K2257" s="214"/>
      <c r="S2257" s="214"/>
      <c r="Y2257" s="214"/>
      <c r="Z2257" s="214"/>
      <c r="AF2257" s="212"/>
      <c r="AG2257" s="212"/>
    </row>
    <row r="2258" spans="5:33">
      <c r="E2258" s="376"/>
      <c r="F2258" s="376"/>
      <c r="G2258" s="376"/>
      <c r="H2258" s="376"/>
      <c r="K2258" s="214"/>
      <c r="S2258" s="214"/>
      <c r="Y2258" s="214"/>
      <c r="Z2258" s="214"/>
      <c r="AF2258" s="212"/>
      <c r="AG2258" s="212"/>
    </row>
    <row r="2259" spans="5:33">
      <c r="E2259" s="376"/>
      <c r="F2259" s="376"/>
      <c r="G2259" s="376"/>
      <c r="H2259" s="376"/>
      <c r="K2259" s="214"/>
      <c r="S2259" s="214"/>
      <c r="Y2259" s="214"/>
      <c r="Z2259" s="214"/>
      <c r="AF2259" s="212"/>
      <c r="AG2259" s="212"/>
    </row>
    <row r="2260" spans="5:33">
      <c r="E2260" s="376"/>
      <c r="F2260" s="376"/>
      <c r="G2260" s="376"/>
      <c r="H2260" s="376"/>
      <c r="K2260" s="214"/>
      <c r="S2260" s="214"/>
      <c r="Y2260" s="214"/>
      <c r="Z2260" s="214"/>
      <c r="AF2260" s="212"/>
      <c r="AG2260" s="212"/>
    </row>
    <row r="2261" spans="5:33">
      <c r="E2261" s="376"/>
      <c r="F2261" s="376"/>
      <c r="G2261" s="376"/>
      <c r="H2261" s="376"/>
      <c r="K2261" s="214"/>
      <c r="S2261" s="214"/>
      <c r="Y2261" s="214"/>
      <c r="Z2261" s="214"/>
      <c r="AF2261" s="212"/>
      <c r="AG2261" s="212"/>
    </row>
    <row r="2262" spans="5:33">
      <c r="E2262" s="376"/>
      <c r="F2262" s="376"/>
      <c r="G2262" s="376"/>
      <c r="H2262" s="376"/>
      <c r="K2262" s="214"/>
      <c r="S2262" s="214"/>
      <c r="Y2262" s="214"/>
      <c r="Z2262" s="214"/>
      <c r="AF2262" s="212"/>
      <c r="AG2262" s="212"/>
    </row>
    <row r="2263" spans="5:33">
      <c r="E2263" s="376"/>
      <c r="F2263" s="376"/>
      <c r="G2263" s="376"/>
      <c r="H2263" s="376"/>
      <c r="K2263" s="214"/>
      <c r="S2263" s="214"/>
      <c r="Y2263" s="214"/>
      <c r="Z2263" s="214"/>
      <c r="AF2263" s="212"/>
      <c r="AG2263" s="212"/>
    </row>
    <row r="2264" spans="5:33">
      <c r="E2264" s="376"/>
      <c r="F2264" s="376"/>
      <c r="G2264" s="376"/>
      <c r="H2264" s="376"/>
      <c r="K2264" s="214"/>
      <c r="S2264" s="214"/>
      <c r="Y2264" s="214"/>
      <c r="Z2264" s="214"/>
      <c r="AF2264" s="212"/>
      <c r="AG2264" s="212"/>
    </row>
    <row r="2265" spans="5:33">
      <c r="E2265" s="376"/>
      <c r="F2265" s="376"/>
      <c r="G2265" s="376"/>
      <c r="H2265" s="376"/>
      <c r="K2265" s="214"/>
      <c r="S2265" s="214"/>
      <c r="Y2265" s="214"/>
      <c r="Z2265" s="214"/>
      <c r="AF2265" s="212"/>
      <c r="AG2265" s="212"/>
    </row>
    <row r="2266" spans="5:33">
      <c r="E2266" s="376"/>
      <c r="F2266" s="376"/>
      <c r="G2266" s="376"/>
      <c r="H2266" s="376"/>
      <c r="K2266" s="214"/>
      <c r="S2266" s="214"/>
      <c r="Y2266" s="214"/>
      <c r="Z2266" s="214"/>
      <c r="AF2266" s="212"/>
      <c r="AG2266" s="212"/>
    </row>
    <row r="2267" spans="5:33">
      <c r="E2267" s="376"/>
      <c r="F2267" s="376"/>
      <c r="G2267" s="376"/>
      <c r="H2267" s="376"/>
      <c r="K2267" s="214"/>
      <c r="S2267" s="214"/>
      <c r="Y2267" s="214"/>
      <c r="Z2267" s="214"/>
      <c r="AF2267" s="212"/>
      <c r="AG2267" s="212"/>
    </row>
    <row r="2268" spans="5:33">
      <c r="E2268" s="376"/>
      <c r="F2268" s="376"/>
      <c r="G2268" s="376"/>
      <c r="H2268" s="376"/>
      <c r="K2268" s="214"/>
      <c r="S2268" s="214"/>
      <c r="Y2268" s="214"/>
      <c r="Z2268" s="214"/>
      <c r="AF2268" s="212"/>
      <c r="AG2268" s="212"/>
    </row>
    <row r="2269" spans="5:33">
      <c r="E2269" s="376"/>
      <c r="F2269" s="376"/>
      <c r="G2269" s="376"/>
      <c r="H2269" s="376"/>
      <c r="K2269" s="214"/>
      <c r="S2269" s="214"/>
      <c r="Y2269" s="214"/>
      <c r="Z2269" s="214"/>
      <c r="AF2269" s="212"/>
      <c r="AG2269" s="212"/>
    </row>
    <row r="2270" spans="5:33">
      <c r="E2270" s="376"/>
      <c r="F2270" s="376"/>
      <c r="G2270" s="376"/>
      <c r="H2270" s="376"/>
      <c r="K2270" s="214"/>
      <c r="S2270" s="214"/>
      <c r="Y2270" s="214"/>
      <c r="Z2270" s="214"/>
      <c r="AF2270" s="212"/>
      <c r="AG2270" s="212"/>
    </row>
    <row r="2271" spans="5:33">
      <c r="E2271" s="376"/>
      <c r="F2271" s="376"/>
      <c r="G2271" s="376"/>
      <c r="H2271" s="376"/>
      <c r="K2271" s="214"/>
      <c r="S2271" s="214"/>
      <c r="Y2271" s="214"/>
      <c r="Z2271" s="214"/>
      <c r="AF2271" s="212"/>
      <c r="AG2271" s="212"/>
    </row>
    <row r="2272" spans="5:33">
      <c r="E2272" s="376"/>
      <c r="F2272" s="376"/>
      <c r="G2272" s="376"/>
      <c r="H2272" s="376"/>
      <c r="K2272" s="214"/>
      <c r="S2272" s="214"/>
      <c r="Y2272" s="214"/>
      <c r="Z2272" s="214"/>
      <c r="AF2272" s="212"/>
      <c r="AG2272" s="212"/>
    </row>
    <row r="2273" spans="5:33">
      <c r="E2273" s="376"/>
      <c r="F2273" s="376"/>
      <c r="G2273" s="376"/>
      <c r="H2273" s="376"/>
      <c r="K2273" s="214"/>
      <c r="S2273" s="214"/>
      <c r="Y2273" s="214"/>
      <c r="Z2273" s="214"/>
      <c r="AF2273" s="212"/>
      <c r="AG2273" s="212"/>
    </row>
    <row r="2274" spans="5:33">
      <c r="E2274" s="376"/>
      <c r="F2274" s="376"/>
      <c r="G2274" s="376"/>
      <c r="H2274" s="376"/>
      <c r="K2274" s="214"/>
      <c r="S2274" s="214"/>
      <c r="Y2274" s="214"/>
      <c r="Z2274" s="214"/>
      <c r="AF2274" s="212"/>
      <c r="AG2274" s="212"/>
    </row>
    <row r="2275" spans="5:33">
      <c r="E2275" s="376"/>
      <c r="F2275" s="376"/>
      <c r="G2275" s="376"/>
      <c r="H2275" s="376"/>
      <c r="K2275" s="214"/>
      <c r="S2275" s="214"/>
      <c r="Y2275" s="214"/>
      <c r="Z2275" s="214"/>
      <c r="AF2275" s="212"/>
      <c r="AG2275" s="212"/>
    </row>
    <row r="2276" spans="5:33">
      <c r="E2276" s="376"/>
      <c r="F2276" s="376"/>
      <c r="G2276" s="376"/>
      <c r="H2276" s="376"/>
      <c r="K2276" s="214"/>
      <c r="S2276" s="214"/>
      <c r="Y2276" s="214"/>
      <c r="Z2276" s="214"/>
      <c r="AF2276" s="212"/>
      <c r="AG2276" s="212"/>
    </row>
    <row r="2277" spans="5:33">
      <c r="E2277" s="376"/>
      <c r="F2277" s="376"/>
      <c r="G2277" s="376"/>
      <c r="H2277" s="376"/>
      <c r="K2277" s="214"/>
      <c r="S2277" s="214"/>
      <c r="Y2277" s="214"/>
      <c r="Z2277" s="214"/>
      <c r="AF2277" s="212"/>
      <c r="AG2277" s="212"/>
    </row>
    <row r="2278" spans="5:33">
      <c r="E2278" s="376"/>
      <c r="F2278" s="376"/>
      <c r="G2278" s="376"/>
      <c r="H2278" s="376"/>
      <c r="K2278" s="214"/>
      <c r="S2278" s="214"/>
      <c r="Y2278" s="214"/>
      <c r="Z2278" s="214"/>
      <c r="AF2278" s="212"/>
      <c r="AG2278" s="212"/>
    </row>
    <row r="2279" spans="5:33">
      <c r="E2279" s="376"/>
      <c r="F2279" s="376"/>
      <c r="G2279" s="376"/>
      <c r="H2279" s="376"/>
      <c r="K2279" s="214"/>
      <c r="S2279" s="214"/>
      <c r="Y2279" s="214"/>
      <c r="Z2279" s="214"/>
      <c r="AF2279" s="212"/>
      <c r="AG2279" s="212"/>
    </row>
    <row r="2280" spans="5:33">
      <c r="E2280" s="376"/>
      <c r="F2280" s="376"/>
      <c r="G2280" s="376"/>
      <c r="H2280" s="376"/>
      <c r="K2280" s="214"/>
      <c r="S2280" s="214"/>
      <c r="Y2280" s="214"/>
      <c r="Z2280" s="214"/>
      <c r="AF2280" s="212"/>
      <c r="AG2280" s="212"/>
    </row>
    <row r="2281" spans="5:33">
      <c r="E2281" s="376"/>
      <c r="F2281" s="376"/>
      <c r="G2281" s="376"/>
      <c r="H2281" s="376"/>
      <c r="K2281" s="214"/>
      <c r="S2281" s="214"/>
      <c r="Y2281" s="214"/>
      <c r="Z2281" s="214"/>
      <c r="AF2281" s="212"/>
      <c r="AG2281" s="212"/>
    </row>
    <row r="2282" spans="5:33">
      <c r="E2282" s="376"/>
      <c r="F2282" s="376"/>
      <c r="G2282" s="376"/>
      <c r="H2282" s="376"/>
      <c r="K2282" s="214"/>
      <c r="S2282" s="214"/>
      <c r="Y2282" s="214"/>
      <c r="Z2282" s="214"/>
      <c r="AF2282" s="212"/>
      <c r="AG2282" s="212"/>
    </row>
    <row r="2283" spans="5:33">
      <c r="E2283" s="376"/>
      <c r="F2283" s="376"/>
      <c r="G2283" s="376"/>
      <c r="H2283" s="376"/>
      <c r="K2283" s="214"/>
      <c r="S2283" s="214"/>
      <c r="Y2283" s="214"/>
      <c r="Z2283" s="214"/>
      <c r="AF2283" s="212"/>
      <c r="AG2283" s="212"/>
    </row>
    <row r="2284" spans="5:33">
      <c r="E2284" s="376"/>
      <c r="F2284" s="376"/>
      <c r="G2284" s="376"/>
      <c r="H2284" s="376"/>
      <c r="K2284" s="214"/>
      <c r="S2284" s="214"/>
      <c r="Y2284" s="214"/>
      <c r="Z2284" s="214"/>
      <c r="AF2284" s="212"/>
      <c r="AG2284" s="212"/>
    </row>
    <row r="2285" spans="5:33">
      <c r="E2285" s="376"/>
      <c r="F2285" s="376"/>
      <c r="G2285" s="376"/>
      <c r="H2285" s="376"/>
      <c r="K2285" s="214"/>
      <c r="S2285" s="214"/>
      <c r="Y2285" s="214"/>
      <c r="Z2285" s="214"/>
      <c r="AF2285" s="212"/>
      <c r="AG2285" s="212"/>
    </row>
    <row r="2286" spans="5:33">
      <c r="E2286" s="376"/>
      <c r="F2286" s="376"/>
      <c r="G2286" s="376"/>
      <c r="H2286" s="376"/>
      <c r="K2286" s="214"/>
      <c r="S2286" s="214"/>
      <c r="Y2286" s="214"/>
      <c r="Z2286" s="214"/>
      <c r="AF2286" s="212"/>
      <c r="AG2286" s="212"/>
    </row>
    <row r="2287" spans="5:33">
      <c r="E2287" s="376"/>
      <c r="F2287" s="376"/>
      <c r="G2287" s="376"/>
      <c r="H2287" s="376"/>
      <c r="K2287" s="214"/>
      <c r="S2287" s="214"/>
      <c r="Y2287" s="214"/>
      <c r="Z2287" s="214"/>
      <c r="AF2287" s="212"/>
      <c r="AG2287" s="212"/>
    </row>
    <row r="2288" spans="5:33">
      <c r="E2288" s="376"/>
      <c r="F2288" s="376"/>
      <c r="G2288" s="376"/>
      <c r="H2288" s="376"/>
      <c r="K2288" s="214"/>
      <c r="S2288" s="214"/>
      <c r="Y2288" s="214"/>
      <c r="Z2288" s="214"/>
      <c r="AF2288" s="212"/>
      <c r="AG2288" s="212"/>
    </row>
    <row r="2289" spans="5:33">
      <c r="E2289" s="376"/>
      <c r="F2289" s="376"/>
      <c r="G2289" s="376"/>
      <c r="H2289" s="376"/>
      <c r="K2289" s="214"/>
      <c r="S2289" s="214"/>
      <c r="Y2289" s="214"/>
      <c r="Z2289" s="214"/>
      <c r="AF2289" s="212"/>
      <c r="AG2289" s="212"/>
    </row>
    <row r="2290" spans="5:33">
      <c r="E2290" s="376"/>
      <c r="F2290" s="376"/>
      <c r="G2290" s="376"/>
      <c r="H2290" s="376"/>
      <c r="K2290" s="214"/>
      <c r="S2290" s="214"/>
      <c r="Y2290" s="214"/>
      <c r="Z2290" s="214"/>
      <c r="AF2290" s="212"/>
      <c r="AG2290" s="212"/>
    </row>
    <row r="2291" spans="5:33">
      <c r="E2291" s="376"/>
      <c r="F2291" s="376"/>
      <c r="G2291" s="376"/>
      <c r="H2291" s="376"/>
      <c r="K2291" s="214"/>
      <c r="S2291" s="214"/>
      <c r="Y2291" s="214"/>
      <c r="Z2291" s="214"/>
      <c r="AF2291" s="212"/>
      <c r="AG2291" s="212"/>
    </row>
    <row r="2292" spans="5:33">
      <c r="E2292" s="376"/>
      <c r="F2292" s="376"/>
      <c r="G2292" s="376"/>
      <c r="H2292" s="376"/>
      <c r="K2292" s="214"/>
      <c r="S2292" s="214"/>
      <c r="Y2292" s="214"/>
      <c r="Z2292" s="214"/>
      <c r="AF2292" s="212"/>
      <c r="AG2292" s="212"/>
    </row>
    <row r="2293" spans="5:33">
      <c r="E2293" s="376"/>
      <c r="F2293" s="376"/>
      <c r="G2293" s="376"/>
      <c r="H2293" s="376"/>
      <c r="K2293" s="214"/>
      <c r="S2293" s="214"/>
      <c r="Y2293" s="214"/>
      <c r="Z2293" s="214"/>
      <c r="AF2293" s="212"/>
      <c r="AG2293" s="212"/>
    </row>
    <row r="2294" spans="5:33">
      <c r="E2294" s="376"/>
      <c r="F2294" s="376"/>
      <c r="G2294" s="376"/>
      <c r="H2294" s="376"/>
      <c r="K2294" s="214"/>
      <c r="S2294" s="214"/>
      <c r="Y2294" s="214"/>
      <c r="Z2294" s="214"/>
      <c r="AF2294" s="212"/>
      <c r="AG2294" s="212"/>
    </row>
    <row r="2295" spans="5:33">
      <c r="E2295" s="376"/>
      <c r="F2295" s="376"/>
      <c r="G2295" s="376"/>
      <c r="H2295" s="376"/>
      <c r="K2295" s="214"/>
      <c r="S2295" s="214"/>
      <c r="Y2295" s="214"/>
      <c r="Z2295" s="214"/>
      <c r="AF2295" s="212"/>
      <c r="AG2295" s="212"/>
    </row>
    <row r="2296" spans="5:33">
      <c r="E2296" s="376"/>
      <c r="F2296" s="376"/>
      <c r="G2296" s="376"/>
      <c r="H2296" s="376"/>
      <c r="K2296" s="214"/>
      <c r="S2296" s="214"/>
      <c r="Y2296" s="214"/>
      <c r="Z2296" s="214"/>
      <c r="AF2296" s="212"/>
      <c r="AG2296" s="212"/>
    </row>
    <row r="2297" spans="5:33">
      <c r="E2297" s="376"/>
      <c r="F2297" s="376"/>
      <c r="G2297" s="376"/>
      <c r="H2297" s="376"/>
      <c r="K2297" s="214"/>
      <c r="S2297" s="214"/>
      <c r="Y2297" s="214"/>
      <c r="Z2297" s="214"/>
      <c r="AF2297" s="212"/>
      <c r="AG2297" s="212"/>
    </row>
    <row r="2298" spans="5:33">
      <c r="E2298" s="376"/>
      <c r="F2298" s="376"/>
      <c r="G2298" s="376"/>
      <c r="H2298" s="376"/>
      <c r="K2298" s="214"/>
      <c r="S2298" s="214"/>
      <c r="Y2298" s="214"/>
      <c r="Z2298" s="214"/>
      <c r="AF2298" s="212"/>
      <c r="AG2298" s="212"/>
    </row>
    <row r="2299" spans="5:33">
      <c r="E2299" s="376"/>
      <c r="F2299" s="376"/>
      <c r="G2299" s="376"/>
      <c r="H2299" s="376"/>
      <c r="K2299" s="214"/>
      <c r="S2299" s="214"/>
      <c r="Y2299" s="214"/>
      <c r="Z2299" s="214"/>
      <c r="AF2299" s="212"/>
      <c r="AG2299" s="212"/>
    </row>
    <row r="2300" spans="5:33">
      <c r="E2300" s="376"/>
      <c r="F2300" s="376"/>
      <c r="G2300" s="376"/>
      <c r="H2300" s="376"/>
      <c r="K2300" s="214"/>
      <c r="S2300" s="214"/>
      <c r="Y2300" s="214"/>
      <c r="Z2300" s="214"/>
      <c r="AF2300" s="212"/>
      <c r="AG2300" s="212"/>
    </row>
    <row r="2301" spans="5:33">
      <c r="E2301" s="376"/>
      <c r="F2301" s="376"/>
      <c r="G2301" s="376"/>
      <c r="H2301" s="376"/>
      <c r="K2301" s="214"/>
      <c r="S2301" s="214"/>
      <c r="Y2301" s="214"/>
      <c r="Z2301" s="214"/>
      <c r="AF2301" s="212"/>
      <c r="AG2301" s="212"/>
    </row>
    <row r="2302" spans="5:33">
      <c r="E2302" s="376"/>
      <c r="F2302" s="376"/>
      <c r="G2302" s="376"/>
      <c r="H2302" s="376"/>
      <c r="K2302" s="214"/>
      <c r="S2302" s="214"/>
      <c r="Y2302" s="214"/>
      <c r="Z2302" s="214"/>
      <c r="AF2302" s="212"/>
      <c r="AG2302" s="212"/>
    </row>
    <row r="2303" spans="5:33">
      <c r="E2303" s="376"/>
      <c r="F2303" s="376"/>
      <c r="G2303" s="376"/>
      <c r="H2303" s="376"/>
      <c r="K2303" s="214"/>
      <c r="S2303" s="214"/>
      <c r="Y2303" s="214"/>
      <c r="Z2303" s="214"/>
      <c r="AF2303" s="212"/>
      <c r="AG2303" s="212"/>
    </row>
    <row r="2304" spans="5:33">
      <c r="E2304" s="376"/>
      <c r="F2304" s="376"/>
      <c r="G2304" s="376"/>
      <c r="H2304" s="376"/>
      <c r="K2304" s="214"/>
      <c r="S2304" s="214"/>
      <c r="Y2304" s="214"/>
      <c r="Z2304" s="214"/>
      <c r="AF2304" s="212"/>
      <c r="AG2304" s="212"/>
    </row>
    <row r="2305" spans="5:33">
      <c r="E2305" s="376"/>
      <c r="F2305" s="376"/>
      <c r="G2305" s="376"/>
      <c r="H2305" s="376"/>
      <c r="K2305" s="214"/>
      <c r="S2305" s="214"/>
      <c r="Y2305" s="214"/>
      <c r="Z2305" s="214"/>
      <c r="AF2305" s="212"/>
      <c r="AG2305" s="212"/>
    </row>
    <row r="2306" spans="5:33">
      <c r="E2306" s="376"/>
      <c r="F2306" s="376"/>
      <c r="G2306" s="376"/>
      <c r="H2306" s="376"/>
      <c r="K2306" s="214"/>
      <c r="S2306" s="214"/>
      <c r="Y2306" s="214"/>
      <c r="Z2306" s="214"/>
      <c r="AF2306" s="212"/>
      <c r="AG2306" s="212"/>
    </row>
    <row r="2307" spans="5:33">
      <c r="E2307" s="376"/>
      <c r="F2307" s="376"/>
      <c r="G2307" s="376"/>
      <c r="H2307" s="376"/>
      <c r="K2307" s="214"/>
      <c r="S2307" s="214"/>
      <c r="Y2307" s="214"/>
      <c r="Z2307" s="214"/>
      <c r="AF2307" s="212"/>
      <c r="AG2307" s="212"/>
    </row>
    <row r="2308" spans="5:33">
      <c r="E2308" s="376"/>
      <c r="F2308" s="376"/>
      <c r="G2308" s="376"/>
      <c r="H2308" s="376"/>
      <c r="K2308" s="214"/>
      <c r="S2308" s="214"/>
      <c r="Y2308" s="214"/>
      <c r="Z2308" s="214"/>
      <c r="AF2308" s="212"/>
      <c r="AG2308" s="212"/>
    </row>
    <row r="2309" spans="5:33">
      <c r="E2309" s="376"/>
      <c r="F2309" s="376"/>
      <c r="G2309" s="376"/>
      <c r="H2309" s="376"/>
      <c r="K2309" s="214"/>
      <c r="S2309" s="214"/>
      <c r="Y2309" s="214"/>
      <c r="Z2309" s="214"/>
      <c r="AF2309" s="212"/>
      <c r="AG2309" s="212"/>
    </row>
    <row r="2310" spans="5:33">
      <c r="E2310" s="376"/>
      <c r="F2310" s="376"/>
      <c r="G2310" s="376"/>
      <c r="H2310" s="376"/>
      <c r="K2310" s="214"/>
      <c r="S2310" s="214"/>
      <c r="Y2310" s="214"/>
      <c r="Z2310" s="214"/>
      <c r="AF2310" s="212"/>
      <c r="AG2310" s="212"/>
    </row>
    <row r="2311" spans="5:33">
      <c r="E2311" s="376"/>
      <c r="F2311" s="376"/>
      <c r="G2311" s="376"/>
      <c r="H2311" s="376"/>
      <c r="K2311" s="214"/>
      <c r="S2311" s="214"/>
      <c r="Y2311" s="214"/>
      <c r="Z2311" s="214"/>
      <c r="AF2311" s="212"/>
      <c r="AG2311" s="212"/>
    </row>
    <row r="2312" spans="5:33">
      <c r="E2312" s="376"/>
      <c r="F2312" s="376"/>
      <c r="G2312" s="376"/>
      <c r="H2312" s="376"/>
      <c r="K2312" s="214"/>
      <c r="S2312" s="214"/>
      <c r="Y2312" s="214"/>
      <c r="Z2312" s="214"/>
      <c r="AF2312" s="212"/>
      <c r="AG2312" s="212"/>
    </row>
    <row r="2313" spans="5:33">
      <c r="E2313" s="376"/>
      <c r="F2313" s="376"/>
      <c r="G2313" s="376"/>
      <c r="H2313" s="376"/>
      <c r="K2313" s="214"/>
      <c r="S2313" s="214"/>
      <c r="Y2313" s="214"/>
      <c r="Z2313" s="214"/>
      <c r="AF2313" s="212"/>
      <c r="AG2313" s="212"/>
    </row>
    <row r="2314" spans="5:33">
      <c r="E2314" s="376"/>
      <c r="F2314" s="376"/>
      <c r="G2314" s="376"/>
      <c r="H2314" s="376"/>
      <c r="K2314" s="214"/>
      <c r="S2314" s="214"/>
      <c r="Y2314" s="214"/>
      <c r="Z2314" s="214"/>
      <c r="AF2314" s="212"/>
      <c r="AG2314" s="212"/>
    </row>
    <row r="2315" spans="5:33">
      <c r="E2315" s="376"/>
      <c r="F2315" s="376"/>
      <c r="G2315" s="376"/>
      <c r="H2315" s="376"/>
      <c r="K2315" s="214"/>
      <c r="S2315" s="214"/>
      <c r="Y2315" s="214"/>
      <c r="Z2315" s="214"/>
      <c r="AF2315" s="212"/>
      <c r="AG2315" s="212"/>
    </row>
    <row r="2316" spans="5:33">
      <c r="E2316" s="376"/>
      <c r="F2316" s="376"/>
      <c r="G2316" s="376"/>
      <c r="H2316" s="376"/>
      <c r="K2316" s="214"/>
      <c r="S2316" s="214"/>
      <c r="Y2316" s="214"/>
      <c r="Z2316" s="214"/>
      <c r="AF2316" s="212"/>
      <c r="AG2316" s="212"/>
    </row>
    <row r="2317" spans="5:33">
      <c r="E2317" s="376"/>
      <c r="F2317" s="376"/>
      <c r="G2317" s="376"/>
      <c r="H2317" s="376"/>
      <c r="K2317" s="214"/>
      <c r="S2317" s="214"/>
      <c r="Y2317" s="214"/>
      <c r="Z2317" s="214"/>
      <c r="AF2317" s="212"/>
      <c r="AG2317" s="212"/>
    </row>
    <row r="2318" spans="5:33">
      <c r="E2318" s="376"/>
      <c r="F2318" s="376"/>
      <c r="G2318" s="376"/>
      <c r="H2318" s="376"/>
      <c r="K2318" s="214"/>
      <c r="S2318" s="214"/>
      <c r="Y2318" s="214"/>
      <c r="Z2318" s="214"/>
      <c r="AF2318" s="212"/>
      <c r="AG2318" s="212"/>
    </row>
    <row r="2319" spans="5:33">
      <c r="E2319" s="376"/>
      <c r="F2319" s="376"/>
      <c r="G2319" s="376"/>
      <c r="H2319" s="376"/>
      <c r="K2319" s="214"/>
      <c r="S2319" s="214"/>
      <c r="Y2319" s="214"/>
      <c r="Z2319" s="214"/>
      <c r="AF2319" s="212"/>
      <c r="AG2319" s="212"/>
    </row>
    <row r="2320" spans="5:33">
      <c r="E2320" s="376"/>
      <c r="F2320" s="376"/>
      <c r="G2320" s="376"/>
      <c r="H2320" s="376"/>
      <c r="K2320" s="214"/>
      <c r="S2320" s="214"/>
      <c r="Y2320" s="214"/>
      <c r="Z2320" s="214"/>
      <c r="AF2320" s="212"/>
      <c r="AG2320" s="212"/>
    </row>
    <row r="2321" spans="5:33">
      <c r="E2321" s="376"/>
      <c r="F2321" s="376"/>
      <c r="G2321" s="376"/>
      <c r="H2321" s="376"/>
      <c r="K2321" s="214"/>
      <c r="S2321" s="214"/>
      <c r="Y2321" s="214"/>
      <c r="Z2321" s="214"/>
      <c r="AF2321" s="212"/>
      <c r="AG2321" s="212"/>
    </row>
    <row r="2322" spans="5:33">
      <c r="E2322" s="376"/>
      <c r="F2322" s="376"/>
      <c r="G2322" s="376"/>
      <c r="H2322" s="376"/>
      <c r="K2322" s="214"/>
      <c r="S2322" s="214"/>
      <c r="Y2322" s="214"/>
      <c r="Z2322" s="214"/>
      <c r="AF2322" s="212"/>
      <c r="AG2322" s="212"/>
    </row>
    <row r="2323" spans="5:33">
      <c r="E2323" s="376"/>
      <c r="F2323" s="376"/>
      <c r="G2323" s="376"/>
      <c r="H2323" s="376"/>
      <c r="K2323" s="214"/>
      <c r="S2323" s="214"/>
      <c r="Y2323" s="214"/>
      <c r="Z2323" s="214"/>
      <c r="AF2323" s="212"/>
      <c r="AG2323" s="212"/>
    </row>
    <row r="2324" spans="5:33">
      <c r="E2324" s="376"/>
      <c r="F2324" s="376"/>
      <c r="G2324" s="376"/>
      <c r="H2324" s="376"/>
      <c r="K2324" s="214"/>
      <c r="S2324" s="214"/>
      <c r="Y2324" s="214"/>
      <c r="Z2324" s="214"/>
      <c r="AF2324" s="212"/>
      <c r="AG2324" s="212"/>
    </row>
    <row r="2325" spans="5:33">
      <c r="E2325" s="376"/>
      <c r="F2325" s="376"/>
      <c r="G2325" s="376"/>
      <c r="H2325" s="376"/>
      <c r="K2325" s="214"/>
      <c r="S2325" s="214"/>
      <c r="Y2325" s="214"/>
      <c r="Z2325" s="214"/>
      <c r="AF2325" s="212"/>
      <c r="AG2325" s="212"/>
    </row>
    <row r="2326" spans="5:33">
      <c r="E2326" s="376"/>
      <c r="F2326" s="376"/>
      <c r="G2326" s="376"/>
      <c r="H2326" s="376"/>
      <c r="K2326" s="214"/>
      <c r="S2326" s="214"/>
      <c r="Y2326" s="214"/>
      <c r="Z2326" s="214"/>
      <c r="AF2326" s="212"/>
      <c r="AG2326" s="212"/>
    </row>
    <row r="2327" spans="5:33">
      <c r="E2327" s="376"/>
      <c r="F2327" s="376"/>
      <c r="G2327" s="376"/>
      <c r="H2327" s="376"/>
      <c r="K2327" s="214"/>
      <c r="S2327" s="214"/>
      <c r="Y2327" s="214"/>
      <c r="Z2327" s="214"/>
      <c r="AF2327" s="212"/>
      <c r="AG2327" s="212"/>
    </row>
    <row r="2328" spans="5:33">
      <c r="E2328" s="376"/>
      <c r="F2328" s="376"/>
      <c r="G2328" s="376"/>
      <c r="H2328" s="376"/>
      <c r="K2328" s="214"/>
      <c r="S2328" s="214"/>
      <c r="Y2328" s="214"/>
      <c r="Z2328" s="214"/>
      <c r="AF2328" s="212"/>
      <c r="AG2328" s="212"/>
    </row>
    <row r="2329" spans="5:33">
      <c r="E2329" s="376"/>
      <c r="F2329" s="376"/>
      <c r="G2329" s="376"/>
      <c r="H2329" s="376"/>
      <c r="K2329" s="214"/>
      <c r="S2329" s="214"/>
      <c r="Y2329" s="214"/>
      <c r="Z2329" s="214"/>
      <c r="AF2329" s="212"/>
      <c r="AG2329" s="212"/>
    </row>
    <row r="2330" spans="5:33">
      <c r="E2330" s="376"/>
      <c r="F2330" s="376"/>
      <c r="G2330" s="376"/>
      <c r="H2330" s="376"/>
      <c r="K2330" s="214"/>
      <c r="S2330" s="214"/>
      <c r="Y2330" s="214"/>
      <c r="Z2330" s="214"/>
      <c r="AF2330" s="212"/>
      <c r="AG2330" s="212"/>
    </row>
    <row r="2331" spans="5:33">
      <c r="E2331" s="376"/>
      <c r="F2331" s="376"/>
      <c r="G2331" s="376"/>
      <c r="H2331" s="376"/>
      <c r="K2331" s="214"/>
      <c r="S2331" s="214"/>
      <c r="Y2331" s="214"/>
      <c r="Z2331" s="214"/>
      <c r="AF2331" s="212"/>
      <c r="AG2331" s="212"/>
    </row>
    <row r="2332" spans="5:33">
      <c r="E2332" s="376"/>
      <c r="F2332" s="376"/>
      <c r="G2332" s="376"/>
      <c r="H2332" s="376"/>
      <c r="K2332" s="214"/>
      <c r="S2332" s="214"/>
      <c r="Y2332" s="214"/>
      <c r="Z2332" s="214"/>
      <c r="AF2332" s="212"/>
      <c r="AG2332" s="212"/>
    </row>
    <row r="2333" spans="5:33">
      <c r="E2333" s="376"/>
      <c r="F2333" s="376"/>
      <c r="G2333" s="376"/>
      <c r="H2333" s="376"/>
      <c r="K2333" s="214"/>
      <c r="S2333" s="214"/>
      <c r="Y2333" s="214"/>
      <c r="Z2333" s="214"/>
      <c r="AF2333" s="212"/>
      <c r="AG2333" s="212"/>
    </row>
    <row r="2334" spans="5:33">
      <c r="E2334" s="376"/>
      <c r="F2334" s="376"/>
      <c r="G2334" s="376"/>
      <c r="H2334" s="376"/>
      <c r="K2334" s="214"/>
      <c r="S2334" s="214"/>
      <c r="Y2334" s="214"/>
      <c r="Z2334" s="214"/>
      <c r="AF2334" s="212"/>
      <c r="AG2334" s="212"/>
    </row>
    <row r="2335" spans="5:33">
      <c r="E2335" s="376"/>
      <c r="F2335" s="376"/>
      <c r="G2335" s="376"/>
      <c r="H2335" s="376"/>
      <c r="K2335" s="214"/>
      <c r="S2335" s="214"/>
      <c r="Y2335" s="214"/>
      <c r="Z2335" s="214"/>
      <c r="AF2335" s="212"/>
      <c r="AG2335" s="212"/>
    </row>
    <row r="2336" spans="5:33">
      <c r="E2336" s="376"/>
      <c r="F2336" s="376"/>
      <c r="G2336" s="376"/>
      <c r="H2336" s="376"/>
      <c r="K2336" s="214"/>
      <c r="S2336" s="214"/>
      <c r="Y2336" s="214"/>
      <c r="Z2336" s="214"/>
      <c r="AF2336" s="212"/>
      <c r="AG2336" s="212"/>
    </row>
    <row r="2337" spans="5:33">
      <c r="E2337" s="376"/>
      <c r="F2337" s="376"/>
      <c r="G2337" s="376"/>
      <c r="H2337" s="376"/>
      <c r="K2337" s="214"/>
      <c r="S2337" s="214"/>
      <c r="Y2337" s="214"/>
      <c r="Z2337" s="214"/>
      <c r="AF2337" s="212"/>
      <c r="AG2337" s="212"/>
    </row>
    <row r="2338" spans="5:33">
      <c r="E2338" s="376"/>
      <c r="F2338" s="376"/>
      <c r="G2338" s="376"/>
      <c r="H2338" s="376"/>
      <c r="K2338" s="214"/>
      <c r="S2338" s="214"/>
      <c r="Y2338" s="214"/>
      <c r="Z2338" s="214"/>
      <c r="AF2338" s="212"/>
      <c r="AG2338" s="212"/>
    </row>
    <row r="2339" spans="5:33">
      <c r="E2339" s="376"/>
      <c r="F2339" s="376"/>
      <c r="G2339" s="376"/>
      <c r="H2339" s="376"/>
      <c r="K2339" s="214"/>
      <c r="S2339" s="214"/>
      <c r="Y2339" s="214"/>
      <c r="Z2339" s="214"/>
      <c r="AF2339" s="212"/>
      <c r="AG2339" s="212"/>
    </row>
    <row r="2340" spans="5:33">
      <c r="E2340" s="376"/>
      <c r="F2340" s="376"/>
      <c r="G2340" s="376"/>
      <c r="H2340" s="376"/>
      <c r="K2340" s="214"/>
      <c r="S2340" s="214"/>
      <c r="Y2340" s="214"/>
      <c r="Z2340" s="214"/>
      <c r="AF2340" s="212"/>
      <c r="AG2340" s="212"/>
    </row>
    <row r="2341" spans="5:33">
      <c r="E2341" s="376"/>
      <c r="F2341" s="376"/>
      <c r="G2341" s="376"/>
      <c r="H2341" s="376"/>
      <c r="K2341" s="214"/>
      <c r="S2341" s="214"/>
      <c r="Y2341" s="214"/>
      <c r="Z2341" s="214"/>
      <c r="AF2341" s="212"/>
      <c r="AG2341" s="212"/>
    </row>
    <row r="2342" spans="5:33">
      <c r="E2342" s="376"/>
      <c r="F2342" s="376"/>
      <c r="G2342" s="376"/>
      <c r="H2342" s="376"/>
      <c r="K2342" s="214"/>
      <c r="S2342" s="214"/>
      <c r="Y2342" s="214"/>
      <c r="Z2342" s="214"/>
      <c r="AF2342" s="212"/>
      <c r="AG2342" s="212"/>
    </row>
    <row r="2343" spans="5:33">
      <c r="E2343" s="376"/>
      <c r="F2343" s="376"/>
      <c r="G2343" s="376"/>
      <c r="H2343" s="376"/>
      <c r="K2343" s="214"/>
      <c r="S2343" s="214"/>
      <c r="Y2343" s="214"/>
      <c r="Z2343" s="214"/>
      <c r="AF2343" s="212"/>
      <c r="AG2343" s="212"/>
    </row>
    <row r="2344" spans="5:33">
      <c r="E2344" s="376"/>
      <c r="F2344" s="376"/>
      <c r="G2344" s="376"/>
      <c r="H2344" s="376"/>
      <c r="K2344" s="214"/>
      <c r="S2344" s="214"/>
      <c r="Y2344" s="214"/>
      <c r="Z2344" s="214"/>
      <c r="AF2344" s="212"/>
      <c r="AG2344" s="212"/>
    </row>
    <row r="2345" spans="5:33">
      <c r="E2345" s="376"/>
      <c r="F2345" s="376"/>
      <c r="G2345" s="376"/>
      <c r="H2345" s="376"/>
      <c r="K2345" s="214"/>
      <c r="S2345" s="214"/>
      <c r="Y2345" s="214"/>
      <c r="Z2345" s="214"/>
      <c r="AF2345" s="212"/>
      <c r="AG2345" s="212"/>
    </row>
    <row r="2346" spans="5:33">
      <c r="E2346" s="376"/>
      <c r="F2346" s="376"/>
      <c r="G2346" s="376"/>
      <c r="H2346" s="376"/>
      <c r="K2346" s="214"/>
      <c r="S2346" s="214"/>
      <c r="Y2346" s="214"/>
      <c r="Z2346" s="214"/>
      <c r="AF2346" s="212"/>
      <c r="AG2346" s="212"/>
    </row>
    <row r="2347" spans="5:33">
      <c r="E2347" s="376"/>
      <c r="F2347" s="376"/>
      <c r="G2347" s="376"/>
      <c r="H2347" s="376"/>
      <c r="K2347" s="214"/>
      <c r="S2347" s="214"/>
      <c r="Y2347" s="214"/>
      <c r="Z2347" s="214"/>
      <c r="AF2347" s="212"/>
      <c r="AG2347" s="212"/>
    </row>
    <row r="2348" spans="5:33">
      <c r="E2348" s="376"/>
      <c r="F2348" s="376"/>
      <c r="G2348" s="376"/>
      <c r="H2348" s="376"/>
      <c r="K2348" s="214"/>
      <c r="S2348" s="214"/>
      <c r="Y2348" s="214"/>
      <c r="Z2348" s="214"/>
      <c r="AF2348" s="212"/>
      <c r="AG2348" s="212"/>
    </row>
    <row r="2349" spans="5:33">
      <c r="E2349" s="376"/>
      <c r="F2349" s="376"/>
      <c r="G2349" s="376"/>
      <c r="H2349" s="376"/>
      <c r="K2349" s="214"/>
      <c r="S2349" s="214"/>
      <c r="Y2349" s="214"/>
      <c r="Z2349" s="214"/>
      <c r="AF2349" s="212"/>
      <c r="AG2349" s="212"/>
    </row>
    <row r="2350" spans="5:33">
      <c r="E2350" s="376"/>
      <c r="F2350" s="376"/>
      <c r="G2350" s="376"/>
      <c r="H2350" s="376"/>
      <c r="K2350" s="214"/>
      <c r="S2350" s="214"/>
      <c r="Y2350" s="214"/>
      <c r="Z2350" s="214"/>
      <c r="AF2350" s="212"/>
      <c r="AG2350" s="212"/>
    </row>
    <row r="2351" spans="5:33">
      <c r="E2351" s="376"/>
      <c r="F2351" s="376"/>
      <c r="G2351" s="376"/>
      <c r="H2351" s="376"/>
      <c r="K2351" s="214"/>
      <c r="S2351" s="214"/>
      <c r="Y2351" s="214"/>
      <c r="Z2351" s="214"/>
      <c r="AF2351" s="212"/>
      <c r="AG2351" s="212"/>
    </row>
    <row r="2352" spans="5:33">
      <c r="E2352" s="376"/>
      <c r="F2352" s="376"/>
      <c r="G2352" s="376"/>
      <c r="H2352" s="376"/>
      <c r="K2352" s="214"/>
      <c r="S2352" s="214"/>
      <c r="Y2352" s="214"/>
      <c r="Z2352" s="214"/>
      <c r="AF2352" s="212"/>
      <c r="AG2352" s="212"/>
    </row>
    <row r="2353" spans="5:33">
      <c r="E2353" s="376"/>
      <c r="F2353" s="376"/>
      <c r="G2353" s="376"/>
      <c r="H2353" s="376"/>
      <c r="K2353" s="214"/>
      <c r="S2353" s="214"/>
      <c r="Y2353" s="214"/>
      <c r="Z2353" s="214"/>
      <c r="AF2353" s="212"/>
      <c r="AG2353" s="212"/>
    </row>
    <row r="2354" spans="5:33">
      <c r="E2354" s="376"/>
      <c r="F2354" s="376"/>
      <c r="G2354" s="376"/>
      <c r="H2354" s="376"/>
      <c r="K2354" s="214"/>
      <c r="S2354" s="214"/>
      <c r="Y2354" s="214"/>
      <c r="Z2354" s="214"/>
      <c r="AF2354" s="212"/>
      <c r="AG2354" s="212"/>
    </row>
    <row r="2355" spans="5:33">
      <c r="E2355" s="376"/>
      <c r="F2355" s="376"/>
      <c r="G2355" s="376"/>
      <c r="H2355" s="376"/>
      <c r="K2355" s="214"/>
      <c r="S2355" s="214"/>
      <c r="Y2355" s="214"/>
      <c r="Z2355" s="214"/>
      <c r="AF2355" s="212"/>
      <c r="AG2355" s="212"/>
    </row>
    <row r="2356" spans="5:33">
      <c r="E2356" s="376"/>
      <c r="F2356" s="376"/>
      <c r="G2356" s="376"/>
      <c r="H2356" s="376"/>
      <c r="K2356" s="214"/>
      <c r="S2356" s="214"/>
      <c r="Y2356" s="214"/>
      <c r="Z2356" s="214"/>
      <c r="AF2356" s="212"/>
      <c r="AG2356" s="212"/>
    </row>
    <row r="2357" spans="5:33">
      <c r="E2357" s="376"/>
      <c r="F2357" s="376"/>
      <c r="G2357" s="376"/>
      <c r="H2357" s="376"/>
      <c r="K2357" s="214"/>
      <c r="S2357" s="214"/>
      <c r="Y2357" s="214"/>
      <c r="Z2357" s="214"/>
      <c r="AF2357" s="212"/>
      <c r="AG2357" s="212"/>
    </row>
    <row r="2358" spans="5:33">
      <c r="E2358" s="376"/>
      <c r="F2358" s="376"/>
      <c r="G2358" s="376"/>
      <c r="H2358" s="376"/>
      <c r="K2358" s="214"/>
      <c r="S2358" s="214"/>
      <c r="Y2358" s="214"/>
      <c r="Z2358" s="214"/>
      <c r="AF2358" s="212"/>
      <c r="AG2358" s="212"/>
    </row>
    <row r="2359" spans="5:33">
      <c r="E2359" s="376"/>
      <c r="F2359" s="376"/>
      <c r="G2359" s="376"/>
      <c r="H2359" s="376"/>
      <c r="K2359" s="214"/>
      <c r="S2359" s="214"/>
      <c r="Y2359" s="214"/>
      <c r="Z2359" s="214"/>
      <c r="AF2359" s="212"/>
      <c r="AG2359" s="212"/>
    </row>
    <row r="2360" spans="5:33">
      <c r="E2360" s="376"/>
      <c r="F2360" s="376"/>
      <c r="G2360" s="376"/>
      <c r="H2360" s="376"/>
      <c r="K2360" s="214"/>
      <c r="S2360" s="214"/>
      <c r="Y2360" s="214"/>
      <c r="Z2360" s="214"/>
      <c r="AF2360" s="212"/>
      <c r="AG2360" s="212"/>
    </row>
    <row r="2361" spans="5:33">
      <c r="E2361" s="376"/>
      <c r="F2361" s="376"/>
      <c r="G2361" s="376"/>
      <c r="H2361" s="376"/>
      <c r="K2361" s="214"/>
      <c r="S2361" s="214"/>
      <c r="Y2361" s="214"/>
      <c r="Z2361" s="214"/>
      <c r="AF2361" s="212"/>
      <c r="AG2361" s="212"/>
    </row>
    <row r="2362" spans="5:33">
      <c r="E2362" s="376"/>
      <c r="F2362" s="376"/>
      <c r="G2362" s="376"/>
      <c r="H2362" s="376"/>
      <c r="K2362" s="214"/>
      <c r="S2362" s="214"/>
      <c r="Y2362" s="214"/>
      <c r="Z2362" s="214"/>
      <c r="AF2362" s="212"/>
      <c r="AG2362" s="212"/>
    </row>
    <row r="2363" spans="5:33">
      <c r="E2363" s="376"/>
      <c r="F2363" s="376"/>
      <c r="G2363" s="376"/>
      <c r="H2363" s="376"/>
      <c r="K2363" s="214"/>
      <c r="S2363" s="214"/>
      <c r="Y2363" s="214"/>
      <c r="Z2363" s="214"/>
      <c r="AF2363" s="212"/>
      <c r="AG2363" s="212"/>
    </row>
    <row r="2364" spans="5:33">
      <c r="E2364" s="376"/>
      <c r="F2364" s="376"/>
      <c r="G2364" s="376"/>
      <c r="H2364" s="376"/>
      <c r="K2364" s="214"/>
      <c r="S2364" s="214"/>
      <c r="Y2364" s="214"/>
      <c r="Z2364" s="214"/>
      <c r="AF2364" s="212"/>
      <c r="AG2364" s="212"/>
    </row>
    <row r="2365" spans="5:33">
      <c r="E2365" s="376"/>
      <c r="F2365" s="376"/>
      <c r="G2365" s="376"/>
      <c r="H2365" s="376"/>
      <c r="K2365" s="214"/>
      <c r="S2365" s="214"/>
      <c r="Y2365" s="214"/>
      <c r="Z2365" s="214"/>
      <c r="AF2365" s="212"/>
      <c r="AG2365" s="212"/>
    </row>
    <row r="2366" spans="5:33">
      <c r="E2366" s="376"/>
      <c r="F2366" s="376"/>
      <c r="G2366" s="376"/>
      <c r="H2366" s="376"/>
      <c r="K2366" s="214"/>
      <c r="S2366" s="214"/>
      <c r="Y2366" s="214"/>
      <c r="Z2366" s="214"/>
      <c r="AF2366" s="212"/>
      <c r="AG2366" s="212"/>
    </row>
    <row r="2367" spans="5:33">
      <c r="E2367" s="376"/>
      <c r="F2367" s="376"/>
      <c r="G2367" s="376"/>
      <c r="H2367" s="376"/>
      <c r="K2367" s="214"/>
      <c r="S2367" s="214"/>
      <c r="Y2367" s="214"/>
      <c r="Z2367" s="214"/>
      <c r="AF2367" s="212"/>
      <c r="AG2367" s="212"/>
    </row>
    <row r="2368" spans="5:33">
      <c r="E2368" s="376"/>
      <c r="F2368" s="376"/>
      <c r="G2368" s="376"/>
      <c r="H2368" s="376"/>
      <c r="K2368" s="214"/>
      <c r="S2368" s="214"/>
      <c r="Y2368" s="214"/>
      <c r="Z2368" s="214"/>
      <c r="AF2368" s="212"/>
      <c r="AG2368" s="212"/>
    </row>
    <row r="2369" spans="5:33">
      <c r="E2369" s="376"/>
      <c r="F2369" s="376"/>
      <c r="G2369" s="376"/>
      <c r="H2369" s="376"/>
      <c r="K2369" s="214"/>
      <c r="S2369" s="214"/>
      <c r="Y2369" s="214"/>
      <c r="Z2369" s="214"/>
      <c r="AF2369" s="212"/>
      <c r="AG2369" s="212"/>
    </row>
    <row r="2370" spans="5:33">
      <c r="E2370" s="376"/>
      <c r="F2370" s="376"/>
      <c r="G2370" s="376"/>
      <c r="H2370" s="376"/>
      <c r="K2370" s="214"/>
      <c r="S2370" s="214"/>
      <c r="Y2370" s="214"/>
      <c r="Z2370" s="214"/>
      <c r="AF2370" s="212"/>
      <c r="AG2370" s="212"/>
    </row>
    <row r="2371" spans="5:33">
      <c r="E2371" s="376"/>
      <c r="F2371" s="376"/>
      <c r="G2371" s="376"/>
      <c r="H2371" s="376"/>
      <c r="K2371" s="214"/>
      <c r="S2371" s="214"/>
      <c r="Y2371" s="214"/>
      <c r="Z2371" s="214"/>
      <c r="AF2371" s="212"/>
      <c r="AG2371" s="212"/>
    </row>
    <row r="2372" spans="5:33">
      <c r="E2372" s="376"/>
      <c r="F2372" s="376"/>
      <c r="G2372" s="376"/>
      <c r="H2372" s="376"/>
      <c r="K2372" s="214"/>
      <c r="S2372" s="214"/>
      <c r="Y2372" s="214"/>
      <c r="Z2372" s="214"/>
      <c r="AF2372" s="212"/>
      <c r="AG2372" s="212"/>
    </row>
    <row r="2373" spans="5:33">
      <c r="E2373" s="376"/>
      <c r="F2373" s="376"/>
      <c r="G2373" s="376"/>
      <c r="H2373" s="376"/>
      <c r="K2373" s="214"/>
      <c r="S2373" s="214"/>
      <c r="Y2373" s="214"/>
      <c r="Z2373" s="214"/>
      <c r="AF2373" s="212"/>
      <c r="AG2373" s="212"/>
    </row>
    <row r="2374" spans="5:33">
      <c r="E2374" s="376"/>
      <c r="F2374" s="376"/>
      <c r="G2374" s="376"/>
      <c r="H2374" s="376"/>
      <c r="K2374" s="214"/>
      <c r="S2374" s="214"/>
      <c r="Y2374" s="214"/>
      <c r="Z2374" s="214"/>
      <c r="AF2374" s="212"/>
      <c r="AG2374" s="212"/>
    </row>
    <row r="2375" spans="5:33">
      <c r="E2375" s="376"/>
      <c r="F2375" s="376"/>
      <c r="G2375" s="376"/>
      <c r="H2375" s="376"/>
      <c r="K2375" s="214"/>
      <c r="S2375" s="214"/>
      <c r="Y2375" s="214"/>
      <c r="Z2375" s="214"/>
      <c r="AF2375" s="212"/>
      <c r="AG2375" s="212"/>
    </row>
    <row r="2376" spans="5:33">
      <c r="E2376" s="376"/>
      <c r="F2376" s="376"/>
      <c r="G2376" s="376"/>
      <c r="H2376" s="376"/>
      <c r="K2376" s="214"/>
      <c r="S2376" s="214"/>
      <c r="Y2376" s="214"/>
      <c r="Z2376" s="214"/>
      <c r="AF2376" s="212"/>
      <c r="AG2376" s="212"/>
    </row>
    <row r="2377" spans="5:33">
      <c r="E2377" s="376"/>
      <c r="F2377" s="376"/>
      <c r="G2377" s="376"/>
      <c r="H2377" s="376"/>
      <c r="K2377" s="214"/>
      <c r="S2377" s="214"/>
      <c r="Y2377" s="214"/>
      <c r="Z2377" s="214"/>
      <c r="AF2377" s="212"/>
      <c r="AG2377" s="212"/>
    </row>
    <row r="2378" spans="5:33">
      <c r="E2378" s="376"/>
      <c r="F2378" s="376"/>
      <c r="G2378" s="376"/>
      <c r="H2378" s="376"/>
      <c r="K2378" s="214"/>
      <c r="S2378" s="214"/>
      <c r="Y2378" s="214"/>
      <c r="Z2378" s="214"/>
      <c r="AF2378" s="212"/>
      <c r="AG2378" s="212"/>
    </row>
    <row r="2379" spans="5:33">
      <c r="E2379" s="376"/>
      <c r="F2379" s="376"/>
      <c r="G2379" s="376"/>
      <c r="H2379" s="376"/>
      <c r="K2379" s="214"/>
      <c r="S2379" s="214"/>
      <c r="Y2379" s="214"/>
      <c r="Z2379" s="214"/>
      <c r="AF2379" s="212"/>
      <c r="AG2379" s="212"/>
    </row>
    <row r="2380" spans="5:33">
      <c r="E2380" s="376"/>
      <c r="F2380" s="376"/>
      <c r="G2380" s="376"/>
      <c r="H2380" s="376"/>
      <c r="K2380" s="214"/>
      <c r="S2380" s="214"/>
      <c r="Y2380" s="214"/>
      <c r="Z2380" s="214"/>
      <c r="AF2380" s="212"/>
      <c r="AG2380" s="212"/>
    </row>
    <row r="2381" spans="5:33">
      <c r="E2381" s="376"/>
      <c r="F2381" s="376"/>
      <c r="G2381" s="376"/>
      <c r="H2381" s="376"/>
      <c r="K2381" s="214"/>
      <c r="S2381" s="214"/>
      <c r="Y2381" s="214"/>
      <c r="Z2381" s="214"/>
      <c r="AF2381" s="212"/>
      <c r="AG2381" s="212"/>
    </row>
    <row r="2382" spans="5:33">
      <c r="E2382" s="376"/>
      <c r="F2382" s="376"/>
      <c r="G2382" s="376"/>
      <c r="H2382" s="376"/>
      <c r="K2382" s="214"/>
      <c r="S2382" s="214"/>
      <c r="Y2382" s="214"/>
      <c r="Z2382" s="214"/>
      <c r="AF2382" s="212"/>
      <c r="AG2382" s="212"/>
    </row>
    <row r="2383" spans="5:33">
      <c r="E2383" s="376"/>
      <c r="F2383" s="376"/>
      <c r="G2383" s="376"/>
      <c r="H2383" s="376"/>
      <c r="K2383" s="214"/>
      <c r="S2383" s="214"/>
      <c r="Y2383" s="214"/>
      <c r="Z2383" s="214"/>
      <c r="AF2383" s="212"/>
      <c r="AG2383" s="212"/>
    </row>
    <row r="2384" spans="5:33">
      <c r="E2384" s="376"/>
      <c r="F2384" s="376"/>
      <c r="G2384" s="376"/>
      <c r="H2384" s="376"/>
      <c r="K2384" s="214"/>
      <c r="S2384" s="214"/>
      <c r="Y2384" s="214"/>
      <c r="Z2384" s="214"/>
      <c r="AF2384" s="212"/>
      <c r="AG2384" s="212"/>
    </row>
    <row r="2385" spans="5:33">
      <c r="E2385" s="376"/>
      <c r="F2385" s="376"/>
      <c r="G2385" s="376"/>
      <c r="H2385" s="376"/>
      <c r="K2385" s="214"/>
      <c r="S2385" s="214"/>
      <c r="Y2385" s="214"/>
      <c r="Z2385" s="214"/>
      <c r="AF2385" s="212"/>
      <c r="AG2385" s="212"/>
    </row>
    <row r="2386" spans="5:33">
      <c r="E2386" s="376"/>
      <c r="F2386" s="376"/>
      <c r="G2386" s="376"/>
      <c r="H2386" s="376"/>
      <c r="K2386" s="214"/>
      <c r="S2386" s="214"/>
      <c r="Y2386" s="214"/>
      <c r="Z2386" s="214"/>
      <c r="AF2386" s="212"/>
      <c r="AG2386" s="212"/>
    </row>
    <row r="2387" spans="5:33">
      <c r="E2387" s="376"/>
      <c r="F2387" s="376"/>
      <c r="G2387" s="376"/>
      <c r="H2387" s="376"/>
      <c r="K2387" s="214"/>
      <c r="S2387" s="214"/>
      <c r="Y2387" s="214"/>
      <c r="Z2387" s="214"/>
      <c r="AF2387" s="212"/>
      <c r="AG2387" s="212"/>
    </row>
    <row r="2388" spans="5:33">
      <c r="E2388" s="376"/>
      <c r="F2388" s="376"/>
      <c r="G2388" s="376"/>
      <c r="H2388" s="376"/>
      <c r="K2388" s="214"/>
      <c r="S2388" s="214"/>
      <c r="Y2388" s="214"/>
      <c r="Z2388" s="214"/>
      <c r="AF2388" s="212"/>
      <c r="AG2388" s="212"/>
    </row>
    <row r="2389" spans="5:33">
      <c r="E2389" s="376"/>
      <c r="F2389" s="376"/>
      <c r="G2389" s="376"/>
      <c r="H2389" s="376"/>
      <c r="K2389" s="214"/>
      <c r="S2389" s="214"/>
      <c r="Y2389" s="214"/>
      <c r="Z2389" s="214"/>
      <c r="AF2389" s="212"/>
      <c r="AG2389" s="212"/>
    </row>
    <row r="2390" spans="5:33">
      <c r="E2390" s="376"/>
      <c r="F2390" s="376"/>
      <c r="G2390" s="376"/>
      <c r="H2390" s="376"/>
      <c r="K2390" s="214"/>
      <c r="S2390" s="214"/>
      <c r="Y2390" s="214"/>
      <c r="Z2390" s="214"/>
      <c r="AF2390" s="212"/>
      <c r="AG2390" s="212"/>
    </row>
    <row r="2391" spans="5:33">
      <c r="E2391" s="376"/>
      <c r="F2391" s="376"/>
      <c r="G2391" s="376"/>
      <c r="H2391" s="376"/>
      <c r="K2391" s="214"/>
      <c r="S2391" s="214"/>
      <c r="Y2391" s="214"/>
      <c r="Z2391" s="214"/>
      <c r="AF2391" s="212"/>
      <c r="AG2391" s="212"/>
    </row>
    <row r="2392" spans="5:33">
      <c r="E2392" s="376"/>
      <c r="F2392" s="376"/>
      <c r="G2392" s="376"/>
      <c r="H2392" s="376"/>
      <c r="K2392" s="214"/>
      <c r="S2392" s="214"/>
      <c r="Y2392" s="214"/>
      <c r="Z2392" s="214"/>
      <c r="AF2392" s="212"/>
      <c r="AG2392" s="212"/>
    </row>
    <row r="2393" spans="5:33">
      <c r="E2393" s="376"/>
      <c r="F2393" s="376"/>
      <c r="G2393" s="376"/>
      <c r="H2393" s="376"/>
      <c r="K2393" s="214"/>
      <c r="S2393" s="214"/>
      <c r="Y2393" s="214"/>
      <c r="Z2393" s="214"/>
      <c r="AF2393" s="212"/>
      <c r="AG2393" s="212"/>
    </row>
    <row r="2394" spans="5:33">
      <c r="E2394" s="376"/>
      <c r="F2394" s="376"/>
      <c r="G2394" s="376"/>
      <c r="H2394" s="376"/>
      <c r="K2394" s="214"/>
      <c r="S2394" s="214"/>
      <c r="Y2394" s="214"/>
      <c r="Z2394" s="214"/>
      <c r="AF2394" s="212"/>
      <c r="AG2394" s="212"/>
    </row>
    <row r="2395" spans="5:33">
      <c r="E2395" s="376"/>
      <c r="F2395" s="376"/>
      <c r="G2395" s="376"/>
      <c r="H2395" s="376"/>
      <c r="K2395" s="214"/>
      <c r="S2395" s="214"/>
      <c r="Y2395" s="214"/>
      <c r="Z2395" s="214"/>
      <c r="AF2395" s="212"/>
      <c r="AG2395" s="212"/>
    </row>
    <row r="2396" spans="5:33">
      <c r="E2396" s="376"/>
      <c r="F2396" s="376"/>
      <c r="G2396" s="376"/>
      <c r="H2396" s="376"/>
      <c r="K2396" s="214"/>
      <c r="S2396" s="214"/>
      <c r="Y2396" s="214"/>
      <c r="Z2396" s="214"/>
      <c r="AF2396" s="212"/>
      <c r="AG2396" s="212"/>
    </row>
    <row r="2397" spans="5:33">
      <c r="E2397" s="376"/>
      <c r="F2397" s="376"/>
      <c r="G2397" s="376"/>
      <c r="H2397" s="376"/>
      <c r="K2397" s="214"/>
      <c r="S2397" s="214"/>
      <c r="Y2397" s="214"/>
      <c r="Z2397" s="214"/>
      <c r="AF2397" s="212"/>
      <c r="AG2397" s="212"/>
    </row>
    <row r="2398" spans="5:33">
      <c r="E2398" s="376"/>
      <c r="F2398" s="376"/>
      <c r="G2398" s="376"/>
      <c r="H2398" s="376"/>
      <c r="K2398" s="214"/>
      <c r="S2398" s="214"/>
      <c r="Y2398" s="214"/>
      <c r="Z2398" s="214"/>
      <c r="AF2398" s="212"/>
      <c r="AG2398" s="212"/>
    </row>
    <row r="2399" spans="5:33">
      <c r="E2399" s="376"/>
      <c r="F2399" s="376"/>
      <c r="G2399" s="376"/>
      <c r="H2399" s="376"/>
      <c r="K2399" s="214"/>
      <c r="S2399" s="214"/>
      <c r="Y2399" s="214"/>
      <c r="Z2399" s="214"/>
      <c r="AF2399" s="212"/>
      <c r="AG2399" s="212"/>
    </row>
    <row r="2400" spans="5:33">
      <c r="E2400" s="376"/>
      <c r="F2400" s="376"/>
      <c r="G2400" s="376"/>
      <c r="H2400" s="376"/>
      <c r="K2400" s="214"/>
      <c r="S2400" s="214"/>
      <c r="Y2400" s="214"/>
      <c r="Z2400" s="214"/>
      <c r="AF2400" s="212"/>
      <c r="AG2400" s="212"/>
    </row>
    <row r="2401" spans="5:33">
      <c r="E2401" s="376"/>
      <c r="F2401" s="376"/>
      <c r="G2401" s="376"/>
      <c r="H2401" s="376"/>
      <c r="K2401" s="214"/>
      <c r="S2401" s="214"/>
      <c r="Y2401" s="214"/>
      <c r="Z2401" s="214"/>
      <c r="AF2401" s="212"/>
      <c r="AG2401" s="212"/>
    </row>
    <row r="2402" spans="5:33">
      <c r="E2402" s="376"/>
      <c r="F2402" s="376"/>
      <c r="G2402" s="376"/>
      <c r="H2402" s="376"/>
      <c r="K2402" s="214"/>
      <c r="S2402" s="214"/>
      <c r="Y2402" s="214"/>
      <c r="Z2402" s="214"/>
      <c r="AF2402" s="212"/>
      <c r="AG2402" s="212"/>
    </row>
    <row r="2403" spans="5:33">
      <c r="E2403" s="376"/>
      <c r="F2403" s="376"/>
      <c r="G2403" s="376"/>
      <c r="H2403" s="376"/>
      <c r="K2403" s="214"/>
      <c r="S2403" s="214"/>
      <c r="Y2403" s="214"/>
      <c r="Z2403" s="214"/>
      <c r="AF2403" s="212"/>
      <c r="AG2403" s="212"/>
    </row>
    <row r="2404" spans="5:33">
      <c r="E2404" s="376"/>
      <c r="F2404" s="376"/>
      <c r="G2404" s="376"/>
      <c r="H2404" s="376"/>
      <c r="K2404" s="214"/>
      <c r="S2404" s="214"/>
      <c r="Y2404" s="214"/>
      <c r="Z2404" s="214"/>
      <c r="AF2404" s="212"/>
      <c r="AG2404" s="212"/>
    </row>
    <row r="2405" spans="5:33">
      <c r="E2405" s="376"/>
      <c r="F2405" s="376"/>
      <c r="G2405" s="376"/>
      <c r="H2405" s="376"/>
      <c r="K2405" s="214"/>
      <c r="S2405" s="214"/>
      <c r="Y2405" s="214"/>
      <c r="Z2405" s="214"/>
      <c r="AF2405" s="212"/>
      <c r="AG2405" s="212"/>
    </row>
    <row r="2406" spans="5:33">
      <c r="E2406" s="376"/>
      <c r="F2406" s="376"/>
      <c r="G2406" s="376"/>
      <c r="H2406" s="376"/>
      <c r="K2406" s="214"/>
      <c r="S2406" s="214"/>
      <c r="Y2406" s="214"/>
      <c r="Z2406" s="214"/>
      <c r="AF2406" s="212"/>
      <c r="AG2406" s="212"/>
    </row>
    <row r="2407" spans="5:33">
      <c r="E2407" s="376"/>
      <c r="F2407" s="376"/>
      <c r="G2407" s="376"/>
      <c r="H2407" s="376"/>
      <c r="K2407" s="214"/>
      <c r="S2407" s="214"/>
      <c r="Y2407" s="214"/>
      <c r="Z2407" s="214"/>
      <c r="AF2407" s="212"/>
      <c r="AG2407" s="212"/>
    </row>
    <row r="2408" spans="5:33">
      <c r="E2408" s="376"/>
      <c r="F2408" s="376"/>
      <c r="G2408" s="376"/>
      <c r="H2408" s="376"/>
      <c r="K2408" s="214"/>
      <c r="S2408" s="214"/>
      <c r="Y2408" s="214"/>
      <c r="Z2408" s="214"/>
      <c r="AF2408" s="212"/>
      <c r="AG2408" s="212"/>
    </row>
    <row r="2409" spans="5:33">
      <c r="E2409" s="376"/>
      <c r="F2409" s="376"/>
      <c r="G2409" s="376"/>
      <c r="H2409" s="376"/>
      <c r="K2409" s="214"/>
      <c r="S2409" s="214"/>
      <c r="Y2409" s="214"/>
      <c r="Z2409" s="214"/>
      <c r="AF2409" s="212"/>
      <c r="AG2409" s="212"/>
    </row>
    <row r="2410" spans="5:33">
      <c r="E2410" s="376"/>
      <c r="F2410" s="376"/>
      <c r="G2410" s="376"/>
      <c r="H2410" s="376"/>
      <c r="K2410" s="214"/>
      <c r="S2410" s="214"/>
      <c r="Y2410" s="214"/>
      <c r="Z2410" s="214"/>
      <c r="AF2410" s="212"/>
      <c r="AG2410" s="212"/>
    </row>
    <row r="2411" spans="5:33">
      <c r="E2411" s="376"/>
      <c r="F2411" s="376"/>
      <c r="G2411" s="376"/>
      <c r="H2411" s="376"/>
      <c r="K2411" s="214"/>
      <c r="S2411" s="214"/>
      <c r="Y2411" s="214"/>
      <c r="Z2411" s="214"/>
      <c r="AF2411" s="212"/>
      <c r="AG2411" s="212"/>
    </row>
    <row r="2412" spans="5:33">
      <c r="E2412" s="376"/>
      <c r="F2412" s="376"/>
      <c r="G2412" s="376"/>
      <c r="H2412" s="376"/>
      <c r="K2412" s="214"/>
      <c r="S2412" s="214"/>
      <c r="Y2412" s="214"/>
      <c r="Z2412" s="214"/>
      <c r="AF2412" s="212"/>
      <c r="AG2412" s="212"/>
    </row>
    <row r="2413" spans="5:33">
      <c r="E2413" s="376"/>
      <c r="F2413" s="376"/>
      <c r="G2413" s="376"/>
      <c r="H2413" s="376"/>
      <c r="K2413" s="214"/>
      <c r="S2413" s="214"/>
      <c r="Y2413" s="214"/>
      <c r="Z2413" s="214"/>
      <c r="AF2413" s="212"/>
      <c r="AG2413" s="212"/>
    </row>
    <row r="2414" spans="5:33">
      <c r="E2414" s="376"/>
      <c r="F2414" s="376"/>
      <c r="G2414" s="376"/>
      <c r="H2414" s="376"/>
      <c r="K2414" s="214"/>
      <c r="S2414" s="214"/>
      <c r="Y2414" s="214"/>
      <c r="Z2414" s="214"/>
      <c r="AF2414" s="212"/>
      <c r="AG2414" s="212"/>
    </row>
    <row r="2415" spans="5:33">
      <c r="E2415" s="376"/>
      <c r="F2415" s="376"/>
      <c r="G2415" s="376"/>
      <c r="H2415" s="376"/>
      <c r="K2415" s="214"/>
      <c r="S2415" s="214"/>
      <c r="Y2415" s="214"/>
      <c r="Z2415" s="214"/>
      <c r="AF2415" s="212"/>
      <c r="AG2415" s="212"/>
    </row>
    <row r="2416" spans="5:33">
      <c r="E2416" s="376"/>
      <c r="F2416" s="376"/>
      <c r="G2416" s="376"/>
      <c r="H2416" s="376"/>
      <c r="K2416" s="214"/>
      <c r="S2416" s="214"/>
      <c r="Y2416" s="214"/>
      <c r="Z2416" s="214"/>
      <c r="AF2416" s="212"/>
      <c r="AG2416" s="212"/>
    </row>
    <row r="2417" spans="5:33">
      <c r="E2417" s="376"/>
      <c r="F2417" s="376"/>
      <c r="G2417" s="376"/>
      <c r="H2417" s="376"/>
      <c r="K2417" s="214"/>
      <c r="S2417" s="214"/>
      <c r="Y2417" s="214"/>
      <c r="Z2417" s="214"/>
      <c r="AF2417" s="212"/>
      <c r="AG2417" s="212"/>
    </row>
    <row r="2418" spans="5:33">
      <c r="E2418" s="376"/>
      <c r="F2418" s="376"/>
      <c r="G2418" s="376"/>
      <c r="H2418" s="376"/>
      <c r="K2418" s="214"/>
      <c r="S2418" s="214"/>
      <c r="Y2418" s="214"/>
      <c r="Z2418" s="214"/>
      <c r="AF2418" s="212"/>
      <c r="AG2418" s="212"/>
    </row>
    <row r="2419" spans="5:33">
      <c r="E2419" s="376"/>
      <c r="F2419" s="376"/>
      <c r="G2419" s="376"/>
      <c r="H2419" s="376"/>
      <c r="K2419" s="214"/>
      <c r="S2419" s="214"/>
      <c r="Y2419" s="214"/>
      <c r="Z2419" s="214"/>
      <c r="AF2419" s="212"/>
      <c r="AG2419" s="212"/>
    </row>
    <row r="2420" spans="5:33">
      <c r="E2420" s="376"/>
      <c r="F2420" s="376"/>
      <c r="G2420" s="376"/>
      <c r="H2420" s="376"/>
      <c r="K2420" s="214"/>
      <c r="S2420" s="214"/>
      <c r="Y2420" s="214"/>
      <c r="Z2420" s="214"/>
      <c r="AF2420" s="212"/>
      <c r="AG2420" s="212"/>
    </row>
    <row r="2421" spans="5:33">
      <c r="E2421" s="376"/>
      <c r="F2421" s="376"/>
      <c r="G2421" s="376"/>
      <c r="H2421" s="376"/>
      <c r="K2421" s="214"/>
      <c r="S2421" s="214"/>
      <c r="Y2421" s="214"/>
      <c r="Z2421" s="214"/>
      <c r="AF2421" s="212"/>
      <c r="AG2421" s="212"/>
    </row>
    <row r="2422" spans="5:33">
      <c r="E2422" s="376"/>
      <c r="F2422" s="376"/>
      <c r="G2422" s="376"/>
      <c r="H2422" s="376"/>
      <c r="K2422" s="214"/>
      <c r="S2422" s="214"/>
      <c r="Y2422" s="214"/>
      <c r="Z2422" s="214"/>
      <c r="AF2422" s="212"/>
      <c r="AG2422" s="212"/>
    </row>
    <row r="2423" spans="5:33">
      <c r="E2423" s="376"/>
      <c r="F2423" s="376"/>
      <c r="G2423" s="376"/>
      <c r="H2423" s="376"/>
      <c r="K2423" s="214"/>
      <c r="S2423" s="214"/>
      <c r="Y2423" s="214"/>
      <c r="Z2423" s="214"/>
      <c r="AF2423" s="212"/>
      <c r="AG2423" s="212"/>
    </row>
    <row r="2424" spans="5:33">
      <c r="E2424" s="376"/>
      <c r="F2424" s="376"/>
      <c r="G2424" s="376"/>
      <c r="H2424" s="376"/>
      <c r="K2424" s="214"/>
      <c r="S2424" s="214"/>
      <c r="Y2424" s="214"/>
      <c r="Z2424" s="214"/>
      <c r="AF2424" s="212"/>
      <c r="AG2424" s="212"/>
    </row>
    <row r="2425" spans="5:33">
      <c r="E2425" s="376"/>
      <c r="F2425" s="376"/>
      <c r="G2425" s="376"/>
      <c r="H2425" s="376"/>
      <c r="K2425" s="214"/>
      <c r="S2425" s="214"/>
      <c r="Y2425" s="214"/>
      <c r="Z2425" s="214"/>
      <c r="AF2425" s="212"/>
      <c r="AG2425" s="212"/>
    </row>
    <row r="2426" spans="5:33">
      <c r="E2426" s="376"/>
      <c r="F2426" s="376"/>
      <c r="G2426" s="376"/>
      <c r="H2426" s="376"/>
      <c r="K2426" s="214"/>
      <c r="S2426" s="214"/>
      <c r="Y2426" s="214"/>
      <c r="Z2426" s="214"/>
      <c r="AF2426" s="212"/>
      <c r="AG2426" s="212"/>
    </row>
    <row r="2427" spans="5:33">
      <c r="E2427" s="376"/>
      <c r="F2427" s="376"/>
      <c r="G2427" s="376"/>
      <c r="H2427" s="376"/>
      <c r="K2427" s="214"/>
      <c r="S2427" s="214"/>
      <c r="Y2427" s="214"/>
      <c r="Z2427" s="214"/>
      <c r="AF2427" s="212"/>
      <c r="AG2427" s="212"/>
    </row>
    <row r="2428" spans="5:33">
      <c r="E2428" s="376"/>
      <c r="F2428" s="376"/>
      <c r="G2428" s="376"/>
      <c r="H2428" s="376"/>
      <c r="K2428" s="214"/>
      <c r="S2428" s="214"/>
      <c r="Y2428" s="214"/>
      <c r="Z2428" s="214"/>
      <c r="AF2428" s="212"/>
      <c r="AG2428" s="212"/>
    </row>
    <row r="2429" spans="5:33">
      <c r="E2429" s="376"/>
      <c r="F2429" s="376"/>
      <c r="G2429" s="376"/>
      <c r="H2429" s="376"/>
      <c r="K2429" s="214"/>
      <c r="S2429" s="214"/>
      <c r="Y2429" s="214"/>
      <c r="Z2429" s="214"/>
      <c r="AF2429" s="212"/>
      <c r="AG2429" s="212"/>
    </row>
    <row r="2430" spans="5:33">
      <c r="E2430" s="376"/>
      <c r="F2430" s="376"/>
      <c r="G2430" s="376"/>
      <c r="H2430" s="376"/>
      <c r="K2430" s="214"/>
      <c r="S2430" s="214"/>
      <c r="Y2430" s="214"/>
      <c r="Z2430" s="214"/>
      <c r="AF2430" s="212"/>
      <c r="AG2430" s="212"/>
    </row>
    <row r="2431" spans="5:33">
      <c r="E2431" s="376"/>
      <c r="F2431" s="376"/>
      <c r="G2431" s="376"/>
      <c r="H2431" s="376"/>
      <c r="K2431" s="214"/>
      <c r="S2431" s="214"/>
      <c r="Y2431" s="214"/>
      <c r="Z2431" s="214"/>
      <c r="AF2431" s="212"/>
      <c r="AG2431" s="212"/>
    </row>
    <row r="2432" spans="5:33">
      <c r="E2432" s="376"/>
      <c r="F2432" s="376"/>
      <c r="G2432" s="376"/>
      <c r="H2432" s="376"/>
      <c r="K2432" s="214"/>
      <c r="S2432" s="214"/>
      <c r="Y2432" s="214"/>
      <c r="Z2432" s="214"/>
      <c r="AF2432" s="212"/>
      <c r="AG2432" s="212"/>
    </row>
    <row r="2433" spans="5:33">
      <c r="E2433" s="376"/>
      <c r="F2433" s="376"/>
      <c r="G2433" s="376"/>
      <c r="H2433" s="376"/>
      <c r="K2433" s="214"/>
      <c r="S2433" s="214"/>
      <c r="Y2433" s="214"/>
      <c r="Z2433" s="214"/>
      <c r="AF2433" s="212"/>
      <c r="AG2433" s="212"/>
    </row>
    <row r="2434" spans="5:33">
      <c r="E2434" s="376"/>
      <c r="F2434" s="376"/>
      <c r="G2434" s="376"/>
      <c r="H2434" s="376"/>
      <c r="K2434" s="214"/>
      <c r="S2434" s="214"/>
      <c r="Y2434" s="214"/>
      <c r="Z2434" s="214"/>
      <c r="AF2434" s="212"/>
      <c r="AG2434" s="212"/>
    </row>
    <row r="2435" spans="5:33">
      <c r="E2435" s="376"/>
      <c r="F2435" s="376"/>
      <c r="G2435" s="376"/>
      <c r="H2435" s="376"/>
      <c r="K2435" s="214"/>
      <c r="S2435" s="214"/>
      <c r="Y2435" s="214"/>
      <c r="Z2435" s="214"/>
      <c r="AF2435" s="212"/>
      <c r="AG2435" s="212"/>
    </row>
    <row r="2436" spans="5:33">
      <c r="E2436" s="376"/>
      <c r="F2436" s="376"/>
      <c r="G2436" s="376"/>
      <c r="H2436" s="376"/>
      <c r="K2436" s="214"/>
      <c r="S2436" s="214"/>
      <c r="Y2436" s="214"/>
      <c r="Z2436" s="214"/>
      <c r="AF2436" s="212"/>
      <c r="AG2436" s="212"/>
    </row>
    <row r="2437" spans="5:33">
      <c r="E2437" s="376"/>
      <c r="F2437" s="376"/>
      <c r="G2437" s="376"/>
      <c r="H2437" s="376"/>
      <c r="K2437" s="214"/>
      <c r="S2437" s="214"/>
      <c r="Y2437" s="214"/>
      <c r="Z2437" s="214"/>
      <c r="AF2437" s="212"/>
      <c r="AG2437" s="212"/>
    </row>
    <row r="2438" spans="5:33">
      <c r="E2438" s="376"/>
      <c r="F2438" s="376"/>
      <c r="G2438" s="376"/>
      <c r="H2438" s="376"/>
      <c r="K2438" s="214"/>
      <c r="S2438" s="214"/>
      <c r="Y2438" s="214"/>
      <c r="Z2438" s="214"/>
      <c r="AF2438" s="212"/>
      <c r="AG2438" s="212"/>
    </row>
    <row r="2439" spans="5:33">
      <c r="E2439" s="376"/>
      <c r="F2439" s="376"/>
      <c r="G2439" s="376"/>
      <c r="H2439" s="376"/>
      <c r="K2439" s="214"/>
      <c r="S2439" s="214"/>
      <c r="Y2439" s="214"/>
      <c r="Z2439" s="214"/>
      <c r="AF2439" s="212"/>
      <c r="AG2439" s="212"/>
    </row>
    <row r="2440" spans="5:33">
      <c r="E2440" s="376"/>
      <c r="F2440" s="376"/>
      <c r="G2440" s="376"/>
      <c r="H2440" s="376"/>
      <c r="K2440" s="214"/>
      <c r="S2440" s="214"/>
      <c r="Y2440" s="214"/>
      <c r="Z2440" s="214"/>
      <c r="AF2440" s="212"/>
      <c r="AG2440" s="212"/>
    </row>
    <row r="2441" spans="5:33">
      <c r="E2441" s="376"/>
      <c r="F2441" s="376"/>
      <c r="G2441" s="376"/>
      <c r="H2441" s="376"/>
      <c r="K2441" s="214"/>
      <c r="S2441" s="214"/>
      <c r="Y2441" s="214"/>
      <c r="Z2441" s="214"/>
      <c r="AF2441" s="212"/>
      <c r="AG2441" s="212"/>
    </row>
    <row r="2442" spans="5:33">
      <c r="E2442" s="376"/>
      <c r="F2442" s="376"/>
      <c r="G2442" s="376"/>
      <c r="H2442" s="376"/>
      <c r="K2442" s="214"/>
      <c r="S2442" s="214"/>
      <c r="Y2442" s="214"/>
      <c r="Z2442" s="214"/>
      <c r="AF2442" s="212"/>
      <c r="AG2442" s="212"/>
    </row>
    <row r="2443" spans="5:33">
      <c r="E2443" s="376"/>
      <c r="F2443" s="376"/>
      <c r="G2443" s="376"/>
      <c r="H2443" s="376"/>
      <c r="K2443" s="214"/>
      <c r="S2443" s="214"/>
      <c r="Y2443" s="214"/>
      <c r="Z2443" s="214"/>
      <c r="AF2443" s="212"/>
      <c r="AG2443" s="212"/>
    </row>
    <row r="2444" spans="5:33">
      <c r="E2444" s="376"/>
      <c r="F2444" s="376"/>
      <c r="G2444" s="376"/>
      <c r="H2444" s="376"/>
      <c r="K2444" s="214"/>
      <c r="S2444" s="214"/>
      <c r="Y2444" s="214"/>
      <c r="Z2444" s="214"/>
      <c r="AF2444" s="212"/>
      <c r="AG2444" s="212"/>
    </row>
    <row r="2445" spans="5:33">
      <c r="E2445" s="376"/>
      <c r="F2445" s="376"/>
      <c r="G2445" s="376"/>
      <c r="H2445" s="376"/>
      <c r="K2445" s="214"/>
      <c r="S2445" s="214"/>
      <c r="Y2445" s="214"/>
      <c r="Z2445" s="214"/>
      <c r="AF2445" s="212"/>
      <c r="AG2445" s="212"/>
    </row>
    <row r="2446" spans="5:33">
      <c r="E2446" s="376"/>
      <c r="F2446" s="376"/>
      <c r="G2446" s="376"/>
      <c r="H2446" s="376"/>
      <c r="K2446" s="214"/>
      <c r="S2446" s="214"/>
      <c r="Y2446" s="214"/>
      <c r="Z2446" s="214"/>
      <c r="AF2446" s="212"/>
      <c r="AG2446" s="212"/>
    </row>
    <row r="2447" spans="5:33">
      <c r="E2447" s="376"/>
      <c r="F2447" s="376"/>
      <c r="G2447" s="376"/>
      <c r="H2447" s="376"/>
      <c r="K2447" s="214"/>
      <c r="S2447" s="214"/>
      <c r="Y2447" s="214"/>
      <c r="Z2447" s="214"/>
      <c r="AF2447" s="212"/>
      <c r="AG2447" s="212"/>
    </row>
    <row r="2448" spans="5:33">
      <c r="E2448" s="376"/>
      <c r="F2448" s="376"/>
      <c r="G2448" s="376"/>
      <c r="H2448" s="376"/>
      <c r="K2448" s="214"/>
      <c r="S2448" s="214"/>
      <c r="Y2448" s="214"/>
      <c r="Z2448" s="214"/>
      <c r="AF2448" s="212"/>
      <c r="AG2448" s="212"/>
    </row>
    <row r="2449" spans="5:33">
      <c r="E2449" s="376"/>
      <c r="F2449" s="376"/>
      <c r="G2449" s="376"/>
      <c r="H2449" s="376"/>
      <c r="K2449" s="214"/>
      <c r="S2449" s="214"/>
      <c r="Y2449" s="214"/>
      <c r="Z2449" s="214"/>
      <c r="AF2449" s="212"/>
      <c r="AG2449" s="212"/>
    </row>
    <row r="2450" spans="5:33">
      <c r="E2450" s="376"/>
      <c r="F2450" s="376"/>
      <c r="G2450" s="376"/>
      <c r="H2450" s="376"/>
      <c r="K2450" s="214"/>
      <c r="S2450" s="214"/>
      <c r="Y2450" s="214"/>
      <c r="Z2450" s="214"/>
      <c r="AF2450" s="212"/>
      <c r="AG2450" s="212"/>
    </row>
    <row r="2451" spans="5:33">
      <c r="E2451" s="376"/>
      <c r="F2451" s="376"/>
      <c r="G2451" s="376"/>
      <c r="H2451" s="376"/>
      <c r="K2451" s="214"/>
      <c r="S2451" s="214"/>
      <c r="Y2451" s="214"/>
      <c r="Z2451" s="214"/>
      <c r="AF2451" s="212"/>
      <c r="AG2451" s="212"/>
    </row>
    <row r="2452" spans="5:33">
      <c r="E2452" s="376"/>
      <c r="F2452" s="376"/>
      <c r="G2452" s="376"/>
      <c r="H2452" s="376"/>
      <c r="K2452" s="214"/>
      <c r="S2452" s="214"/>
      <c r="Y2452" s="214"/>
      <c r="Z2452" s="214"/>
      <c r="AF2452" s="212"/>
      <c r="AG2452" s="212"/>
    </row>
    <row r="2453" spans="5:33">
      <c r="E2453" s="376"/>
      <c r="F2453" s="376"/>
      <c r="G2453" s="376"/>
      <c r="H2453" s="376"/>
      <c r="K2453" s="214"/>
      <c r="S2453" s="214"/>
      <c r="Y2453" s="214"/>
      <c r="Z2453" s="214"/>
      <c r="AF2453" s="212"/>
      <c r="AG2453" s="212"/>
    </row>
    <row r="2454" spans="5:33">
      <c r="E2454" s="376"/>
      <c r="F2454" s="376"/>
      <c r="G2454" s="376"/>
      <c r="H2454" s="376"/>
      <c r="K2454" s="214"/>
      <c r="S2454" s="214"/>
      <c r="Y2454" s="214"/>
      <c r="Z2454" s="214"/>
      <c r="AF2454" s="212"/>
      <c r="AG2454" s="212"/>
    </row>
    <row r="2455" spans="5:33">
      <c r="E2455" s="376"/>
      <c r="F2455" s="376"/>
      <c r="G2455" s="376"/>
      <c r="H2455" s="376"/>
      <c r="K2455" s="214"/>
      <c r="S2455" s="214"/>
      <c r="Y2455" s="214"/>
      <c r="Z2455" s="214"/>
      <c r="AF2455" s="212"/>
      <c r="AG2455" s="212"/>
    </row>
    <row r="2456" spans="5:33">
      <c r="E2456" s="376"/>
      <c r="F2456" s="376"/>
      <c r="G2456" s="376"/>
      <c r="H2456" s="376"/>
      <c r="K2456" s="214"/>
      <c r="S2456" s="214"/>
      <c r="Y2456" s="214"/>
      <c r="Z2456" s="214"/>
      <c r="AF2456" s="212"/>
      <c r="AG2456" s="212"/>
    </row>
    <row r="2457" spans="5:33">
      <c r="E2457" s="376"/>
      <c r="F2457" s="376"/>
      <c r="G2457" s="376"/>
      <c r="H2457" s="376"/>
      <c r="K2457" s="214"/>
      <c r="S2457" s="214"/>
      <c r="Y2457" s="214"/>
      <c r="Z2457" s="214"/>
      <c r="AF2457" s="212"/>
      <c r="AG2457" s="212"/>
    </row>
    <row r="2458" spans="5:33">
      <c r="E2458" s="376"/>
      <c r="F2458" s="376"/>
      <c r="G2458" s="376"/>
      <c r="H2458" s="376"/>
      <c r="K2458" s="214"/>
      <c r="S2458" s="214"/>
      <c r="Y2458" s="214"/>
      <c r="Z2458" s="214"/>
      <c r="AF2458" s="212"/>
      <c r="AG2458" s="212"/>
    </row>
    <row r="2459" spans="5:33">
      <c r="E2459" s="376"/>
      <c r="F2459" s="376"/>
      <c r="G2459" s="376"/>
      <c r="H2459" s="376"/>
      <c r="K2459" s="214"/>
      <c r="S2459" s="214"/>
      <c r="Y2459" s="214"/>
      <c r="Z2459" s="214"/>
      <c r="AF2459" s="212"/>
      <c r="AG2459" s="212"/>
    </row>
    <row r="2460" spans="5:33">
      <c r="E2460" s="376"/>
      <c r="F2460" s="376"/>
      <c r="G2460" s="376"/>
      <c r="H2460" s="376"/>
      <c r="K2460" s="214"/>
      <c r="S2460" s="214"/>
      <c r="Y2460" s="214"/>
      <c r="Z2460" s="214"/>
      <c r="AF2460" s="212"/>
      <c r="AG2460" s="212"/>
    </row>
    <row r="2461" spans="5:33">
      <c r="E2461" s="376"/>
      <c r="F2461" s="376"/>
      <c r="G2461" s="376"/>
      <c r="H2461" s="376"/>
      <c r="K2461" s="214"/>
      <c r="S2461" s="214"/>
      <c r="Y2461" s="214"/>
      <c r="Z2461" s="214"/>
      <c r="AF2461" s="212"/>
      <c r="AG2461" s="212"/>
    </row>
    <row r="2462" spans="5:33">
      <c r="E2462" s="376"/>
      <c r="F2462" s="376"/>
      <c r="G2462" s="376"/>
      <c r="H2462" s="376"/>
      <c r="K2462" s="214"/>
      <c r="S2462" s="214"/>
      <c r="Y2462" s="214"/>
      <c r="Z2462" s="214"/>
      <c r="AF2462" s="212"/>
      <c r="AG2462" s="212"/>
    </row>
    <row r="2463" spans="5:33">
      <c r="E2463" s="376"/>
      <c r="F2463" s="376"/>
      <c r="G2463" s="376"/>
      <c r="H2463" s="376"/>
      <c r="K2463" s="214"/>
      <c r="S2463" s="214"/>
      <c r="Y2463" s="214"/>
      <c r="Z2463" s="214"/>
      <c r="AF2463" s="212"/>
      <c r="AG2463" s="212"/>
    </row>
    <row r="2464" spans="5:33">
      <c r="E2464" s="376"/>
      <c r="F2464" s="376"/>
      <c r="G2464" s="376"/>
      <c r="H2464" s="376"/>
      <c r="K2464" s="214"/>
      <c r="S2464" s="214"/>
      <c r="Y2464" s="214"/>
      <c r="Z2464" s="214"/>
      <c r="AF2464" s="212"/>
      <c r="AG2464" s="212"/>
    </row>
    <row r="2465" spans="5:33">
      <c r="E2465" s="376"/>
      <c r="F2465" s="376"/>
      <c r="G2465" s="376"/>
      <c r="H2465" s="376"/>
      <c r="K2465" s="214"/>
      <c r="S2465" s="214"/>
      <c r="Y2465" s="214"/>
      <c r="Z2465" s="214"/>
      <c r="AF2465" s="212"/>
      <c r="AG2465" s="212"/>
    </row>
    <row r="2466" spans="5:33">
      <c r="E2466" s="376"/>
      <c r="F2466" s="376"/>
      <c r="G2466" s="376"/>
      <c r="H2466" s="376"/>
      <c r="K2466" s="214"/>
      <c r="S2466" s="214"/>
      <c r="Y2466" s="214"/>
      <c r="Z2466" s="214"/>
      <c r="AF2466" s="212"/>
      <c r="AG2466" s="212"/>
    </row>
    <row r="2467" spans="5:33">
      <c r="E2467" s="376"/>
      <c r="F2467" s="376"/>
      <c r="G2467" s="376"/>
      <c r="H2467" s="376"/>
      <c r="K2467" s="214"/>
      <c r="S2467" s="214"/>
      <c r="Y2467" s="214"/>
      <c r="Z2467" s="214"/>
      <c r="AF2467" s="212"/>
      <c r="AG2467" s="212"/>
    </row>
    <row r="2468" spans="5:33">
      <c r="E2468" s="376"/>
      <c r="F2468" s="376"/>
      <c r="G2468" s="376"/>
      <c r="H2468" s="376"/>
      <c r="K2468" s="214"/>
      <c r="S2468" s="214"/>
      <c r="Y2468" s="214"/>
      <c r="Z2468" s="214"/>
      <c r="AF2468" s="212"/>
      <c r="AG2468" s="212"/>
    </row>
    <row r="2469" spans="5:33">
      <c r="E2469" s="376"/>
      <c r="F2469" s="376"/>
      <c r="G2469" s="376"/>
      <c r="H2469" s="376"/>
      <c r="K2469" s="214"/>
      <c r="S2469" s="214"/>
      <c r="Y2469" s="214"/>
      <c r="Z2469" s="214"/>
      <c r="AF2469" s="212"/>
      <c r="AG2469" s="212"/>
    </row>
    <row r="2470" spans="5:33">
      <c r="E2470" s="376"/>
      <c r="F2470" s="376"/>
      <c r="G2470" s="376"/>
      <c r="H2470" s="376"/>
      <c r="K2470" s="214"/>
      <c r="S2470" s="214"/>
      <c r="Y2470" s="214"/>
      <c r="Z2470" s="214"/>
      <c r="AF2470" s="212"/>
      <c r="AG2470" s="212"/>
    </row>
    <row r="2471" spans="5:33">
      <c r="E2471" s="376"/>
      <c r="F2471" s="376"/>
      <c r="G2471" s="376"/>
      <c r="H2471" s="376"/>
      <c r="K2471" s="214"/>
      <c r="S2471" s="214"/>
      <c r="Y2471" s="214"/>
      <c r="Z2471" s="214"/>
      <c r="AF2471" s="212"/>
      <c r="AG2471" s="212"/>
    </row>
    <row r="2472" spans="5:33">
      <c r="E2472" s="376"/>
      <c r="F2472" s="376"/>
      <c r="G2472" s="376"/>
      <c r="H2472" s="376"/>
      <c r="K2472" s="214"/>
      <c r="S2472" s="214"/>
      <c r="Y2472" s="214"/>
      <c r="Z2472" s="214"/>
      <c r="AF2472" s="212"/>
      <c r="AG2472" s="212"/>
    </row>
    <row r="2473" spans="5:33">
      <c r="E2473" s="376"/>
      <c r="F2473" s="376"/>
      <c r="G2473" s="376"/>
      <c r="H2473" s="376"/>
      <c r="K2473" s="214"/>
      <c r="S2473" s="214"/>
      <c r="Y2473" s="214"/>
      <c r="Z2473" s="214"/>
      <c r="AF2473" s="212"/>
      <c r="AG2473" s="212"/>
    </row>
    <row r="2474" spans="5:33">
      <c r="E2474" s="376"/>
      <c r="F2474" s="376"/>
      <c r="G2474" s="376"/>
      <c r="H2474" s="376"/>
      <c r="K2474" s="214"/>
      <c r="S2474" s="214"/>
      <c r="Y2474" s="214"/>
      <c r="Z2474" s="214"/>
      <c r="AF2474" s="212"/>
      <c r="AG2474" s="212"/>
    </row>
    <row r="2475" spans="5:33">
      <c r="E2475" s="376"/>
      <c r="F2475" s="376"/>
      <c r="G2475" s="376"/>
      <c r="H2475" s="376"/>
      <c r="K2475" s="214"/>
      <c r="S2475" s="214"/>
      <c r="Y2475" s="214"/>
      <c r="Z2475" s="214"/>
      <c r="AF2475" s="212"/>
      <c r="AG2475" s="212"/>
    </row>
    <row r="2476" spans="5:33">
      <c r="E2476" s="376"/>
      <c r="F2476" s="376"/>
      <c r="G2476" s="376"/>
      <c r="H2476" s="376"/>
      <c r="K2476" s="214"/>
      <c r="S2476" s="214"/>
      <c r="Y2476" s="214"/>
      <c r="Z2476" s="214"/>
      <c r="AF2476" s="212"/>
      <c r="AG2476" s="212"/>
    </row>
    <row r="2477" spans="5:33">
      <c r="E2477" s="376"/>
      <c r="F2477" s="376"/>
      <c r="G2477" s="376"/>
      <c r="H2477" s="376"/>
      <c r="K2477" s="214"/>
      <c r="S2477" s="214"/>
      <c r="Y2477" s="214"/>
      <c r="Z2477" s="214"/>
      <c r="AF2477" s="212"/>
      <c r="AG2477" s="212"/>
    </row>
    <row r="2478" spans="5:33">
      <c r="E2478" s="376"/>
      <c r="F2478" s="376"/>
      <c r="G2478" s="376"/>
      <c r="H2478" s="376"/>
      <c r="K2478" s="214"/>
      <c r="S2478" s="214"/>
      <c r="Y2478" s="214"/>
      <c r="Z2478" s="214"/>
      <c r="AF2478" s="212"/>
      <c r="AG2478" s="212"/>
    </row>
    <row r="2479" spans="5:33">
      <c r="E2479" s="376"/>
      <c r="F2479" s="376"/>
      <c r="G2479" s="376"/>
      <c r="H2479" s="376"/>
      <c r="K2479" s="214"/>
      <c r="S2479" s="214"/>
      <c r="Y2479" s="214"/>
      <c r="Z2479" s="214"/>
      <c r="AF2479" s="212"/>
      <c r="AG2479" s="212"/>
    </row>
    <row r="2480" spans="5:33">
      <c r="E2480" s="376"/>
      <c r="F2480" s="376"/>
      <c r="G2480" s="376"/>
      <c r="H2480" s="376"/>
      <c r="K2480" s="214"/>
      <c r="S2480" s="214"/>
      <c r="Y2480" s="214"/>
      <c r="Z2480" s="214"/>
      <c r="AF2480" s="212"/>
      <c r="AG2480" s="212"/>
    </row>
    <row r="2481" spans="5:33">
      <c r="E2481" s="376"/>
      <c r="F2481" s="376"/>
      <c r="G2481" s="376"/>
      <c r="H2481" s="376"/>
      <c r="K2481" s="214"/>
      <c r="S2481" s="214"/>
      <c r="Y2481" s="214"/>
      <c r="Z2481" s="214"/>
      <c r="AF2481" s="212"/>
      <c r="AG2481" s="212"/>
    </row>
    <row r="2482" spans="5:33">
      <c r="E2482" s="376"/>
      <c r="F2482" s="376"/>
      <c r="G2482" s="376"/>
      <c r="H2482" s="376"/>
      <c r="K2482" s="214"/>
      <c r="S2482" s="214"/>
      <c r="Y2482" s="214"/>
      <c r="Z2482" s="214"/>
      <c r="AF2482" s="212"/>
      <c r="AG2482" s="212"/>
    </row>
    <row r="2483" spans="5:33">
      <c r="E2483" s="376"/>
      <c r="F2483" s="376"/>
      <c r="G2483" s="376"/>
      <c r="H2483" s="376"/>
      <c r="K2483" s="214"/>
      <c r="S2483" s="214"/>
      <c r="Y2483" s="214"/>
      <c r="Z2483" s="214"/>
      <c r="AF2483" s="212"/>
      <c r="AG2483" s="212"/>
    </row>
    <row r="2484" spans="5:33">
      <c r="E2484" s="376"/>
      <c r="F2484" s="376"/>
      <c r="G2484" s="376"/>
      <c r="H2484" s="376"/>
      <c r="K2484" s="214"/>
      <c r="S2484" s="214"/>
      <c r="Y2484" s="214"/>
      <c r="Z2484" s="214"/>
      <c r="AF2484" s="212"/>
      <c r="AG2484" s="212"/>
    </row>
    <row r="2485" spans="5:33">
      <c r="E2485" s="376"/>
      <c r="F2485" s="376"/>
      <c r="G2485" s="376"/>
      <c r="H2485" s="376"/>
      <c r="K2485" s="214"/>
      <c r="S2485" s="214"/>
      <c r="Y2485" s="214"/>
      <c r="Z2485" s="214"/>
      <c r="AF2485" s="212"/>
      <c r="AG2485" s="212"/>
    </row>
    <row r="2486" spans="5:33">
      <c r="E2486" s="376"/>
      <c r="F2486" s="376"/>
      <c r="G2486" s="376"/>
      <c r="H2486" s="376"/>
      <c r="K2486" s="214"/>
      <c r="S2486" s="214"/>
      <c r="Y2486" s="214"/>
      <c r="Z2486" s="214"/>
      <c r="AF2486" s="212"/>
      <c r="AG2486" s="212"/>
    </row>
    <row r="2487" spans="5:33">
      <c r="E2487" s="376"/>
      <c r="F2487" s="376"/>
      <c r="G2487" s="376"/>
      <c r="H2487" s="376"/>
      <c r="K2487" s="214"/>
      <c r="S2487" s="214"/>
      <c r="Y2487" s="214"/>
      <c r="Z2487" s="214"/>
      <c r="AF2487" s="212"/>
      <c r="AG2487" s="212"/>
    </row>
    <row r="2488" spans="5:33">
      <c r="E2488" s="376"/>
      <c r="F2488" s="376"/>
      <c r="G2488" s="376"/>
      <c r="H2488" s="376"/>
      <c r="K2488" s="214"/>
      <c r="S2488" s="214"/>
      <c r="Y2488" s="214"/>
      <c r="Z2488" s="214"/>
      <c r="AF2488" s="212"/>
      <c r="AG2488" s="212"/>
    </row>
    <row r="2489" spans="5:33">
      <c r="E2489" s="376"/>
      <c r="F2489" s="376"/>
      <c r="G2489" s="376"/>
      <c r="H2489" s="376"/>
      <c r="K2489" s="214"/>
      <c r="S2489" s="214"/>
      <c r="Y2489" s="214"/>
      <c r="Z2489" s="214"/>
      <c r="AF2489" s="212"/>
      <c r="AG2489" s="212"/>
    </row>
    <row r="2490" spans="5:33">
      <c r="E2490" s="376"/>
      <c r="F2490" s="376"/>
      <c r="G2490" s="376"/>
      <c r="H2490" s="376"/>
      <c r="K2490" s="214"/>
      <c r="S2490" s="214"/>
      <c r="Y2490" s="214"/>
      <c r="Z2490" s="214"/>
      <c r="AF2490" s="212"/>
      <c r="AG2490" s="212"/>
    </row>
    <row r="2491" spans="5:33">
      <c r="E2491" s="376"/>
      <c r="F2491" s="376"/>
      <c r="G2491" s="376"/>
      <c r="H2491" s="376"/>
      <c r="K2491" s="214"/>
      <c r="S2491" s="214"/>
      <c r="Y2491" s="214"/>
      <c r="Z2491" s="214"/>
      <c r="AF2491" s="212"/>
      <c r="AG2491" s="212"/>
    </row>
    <row r="2492" spans="5:33">
      <c r="E2492" s="376"/>
      <c r="F2492" s="376"/>
      <c r="G2492" s="376"/>
      <c r="H2492" s="376"/>
      <c r="K2492" s="214"/>
      <c r="S2492" s="214"/>
      <c r="Y2492" s="214"/>
      <c r="Z2492" s="214"/>
      <c r="AF2492" s="212"/>
      <c r="AG2492" s="212"/>
    </row>
    <row r="2493" spans="5:33">
      <c r="E2493" s="376"/>
      <c r="F2493" s="376"/>
      <c r="G2493" s="376"/>
      <c r="H2493" s="376"/>
      <c r="K2493" s="214"/>
      <c r="S2493" s="214"/>
      <c r="Y2493" s="214"/>
      <c r="Z2493" s="214"/>
      <c r="AF2493" s="212"/>
      <c r="AG2493" s="212"/>
    </row>
    <row r="2494" spans="5:33">
      <c r="E2494" s="376"/>
      <c r="F2494" s="376"/>
      <c r="G2494" s="376"/>
      <c r="H2494" s="376"/>
      <c r="K2494" s="214"/>
      <c r="S2494" s="214"/>
      <c r="Y2494" s="214"/>
      <c r="Z2494" s="214"/>
      <c r="AF2494" s="212"/>
      <c r="AG2494" s="212"/>
    </row>
    <row r="2495" spans="5:33">
      <c r="E2495" s="376"/>
      <c r="F2495" s="376"/>
      <c r="G2495" s="376"/>
      <c r="H2495" s="376"/>
      <c r="K2495" s="214"/>
      <c r="S2495" s="214"/>
      <c r="Y2495" s="214"/>
      <c r="Z2495" s="214"/>
      <c r="AF2495" s="212"/>
      <c r="AG2495" s="212"/>
    </row>
    <row r="2496" spans="5:33">
      <c r="E2496" s="376"/>
      <c r="F2496" s="376"/>
      <c r="G2496" s="376"/>
      <c r="H2496" s="376"/>
      <c r="K2496" s="214"/>
      <c r="S2496" s="214"/>
      <c r="Y2496" s="214"/>
      <c r="Z2496" s="214"/>
      <c r="AF2496" s="212"/>
      <c r="AG2496" s="212"/>
    </row>
    <row r="2497" spans="5:33">
      <c r="E2497" s="376"/>
      <c r="F2497" s="376"/>
      <c r="G2497" s="376"/>
      <c r="H2497" s="376"/>
      <c r="K2497" s="214"/>
      <c r="S2497" s="214"/>
      <c r="Y2497" s="214"/>
      <c r="Z2497" s="214"/>
      <c r="AF2497" s="212"/>
      <c r="AG2497" s="212"/>
    </row>
    <row r="2498" spans="5:33">
      <c r="E2498" s="376"/>
      <c r="F2498" s="376"/>
      <c r="G2498" s="376"/>
      <c r="H2498" s="376"/>
      <c r="K2498" s="214"/>
      <c r="S2498" s="214"/>
      <c r="Y2498" s="214"/>
      <c r="Z2498" s="214"/>
      <c r="AF2498" s="212"/>
      <c r="AG2498" s="212"/>
    </row>
    <row r="2499" spans="5:33">
      <c r="E2499" s="376"/>
      <c r="F2499" s="376"/>
      <c r="G2499" s="376"/>
      <c r="H2499" s="376"/>
      <c r="K2499" s="214"/>
      <c r="S2499" s="214"/>
      <c r="Y2499" s="214"/>
      <c r="Z2499" s="214"/>
      <c r="AF2499" s="212"/>
      <c r="AG2499" s="212"/>
    </row>
    <row r="2500" spans="5:33">
      <c r="E2500" s="376"/>
      <c r="F2500" s="376"/>
      <c r="G2500" s="376"/>
      <c r="H2500" s="376"/>
      <c r="K2500" s="214"/>
      <c r="S2500" s="214"/>
      <c r="Y2500" s="214"/>
      <c r="Z2500" s="214"/>
      <c r="AF2500" s="212"/>
      <c r="AG2500" s="212"/>
    </row>
    <row r="2501" spans="5:33">
      <c r="E2501" s="376"/>
      <c r="F2501" s="376"/>
      <c r="G2501" s="376"/>
      <c r="H2501" s="376"/>
      <c r="K2501" s="214"/>
      <c r="S2501" s="214"/>
      <c r="Y2501" s="214"/>
      <c r="Z2501" s="214"/>
      <c r="AF2501" s="212"/>
      <c r="AG2501" s="212"/>
    </row>
  </sheetData>
  <autoFilter ref="I1:AH2501" xr:uid="{E9C6FAB3-9EE9-46C6-A9F7-721333FAC6F1}">
    <sortState xmlns:xlrd2="http://schemas.microsoft.com/office/spreadsheetml/2017/richdata2" ref="I2:AH2501">
      <sortCondition descending="1" ref="AG1:AG2501"/>
    </sortState>
  </autoFilter>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2"/>
  <dimension ref="A4:H47"/>
  <sheetViews>
    <sheetView workbookViewId="0">
      <selection activeCell="K16" sqref="K16"/>
    </sheetView>
  </sheetViews>
  <sheetFormatPr defaultColWidth="9" defaultRowHeight="13.5" outlineLevelRow="1"/>
  <cols>
    <col min="1" max="1" width="27.125" style="32" customWidth="1"/>
    <col min="2" max="2" width="9.5" style="32" bestFit="1" customWidth="1"/>
    <col min="3" max="3" width="13.375" style="32" bestFit="1" customWidth="1"/>
    <col min="4" max="4" width="12.5" style="32" customWidth="1"/>
    <col min="5" max="5" width="8.125" style="32" bestFit="1" customWidth="1"/>
    <col min="6" max="6" width="12.75" style="32" bestFit="1" customWidth="1"/>
    <col min="7" max="7" width="15" style="32" bestFit="1" customWidth="1"/>
    <col min="8" max="8" width="19.375" style="32" bestFit="1" customWidth="1"/>
    <col min="9" max="16384" width="9" style="33"/>
  </cols>
  <sheetData>
    <row r="4" spans="1:6" outlineLevel="1"/>
    <row r="5" spans="1:6" outlineLevel="1"/>
    <row r="6" spans="1:6" outlineLevel="1"/>
    <row r="7" spans="1:6" outlineLevel="1"/>
    <row r="8" spans="1:6" outlineLevel="1"/>
    <row r="9" spans="1:6" outlineLevel="1"/>
    <row r="10" spans="1:6">
      <c r="C10" s="34">
        <f ca="1">TODAY()-1</f>
        <v>46240</v>
      </c>
    </row>
    <row r="11" spans="1:6">
      <c r="B11" s="32" t="s">
        <v>857</v>
      </c>
      <c r="C11" s="32" t="s">
        <v>839</v>
      </c>
      <c r="D11" s="32" t="s">
        <v>253</v>
      </c>
      <c r="E11" s="32" t="s">
        <v>254</v>
      </c>
      <c r="F11" s="35"/>
    </row>
    <row r="12" spans="1:6">
      <c r="B12" s="55"/>
      <c r="C12" s="55" t="s">
        <v>1250</v>
      </c>
      <c r="D12" s="55" t="s">
        <v>1249</v>
      </c>
      <c r="E12" s="55" t="s">
        <v>1251</v>
      </c>
    </row>
    <row r="13" spans="1:6">
      <c r="A13" s="32" t="s">
        <v>840</v>
      </c>
      <c r="B13" s="55" t="s">
        <v>855</v>
      </c>
      <c r="C13" s="56" t="e">
        <f ca="1">_xll.BDH($A13,"PX_LAST",TEXT($C$10,"YYYYMMDD"),TEXT($C$10,"YYYYMMDD"),"days=a","fill=p")</f>
        <v>#NAME?</v>
      </c>
      <c r="D13" s="56" t="e">
        <f ca="1">_xll.BDH($A13,"PX_LAST",TEXT($C$10-7,"YYYYMMDD"),TEXT($C$10-7,"YYYYMMDD"),"days=a","fill=p")</f>
        <v>#NAME?</v>
      </c>
      <c r="E13" s="57" t="e">
        <f t="shared" ref="E13:E22" ca="1" si="0">IF(D13="#N/A","",(C13-D13)*100)</f>
        <v>#NAME?</v>
      </c>
    </row>
    <row r="14" spans="1:6">
      <c r="A14" s="32" t="s">
        <v>841</v>
      </c>
      <c r="B14" s="55" t="s">
        <v>829</v>
      </c>
      <c r="C14" s="56" t="e">
        <f ca="1">_xll.BDH($A14,"PX_LAST",TEXT($C$10,"YYYYMMDD"),TEXT($C$10,"YYYYMMDD"),"days=a","fill=p")</f>
        <v>#NAME?</v>
      </c>
      <c r="D14" s="56" t="e">
        <f ca="1">_xll.BDH($A14,"PX_LAST",TEXT($C$10-7,"YYYYMMDD"),TEXT($C$10-7,"YYYYMMDD"),"days=a","fill=p")</f>
        <v>#NAME?</v>
      </c>
      <c r="E14" s="57" t="e">
        <f t="shared" ca="1" si="0"/>
        <v>#NAME?</v>
      </c>
    </row>
    <row r="15" spans="1:6">
      <c r="A15" s="32" t="s">
        <v>842</v>
      </c>
      <c r="B15" s="55" t="s">
        <v>830</v>
      </c>
      <c r="C15" s="56" t="e">
        <f ca="1">_xll.BDH($A15,"PX_LAST",TEXT($C$10,"YYYYMMDD"),TEXT($C$10,"YYYYMMDD"),"days=a","fill=p")</f>
        <v>#NAME?</v>
      </c>
      <c r="D15" s="56" t="e">
        <f ca="1">_xll.BDH($A15,"PX_LAST",TEXT($C$10-7,"YYYYMMDD"),TEXT($C$10-7,"YYYYMMDD"),"days=a","fill=p")</f>
        <v>#NAME?</v>
      </c>
      <c r="E15" s="57" t="e">
        <f ca="1">IF(D15="#N/A","",(C15-D15)*100)</f>
        <v>#NAME?</v>
      </c>
    </row>
    <row r="16" spans="1:6">
      <c r="A16" s="32" t="s">
        <v>843</v>
      </c>
      <c r="B16" s="55" t="s">
        <v>831</v>
      </c>
      <c r="C16" s="56" t="e">
        <f ca="1">_xll.BDH($A16,"PX_LAST",TEXT($C$10,"YYYYMMDD"),TEXT($C$10,"YYYYMMDD"),"days=a","fill=p")</f>
        <v>#NAME?</v>
      </c>
      <c r="D16" s="56" t="e">
        <f ca="1">_xll.BDH($A16,"PX_LAST",TEXT($C$10-7,"YYYYMMDD"),TEXT($C$10-7,"YYYYMMDD"),"days=a","fill=p")</f>
        <v>#NAME?</v>
      </c>
      <c r="E16" s="57" t="e">
        <f t="shared" ca="1" si="0"/>
        <v>#NAME?</v>
      </c>
    </row>
    <row r="17" spans="1:6">
      <c r="A17" s="32" t="s">
        <v>844</v>
      </c>
      <c r="B17" s="55" t="s">
        <v>832</v>
      </c>
      <c r="C17" s="56" t="e">
        <f ca="1">_xll.BDH($A17,"PX_LAST",TEXT($C$10,"YYYYMMDD"),TEXT($C$10,"YYYYMMDD"),"days=a","fill=p")</f>
        <v>#NAME?</v>
      </c>
      <c r="D17" s="56" t="e">
        <f ca="1">_xll.BDH($A17,"PX_LAST",TEXT($C$10-7,"YYYYMMDD"),TEXT($C$10-7,"YYYYMMDD"),"days=a","fill=p")</f>
        <v>#NAME?</v>
      </c>
      <c r="E17" s="57" t="e">
        <f t="shared" ca="1" si="0"/>
        <v>#NAME?</v>
      </c>
    </row>
    <row r="18" spans="1:6">
      <c r="A18" s="32" t="s">
        <v>845</v>
      </c>
      <c r="B18" s="55" t="s">
        <v>833</v>
      </c>
      <c r="C18" s="56" t="e">
        <f ca="1">_xll.BDH($A18,"PX_LAST",TEXT($C$10,"YYYYMMDD"),TEXT($C$10,"YYYYMMDD"),"days=a","fill=p")</f>
        <v>#NAME?</v>
      </c>
      <c r="D18" s="56" t="e">
        <f ca="1">_xll.BDH($A18,"PX_LAST",TEXT($C$10-7,"YYYYMMDD"),TEXT($C$10-7,"YYYYMMDD"),"days=a","fill=p")</f>
        <v>#NAME?</v>
      </c>
      <c r="E18" s="57" t="e">
        <f ca="1">IF(D18="#N/A","",(C18-D18)*100)</f>
        <v>#NAME?</v>
      </c>
    </row>
    <row r="19" spans="1:6">
      <c r="A19" s="32" t="s">
        <v>846</v>
      </c>
      <c r="B19" s="55" t="s">
        <v>834</v>
      </c>
      <c r="C19" s="56" t="e">
        <f ca="1">_xll.BDH($A19,"PX_LAST",TEXT($C$10,"YYYYMMDD"),TEXT($C$10,"YYYYMMDD"),"days=a","fill=p")</f>
        <v>#NAME?</v>
      </c>
      <c r="D19" s="56" t="e">
        <f ca="1">_xll.BDH($A19,"PX_LAST",TEXT($C$10-7,"YYYYMMDD"),TEXT($C$10-7,"YYYYMMDD"),"days=a","fill=p")</f>
        <v>#NAME?</v>
      </c>
      <c r="E19" s="57" t="e">
        <f t="shared" ca="1" si="0"/>
        <v>#NAME?</v>
      </c>
    </row>
    <row r="20" spans="1:6">
      <c r="A20" s="32" t="s">
        <v>847</v>
      </c>
      <c r="B20" s="55" t="s">
        <v>835</v>
      </c>
      <c r="C20" s="56" t="e">
        <f ca="1">_xll.BDH($A20,"PX_LAST",TEXT($C$10,"YYYYMMDD"),TEXT($C$10,"YYYYMMDD"),"days=a","fill=p")</f>
        <v>#NAME?</v>
      </c>
      <c r="D20" s="56" t="e">
        <f ca="1">_xll.BDH($A20,"PX_LAST",TEXT($C$10-7,"YYYYMMDD"),TEXT($C$10-7,"YYYYMMDD"),"days=a","fill=p")</f>
        <v>#NAME?</v>
      </c>
      <c r="E20" s="57" t="e">
        <f t="shared" ca="1" si="0"/>
        <v>#NAME?</v>
      </c>
    </row>
    <row r="21" spans="1:6">
      <c r="A21" s="32" t="s">
        <v>848</v>
      </c>
      <c r="B21" s="55" t="s">
        <v>836</v>
      </c>
      <c r="C21" s="56" t="e">
        <f ca="1">_xll.BDH($A21,"PX_LAST",TEXT($C$10,"YYYYMMDD"),TEXT($C$10,"YYYYMMDD"),"days=a","fill=p")</f>
        <v>#NAME?</v>
      </c>
      <c r="D21" s="56" t="e">
        <f ca="1">_xll.BDH($A21,"PX_LAST",TEXT($C$10-7,"YYYYMMDD"),TEXT($C$10-7,"YYYYMMDD"),"days=a","fill=p")</f>
        <v>#NAME?</v>
      </c>
      <c r="E21" s="57" t="e">
        <f t="shared" ca="1" si="0"/>
        <v>#NAME?</v>
      </c>
    </row>
    <row r="22" spans="1:6">
      <c r="A22" s="32" t="s">
        <v>849</v>
      </c>
      <c r="B22" s="55" t="s">
        <v>837</v>
      </c>
      <c r="C22" s="56" t="e">
        <f ca="1">_xll.BDH($A22,"PX_LAST",TEXT($C$10,"YYYYMMDD"),TEXT($C$10,"YYYYMMDD"),"days=a","fill=p")</f>
        <v>#NAME?</v>
      </c>
      <c r="D22" s="56" t="e">
        <f ca="1">_xll.BDH($A22,"PX_LAST",TEXT($C$10-7,"YYYYMMDD"),TEXT($C$10-7,"YYYYMMDD"),"days=a","fill=p")</f>
        <v>#NAME?</v>
      </c>
      <c r="E22" s="57" t="e">
        <f t="shared" ca="1" si="0"/>
        <v>#NAME?</v>
      </c>
    </row>
    <row r="23" spans="1:6">
      <c r="A23" s="32" t="s">
        <v>850</v>
      </c>
      <c r="B23" s="55" t="s">
        <v>838</v>
      </c>
      <c r="C23" s="56" t="e">
        <f ca="1">_xll.BDH($A23,"PX_LAST",TEXT($C$10,"YYYYMMDD"),TEXT($C$10,"YYYYMMDD"),"days=a","fill=p")</f>
        <v>#NAME?</v>
      </c>
      <c r="D23" s="56" t="e">
        <f ca="1">_xll.BDH($A23,"PX_LAST",TEXT($C$10-7,"YYYYMMDD"),TEXT($C$10-7,"YYYYMMDD"),"days=a","fill=p")</f>
        <v>#NAME?</v>
      </c>
      <c r="E23" s="57" t="e">
        <f ca="1">IF(D23="#N/A","",(C23-D23)*100)</f>
        <v>#NAME?</v>
      </c>
    </row>
    <row r="24" spans="1:6">
      <c r="C24" s="36"/>
    </row>
    <row r="25" spans="1:6">
      <c r="C25" s="36"/>
    </row>
    <row r="26" spans="1:6">
      <c r="C26" s="36"/>
    </row>
    <row r="27" spans="1:6">
      <c r="C27" s="58"/>
      <c r="D27" s="58"/>
      <c r="E27" s="58"/>
    </row>
    <row r="28" spans="1:6">
      <c r="C28" s="58"/>
      <c r="D28" s="58"/>
      <c r="E28" s="58"/>
    </row>
    <row r="29" spans="1:6">
      <c r="C29" s="58"/>
      <c r="D29" s="58"/>
      <c r="E29" s="58"/>
      <c r="F29" s="35"/>
    </row>
    <row r="30" spans="1:6">
      <c r="C30" s="58"/>
      <c r="D30" s="58"/>
      <c r="E30" s="58"/>
    </row>
    <row r="31" spans="1:6">
      <c r="C31" s="58"/>
      <c r="D31" s="58"/>
      <c r="E31" s="58"/>
    </row>
    <row r="32" spans="1:6">
      <c r="C32" s="58"/>
      <c r="D32" s="58"/>
      <c r="E32" s="58"/>
    </row>
    <row r="33" spans="3:5">
      <c r="C33" s="58"/>
      <c r="D33" s="58"/>
      <c r="E33" s="58"/>
    </row>
    <row r="34" spans="3:5">
      <c r="C34" s="58"/>
      <c r="D34" s="58"/>
      <c r="E34" s="58"/>
    </row>
    <row r="35" spans="3:5">
      <c r="C35" s="58"/>
      <c r="D35" s="58"/>
      <c r="E35" s="58"/>
    </row>
    <row r="36" spans="3:5">
      <c r="C36" s="58"/>
      <c r="D36" s="58"/>
      <c r="E36" s="58"/>
    </row>
    <row r="37" spans="3:5">
      <c r="C37" s="58"/>
      <c r="D37" s="58"/>
      <c r="E37" s="58"/>
    </row>
    <row r="38" spans="3:5">
      <c r="C38" s="36"/>
      <c r="D38" s="36"/>
      <c r="E38" s="36"/>
    </row>
    <row r="39" spans="3:5">
      <c r="C39" s="36"/>
      <c r="D39" s="36"/>
      <c r="E39" s="36"/>
    </row>
    <row r="40" spans="3:5">
      <c r="C40" s="36"/>
      <c r="D40" s="36"/>
      <c r="E40" s="36"/>
    </row>
    <row r="41" spans="3:5">
      <c r="C41" s="36"/>
      <c r="D41" s="36"/>
      <c r="E41" s="36"/>
    </row>
    <row r="42" spans="3:5">
      <c r="C42" s="36"/>
      <c r="D42" s="36"/>
      <c r="E42" s="36"/>
    </row>
    <row r="43" spans="3:5">
      <c r="C43" s="36"/>
      <c r="D43" s="36"/>
      <c r="E43" s="36"/>
    </row>
    <row r="44" spans="3:5">
      <c r="C44" s="36"/>
      <c r="D44" s="36"/>
      <c r="E44" s="36"/>
    </row>
    <row r="45" spans="3:5">
      <c r="C45" s="36"/>
      <c r="D45" s="36"/>
      <c r="E45" s="36"/>
    </row>
    <row r="46" spans="3:5">
      <c r="C46" s="36"/>
      <c r="D46" s="36"/>
      <c r="E46" s="36"/>
    </row>
    <row r="47" spans="3:5">
      <c r="C47" s="36"/>
      <c r="D47" s="36"/>
      <c r="E47" s="36"/>
    </row>
  </sheetData>
  <phoneticPr fontId="47" type="noConversion"/>
  <pageMargins left="0.75" right="0.75" top="1" bottom="1" header="0.5" footer="0.5"/>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V65"/>
  <sheetViews>
    <sheetView topLeftCell="A24" zoomScaleNormal="100" workbookViewId="0">
      <selection activeCell="B43" sqref="B43:E53"/>
    </sheetView>
  </sheetViews>
  <sheetFormatPr defaultColWidth="9" defaultRowHeight="13.5"/>
  <cols>
    <col min="1" max="1" width="9" style="1"/>
    <col min="2" max="2" width="29.125" style="1" bestFit="1" customWidth="1"/>
    <col min="3" max="3" width="19.625" style="1" bestFit="1" customWidth="1"/>
    <col min="4" max="4" width="19.625" style="1" customWidth="1"/>
    <col min="5" max="5" width="19.875" style="1" bestFit="1" customWidth="1"/>
    <col min="6" max="6" width="19.875" style="1" customWidth="1"/>
    <col min="7" max="8" width="9" style="1"/>
    <col min="9" max="9" width="0" style="1" hidden="1" customWidth="1"/>
    <col min="10" max="10" width="9" style="1"/>
    <col min="11" max="11" width="9.375" style="1" bestFit="1" customWidth="1"/>
    <col min="12" max="17" width="9" style="1"/>
    <col min="18" max="18" width="14.5" style="1" customWidth="1"/>
    <col min="19" max="16384" width="9" style="1"/>
  </cols>
  <sheetData>
    <row r="1" spans="2:22">
      <c r="B1" s="1" t="s">
        <v>723</v>
      </c>
      <c r="H1" s="1" t="s">
        <v>243</v>
      </c>
      <c r="I1" s="1" t="e">
        <f>#REF!&amp;#REF!&amp;#REF!</f>
        <v>#REF!</v>
      </c>
    </row>
    <row r="2" spans="2:22">
      <c r="B2" s="1" t="s">
        <v>499</v>
      </c>
      <c r="I2" s="1" t="s">
        <v>60</v>
      </c>
    </row>
    <row r="3" spans="2:22">
      <c r="B3" s="1" t="s">
        <v>61</v>
      </c>
    </row>
    <row r="4" spans="2:22">
      <c r="B4" s="1" t="s">
        <v>62</v>
      </c>
      <c r="H4" s="1" t="s">
        <v>458</v>
      </c>
    </row>
    <row r="5" spans="2:22">
      <c r="B5" s="1" t="s">
        <v>24</v>
      </c>
      <c r="C5" s="1" t="s">
        <v>25</v>
      </c>
      <c r="E5" s="1" t="s">
        <v>221</v>
      </c>
      <c r="G5" s="1" t="s">
        <v>186</v>
      </c>
      <c r="H5" s="1" t="s">
        <v>128</v>
      </c>
      <c r="I5" s="1" t="s">
        <v>138</v>
      </c>
      <c r="J5" s="1" t="s">
        <v>538</v>
      </c>
      <c r="K5" s="1" t="s">
        <v>487</v>
      </c>
    </row>
    <row r="6" spans="2:22">
      <c r="R6" s="48">
        <f ca="1">TODAY()-1</f>
        <v>46240</v>
      </c>
    </row>
    <row r="7" spans="2:22" ht="14.25" thickBot="1">
      <c r="B7" s="18" t="s">
        <v>488</v>
      </c>
      <c r="C7" s="1" t="s">
        <v>123</v>
      </c>
      <c r="D7" s="1" t="s">
        <v>767</v>
      </c>
      <c r="E7" s="18"/>
      <c r="F7" s="18"/>
      <c r="G7" s="18"/>
      <c r="J7" s="18" t="s">
        <v>489</v>
      </c>
      <c r="K7" s="18"/>
      <c r="L7" s="17">
        <f>LEN(J9)</f>
        <v>210</v>
      </c>
      <c r="M7" s="18"/>
      <c r="N7" s="18" t="s">
        <v>490</v>
      </c>
      <c r="O7" s="18"/>
      <c r="P7" s="18" t="s">
        <v>491</v>
      </c>
      <c r="R7" s="1" t="s">
        <v>122</v>
      </c>
      <c r="S7" s="1" t="s">
        <v>682</v>
      </c>
    </row>
    <row r="8" spans="2:22" ht="14.25" thickBot="1">
      <c r="B8" s="53" t="s">
        <v>785</v>
      </c>
      <c r="C8" s="1" t="s">
        <v>492</v>
      </c>
      <c r="D8" s="1" t="s">
        <v>1469</v>
      </c>
      <c r="E8" s="1" t="s">
        <v>1470</v>
      </c>
      <c r="F8" s="1" t="s">
        <v>806</v>
      </c>
      <c r="G8" s="1" t="s">
        <v>493</v>
      </c>
      <c r="U8" s="1" t="s">
        <v>494</v>
      </c>
    </row>
    <row r="9" spans="2:22" ht="14.45" customHeight="1">
      <c r="B9" s="1" t="s">
        <v>769</v>
      </c>
      <c r="C9" s="52" t="e">
        <f ca="1">_xll.BDH($G9,$R$7,TEXT($R$6,"YYYYMMDD"),TEXT($R$6,"YYYYMMDD"),"days=a","fill=p")</f>
        <v>#NAME?</v>
      </c>
      <c r="D9" s="52" t="e">
        <f ca="1">_xll.BDH($G9,$R$7,TEXT($R$6-7,"YYYYMMDD"),TEXT($R$6-7,"YYYYMMDD"),"days=a","fill=p")</f>
        <v>#NAME?</v>
      </c>
      <c r="E9" s="206" t="e">
        <f ca="1">C9-D9</f>
        <v>#NAME?</v>
      </c>
      <c r="F9" s="205" t="e">
        <f ca="1">($C9-$D9)/$D9*100</f>
        <v>#NAME?</v>
      </c>
      <c r="G9" s="1" t="s">
        <v>773</v>
      </c>
      <c r="J9" s="665" t="s">
        <v>674</v>
      </c>
      <c r="K9" s="666"/>
      <c r="L9" s="666"/>
      <c r="M9" s="666"/>
      <c r="N9" s="666"/>
      <c r="O9" s="666"/>
      <c r="P9" s="667"/>
    </row>
    <row r="10" spans="2:22">
      <c r="B10" s="1" t="s">
        <v>770</v>
      </c>
      <c r="C10" s="52" t="e">
        <f ca="1">_xll.BDH($G10,$R$7,TEXT($R$6,"YYYYMMDD"),TEXT($R$6,"YYYYMMDD"),"days=a","fill=p")</f>
        <v>#NAME?</v>
      </c>
      <c r="D10" s="52" t="e">
        <f ca="1">_xll.BDH($G10,$R$7,TEXT($R$6-7,"YYYYMMDD"),TEXT($R$6-7,"YYYYMMDD"),"days=a","fill=p")</f>
        <v>#NAME?</v>
      </c>
      <c r="E10" s="206" t="e">
        <f t="shared" ref="E10:E18" ca="1" si="0">C10-D10</f>
        <v>#NAME?</v>
      </c>
      <c r="F10" s="205" t="e">
        <f t="shared" ref="F10:F18" ca="1" si="1">($C10-$D10)/$D10*100</f>
        <v>#NAME?</v>
      </c>
      <c r="G10" s="1" t="s">
        <v>519</v>
      </c>
      <c r="J10" s="668"/>
      <c r="K10" s="669"/>
      <c r="L10" s="669"/>
      <c r="M10" s="669"/>
      <c r="N10" s="669"/>
      <c r="O10" s="669"/>
      <c r="P10" s="670"/>
      <c r="R10" s="52" t="e">
        <f ca="1">_xll.BDH($G10,$R$7,TEXT($R$6,"YYYYMMDD"),TEXT($R$6,"YYYYMMDD"),"days=a","fill=p")</f>
        <v>#NAME?</v>
      </c>
      <c r="S10" s="52" t="e">
        <f ca="1">_xll.BDH($G10,$R$7,TEXT($R$6-7,"YYYYMMDD"),TEXT($R$6-7,"YYYYMMDD"),"days=a","fill=p")</f>
        <v>#NAME?</v>
      </c>
    </row>
    <row r="11" spans="2:22">
      <c r="B11" s="1" t="s">
        <v>771</v>
      </c>
      <c r="C11" s="52" t="e">
        <f ca="1">_xll.BDH($G11,$R$7,TEXT($R$6,"YYYYMMDD"),TEXT($R$6,"YYYYMMDD"),"days=a","fill=p")</f>
        <v>#NAME?</v>
      </c>
      <c r="D11" s="52" t="e">
        <f ca="1">_xll.BDH($G11,$R$7,TEXT($R$6-7,"YYYYMMDD"),TEXT($R$6-7,"YYYYMMDD"),"days=a","fill=p")</f>
        <v>#NAME?</v>
      </c>
      <c r="E11" s="206" t="e">
        <f t="shared" ca="1" si="0"/>
        <v>#NAME?</v>
      </c>
      <c r="F11" s="205" t="e">
        <f t="shared" ca="1" si="1"/>
        <v>#NAME?</v>
      </c>
      <c r="G11" s="1" t="s">
        <v>520</v>
      </c>
      <c r="J11" s="668"/>
      <c r="K11" s="669"/>
      <c r="L11" s="669"/>
      <c r="M11" s="669"/>
      <c r="N11" s="669"/>
      <c r="O11" s="669"/>
      <c r="P11" s="670"/>
      <c r="R11" s="52" t="e">
        <f ca="1">_xll.BDH($G11,$R$7,TEXT($R$6,"YYYYMMDD"),TEXT($R$6,"YYYYMMDD"),"days=a","fill=p")</f>
        <v>#NAME?</v>
      </c>
      <c r="S11" s="52" t="e">
        <f ca="1">_xll.BDH($G11,$R$7,TEXT($R$6-7,"YYYYMMDD"),TEXT($R$6-7,"YYYYMMDD"),"days=a","fill=p")</f>
        <v>#NAME?</v>
      </c>
      <c r="U11" s="1" t="e">
        <f ca="1">IF(E10&gt;=0,"上漲","下跌")</f>
        <v>#NAME?</v>
      </c>
      <c r="V11" s="1" t="e">
        <f ca="1">U11&amp;E10&amp;" BP，來到 "&amp;C10</f>
        <v>#NAME?</v>
      </c>
    </row>
    <row r="12" spans="2:22">
      <c r="B12" s="1" t="s">
        <v>780</v>
      </c>
      <c r="C12" s="52" t="e">
        <f ca="1">_xll.BDH($G12,$R$7,TEXT($R$6,"YYYYMMDD"),TEXT($R$6,"YYYYMMDD"),"days=a","fill=p")</f>
        <v>#NAME?</v>
      </c>
      <c r="D12" s="52" t="e">
        <f ca="1">_xll.BDH($G12,$R$7,TEXT($R$6-7,"YYYYMMDD"),TEXT($R$6-7,"YYYYMMDD"),"days=a","fill=p")</f>
        <v>#NAME?</v>
      </c>
      <c r="E12" s="206" t="e">
        <f t="shared" ca="1" si="0"/>
        <v>#NAME?</v>
      </c>
      <c r="F12" s="205" t="e">
        <f t="shared" ca="1" si="1"/>
        <v>#NAME?</v>
      </c>
      <c r="G12" s="1" t="s">
        <v>237</v>
      </c>
      <c r="J12" s="668"/>
      <c r="K12" s="669"/>
      <c r="L12" s="669"/>
      <c r="M12" s="669"/>
      <c r="N12" s="669"/>
      <c r="O12" s="669"/>
      <c r="P12" s="670"/>
      <c r="R12" s="52" t="e">
        <f ca="1">_xll.BDH($G12,$R$7,TEXT($R$6,"YYYYMMDD"),TEXT($R$6,"YYYYMMDD"),"days=a","fill=p")</f>
        <v>#NAME?</v>
      </c>
      <c r="S12" s="52" t="e">
        <f ca="1">_xll.BDH($G12,$R$7,TEXT($R$6-7,"YYYYMMDD"),TEXT($R$6-7,"YYYYMMDD"),"days=a","fill=p")</f>
        <v>#NAME?</v>
      </c>
      <c r="U12" s="1" t="e">
        <f ca="1">IF(E11&gt;=0,"上漲","下跌")</f>
        <v>#NAME?</v>
      </c>
      <c r="V12" s="1" t="e">
        <f ca="1">U12&amp;E11&amp;" BP，來到 "&amp;C11</f>
        <v>#NAME?</v>
      </c>
    </row>
    <row r="13" spans="2:22">
      <c r="B13" s="1" t="s">
        <v>782</v>
      </c>
      <c r="C13" s="52" t="e">
        <f ca="1">_xll.BDH($G13,$R$7,TEXT($R$6,"YYYYMMDD"),TEXT($R$6,"YYYYMMDD"),"days=a","fill=p")</f>
        <v>#NAME?</v>
      </c>
      <c r="D13" s="52" t="e">
        <f ca="1">_xll.BDH($G13,$R$7,TEXT($R$6-7,"YYYYMMDD"),TEXT($R$6-7,"YYYYMMDD"),"days=a","fill=p")</f>
        <v>#NAME?</v>
      </c>
      <c r="E13" s="206" t="e">
        <f t="shared" ca="1" si="0"/>
        <v>#NAME?</v>
      </c>
      <c r="F13" s="205" t="e">
        <f t="shared" ca="1" si="1"/>
        <v>#NAME?</v>
      </c>
      <c r="G13" s="1" t="s">
        <v>783</v>
      </c>
      <c r="J13" s="668"/>
      <c r="K13" s="669"/>
      <c r="L13" s="669"/>
      <c r="M13" s="669"/>
      <c r="N13" s="669"/>
      <c r="O13" s="669"/>
      <c r="P13" s="670"/>
      <c r="R13" s="52" t="e">
        <f ca="1">_xll.BDH($G13,$R$7,TEXT($R$6,"YYYYMMDD"),TEXT($R$6,"YYYYMMDD"),"days=a","fill=p")</f>
        <v>#NAME?</v>
      </c>
      <c r="S13" s="52" t="e">
        <f ca="1">_xll.BDH($G13,$R$7,TEXT($R$6-7,"YYYYMMDD"),TEXT($R$6-7,"YYYYMMDD"),"days=a","fill=p")</f>
        <v>#NAME?</v>
      </c>
      <c r="U13" s="1" t="e">
        <f ca="1">IF(E12&gt;=0,"上漲","下跌")</f>
        <v>#NAME?</v>
      </c>
      <c r="V13" s="1" t="e">
        <f ca="1">U13&amp;E12&amp;" BP，來到 "&amp;C12</f>
        <v>#NAME?</v>
      </c>
    </row>
    <row r="14" spans="2:22">
      <c r="B14" s="1" t="s">
        <v>777</v>
      </c>
      <c r="C14" s="52" t="e">
        <f ca="1">_xll.BDH($G14,$R$7,TEXT($R$6,"YYYYMMDD"),TEXT($R$6,"YYYYMMDD"),"days=a","fill=p")</f>
        <v>#NAME?</v>
      </c>
      <c r="D14" s="52" t="e">
        <f ca="1">_xll.BDH($G14,$R$7,TEXT($R$6-7,"YYYYMMDD"),TEXT($R$6-7,"YYYYMMDD"),"days=a","fill=p")</f>
        <v>#NAME?</v>
      </c>
      <c r="E14" s="206" t="e">
        <f t="shared" ca="1" si="0"/>
        <v>#NAME?</v>
      </c>
      <c r="F14" s="205" t="e">
        <f t="shared" ca="1" si="1"/>
        <v>#NAME?</v>
      </c>
      <c r="G14" s="1" t="s">
        <v>776</v>
      </c>
      <c r="I14" s="2"/>
      <c r="J14" s="668"/>
      <c r="K14" s="669"/>
      <c r="L14" s="669"/>
      <c r="M14" s="669"/>
      <c r="N14" s="669"/>
      <c r="O14" s="669"/>
      <c r="P14" s="670"/>
      <c r="R14" s="52" t="e">
        <f ca="1">_xll.BDH($G14,$R$7,TEXT($R$6,"YYYYMMDD"),TEXT($R$6,"YYYYMMDD"),"days=a","fill=p")</f>
        <v>#NAME?</v>
      </c>
      <c r="S14" s="52" t="e">
        <f ca="1">_xll.BDH($G14,$R$7,TEXT($R$6-7,"YYYYMMDD"),TEXT($R$6-7,"YYYYMMDD"),"days=a","fill=p")</f>
        <v>#NAME?</v>
      </c>
      <c r="U14" s="1" t="e">
        <f>IF(#REF!&gt;=0,"上漲","下跌")</f>
        <v>#REF!</v>
      </c>
      <c r="V14" s="1" t="e">
        <f>U14&amp;#REF!&amp;" BP，來到 "&amp;#REF!</f>
        <v>#REF!</v>
      </c>
    </row>
    <row r="15" spans="2:22" ht="14.25" thickBot="1">
      <c r="B15" s="1" t="s">
        <v>772</v>
      </c>
      <c r="C15" s="52" t="e">
        <f ca="1">_xll.BDH($G15,$R$7,TEXT($R$6,"YYYYMMDD"),TEXT($R$6,"YYYYMMDD"),"days=a","fill=p")</f>
        <v>#NAME?</v>
      </c>
      <c r="D15" s="52" t="e">
        <f ca="1">_xll.BDH($G15,$R$7,TEXT($R$6-7,"YYYYMMDD"),TEXT($R$6-7,"YYYYMMDD"),"days=a","fill=p")</f>
        <v>#NAME?</v>
      </c>
      <c r="E15" s="206" t="e">
        <f t="shared" ca="1" si="0"/>
        <v>#NAME?</v>
      </c>
      <c r="F15" s="205" t="e">
        <f t="shared" ca="1" si="1"/>
        <v>#NAME?</v>
      </c>
      <c r="G15" s="1" t="s">
        <v>119</v>
      </c>
      <c r="I15" s="2"/>
      <c r="J15" s="671"/>
      <c r="K15" s="672"/>
      <c r="L15" s="672"/>
      <c r="M15" s="672"/>
      <c r="N15" s="672"/>
      <c r="O15" s="672"/>
      <c r="P15" s="673"/>
      <c r="R15" s="52" t="e">
        <f ca="1">_xll.BDH($G15,$R$7,TEXT($R$6,"YYYYMMDD"),TEXT($R$6,"YYYYMMDD"),"days=a","fill=p")</f>
        <v>#NAME?</v>
      </c>
      <c r="S15" s="52" t="e">
        <f ca="1">_xll.BDH($G15,$R$7,TEXT($R$6-7,"YYYYMMDD"),TEXT($R$6-7,"YYYYMMDD"),"days=a","fill=p")</f>
        <v>#NAME?</v>
      </c>
      <c r="U15" s="1" t="e">
        <f>IF(#REF!&gt;=0,"上漲","下跌")</f>
        <v>#REF!</v>
      </c>
      <c r="V15" s="1" t="e">
        <f>U15&amp;#REF!&amp;" BP，來到 "&amp;#REF!</f>
        <v>#REF!</v>
      </c>
    </row>
    <row r="16" spans="2:22">
      <c r="B16" s="1" t="s">
        <v>774</v>
      </c>
      <c r="C16" s="52" t="e">
        <f ca="1">_xll.BDH($G16,$R$7,TEXT($R$6,"YYYYMMDD"),TEXT($R$6,"YYYYMMDD"),"days=a","fill=p")</f>
        <v>#NAME?</v>
      </c>
      <c r="D16" s="52" t="e">
        <f ca="1">_xll.BDH($G16,$R$7,TEXT($R$6-7,"YYYYMMDD"),TEXT($R$6-7,"YYYYMMDD"),"days=a","fill=p")</f>
        <v>#NAME?</v>
      </c>
      <c r="E16" s="206" t="e">
        <f t="shared" ca="1" si="0"/>
        <v>#NAME?</v>
      </c>
      <c r="F16" s="205" t="e">
        <f t="shared" ca="1" si="1"/>
        <v>#NAME?</v>
      </c>
      <c r="G16" s="1" t="s">
        <v>775</v>
      </c>
      <c r="I16" s="2"/>
      <c r="J16" s="28"/>
      <c r="K16" s="28"/>
      <c r="L16" s="28"/>
      <c r="M16" s="28"/>
      <c r="N16" s="28"/>
      <c r="O16" s="28"/>
      <c r="P16" s="28"/>
      <c r="R16" s="52" t="e">
        <f ca="1">_xll.BDH($G16,$R$7,TEXT($R$6,"YYYYMMDD"),TEXT($R$6,"YYYYMMDD"),"days=a","fill=p")</f>
        <v>#NAME?</v>
      </c>
      <c r="S16" s="52" t="e">
        <f ca="1">_xll.BDH($G16,$R$7,TEXT($R$6-7,"YYYYMMDD"),TEXT($R$6-7,"YYYYMMDD"),"days=a","fill=p")</f>
        <v>#NAME?</v>
      </c>
      <c r="U16" s="1" t="e">
        <f ca="1">IF(E14&gt;=0,"上漲","下跌")</f>
        <v>#NAME?</v>
      </c>
      <c r="V16" s="1" t="e">
        <f ca="1">U16&amp;E14&amp;" BP，來到 "&amp;C14</f>
        <v>#NAME?</v>
      </c>
    </row>
    <row r="17" spans="2:19" ht="14.45" customHeight="1">
      <c r="B17" s="1" t="s">
        <v>778</v>
      </c>
      <c r="C17" s="52" t="e">
        <f ca="1">_xll.BDH($G17,$R$7,TEXT($R$6,"YYYYMMDD"),TEXT($R$6,"YYYYMMDD"),"days=a","fill=p")</f>
        <v>#NAME?</v>
      </c>
      <c r="D17" s="52" t="e">
        <f ca="1">_xll.BDH($G17,$R$7,TEXT($R$6-7,"YYYYMMDD"),TEXT($R$6-7,"YYYYMMDD"),"days=a","fill=p")</f>
        <v>#NAME?</v>
      </c>
      <c r="E17" s="206" t="e">
        <f t="shared" ca="1" si="0"/>
        <v>#NAME?</v>
      </c>
      <c r="F17" s="205" t="e">
        <f t="shared" ca="1" si="1"/>
        <v>#NAME?</v>
      </c>
      <c r="G17" s="1" t="s">
        <v>781</v>
      </c>
      <c r="I17" s="2"/>
      <c r="J17" s="674" t="s">
        <v>609</v>
      </c>
      <c r="K17" s="674"/>
      <c r="L17" s="674"/>
      <c r="M17" s="674"/>
      <c r="N17" s="674"/>
      <c r="O17" s="674"/>
      <c r="P17" s="674"/>
      <c r="R17" s="52" t="e">
        <f ca="1">_xll.BDH($G17,$R$7,TEXT($R$6,"YYYYMMDD"),TEXT($R$6,"YYYYMMDD"),"days=a","fill=p")</f>
        <v>#NAME?</v>
      </c>
      <c r="S17" s="52" t="e">
        <f ca="1">_xll.BDH($G17,$R$7,TEXT($R$6-7,"YYYYMMDD"),TEXT($R$6-7,"YYYYMMDD"),"days=a","fill=p")</f>
        <v>#NAME?</v>
      </c>
    </row>
    <row r="18" spans="2:19" ht="14.45" customHeight="1">
      <c r="B18" s="1" t="s">
        <v>779</v>
      </c>
      <c r="C18" s="52" t="e">
        <f ca="1">_xll.BDH($G18,$R$7,TEXT($R$6,"YYYYMMDD"),TEXT($R$6,"YYYYMMDD"),"days=a","fill=p")</f>
        <v>#NAME?</v>
      </c>
      <c r="D18" s="52" t="e">
        <f ca="1">_xll.BDH($G18,$R$7,TEXT($R$6-7,"YYYYMMDD"),TEXT($R$6-7,"YYYYMMDD"),"days=a","fill=p")</f>
        <v>#NAME?</v>
      </c>
      <c r="E18" s="206" t="e">
        <f t="shared" ca="1" si="0"/>
        <v>#NAME?</v>
      </c>
      <c r="F18" s="205" t="e">
        <f t="shared" ca="1" si="1"/>
        <v>#NAME?</v>
      </c>
      <c r="G18" s="1" t="s">
        <v>856</v>
      </c>
      <c r="I18" s="2"/>
      <c r="J18" s="31"/>
      <c r="K18" s="31"/>
      <c r="L18" s="31"/>
      <c r="M18" s="31"/>
      <c r="N18" s="31"/>
      <c r="O18" s="31"/>
      <c r="P18" s="31"/>
      <c r="R18" s="52" t="e">
        <f ca="1">_xll.BDH($G18,$R$7,TEXT($R$6,"YYYYMMDD"),TEXT($R$6,"YYYYMMDD"),"days=a","fill=p")</f>
        <v>#NAME?</v>
      </c>
      <c r="S18" s="52" t="e">
        <f ca="1">_xll.BDH($G18,$R$7,TEXT($R$6-7,"YYYYMMDD"),TEXT($R$6-7,"YYYYMMDD"),"days=a","fill=p")</f>
        <v>#NAME?</v>
      </c>
    </row>
    <row r="19" spans="2:19" ht="14.45" customHeight="1">
      <c r="B19" s="53" t="s">
        <v>786</v>
      </c>
      <c r="C19" s="52" t="s">
        <v>805</v>
      </c>
      <c r="D19" s="52"/>
      <c r="E19" s="1" t="s">
        <v>1470</v>
      </c>
      <c r="I19" s="2"/>
      <c r="J19" s="31"/>
      <c r="K19" s="31"/>
      <c r="L19" s="31"/>
      <c r="M19" s="31"/>
      <c r="N19" s="31"/>
      <c r="O19" s="31"/>
      <c r="P19" s="31"/>
      <c r="R19" s="52"/>
      <c r="S19" s="52"/>
    </row>
    <row r="20" spans="2:19" ht="14.45" customHeight="1">
      <c r="B20" s="1" t="s">
        <v>787</v>
      </c>
      <c r="C20" s="52" t="e">
        <f ca="1">_xll.BDH($G20,$R$7,TEXT($R$6,"YYYYMMDD"),TEXT($R$6,"YYYYMMDD"),"days=a","fill=p")</f>
        <v>#NAME?</v>
      </c>
      <c r="D20" s="52" t="e">
        <f ca="1">_xll.BDH($G20,$R$7,TEXT($R$6-7,"YYYYMMDD"),TEXT($R$6-7,"YYYYMMDD"),"days=a","fill=p")</f>
        <v>#NAME?</v>
      </c>
      <c r="E20" s="207" t="e">
        <f ca="1">($C20-$D20)</f>
        <v>#NAME?</v>
      </c>
      <c r="F20" s="205" t="e">
        <f ca="1">($C20-$D20)/$D20*100</f>
        <v>#NAME?</v>
      </c>
      <c r="G20" s="1" t="s">
        <v>797</v>
      </c>
      <c r="I20" s="2"/>
      <c r="J20" s="31"/>
      <c r="K20" s="31"/>
      <c r="L20" s="31"/>
      <c r="M20" s="31"/>
      <c r="N20" s="31"/>
      <c r="O20" s="31"/>
      <c r="P20" s="31"/>
    </row>
    <row r="21" spans="2:19" ht="14.45" customHeight="1">
      <c r="B21" s="1" t="s">
        <v>788</v>
      </c>
      <c r="C21" s="52" t="e">
        <f ca="1">_xll.BDH($G21,$R$7,TEXT($R$6,"YYYYMMDD"),TEXT($R$6,"YYYYMMDD"),"days=a","fill=p")</f>
        <v>#NAME?</v>
      </c>
      <c r="D21" s="52" t="e">
        <f ca="1">_xll.BDH($G21,$R$7,TEXT($R$6-7,"YYYYMMDD"),TEXT($R$6-7,"YYYYMMDD"),"days=a","fill=p")</f>
        <v>#NAME?</v>
      </c>
      <c r="E21" s="207" t="e">
        <f t="shared" ref="E21:E29" ca="1" si="2">($C21-$D21)</f>
        <v>#NAME?</v>
      </c>
      <c r="F21" s="205" t="e">
        <f t="shared" ref="F21:F29" ca="1" si="3">($C21-$D21)/$D21*100</f>
        <v>#NAME?</v>
      </c>
      <c r="G21" s="1" t="s">
        <v>798</v>
      </c>
      <c r="I21" s="2"/>
      <c r="J21" s="31"/>
      <c r="K21" s="31"/>
      <c r="L21" s="31"/>
      <c r="M21" s="31"/>
      <c r="N21" s="31"/>
      <c r="O21" s="31"/>
      <c r="P21" s="31"/>
      <c r="R21" s="52" t="e">
        <f ca="1">_xll.BDH($G21,$R$7,TEXT($R$6,"YYYYMMDD"),TEXT($R$6,"YYYYMMDD"),"days=a","fill=p")</f>
        <v>#NAME?</v>
      </c>
      <c r="S21" s="52" t="e">
        <f ca="1">_xll.BDH($G21,$R$7,TEXT($R$6-7,"YYYYMMDD"),TEXT($R$6-7,"YYYYMMDD"),"days=a","fill=p")</f>
        <v>#NAME?</v>
      </c>
    </row>
    <row r="22" spans="2:19" ht="14.45" customHeight="1">
      <c r="B22" s="1" t="s">
        <v>789</v>
      </c>
      <c r="C22" s="52" t="e">
        <f ca="1">_xll.BDH($G22,$R$7,TEXT($R$6,"YYYYMMDD"),TEXT($R$6,"YYYYMMDD"),"days=a","fill=p")</f>
        <v>#NAME?</v>
      </c>
      <c r="D22" s="52" t="e">
        <f ca="1">_xll.BDH($G22,$R$7,TEXT($R$6-7,"YYYYMMDD"),TEXT($R$6-7,"YYYYMMDD"),"days=a","fill=p")</f>
        <v>#NAME?</v>
      </c>
      <c r="E22" s="207" t="e">
        <f t="shared" ca="1" si="2"/>
        <v>#NAME?</v>
      </c>
      <c r="F22" s="205" t="e">
        <f t="shared" ca="1" si="3"/>
        <v>#NAME?</v>
      </c>
      <c r="G22" s="1" t="s">
        <v>799</v>
      </c>
      <c r="I22" s="2"/>
      <c r="J22" s="31"/>
      <c r="K22" s="31"/>
      <c r="L22" s="31"/>
      <c r="M22" s="31"/>
      <c r="N22" s="31"/>
      <c r="O22" s="31"/>
      <c r="P22" s="31"/>
      <c r="R22" s="52" t="e">
        <f ca="1">_xll.BDH($G22,$R$7,TEXT($R$6,"YYYYMMDD"),TEXT($R$6,"YYYYMMDD"),"days=a","fill=p")</f>
        <v>#NAME?</v>
      </c>
      <c r="S22" s="52" t="e">
        <f ca="1">_xll.BDH($G22,$R$7,TEXT($R$6-7,"YYYYMMDD"),TEXT($R$6-7,"YYYYMMDD"),"days=a","fill=p")</f>
        <v>#NAME?</v>
      </c>
    </row>
    <row r="23" spans="2:19" ht="14.45" customHeight="1">
      <c r="B23" s="1" t="s">
        <v>792</v>
      </c>
      <c r="C23" s="52" t="e">
        <f ca="1">_xll.BDH($G23,$R$7,TEXT($R$6,"YYYYMMDD"),TEXT($R$6,"YYYYMMDD"),"days=a","fill=p")</f>
        <v>#NAME?</v>
      </c>
      <c r="D23" s="52" t="e">
        <f ca="1">_xll.BDH($G23,$R$7,TEXT($R$6-7,"YYYYMMDD"),TEXT($R$6-7,"YYYYMMDD"),"days=a","fill=p")</f>
        <v>#NAME?</v>
      </c>
      <c r="E23" s="207" t="e">
        <f t="shared" ca="1" si="2"/>
        <v>#NAME?</v>
      </c>
      <c r="F23" s="205" t="e">
        <f t="shared" ca="1" si="3"/>
        <v>#NAME?</v>
      </c>
      <c r="G23" s="1" t="s">
        <v>800</v>
      </c>
      <c r="I23" s="2"/>
      <c r="J23" s="31"/>
      <c r="K23" s="31"/>
      <c r="L23" s="31"/>
      <c r="M23" s="31"/>
      <c r="N23" s="31"/>
      <c r="O23" s="31"/>
      <c r="P23" s="31"/>
      <c r="R23" s="52" t="e">
        <f ca="1">_xll.BDH($G23,$R$7,TEXT($R$6,"YYYYMMDD"),TEXT($R$6,"YYYYMMDD"),"days=a","fill=p")</f>
        <v>#NAME?</v>
      </c>
      <c r="S23" s="52" t="e">
        <f ca="1">_xll.BDH($G23,$R$7,TEXT($R$6-7,"YYYYMMDD"),TEXT($R$6-7,"YYYYMMDD"),"days=a","fill=p")</f>
        <v>#NAME?</v>
      </c>
    </row>
    <row r="24" spans="2:19" ht="14.45" customHeight="1">
      <c r="B24" s="1" t="s">
        <v>793</v>
      </c>
      <c r="C24" s="52" t="e">
        <f ca="1">_xll.BDH($G24,$R$7,TEXT($R$6,"YYYYMMDD"),TEXT($R$6,"YYYYMMDD"),"days=a","fill=p")</f>
        <v>#NAME?</v>
      </c>
      <c r="D24" s="52" t="e">
        <f ca="1">_xll.BDH($G24,$R$7,TEXT($R$6-7,"YYYYMMDD"),TEXT($R$6-7,"YYYYMMDD"),"days=a","fill=p")</f>
        <v>#NAME?</v>
      </c>
      <c r="E24" s="207" t="e">
        <f t="shared" ca="1" si="2"/>
        <v>#NAME?</v>
      </c>
      <c r="F24" s="205" t="e">
        <f t="shared" ca="1" si="3"/>
        <v>#NAME?</v>
      </c>
      <c r="G24" s="1" t="s">
        <v>794</v>
      </c>
      <c r="I24" s="2"/>
      <c r="J24" s="31"/>
      <c r="K24" s="31"/>
      <c r="L24" s="31"/>
      <c r="M24" s="31"/>
      <c r="N24" s="31"/>
      <c r="O24" s="31"/>
      <c r="P24" s="31"/>
      <c r="R24" s="52" t="e">
        <f ca="1">_xll.BDH($G24,$R$7,TEXT($R$6,"YYYYMMDD"),TEXT($R$6,"YYYYMMDD"),"days=a","fill=p")</f>
        <v>#NAME?</v>
      </c>
      <c r="S24" s="52" t="e">
        <f ca="1">_xll.BDH($G24,$R$7,TEXT($R$6-7,"YYYYMMDD"),TEXT($R$6-7,"YYYYMMDD"),"days=a","fill=p")</f>
        <v>#NAME?</v>
      </c>
    </row>
    <row r="25" spans="2:19" ht="14.45" customHeight="1">
      <c r="B25" s="1" t="s">
        <v>795</v>
      </c>
      <c r="C25" s="52" t="e">
        <f ca="1">_xll.BDH($G25,$R$7,TEXT($R$6,"YYYYMMDD"),TEXT($R$6,"YYYYMMDD"),"days=a","fill=p")</f>
        <v>#NAME?</v>
      </c>
      <c r="D25" s="52" t="e">
        <f ca="1">_xll.BDH($G25,$R$7,TEXT($R$6-7,"YYYYMMDD"),TEXT($R$6-7,"YYYYMMDD"),"days=a","fill=p")</f>
        <v>#NAME?</v>
      </c>
      <c r="E25" s="207" t="e">
        <f t="shared" ca="1" si="2"/>
        <v>#NAME?</v>
      </c>
      <c r="F25" s="205" t="e">
        <f t="shared" ca="1" si="3"/>
        <v>#NAME?</v>
      </c>
      <c r="G25" s="1" t="s">
        <v>796</v>
      </c>
      <c r="I25" s="2"/>
      <c r="J25" s="31"/>
      <c r="K25" s="31"/>
      <c r="L25" s="31"/>
      <c r="M25" s="31"/>
      <c r="N25" s="31"/>
      <c r="O25" s="31"/>
      <c r="P25" s="31"/>
      <c r="R25" s="52" t="e">
        <f ca="1">_xll.BDH($G25,$R$7,TEXT($R$6,"YYYYMMDD"),TEXT($R$6,"YYYYMMDD"),"days=a","fill=p")</f>
        <v>#NAME?</v>
      </c>
      <c r="S25" s="52" t="e">
        <f ca="1">_xll.BDH($G25,$R$7,TEXT($R$6-7,"YYYYMMDD"),TEXT($R$6-7,"YYYYMMDD"),"days=a","fill=p")</f>
        <v>#NAME?</v>
      </c>
    </row>
    <row r="26" spans="2:19" ht="14.45" customHeight="1">
      <c r="B26" s="1" t="s">
        <v>784</v>
      </c>
      <c r="C26" s="52" t="e">
        <f ca="1">_xll.BDH($G26,$R$7,TEXT($R$6,"YYYYMMDD"),TEXT($R$6,"YYYYMMDD"),"days=a","fill=p")</f>
        <v>#NAME?</v>
      </c>
      <c r="D26" s="52" t="e">
        <f ca="1">_xll.BDH($G26,$R$7,TEXT($R$6-7,"YYYYMMDD"),TEXT($R$6-7,"YYYYMMDD"),"days=a","fill=p")</f>
        <v>#NAME?</v>
      </c>
      <c r="E26" s="207" t="e">
        <f t="shared" ca="1" si="2"/>
        <v>#NAME?</v>
      </c>
      <c r="F26" s="205" t="e">
        <f t="shared" ca="1" si="3"/>
        <v>#NAME?</v>
      </c>
      <c r="G26" s="1" t="s">
        <v>801</v>
      </c>
      <c r="I26" s="2"/>
      <c r="J26" s="31"/>
      <c r="K26" s="31"/>
      <c r="L26" s="31"/>
      <c r="M26" s="31"/>
      <c r="N26" s="31"/>
      <c r="O26" s="31"/>
      <c r="P26" s="31"/>
      <c r="R26" s="52" t="e">
        <f ca="1">_xll.BDH($G26,$R$7,TEXT($R$6,"YYYYMMDD"),TEXT($R$6,"YYYYMMDD"),"days=a","fill=p")</f>
        <v>#NAME?</v>
      </c>
      <c r="S26" s="52" t="e">
        <f ca="1">_xll.BDH($G26,$R$7,TEXT($R$6-7,"YYYYMMDD"),TEXT($R$6-7,"YYYYMMDD"),"days=a","fill=p")</f>
        <v>#NAME?</v>
      </c>
    </row>
    <row r="27" spans="2:19" ht="14.45" customHeight="1">
      <c r="B27" s="1" t="s">
        <v>790</v>
      </c>
      <c r="C27" s="52" t="e">
        <f ca="1">_xll.BDH($G27,$R$7,TEXT($R$6,"YYYYMMDD"),TEXT($R$6,"YYYYMMDD"),"days=a","fill=p")</f>
        <v>#NAME?</v>
      </c>
      <c r="D27" s="52" t="e">
        <f ca="1">_xll.BDH($G27,$R$7,TEXT($R$6-7,"YYYYMMDD"),TEXT($R$6-7,"YYYYMMDD"),"days=a","fill=p")</f>
        <v>#NAME?</v>
      </c>
      <c r="E27" s="207" t="e">
        <f t="shared" ca="1" si="2"/>
        <v>#NAME?</v>
      </c>
      <c r="F27" s="205" t="e">
        <f t="shared" ca="1" si="3"/>
        <v>#NAME?</v>
      </c>
      <c r="G27" s="1" t="s">
        <v>91</v>
      </c>
      <c r="I27" s="2"/>
      <c r="J27" s="31"/>
      <c r="K27" s="31"/>
      <c r="L27" s="31"/>
      <c r="M27" s="31"/>
      <c r="N27" s="31"/>
      <c r="O27" s="31"/>
      <c r="P27" s="31"/>
      <c r="R27" s="52" t="e">
        <f ca="1">_xll.BDH($G27,$R$7,TEXT($R$6,"YYYYMMDD"),TEXT($R$6,"YYYYMMDD"),"days=a","fill=p")</f>
        <v>#NAME?</v>
      </c>
      <c r="S27" s="52" t="e">
        <f ca="1">_xll.BDH($G27,$R$7,TEXT($R$6-7,"YYYYMMDD"),TEXT($R$6-7,"YYYYMMDD"),"days=a","fill=p")</f>
        <v>#NAME?</v>
      </c>
    </row>
    <row r="28" spans="2:19" ht="14.45" customHeight="1">
      <c r="B28" s="1" t="s">
        <v>791</v>
      </c>
      <c r="C28" s="52" t="e">
        <f ca="1">_xll.BDH($G28,$R$7,TEXT($R$6,"YYYYMMDD"),TEXT($R$6,"YYYYMMDD"),"days=a","fill=p")</f>
        <v>#NAME?</v>
      </c>
      <c r="D28" s="52" t="e">
        <f ca="1">_xll.BDH($G28,$R$7,TEXT($R$6-7,"YYYYMMDD"),TEXT($R$6-7,"YYYYMMDD"),"days=a","fill=p")</f>
        <v>#NAME?</v>
      </c>
      <c r="E28" s="207" t="e">
        <f t="shared" ca="1" si="2"/>
        <v>#NAME?</v>
      </c>
      <c r="F28" s="205" t="e">
        <f t="shared" ca="1" si="3"/>
        <v>#NAME?</v>
      </c>
      <c r="G28" s="1" t="s">
        <v>802</v>
      </c>
      <c r="I28" s="2"/>
      <c r="J28" s="31"/>
      <c r="K28" s="31"/>
      <c r="L28" s="31"/>
      <c r="M28" s="31"/>
      <c r="N28" s="31"/>
      <c r="O28" s="31"/>
      <c r="P28" s="31"/>
      <c r="R28" s="52" t="e">
        <f ca="1">_xll.BDH($G28,$R$7,TEXT($R$6,"YYYYMMDD"),TEXT($R$6,"YYYYMMDD"),"days=a","fill=p")</f>
        <v>#NAME?</v>
      </c>
      <c r="S28" s="52" t="e">
        <f ca="1">_xll.BDH($G28,$R$7,TEXT($R$6-7,"YYYYMMDD"),TEXT($R$6-7,"YYYYMMDD"),"days=a","fill=p")</f>
        <v>#NAME?</v>
      </c>
    </row>
    <row r="29" spans="2:19" ht="14.45" customHeight="1">
      <c r="B29" s="1" t="s">
        <v>803</v>
      </c>
      <c r="C29" s="52" t="e">
        <f ca="1">_xll.BDH($G29,$R$7,TEXT($R$6,"YYYYMMDD"),TEXT($R$6,"YYYYMMDD"),"days=a","fill=p")</f>
        <v>#NAME?</v>
      </c>
      <c r="D29" s="52" t="e">
        <f ca="1">_xll.BDH($G29,$R$7,TEXT($R$6-7,"YYYYMMDD"),TEXT($R$6-7,"YYYYMMDD"),"days=a","fill=p")</f>
        <v>#NAME?</v>
      </c>
      <c r="E29" s="207" t="e">
        <f t="shared" ca="1" si="2"/>
        <v>#NAME?</v>
      </c>
      <c r="F29" s="205" t="e">
        <f t="shared" ca="1" si="3"/>
        <v>#NAME?</v>
      </c>
      <c r="G29" s="1" t="s">
        <v>804</v>
      </c>
      <c r="I29" s="2"/>
      <c r="J29" s="31"/>
      <c r="K29" s="31"/>
      <c r="L29" s="31"/>
      <c r="M29" s="31"/>
      <c r="N29" s="31"/>
      <c r="O29" s="31"/>
      <c r="P29" s="31"/>
      <c r="R29" s="52" t="e">
        <f ca="1">_xll.BDH($G29,$R$7,TEXT($R$6,"YYYYMMDD"),TEXT($R$6,"YYYYMMDD"),"days=a","fill=p")</f>
        <v>#NAME?</v>
      </c>
      <c r="S29" s="52" t="e">
        <f ca="1">_xll.BDH($G29,$R$7,TEXT($R$6-7,"YYYYMMDD"),TEXT($R$6-7,"YYYYMMDD"),"days=a","fill=p")</f>
        <v>#NAME?</v>
      </c>
    </row>
    <row r="30" spans="2:19" ht="14.45" customHeight="1">
      <c r="B30" s="53" t="s">
        <v>808</v>
      </c>
      <c r="C30" s="52" t="s">
        <v>805</v>
      </c>
      <c r="D30" s="52"/>
      <c r="E30" s="1" t="s">
        <v>806</v>
      </c>
      <c r="I30" s="2"/>
      <c r="J30" s="31"/>
      <c r="K30" s="31"/>
      <c r="L30" s="31"/>
      <c r="M30" s="31"/>
      <c r="N30" s="31"/>
      <c r="O30" s="31"/>
      <c r="P30" s="31"/>
      <c r="R30" s="52"/>
      <c r="S30" s="52"/>
    </row>
    <row r="31" spans="2:19" ht="14.45" customHeight="1">
      <c r="B31" s="1" t="s">
        <v>815</v>
      </c>
      <c r="C31" s="52" t="e">
        <f ca="1">_xll.BDH($G31,$R$7,TEXT($R$6,"YYYYMMDD"),TEXT($R$6,"YYYYMMDD"),"days=a","fill=p")</f>
        <v>#NAME?</v>
      </c>
      <c r="D31" s="52" t="e">
        <f ca="1">_xll.BDH($G31,$R$7,TEXT($R$6-7,"YYYYMMDD"),TEXT($R$6-7,"YYYYMMDD"),"days=a","fill=p")</f>
        <v>#NAME?</v>
      </c>
      <c r="E31" s="207" t="e">
        <f ca="1">($C31-$D31)</f>
        <v>#NAME?</v>
      </c>
      <c r="F31" s="205" t="e">
        <f ca="1">$E31/$D31*100</f>
        <v>#NAME?</v>
      </c>
      <c r="G31" s="1" t="s">
        <v>816</v>
      </c>
      <c r="I31" s="2"/>
      <c r="J31" s="31"/>
      <c r="K31" s="31"/>
      <c r="L31" s="31"/>
      <c r="M31" s="31"/>
      <c r="N31" s="31"/>
      <c r="O31" s="31"/>
      <c r="P31" s="31"/>
    </row>
    <row r="32" spans="2:19" ht="14.45" customHeight="1">
      <c r="B32" s="1" t="s">
        <v>809</v>
      </c>
      <c r="C32" s="52" t="e">
        <f ca="1">_xll.BDH($G32,$R$7,TEXT($R$6,"YYYYMMDD"),TEXT($R$6,"YYYYMMDD"),"days=a","fill=p")</f>
        <v>#NAME?</v>
      </c>
      <c r="D32" s="52" t="e">
        <f ca="1">_xll.BDH($G32,$R$7,TEXT($R$6-7,"YYYYMMDD"),TEXT($R$6-7,"YYYYMMDD"),"days=a","fill=p")</f>
        <v>#NAME?</v>
      </c>
      <c r="E32" s="207" t="e">
        <f t="shared" ref="E32:E37" ca="1" si="4">($C32-$D32)</f>
        <v>#NAME?</v>
      </c>
      <c r="F32" s="205" t="e">
        <f t="shared" ref="F32:F37" ca="1" si="5">$E32/$D32*100</f>
        <v>#NAME?</v>
      </c>
      <c r="G32" s="1" t="s">
        <v>817</v>
      </c>
      <c r="I32" s="2"/>
      <c r="J32" s="31"/>
      <c r="K32" s="31"/>
      <c r="L32" s="31"/>
      <c r="M32" s="31"/>
      <c r="N32" s="31"/>
      <c r="O32" s="31"/>
      <c r="P32" s="31"/>
      <c r="R32" s="52" t="e">
        <f ca="1">_xll.BDH($G32,$R$7,TEXT($R$6,"YYYYMMDD"),TEXT($R$6,"YYYYMMDD"),"days=a","fill=p")</f>
        <v>#NAME?</v>
      </c>
      <c r="S32" s="52" t="e">
        <f ca="1">_xll.BDH($G32,$R$7,TEXT($R$6-7,"YYYYMMDD"),TEXT($R$6-7,"YYYYMMDD"),"days=a","fill=p")</f>
        <v>#NAME?</v>
      </c>
    </row>
    <row r="33" spans="2:19" ht="14.45" customHeight="1">
      <c r="B33" s="1" t="s">
        <v>810</v>
      </c>
      <c r="C33" s="52" t="e">
        <f ca="1">_xll.BDH($G33,$R$7,TEXT($R$6,"YYYYMMDD"),TEXT($R$6,"YYYYMMDD"),"days=a","fill=p")</f>
        <v>#NAME?</v>
      </c>
      <c r="D33" s="52" t="e">
        <f ca="1">_xll.BDH($G33,$R$7,TEXT($R$6-7,"YYYYMMDD"),TEXT($R$6-7,"YYYYMMDD"),"days=a","fill=p")</f>
        <v>#NAME?</v>
      </c>
      <c r="E33" s="207" t="e">
        <f t="shared" ca="1" si="4"/>
        <v>#NAME?</v>
      </c>
      <c r="F33" s="205" t="e">
        <f t="shared" ca="1" si="5"/>
        <v>#NAME?</v>
      </c>
      <c r="G33" s="1" t="s">
        <v>818</v>
      </c>
      <c r="I33" s="2"/>
      <c r="J33" s="31"/>
      <c r="K33" s="31"/>
      <c r="L33" s="31"/>
      <c r="M33" s="31"/>
      <c r="N33" s="31"/>
      <c r="O33" s="31"/>
      <c r="P33" s="31"/>
      <c r="R33" s="52" t="e">
        <f ca="1">_xll.BDH($G33,$R$7,TEXT($R$6,"YYYYMMDD"),TEXT($R$6,"YYYYMMDD"),"days=a","fill=p")</f>
        <v>#NAME?</v>
      </c>
      <c r="S33" s="52" t="e">
        <f ca="1">_xll.BDH($G33,$R$7,TEXT($R$6-7,"YYYYMMDD"),TEXT($R$6-7,"YYYYMMDD"),"days=a","fill=p")</f>
        <v>#NAME?</v>
      </c>
    </row>
    <row r="34" spans="2:19" ht="14.45" customHeight="1">
      <c r="B34" s="1" t="s">
        <v>811</v>
      </c>
      <c r="C34" s="52" t="e">
        <f ca="1">_xll.BDH($G34,$R$7,TEXT($R$6,"YYYYMMDD"),TEXT($R$6,"YYYYMMDD"),"days=a","fill=p")</f>
        <v>#NAME?</v>
      </c>
      <c r="D34" s="52" t="e">
        <f ca="1">_xll.BDH($G34,$R$7,TEXT($R$6-7,"YYYYMMDD"),TEXT($R$6-7,"YYYYMMDD"),"days=a","fill=p")</f>
        <v>#NAME?</v>
      </c>
      <c r="E34" s="207" t="e">
        <f t="shared" ca="1" si="4"/>
        <v>#NAME?</v>
      </c>
      <c r="F34" s="205" t="e">
        <f t="shared" ca="1" si="5"/>
        <v>#NAME?</v>
      </c>
      <c r="G34" s="1" t="s">
        <v>819</v>
      </c>
      <c r="I34" s="2"/>
      <c r="J34" s="31"/>
      <c r="K34" s="31"/>
      <c r="L34" s="31"/>
      <c r="M34" s="31"/>
      <c r="N34" s="31"/>
      <c r="O34" s="31"/>
      <c r="P34" s="31"/>
      <c r="R34" s="52" t="e">
        <f ca="1">_xll.BDH($G34,$R$7,TEXT($R$6,"YYYYMMDD"),TEXT($R$6,"YYYYMMDD"),"days=a","fill=p")</f>
        <v>#NAME?</v>
      </c>
      <c r="S34" s="52" t="e">
        <f ca="1">_xll.BDH($G34,$R$7,TEXT($R$6-7,"YYYYMMDD"),TEXT($R$6-7,"YYYYMMDD"),"days=a","fill=p")</f>
        <v>#NAME?</v>
      </c>
    </row>
    <row r="35" spans="2:19" ht="14.45" customHeight="1">
      <c r="B35" s="1" t="s">
        <v>812</v>
      </c>
      <c r="C35" s="52" t="e">
        <f ca="1">_xll.BDH($G35,$R$7,TEXT($R$6,"YYYYMMDD"),TEXT($R$6,"YYYYMMDD"),"days=a","fill=p")</f>
        <v>#NAME?</v>
      </c>
      <c r="D35" s="52" t="e">
        <f ca="1">_xll.BDH($G35,$R$7,TEXT($R$6-7,"YYYYMMDD"),TEXT($R$6-7,"YYYYMMDD"),"days=a","fill=p")</f>
        <v>#NAME?</v>
      </c>
      <c r="E35" s="207" t="e">
        <f t="shared" ca="1" si="4"/>
        <v>#NAME?</v>
      </c>
      <c r="F35" s="205" t="e">
        <f t="shared" ca="1" si="5"/>
        <v>#NAME?</v>
      </c>
      <c r="G35" s="1" t="s">
        <v>820</v>
      </c>
      <c r="I35" s="2"/>
      <c r="J35" s="31"/>
      <c r="K35" s="31"/>
      <c r="L35" s="31"/>
      <c r="M35" s="31"/>
      <c r="N35" s="31"/>
      <c r="O35" s="31"/>
      <c r="P35" s="31"/>
      <c r="R35" s="52" t="e">
        <f ca="1">_xll.BDH($G35,$R$7,TEXT($R$6,"YYYYMMDD"),TEXT($R$6,"YYYYMMDD"),"days=a","fill=p")</f>
        <v>#NAME?</v>
      </c>
      <c r="S35" s="52" t="e">
        <f ca="1">_xll.BDH($G35,$R$7,TEXT($R$6-7,"YYYYMMDD"),TEXT($R$6-7,"YYYYMMDD"),"days=a","fill=p")</f>
        <v>#NAME?</v>
      </c>
    </row>
    <row r="36" spans="2:19" ht="14.45" customHeight="1">
      <c r="B36" s="1" t="s">
        <v>813</v>
      </c>
      <c r="C36" s="52" t="e">
        <f ca="1">_xll.BDH($G36,$R$7,TEXT($R$6,"YYYYMMDD"),TEXT($R$6,"YYYYMMDD"),"days=a","fill=p")</f>
        <v>#NAME?</v>
      </c>
      <c r="D36" s="52" t="e">
        <f ca="1">_xll.BDH($G36,$R$7,TEXT($R$6-7,"YYYYMMDD"),TEXT($R$6-7,"YYYYMMDD"),"days=a","fill=p")</f>
        <v>#NAME?</v>
      </c>
      <c r="E36" s="207" t="e">
        <f t="shared" ca="1" si="4"/>
        <v>#NAME?</v>
      </c>
      <c r="F36" s="205" t="e">
        <f t="shared" ca="1" si="5"/>
        <v>#NAME?</v>
      </c>
      <c r="G36" s="1" t="s">
        <v>821</v>
      </c>
      <c r="I36" s="2"/>
      <c r="J36" s="31"/>
      <c r="K36" s="31"/>
      <c r="L36" s="31"/>
      <c r="M36" s="31"/>
      <c r="N36" s="31"/>
      <c r="O36" s="31"/>
      <c r="P36" s="31"/>
      <c r="R36" s="52" t="e">
        <f ca="1">_xll.BDH($G36,$R$7,TEXT($R$6,"YYYYMMDD"),TEXT($R$6,"YYYYMMDD"),"days=a","fill=p")</f>
        <v>#NAME?</v>
      </c>
      <c r="S36" s="52" t="e">
        <f ca="1">_xll.BDH($G36,$R$7,TEXT($R$6-7,"YYYYMMDD"),TEXT($R$6-7,"YYYYMMDD"),"days=a","fill=p")</f>
        <v>#NAME?</v>
      </c>
    </row>
    <row r="37" spans="2:19" ht="14.45" customHeight="1">
      <c r="B37" s="1" t="s">
        <v>814</v>
      </c>
      <c r="C37" s="52" t="e">
        <f ca="1">_xll.BDH($G37,$R$7,TEXT($R$6,"YYYYMMDD"),TEXT($R$6,"YYYYMMDD"),"days=a","fill=p")</f>
        <v>#NAME?</v>
      </c>
      <c r="D37" s="52" t="e">
        <f ca="1">_xll.BDH($G37,$R$7,TEXT($R$6-7,"YYYYMMDD"),TEXT($R$6-7,"YYYYMMDD"),"days=a","fill=p")</f>
        <v>#NAME?</v>
      </c>
      <c r="E37" s="207" t="e">
        <f t="shared" ca="1" si="4"/>
        <v>#NAME?</v>
      </c>
      <c r="F37" s="205" t="e">
        <f t="shared" ca="1" si="5"/>
        <v>#NAME?</v>
      </c>
      <c r="G37" s="1" t="s">
        <v>822</v>
      </c>
      <c r="I37" s="2"/>
      <c r="J37" s="31"/>
      <c r="K37" s="31"/>
      <c r="L37" s="31"/>
      <c r="M37" s="31"/>
      <c r="N37" s="31"/>
      <c r="O37" s="31"/>
      <c r="P37" s="31"/>
      <c r="R37" s="52" t="e">
        <f ca="1">_xll.BDH($G37,$R$7,TEXT($R$6,"YYYYMMDD"),TEXT($R$6,"YYYYMMDD"),"days=a","fill=p")</f>
        <v>#NAME?</v>
      </c>
      <c r="S37" s="52" t="e">
        <f ca="1">_xll.BDH($G37,$R$7,TEXT($R$6-7,"YYYYMMDD"),TEXT($R$6-7,"YYYYMMDD"),"days=a","fill=p")</f>
        <v>#NAME?</v>
      </c>
    </row>
    <row r="38" spans="2:19" ht="14.45" customHeight="1">
      <c r="B38" s="53" t="s">
        <v>823</v>
      </c>
      <c r="C38" s="52" t="s">
        <v>854</v>
      </c>
      <c r="D38" s="52"/>
      <c r="E38" s="54" t="s">
        <v>807</v>
      </c>
      <c r="F38" s="54"/>
      <c r="I38" s="2"/>
      <c r="J38" s="31"/>
      <c r="K38" s="31"/>
      <c r="L38" s="31"/>
      <c r="M38" s="31"/>
      <c r="N38" s="31"/>
      <c r="O38" s="31"/>
      <c r="P38" s="31"/>
      <c r="R38" s="52"/>
      <c r="S38" s="52"/>
    </row>
    <row r="39" spans="2:19" ht="14.45" customHeight="1">
      <c r="B39" s="1" t="s">
        <v>827</v>
      </c>
      <c r="C39" s="52" t="e">
        <f ca="1">_xll.BDH($G39,$R$7,TEXT($R$6,"YYYYMMDD"),TEXT($R$6,"YYYYMMDD"),"days=a","fill=p")*100</f>
        <v>#NAME?</v>
      </c>
      <c r="D39" s="52" t="e">
        <f ca="1">_xll.BDH($G39,$R$7,TEXT($R$6-7,"YYYYMMDD"),TEXT($R$6-7,"YYYYMMDD"),"days=a","fill=p")*100</f>
        <v>#NAME?</v>
      </c>
      <c r="E39" s="206" t="e">
        <f ca="1">C39-D39</f>
        <v>#NAME?</v>
      </c>
      <c r="F39" s="207" t="e">
        <f ca="1">$E39/$D39*100</f>
        <v>#NAME?</v>
      </c>
      <c r="G39" s="1" t="s">
        <v>824</v>
      </c>
      <c r="I39" s="2"/>
      <c r="J39" s="31"/>
      <c r="K39" s="31"/>
      <c r="L39" s="31"/>
      <c r="M39" s="31"/>
      <c r="N39" s="31"/>
      <c r="O39" s="31"/>
      <c r="P39" s="31"/>
    </row>
    <row r="40" spans="2:19" ht="14.45" customHeight="1">
      <c r="B40" s="1" t="s">
        <v>853</v>
      </c>
      <c r="C40" s="52" t="e">
        <f ca="1">_xll.BDH($G40,$R$7,TEXT($R$6,"YYYYMMDD"),TEXT($R$6,"YYYYMMDD"),"days=a","fill=p")</f>
        <v>#NAME?</v>
      </c>
      <c r="D40" s="52" t="e">
        <f ca="1">_xll.BDH($G40,$R$7,TEXT($R$6-7,"YYYYMMDD"),TEXT($R$6-7,"YYYYMMDD"),"days=a","fill=p")</f>
        <v>#NAME?</v>
      </c>
      <c r="E40" s="206" t="e">
        <f t="shared" ref="E40:E53" ca="1" si="6">C40-D40</f>
        <v>#NAME?</v>
      </c>
      <c r="F40" s="207" t="e">
        <f t="shared" ref="F40:F53" ca="1" si="7">$E40/$D40*100</f>
        <v>#NAME?</v>
      </c>
      <c r="G40" s="1" t="s">
        <v>852</v>
      </c>
      <c r="I40" s="2"/>
      <c r="J40" s="31"/>
      <c r="K40" s="31"/>
      <c r="L40" s="31"/>
      <c r="M40" s="31"/>
      <c r="N40" s="31"/>
      <c r="O40" s="31"/>
      <c r="P40" s="31"/>
      <c r="R40" s="52" t="e">
        <f ca="1">_xll.BDH($G40,$R$7,TEXT($R$6,"YYYYMMDD"),TEXT($R$6,"YYYYMMDD"),"days=a","fill=p")</f>
        <v>#NAME?</v>
      </c>
      <c r="S40" s="52" t="e">
        <f ca="1">_xll.BDH($G40,$R$7,TEXT($R$6-7,"YYYYMMDD"),TEXT($R$6-7,"YYYYMMDD"),"days=a","fill=p")</f>
        <v>#NAME?</v>
      </c>
    </row>
    <row r="41" spans="2:19" ht="14.45" customHeight="1">
      <c r="B41" s="1" t="s">
        <v>826</v>
      </c>
      <c r="C41" s="52" t="e">
        <f ca="1">_xll.BDH($G41,$R$7,TEXT($R$6,"YYYYMMDD"),TEXT($R$6,"YYYYMMDD"),"days=a","fill=p")</f>
        <v>#NAME?</v>
      </c>
      <c r="D41" s="52" t="e">
        <f ca="1">_xll.BDH($G41,$R$7,TEXT($R$6-7,"YYYYMMDD"),TEXT($R$6-7,"YYYYMMDD"),"days=a","fill=p")</f>
        <v>#NAME?</v>
      </c>
      <c r="E41" s="206" t="e">
        <f t="shared" ca="1" si="6"/>
        <v>#NAME?</v>
      </c>
      <c r="F41" s="207" t="e">
        <f t="shared" ca="1" si="7"/>
        <v>#NAME?</v>
      </c>
      <c r="G41" s="1" t="s">
        <v>851</v>
      </c>
      <c r="I41" s="2"/>
      <c r="J41" s="31"/>
      <c r="K41" s="31"/>
      <c r="L41" s="31"/>
      <c r="M41" s="31"/>
      <c r="N41" s="31"/>
      <c r="O41" s="31"/>
      <c r="P41" s="31"/>
      <c r="R41" s="52" t="e">
        <f ca="1">_xll.BDH($G41,$R$7,TEXT($R$6,"YYYYMMDD"),TEXT($R$6,"YYYYMMDD"),"days=a","fill=p")</f>
        <v>#NAME?</v>
      </c>
      <c r="S41" s="52" t="e">
        <f ca="1">_xll.BDH($G41,$R$7,TEXT($R$6-7,"YYYYMMDD"),TEXT($R$6-7,"YYYYMMDD"),"days=a","fill=p")</f>
        <v>#NAME?</v>
      </c>
    </row>
    <row r="42" spans="2:19" ht="14.45" customHeight="1">
      <c r="B42" s="1" t="s">
        <v>825</v>
      </c>
      <c r="C42" s="52" t="e">
        <f ca="1">_xll.BDH($G42,$R$7,TEXT($R$6,"YYYYMMDD"),TEXT($R$6,"YYYYMMDD"),"days=a","fill=p")</f>
        <v>#NAME?</v>
      </c>
      <c r="D42" s="52" t="e">
        <f ca="1">_xll.BDH($G42,$R$7,TEXT($R$6-7,"YYYYMMDD"),TEXT($R$6-7,"YYYYMMDD"),"days=a","fill=p")</f>
        <v>#NAME?</v>
      </c>
      <c r="E42" s="206" t="e">
        <f t="shared" ca="1" si="6"/>
        <v>#NAME?</v>
      </c>
      <c r="F42" s="207" t="e">
        <f t="shared" ca="1" si="7"/>
        <v>#NAME?</v>
      </c>
      <c r="G42" s="1" t="s">
        <v>828</v>
      </c>
      <c r="I42" s="2"/>
      <c r="J42" s="31"/>
      <c r="K42" s="31"/>
      <c r="L42" s="31"/>
      <c r="M42" s="31"/>
      <c r="N42" s="31"/>
      <c r="O42" s="31"/>
      <c r="P42" s="31"/>
      <c r="R42" s="52" t="e">
        <f ca="1">_xll.BDH($G42,$R$7,TEXT($R$6,"YYYYMMDD"),TEXT($R$6,"YYYYMMDD"),"days=a","fill=p")</f>
        <v>#NAME?</v>
      </c>
      <c r="S42" s="52" t="e">
        <f ca="1">_xll.BDH($G42,$R$7,TEXT($R$6-7,"YYYYMMDD"),TEXT($R$6-7,"YYYYMMDD"),"days=a","fill=p")</f>
        <v>#NAME?</v>
      </c>
    </row>
    <row r="43" spans="2:19" ht="14.45" customHeight="1">
      <c r="B43" s="1" t="s">
        <v>1302</v>
      </c>
      <c r="C43" s="52" t="e">
        <f ca="1">_xll.BDH($G43,$R$7,TEXT($R$6,"YYYYMMDD"),TEXT($R$6,"YYYYMMDD"),"days=a","fill=p")</f>
        <v>#NAME?</v>
      </c>
      <c r="D43" s="52" t="e">
        <f ca="1">_xll.BDH($G43,$R$7,TEXT($R$6-7,"YYYYMMDD"),TEXT($R$6-7,"YYYYMMDD"),"days=a","fill=p")</f>
        <v>#NAME?</v>
      </c>
      <c r="E43" s="206" t="e">
        <f t="shared" ca="1" si="6"/>
        <v>#NAME?</v>
      </c>
      <c r="F43" s="207" t="e">
        <f t="shared" ca="1" si="7"/>
        <v>#NAME?</v>
      </c>
      <c r="G43" s="1" t="s">
        <v>1313</v>
      </c>
      <c r="I43" s="2"/>
      <c r="J43" s="31"/>
      <c r="K43" s="31"/>
      <c r="L43" s="31"/>
      <c r="M43" s="31"/>
      <c r="N43" s="31"/>
      <c r="O43" s="31"/>
      <c r="P43" s="31"/>
      <c r="R43" s="52" t="e">
        <f ca="1">_xll.BDH($G43,$R$7,TEXT($R$6,"YYYYMMDD"),TEXT($R$6,"YYYYMMDD"),"days=a","fill=p")</f>
        <v>#NAME?</v>
      </c>
      <c r="S43" s="52" t="e">
        <f ca="1">_xll.BDH($G43,$R$7,TEXT($R$6-7,"YYYYMMDD"),TEXT($R$6-7,"YYYYMMDD"),"days=a","fill=p")</f>
        <v>#NAME?</v>
      </c>
    </row>
    <row r="44" spans="2:19" ht="14.45" customHeight="1">
      <c r="B44" s="1" t="s">
        <v>1303</v>
      </c>
      <c r="C44" s="52" t="e">
        <f ca="1">_xll.BDH($G44,$R$7,TEXT($R$6,"YYYYMMDD"),TEXT($R$6,"YYYYMMDD"),"days=a","fill=p")</f>
        <v>#NAME?</v>
      </c>
      <c r="D44" s="52" t="e">
        <f ca="1">_xll.BDH($G44,$R$7,TEXT($R$6-7,"YYYYMMDD"),TEXT($R$6-7,"YYYYMMDD"),"days=a","fill=p")</f>
        <v>#NAME?</v>
      </c>
      <c r="E44" s="206" t="e">
        <f t="shared" ca="1" si="6"/>
        <v>#NAME?</v>
      </c>
      <c r="F44" s="207" t="e">
        <f t="shared" ca="1" si="7"/>
        <v>#NAME?</v>
      </c>
      <c r="G44" s="1" t="s">
        <v>1314</v>
      </c>
      <c r="I44" s="2"/>
      <c r="J44" s="31"/>
      <c r="K44" s="31"/>
      <c r="L44" s="31"/>
      <c r="M44" s="31"/>
      <c r="N44" s="31"/>
      <c r="O44" s="31"/>
      <c r="P44" s="31"/>
      <c r="R44" s="52" t="e">
        <f ca="1">_xll.BDH($G44,$R$7,TEXT($R$6,"YYYYMMDD"),TEXT($R$6,"YYYYMMDD"),"days=a","fill=p")</f>
        <v>#NAME?</v>
      </c>
      <c r="S44" s="52" t="e">
        <f ca="1">_xll.BDH($G44,$R$7,TEXT($R$6-7,"YYYYMMDD"),TEXT($R$6-7,"YYYYMMDD"),"days=a","fill=p")</f>
        <v>#NAME?</v>
      </c>
    </row>
    <row r="45" spans="2:19" ht="14.45" customHeight="1">
      <c r="B45" s="1" t="s">
        <v>1304</v>
      </c>
      <c r="C45" s="52" t="e">
        <f ca="1">_xll.BDH($G45,$R$7,TEXT($R$6,"YYYYMMDD"),TEXT($R$6,"YYYYMMDD"),"days=a","fill=p")</f>
        <v>#NAME?</v>
      </c>
      <c r="D45" s="52" t="e">
        <f ca="1">_xll.BDH($G45,$R$7,TEXT($R$6-7,"YYYYMMDD"),TEXT($R$6-7,"YYYYMMDD"),"days=a","fill=p")</f>
        <v>#NAME?</v>
      </c>
      <c r="E45" s="206" t="e">
        <f t="shared" ca="1" si="6"/>
        <v>#NAME?</v>
      </c>
      <c r="F45" s="207" t="e">
        <f t="shared" ca="1" si="7"/>
        <v>#NAME?</v>
      </c>
      <c r="G45" s="1" t="s">
        <v>1315</v>
      </c>
      <c r="I45" s="2"/>
      <c r="J45" s="31"/>
      <c r="K45" s="31"/>
      <c r="L45" s="31"/>
      <c r="M45" s="31"/>
      <c r="N45" s="31"/>
      <c r="O45" s="31"/>
      <c r="P45" s="31"/>
      <c r="R45" s="52" t="e">
        <f ca="1">_xll.BDH($G45,$R$7,TEXT($R$6,"YYYYMMDD"),TEXT($R$6,"YYYYMMDD"),"days=a","fill=p")</f>
        <v>#NAME?</v>
      </c>
      <c r="S45" s="52" t="e">
        <f ca="1">_xll.BDH($G45,$R$7,TEXT($R$6-7,"YYYYMMDD"),TEXT($R$6-7,"YYYYMMDD"),"days=a","fill=p")</f>
        <v>#NAME?</v>
      </c>
    </row>
    <row r="46" spans="2:19" ht="14.45" customHeight="1">
      <c r="B46" s="1" t="s">
        <v>1305</v>
      </c>
      <c r="C46" s="52" t="e">
        <f ca="1">_xll.BDH($G46,$R$7,TEXT($R$6,"YYYYMMDD"),TEXT($R$6,"YYYYMMDD"),"days=a","fill=p")</f>
        <v>#NAME?</v>
      </c>
      <c r="D46" s="52" t="e">
        <f ca="1">_xll.BDH($G46,$R$7,TEXT($R$6-7,"YYYYMMDD"),TEXT($R$6-7,"YYYYMMDD"),"days=a","fill=p")</f>
        <v>#NAME?</v>
      </c>
      <c r="E46" s="206" t="e">
        <f t="shared" ca="1" si="6"/>
        <v>#NAME?</v>
      </c>
      <c r="F46" s="207" t="e">
        <f t="shared" ca="1" si="7"/>
        <v>#NAME?</v>
      </c>
      <c r="G46" s="1" t="s">
        <v>1316</v>
      </c>
      <c r="I46" s="2"/>
      <c r="J46" s="31"/>
      <c r="K46" s="31"/>
      <c r="L46" s="31"/>
      <c r="M46" s="31"/>
      <c r="N46" s="31"/>
      <c r="O46" s="31"/>
      <c r="P46" s="31"/>
      <c r="R46" s="52" t="e">
        <f ca="1">_xll.BDH($G46,$R$7,TEXT($R$6,"YYYYMMDD"),TEXT($R$6,"YYYYMMDD"),"days=a","fill=p")</f>
        <v>#NAME?</v>
      </c>
      <c r="S46" s="52" t="e">
        <f ca="1">_xll.BDH($G46,$R$7,TEXT($R$6-7,"YYYYMMDD"),TEXT($R$6-7,"YYYYMMDD"),"days=a","fill=p")</f>
        <v>#NAME?</v>
      </c>
    </row>
    <row r="47" spans="2:19" ht="14.45" customHeight="1">
      <c r="B47" s="1" t="s">
        <v>1306</v>
      </c>
      <c r="C47" s="52" t="e">
        <f ca="1">_xll.BDH($G47,$R$7,TEXT($R$6,"YYYYMMDD"),TEXT($R$6,"YYYYMMDD"),"days=a","fill=p")</f>
        <v>#NAME?</v>
      </c>
      <c r="D47" s="52" t="e">
        <f ca="1">_xll.BDH($G47,$R$7,TEXT($R$6-7,"YYYYMMDD"),TEXT($R$6-7,"YYYYMMDD"),"days=a","fill=p")</f>
        <v>#NAME?</v>
      </c>
      <c r="E47" s="206" t="e">
        <f t="shared" ca="1" si="6"/>
        <v>#NAME?</v>
      </c>
      <c r="F47" s="207" t="e">
        <f t="shared" ca="1" si="7"/>
        <v>#NAME?</v>
      </c>
      <c r="G47" s="1" t="s">
        <v>1317</v>
      </c>
      <c r="I47" s="2"/>
      <c r="J47" s="31"/>
      <c r="K47" s="31"/>
      <c r="L47" s="31"/>
      <c r="M47" s="31"/>
      <c r="N47" s="31"/>
      <c r="O47" s="31"/>
      <c r="P47" s="31"/>
      <c r="R47" s="52" t="e">
        <f ca="1">_xll.BDH($G47,$R$7,TEXT($R$6,"YYYYMMDD"),TEXT($R$6,"YYYYMMDD"),"days=a","fill=p")</f>
        <v>#NAME?</v>
      </c>
      <c r="S47" s="52" t="e">
        <f ca="1">_xll.BDH($G47,$R$7,TEXT($R$6-7,"YYYYMMDD"),TEXT($R$6-7,"YYYYMMDD"),"days=a","fill=p")</f>
        <v>#NAME?</v>
      </c>
    </row>
    <row r="48" spans="2:19">
      <c r="B48" s="1" t="s">
        <v>1307</v>
      </c>
      <c r="C48" s="52" t="e">
        <f ca="1">_xll.BDH($G48,$R$7,TEXT($R$6,"YYYYMMDD"),TEXT($R$6,"YYYYMMDD"),"days=a","fill=p")</f>
        <v>#NAME?</v>
      </c>
      <c r="D48" s="52" t="e">
        <f ca="1">_xll.BDH($G48,$R$7,TEXT($R$6-7,"YYYYMMDD"),TEXT($R$6-7,"YYYYMMDD"),"days=a","fill=p")</f>
        <v>#NAME?</v>
      </c>
      <c r="E48" s="206" t="e">
        <f t="shared" ca="1" si="6"/>
        <v>#NAME?</v>
      </c>
      <c r="F48" s="207" t="e">
        <f t="shared" ca="1" si="7"/>
        <v>#NAME?</v>
      </c>
      <c r="G48" s="1" t="s">
        <v>1318</v>
      </c>
      <c r="I48" s="2"/>
      <c r="J48" s="31"/>
      <c r="K48" s="31"/>
      <c r="L48" s="31"/>
      <c r="M48" s="31"/>
      <c r="N48" s="31"/>
      <c r="O48" s="31"/>
      <c r="P48" s="31"/>
      <c r="R48" s="52" t="e">
        <f ca="1">_xll.BDH($G48,$R$7,TEXT($R$6,"YYYYMMDD"),TEXT($R$6,"YYYYMMDD"),"days=a","fill=p")</f>
        <v>#NAME?</v>
      </c>
      <c r="S48" s="52" t="e">
        <f ca="1">_xll.BDH($G48,$R$7,TEXT($R$6-7,"YYYYMMDD"),TEXT($R$6-7,"YYYYMMDD"),"days=a","fill=p")</f>
        <v>#NAME?</v>
      </c>
    </row>
    <row r="49" spans="2:19">
      <c r="B49" s="1" t="s">
        <v>1308</v>
      </c>
      <c r="C49" s="52" t="e">
        <f ca="1">_xll.BDH($G49,$R$7,TEXT($R$6,"YYYYMMDD"),TEXT($R$6,"YYYYMMDD"),"days=a","fill=p")</f>
        <v>#NAME?</v>
      </c>
      <c r="D49" s="52" t="e">
        <f ca="1">_xll.BDH($G49,$R$7,TEXT($R$6-7,"YYYYMMDD"),TEXT($R$6-7,"YYYYMMDD"),"days=a","fill=p")</f>
        <v>#NAME?</v>
      </c>
      <c r="E49" s="206" t="e">
        <f t="shared" ca="1" si="6"/>
        <v>#NAME?</v>
      </c>
      <c r="F49" s="207" t="e">
        <f t="shared" ca="1" si="7"/>
        <v>#NAME?</v>
      </c>
      <c r="G49" s="1" t="s">
        <v>1319</v>
      </c>
      <c r="I49" s="2"/>
      <c r="J49" s="31"/>
      <c r="K49" s="31"/>
      <c r="L49" s="31"/>
      <c r="M49" s="31"/>
      <c r="N49" s="31"/>
      <c r="O49" s="31"/>
      <c r="P49" s="31"/>
      <c r="R49" s="52" t="e">
        <f ca="1">_xll.BDH($G49,$R$7,TEXT($R$6,"YYYYMMDD"),TEXT($R$6,"YYYYMMDD"),"days=a","fill=p")</f>
        <v>#NAME?</v>
      </c>
      <c r="S49" s="52" t="e">
        <f ca="1">_xll.BDH($G49,$R$7,TEXT($R$6-7,"YYYYMMDD"),TEXT($R$6-7,"YYYYMMDD"),"days=a","fill=p")</f>
        <v>#NAME?</v>
      </c>
    </row>
    <row r="50" spans="2:19">
      <c r="B50" s="1" t="s">
        <v>1309</v>
      </c>
      <c r="C50" s="52" t="e">
        <f ca="1">_xll.BDH($G50,$R$7,TEXT($R$6,"YYYYMMDD"),TEXT($R$6,"YYYYMMDD"),"days=a","fill=p")</f>
        <v>#NAME?</v>
      </c>
      <c r="D50" s="52" t="e">
        <f ca="1">_xll.BDH($G50,$R$7,TEXT($R$6-7,"YYYYMMDD"),TEXT($R$6-7,"YYYYMMDD"),"days=a","fill=p")</f>
        <v>#NAME?</v>
      </c>
      <c r="E50" s="206" t="e">
        <f t="shared" ca="1" si="6"/>
        <v>#NAME?</v>
      </c>
      <c r="F50" s="207" t="e">
        <f t="shared" ca="1" si="7"/>
        <v>#NAME?</v>
      </c>
      <c r="G50" s="1" t="s">
        <v>1320</v>
      </c>
      <c r="I50" s="2"/>
      <c r="J50" s="31"/>
      <c r="K50" s="31"/>
      <c r="L50" s="31"/>
      <c r="M50" s="31"/>
      <c r="N50" s="31"/>
      <c r="O50" s="31"/>
      <c r="P50" s="31"/>
      <c r="R50" s="52" t="e">
        <f ca="1">_xll.BDH($G50,$R$7,TEXT($R$6,"YYYYMMDD"),TEXT($R$6,"YYYYMMDD"),"days=a","fill=p")</f>
        <v>#NAME?</v>
      </c>
      <c r="S50" s="52" t="e">
        <f ca="1">_xll.BDH($G50,$R$7,TEXT($R$6-7,"YYYYMMDD"),TEXT($R$6-7,"YYYYMMDD"),"days=a","fill=p")</f>
        <v>#NAME?</v>
      </c>
    </row>
    <row r="51" spans="2:19">
      <c r="B51" s="1" t="s">
        <v>1310</v>
      </c>
      <c r="C51" s="52" t="e">
        <f ca="1">_xll.BDH($G51,$R$7,TEXT($R$6,"YYYYMMDD"),TEXT($R$6,"YYYYMMDD"),"days=a","fill=p")</f>
        <v>#NAME?</v>
      </c>
      <c r="D51" s="52" t="e">
        <f ca="1">_xll.BDH($G51,$R$7,TEXT($R$6-7,"YYYYMMDD"),TEXT($R$6-7,"YYYYMMDD"),"days=a","fill=p")</f>
        <v>#NAME?</v>
      </c>
      <c r="E51" s="206" t="e">
        <f t="shared" ca="1" si="6"/>
        <v>#NAME?</v>
      </c>
      <c r="F51" s="207" t="e">
        <f t="shared" ca="1" si="7"/>
        <v>#NAME?</v>
      </c>
      <c r="G51" s="1" t="s">
        <v>1321</v>
      </c>
      <c r="I51" s="2"/>
      <c r="J51" s="31"/>
      <c r="K51" s="31"/>
      <c r="L51" s="31"/>
      <c r="M51" s="31"/>
      <c r="N51" s="31"/>
      <c r="O51" s="31"/>
      <c r="P51" s="31"/>
      <c r="R51" s="52" t="e">
        <f ca="1">_xll.BDH($G51,$R$7,TEXT($R$6,"YYYYMMDD"),TEXT($R$6,"YYYYMMDD"),"days=a","fill=p")</f>
        <v>#NAME?</v>
      </c>
      <c r="S51" s="52" t="e">
        <f ca="1">_xll.BDH($G51,$R$7,TEXT($R$6-7,"YYYYMMDD"),TEXT($R$6-7,"YYYYMMDD"),"days=a","fill=p")</f>
        <v>#NAME?</v>
      </c>
    </row>
    <row r="52" spans="2:19" ht="13.5" customHeight="1">
      <c r="B52" s="1" t="s">
        <v>1311</v>
      </c>
      <c r="C52" s="52" t="e">
        <f ca="1">_xll.BDH($G52,$R$7,TEXT($R$6,"YYYYMMDD"),TEXT($R$6,"YYYYMMDD"),"days=a","fill=p")</f>
        <v>#NAME?</v>
      </c>
      <c r="D52" s="52" t="e">
        <f ca="1">_xll.BDH($G52,$R$7,TEXT($R$6-7,"YYYYMMDD"),TEXT($R$6-7,"YYYYMMDD"),"days=a","fill=p")</f>
        <v>#NAME?</v>
      </c>
      <c r="E52" s="206" t="e">
        <f t="shared" ca="1" si="6"/>
        <v>#NAME?</v>
      </c>
      <c r="F52" s="207" t="e">
        <f t="shared" ca="1" si="7"/>
        <v>#NAME?</v>
      </c>
      <c r="G52" s="1" t="s">
        <v>1322</v>
      </c>
      <c r="I52" s="2"/>
      <c r="J52" s="31"/>
      <c r="K52" s="31"/>
      <c r="L52" s="31"/>
      <c r="M52" s="31"/>
      <c r="N52" s="31"/>
      <c r="O52" s="31"/>
      <c r="P52" s="31"/>
      <c r="R52" s="52" t="e">
        <f ca="1">_xll.BDH($G52,$R$7,TEXT($R$6,"YYYYMMDD"),TEXT($R$6,"YYYYMMDD"),"days=a","fill=p")</f>
        <v>#NAME?</v>
      </c>
      <c r="S52" s="52" t="e">
        <f ca="1">_xll.BDH($G52,$R$7,TEXT($R$6-7,"YYYYMMDD"),TEXT($R$6-7,"YYYYMMDD"),"days=a","fill=p")</f>
        <v>#NAME?</v>
      </c>
    </row>
    <row r="53" spans="2:19">
      <c r="B53" s="1" t="s">
        <v>1312</v>
      </c>
      <c r="C53" s="52" t="e">
        <f ca="1">_xll.BDH($G53,$R$7,TEXT($R$6,"YYYYMMDD"),TEXT($R$6,"YYYYMMDD"),"days=a","fill=p")</f>
        <v>#NAME?</v>
      </c>
      <c r="D53" s="52" t="e">
        <f ca="1">_xll.BDH($G53,$R$7,TEXT($R$6-7,"YYYYMMDD"),TEXT($R$6-7,"YYYYMMDD"),"days=a","fill=p")</f>
        <v>#NAME?</v>
      </c>
      <c r="E53" s="206" t="e">
        <f t="shared" ca="1" si="6"/>
        <v>#NAME?</v>
      </c>
      <c r="F53" s="207" t="e">
        <f t="shared" ca="1" si="7"/>
        <v>#NAME?</v>
      </c>
      <c r="G53" s="1" t="s">
        <v>1323</v>
      </c>
      <c r="I53" s="2"/>
      <c r="J53" s="28"/>
      <c r="K53" s="669"/>
      <c r="L53" s="669"/>
      <c r="M53" s="669"/>
      <c r="N53" s="669"/>
      <c r="O53" s="669"/>
      <c r="P53" s="669"/>
      <c r="Q53" s="28"/>
      <c r="R53" s="52" t="e">
        <f ca="1">_xll.BDH($G53,$R$7,TEXT($R$6,"YYYYMMDD"),TEXT($R$6,"YYYYMMDD"),"days=a","fill=p")</f>
        <v>#NAME?</v>
      </c>
      <c r="S53" s="52" t="e">
        <f ca="1">_xll.BDH($G53,$R$7,TEXT($R$6-7,"YYYYMMDD"),TEXT($R$6-7,"YYYYMMDD"),"days=a","fill=p")</f>
        <v>#NAME?</v>
      </c>
    </row>
    <row r="54" spans="2:19">
      <c r="I54" s="2"/>
      <c r="J54" s="28"/>
      <c r="K54" s="669"/>
      <c r="L54" s="669"/>
      <c r="M54" s="28"/>
      <c r="N54" s="28"/>
      <c r="O54" s="28"/>
      <c r="P54" s="28"/>
    </row>
    <row r="55" spans="2:19">
      <c r="I55" s="2"/>
      <c r="J55" s="28"/>
      <c r="K55" s="28"/>
      <c r="L55" s="28"/>
      <c r="M55" s="28"/>
      <c r="N55" s="28"/>
      <c r="O55" s="28"/>
      <c r="P55" s="28"/>
    </row>
    <row r="56" spans="2:19">
      <c r="C56" s="2"/>
      <c r="D56" s="2"/>
      <c r="E56" s="2"/>
      <c r="F56" s="2"/>
      <c r="G56" s="2"/>
      <c r="H56" s="2"/>
    </row>
    <row r="57" spans="2:19">
      <c r="C57" s="2"/>
      <c r="D57" s="2"/>
      <c r="E57" s="2"/>
      <c r="F57" s="2"/>
      <c r="G57" s="2"/>
      <c r="H57" s="2"/>
    </row>
    <row r="58" spans="2:19">
      <c r="G58" s="2"/>
      <c r="H58" s="2"/>
    </row>
    <row r="59" spans="2:19">
      <c r="G59" s="2"/>
      <c r="H59" s="2"/>
    </row>
    <row r="60" spans="2:19">
      <c r="G60" s="2"/>
      <c r="H60" s="2"/>
    </row>
    <row r="61" spans="2:19">
      <c r="G61" s="2"/>
      <c r="H61" s="2"/>
    </row>
    <row r="62" spans="2:19">
      <c r="G62" s="2"/>
      <c r="H62" s="2"/>
    </row>
    <row r="63" spans="2:19">
      <c r="G63" s="2"/>
      <c r="H63" s="2"/>
    </row>
    <row r="64" spans="2:19">
      <c r="G64" s="2"/>
      <c r="H64" s="2"/>
    </row>
    <row r="65" spans="7:7">
      <c r="G65" s="2"/>
    </row>
  </sheetData>
  <mergeCells count="4">
    <mergeCell ref="J9:P15"/>
    <mergeCell ref="J17:P17"/>
    <mergeCell ref="K53:P53"/>
    <mergeCell ref="K54:L54"/>
  </mergeCells>
  <phoneticPr fontId="21" type="noConversion"/>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M486"/>
  <sheetViews>
    <sheetView workbookViewId="0">
      <selection activeCell="N10" sqref="N10"/>
    </sheetView>
  </sheetViews>
  <sheetFormatPr defaultColWidth="9" defaultRowHeight="13.5"/>
  <cols>
    <col min="1" max="1" width="10.875" style="41" bestFit="1" customWidth="1"/>
    <col min="2" max="3" width="10" style="41" bestFit="1" customWidth="1"/>
    <col min="4" max="4" width="8.5" style="41" bestFit="1" customWidth="1"/>
    <col min="5" max="5" width="15.125" style="42" bestFit="1" customWidth="1"/>
    <col min="6" max="6" width="8" style="42" bestFit="1" customWidth="1"/>
    <col min="7" max="7" width="12.75" style="42" bestFit="1" customWidth="1"/>
    <col min="8" max="8" width="8.875" style="42" customWidth="1"/>
    <col min="9" max="9" width="9.375" style="42" customWidth="1"/>
    <col min="10" max="11" width="8" style="42" customWidth="1"/>
    <col min="12" max="12" width="9" style="42"/>
    <col min="13" max="13" width="10.125" style="42" bestFit="1" customWidth="1"/>
    <col min="14" max="16384" width="9" style="41"/>
  </cols>
  <sheetData>
    <row r="1" spans="1:11">
      <c r="A1" s="44">
        <f ca="1">TODAY()-1</f>
        <v>46240</v>
      </c>
      <c r="E1" s="42" t="s">
        <v>858</v>
      </c>
      <c r="G1" s="42" t="s">
        <v>859</v>
      </c>
      <c r="I1" s="42" t="s">
        <v>860</v>
      </c>
    </row>
    <row r="2" spans="1:11">
      <c r="B2" s="41" t="s">
        <v>863</v>
      </c>
      <c r="C2" s="41" t="s">
        <v>864</v>
      </c>
      <c r="D2" s="41" t="s">
        <v>865</v>
      </c>
      <c r="E2" s="42" t="s">
        <v>260</v>
      </c>
      <c r="F2" s="42" t="s">
        <v>81</v>
      </c>
      <c r="G2" s="42" t="s">
        <v>260</v>
      </c>
      <c r="H2" s="42" t="s">
        <v>81</v>
      </c>
      <c r="I2" s="42" t="s">
        <v>861</v>
      </c>
      <c r="J2" s="42" t="s">
        <v>862</v>
      </c>
    </row>
    <row r="3" spans="1:11">
      <c r="A3" s="43" t="e">
        <f ca="1">+E3</f>
        <v>#NAME?</v>
      </c>
      <c r="B3" s="60">
        <f>F3</f>
        <v>-10.76</v>
      </c>
      <c r="C3" s="60">
        <f>H3</f>
        <v>13.154999999999999</v>
      </c>
      <c r="D3" s="60">
        <f>J3</f>
        <v>33.174999999999997</v>
      </c>
      <c r="E3" s="44" t="e">
        <f ca="1">_xll.BDH($E$1, "PX_LAST", TODAY()-365, TODAY()-1,"cols=2;rows=260")</f>
        <v>#NAME?</v>
      </c>
      <c r="F3" s="59">
        <v>-10.76</v>
      </c>
      <c r="G3" s="44" t="e">
        <f ca="1">_xll.BDH($G$1, "PX_LAST", TODAY()-365, TODAY()-1,"cols=2;rows=260")</f>
        <v>#NAME?</v>
      </c>
      <c r="H3" s="59">
        <v>13.154999999999999</v>
      </c>
      <c r="I3" s="44" t="e">
        <f ca="1">_xll.BDH($I$1, "PX_LAST", TODAY()-365, TODAY()-1,"cols=2;rows=260")</f>
        <v>#NAME?</v>
      </c>
      <c r="J3" s="59">
        <v>33.174999999999997</v>
      </c>
      <c r="K3" s="59"/>
    </row>
    <row r="4" spans="1:11">
      <c r="A4" s="43">
        <f t="shared" ref="A4:A67" si="0">+E4</f>
        <v>45615</v>
      </c>
      <c r="B4" s="60">
        <f t="shared" ref="B4:B67" si="1">F4</f>
        <v>-13.063000000000001</v>
      </c>
      <c r="C4" s="60">
        <f t="shared" ref="C4:C67" si="2">H4</f>
        <v>11.16</v>
      </c>
      <c r="D4" s="60">
        <f t="shared" ref="D4:D67" si="3">J4</f>
        <v>31.759</v>
      </c>
      <c r="E4" s="44">
        <v>45615</v>
      </c>
      <c r="F4" s="59">
        <v>-13.063000000000001</v>
      </c>
      <c r="G4" s="44">
        <v>45615</v>
      </c>
      <c r="H4" s="59">
        <v>11.16</v>
      </c>
      <c r="I4" s="44">
        <v>45615</v>
      </c>
      <c r="J4" s="59">
        <v>31.759</v>
      </c>
      <c r="K4" s="59"/>
    </row>
    <row r="5" spans="1:11">
      <c r="A5" s="43">
        <f t="shared" si="0"/>
        <v>45616</v>
      </c>
      <c r="B5" s="60">
        <f t="shared" si="1"/>
        <v>-13.189</v>
      </c>
      <c r="C5" s="60">
        <f t="shared" si="2"/>
        <v>9.1259999999999994</v>
      </c>
      <c r="D5" s="60">
        <f t="shared" si="3"/>
        <v>31.713999999999999</v>
      </c>
      <c r="E5" s="44">
        <v>45616</v>
      </c>
      <c r="F5" s="59">
        <v>-13.189</v>
      </c>
      <c r="G5" s="44">
        <v>45616</v>
      </c>
      <c r="H5" s="59">
        <v>9.1259999999999994</v>
      </c>
      <c r="I5" s="44">
        <v>45616</v>
      </c>
      <c r="J5" s="59">
        <v>31.713999999999999</v>
      </c>
      <c r="K5" s="59"/>
    </row>
    <row r="6" spans="1:11">
      <c r="A6" s="43">
        <f t="shared" si="0"/>
        <v>45617</v>
      </c>
      <c r="B6" s="60">
        <f t="shared" si="1"/>
        <v>-12.989000000000001</v>
      </c>
      <c r="C6" s="60">
        <f t="shared" si="2"/>
        <v>7.0979999999999999</v>
      </c>
      <c r="D6" s="60">
        <f t="shared" si="3"/>
        <v>29.606999999999999</v>
      </c>
      <c r="E6" s="44">
        <v>45617</v>
      </c>
      <c r="F6" s="59">
        <v>-12.989000000000001</v>
      </c>
      <c r="G6" s="44">
        <v>45617</v>
      </c>
      <c r="H6" s="59">
        <v>7.0979999999999999</v>
      </c>
      <c r="I6" s="44">
        <v>45617</v>
      </c>
      <c r="J6" s="59">
        <v>29.606999999999999</v>
      </c>
      <c r="K6" s="59"/>
    </row>
    <row r="7" spans="1:11">
      <c r="A7" s="43">
        <f t="shared" si="0"/>
        <v>45618</v>
      </c>
      <c r="B7" s="60">
        <f t="shared" si="1"/>
        <v>-15.238</v>
      </c>
      <c r="C7" s="60">
        <f t="shared" si="2"/>
        <v>2.0830000000000002</v>
      </c>
      <c r="D7" s="60">
        <f t="shared" si="3"/>
        <v>28.931999999999999</v>
      </c>
      <c r="E7" s="44">
        <v>45618</v>
      </c>
      <c r="F7" s="59">
        <v>-15.238</v>
      </c>
      <c r="G7" s="44">
        <v>45618</v>
      </c>
      <c r="H7" s="59">
        <v>2.0830000000000002</v>
      </c>
      <c r="I7" s="44">
        <v>45618</v>
      </c>
      <c r="J7" s="59">
        <v>28.931999999999999</v>
      </c>
      <c r="K7" s="59"/>
    </row>
    <row r="8" spans="1:11">
      <c r="A8" s="43">
        <f t="shared" si="0"/>
        <v>45621</v>
      </c>
      <c r="B8" s="60">
        <f t="shared" si="1"/>
        <v>-25.81</v>
      </c>
      <c r="C8" s="60">
        <f t="shared" si="2"/>
        <v>-0.17799999999999999</v>
      </c>
      <c r="D8" s="60">
        <f t="shared" si="3"/>
        <v>28.815999999999999</v>
      </c>
      <c r="E8" s="44">
        <v>45621</v>
      </c>
      <c r="F8" s="59">
        <v>-25.81</v>
      </c>
      <c r="G8" s="44">
        <v>45621</v>
      </c>
      <c r="H8" s="59">
        <v>-0.17799999999999999</v>
      </c>
      <c r="I8" s="44">
        <v>45621</v>
      </c>
      <c r="J8" s="59">
        <v>28.815999999999999</v>
      </c>
      <c r="K8" s="59"/>
    </row>
    <row r="9" spans="1:11">
      <c r="A9" s="43">
        <f t="shared" si="0"/>
        <v>45622</v>
      </c>
      <c r="B9" s="60">
        <f t="shared" si="1"/>
        <v>-19.265999999999998</v>
      </c>
      <c r="C9" s="60">
        <f t="shared" si="2"/>
        <v>4.8099999999999996</v>
      </c>
      <c r="D9" s="60">
        <f t="shared" si="3"/>
        <v>29.103000000000002</v>
      </c>
      <c r="E9" s="44">
        <v>45622</v>
      </c>
      <c r="F9" s="59">
        <v>-19.265999999999998</v>
      </c>
      <c r="G9" s="44">
        <v>45622</v>
      </c>
      <c r="H9" s="59">
        <v>4.8099999999999996</v>
      </c>
      <c r="I9" s="44">
        <v>45622</v>
      </c>
      <c r="J9" s="59">
        <v>29.103000000000002</v>
      </c>
      <c r="K9" s="59"/>
    </row>
    <row r="10" spans="1:11">
      <c r="A10" s="43">
        <f t="shared" si="0"/>
        <v>45623</v>
      </c>
      <c r="B10" s="60">
        <f t="shared" si="1"/>
        <v>-24.474</v>
      </c>
      <c r="C10" s="60">
        <f t="shared" si="2"/>
        <v>3.2090000000000001</v>
      </c>
      <c r="D10" s="60">
        <f t="shared" si="3"/>
        <v>29.934999999999999</v>
      </c>
      <c r="E10" s="44">
        <v>45623</v>
      </c>
      <c r="F10" s="59">
        <v>-24.474</v>
      </c>
      <c r="G10" s="44">
        <v>45623</v>
      </c>
      <c r="H10" s="59">
        <v>3.2090000000000001</v>
      </c>
      <c r="I10" s="44">
        <v>45623</v>
      </c>
      <c r="J10" s="59">
        <v>29.934999999999999</v>
      </c>
      <c r="K10" s="59"/>
    </row>
    <row r="11" spans="1:11">
      <c r="A11" s="43">
        <f t="shared" si="0"/>
        <v>45624</v>
      </c>
      <c r="B11" s="60">
        <f t="shared" si="1"/>
        <v>-24.474</v>
      </c>
      <c r="C11" s="60">
        <f t="shared" si="2"/>
        <v>3.2090000000000001</v>
      </c>
      <c r="D11" s="60">
        <f t="shared" si="3"/>
        <v>29.934999999999999</v>
      </c>
      <c r="E11" s="44">
        <v>45624</v>
      </c>
      <c r="F11" s="59">
        <v>-24.474</v>
      </c>
      <c r="G11" s="44">
        <v>45624</v>
      </c>
      <c r="H11" s="59">
        <v>3.2090000000000001</v>
      </c>
      <c r="I11" s="44">
        <v>45624</v>
      </c>
      <c r="J11" s="59">
        <v>29.934999999999999</v>
      </c>
      <c r="K11" s="59"/>
    </row>
    <row r="12" spans="1:11">
      <c r="A12" s="43">
        <f t="shared" si="0"/>
        <v>45625</v>
      </c>
      <c r="B12" s="60">
        <f t="shared" si="1"/>
        <v>-33.015999999999998</v>
      </c>
      <c r="C12" s="60">
        <f t="shared" si="2"/>
        <v>1.347</v>
      </c>
      <c r="D12" s="60">
        <f t="shared" si="3"/>
        <v>30.994</v>
      </c>
      <c r="E12" s="44">
        <v>45625</v>
      </c>
      <c r="F12" s="59">
        <v>-33.015999999999998</v>
      </c>
      <c r="G12" s="44">
        <v>45625</v>
      </c>
      <c r="H12" s="59">
        <v>1.347</v>
      </c>
      <c r="I12" s="44">
        <v>45625</v>
      </c>
      <c r="J12" s="59">
        <v>30.994</v>
      </c>
      <c r="K12" s="59"/>
    </row>
    <row r="13" spans="1:11">
      <c r="A13" s="43">
        <f t="shared" si="0"/>
        <v>45628</v>
      </c>
      <c r="B13" s="60">
        <f t="shared" si="1"/>
        <v>-28.253</v>
      </c>
      <c r="C13" s="60">
        <f t="shared" si="2"/>
        <v>0.59799999999999998</v>
      </c>
      <c r="D13" s="60">
        <f t="shared" si="3"/>
        <v>27.35</v>
      </c>
      <c r="E13" s="44">
        <v>45628</v>
      </c>
      <c r="F13" s="59">
        <v>-28.253</v>
      </c>
      <c r="G13" s="44">
        <v>45628</v>
      </c>
      <c r="H13" s="59">
        <v>0.59799999999999998</v>
      </c>
      <c r="I13" s="44">
        <v>45628</v>
      </c>
      <c r="J13" s="59">
        <v>27.35</v>
      </c>
      <c r="K13" s="59"/>
    </row>
    <row r="14" spans="1:11">
      <c r="A14" s="43">
        <f t="shared" si="0"/>
        <v>45629</v>
      </c>
      <c r="B14" s="60">
        <f t="shared" si="1"/>
        <v>-24.585000000000001</v>
      </c>
      <c r="C14" s="60">
        <f t="shared" si="2"/>
        <v>4.2990000000000004</v>
      </c>
      <c r="D14" s="60">
        <f t="shared" si="3"/>
        <v>28.727</v>
      </c>
      <c r="E14" s="44">
        <v>45629</v>
      </c>
      <c r="F14" s="59">
        <v>-24.585000000000001</v>
      </c>
      <c r="G14" s="44">
        <v>45629</v>
      </c>
      <c r="H14" s="59">
        <v>4.2990000000000004</v>
      </c>
      <c r="I14" s="44">
        <v>45629</v>
      </c>
      <c r="J14" s="59">
        <v>28.727</v>
      </c>
      <c r="K14" s="59"/>
    </row>
    <row r="15" spans="1:11">
      <c r="A15" s="43">
        <f t="shared" si="0"/>
        <v>45630</v>
      </c>
      <c r="B15" s="60">
        <f t="shared" si="1"/>
        <v>-28.395</v>
      </c>
      <c r="C15" s="60">
        <f t="shared" si="2"/>
        <v>4.8380000000000001</v>
      </c>
      <c r="D15" s="60">
        <f t="shared" si="3"/>
        <v>27.523</v>
      </c>
      <c r="E15" s="44">
        <v>45630</v>
      </c>
      <c r="F15" s="59">
        <v>-28.395</v>
      </c>
      <c r="G15" s="44">
        <v>45630</v>
      </c>
      <c r="H15" s="59">
        <v>4.8380000000000001</v>
      </c>
      <c r="I15" s="44">
        <v>45630</v>
      </c>
      <c r="J15" s="59">
        <v>27.523</v>
      </c>
      <c r="K15" s="59"/>
    </row>
    <row r="16" spans="1:11">
      <c r="A16" s="43">
        <f t="shared" si="0"/>
        <v>45631</v>
      </c>
      <c r="B16" s="60">
        <f t="shared" si="1"/>
        <v>-27.5</v>
      </c>
      <c r="C16" s="60">
        <f t="shared" si="2"/>
        <v>3.0089999999999999</v>
      </c>
      <c r="D16" s="60">
        <f t="shared" si="3"/>
        <v>25.641999999999999</v>
      </c>
      <c r="E16" s="44">
        <v>45631</v>
      </c>
      <c r="F16" s="59">
        <v>-27.5</v>
      </c>
      <c r="G16" s="44">
        <v>45631</v>
      </c>
      <c r="H16" s="59">
        <v>3.0089999999999999</v>
      </c>
      <c r="I16" s="44">
        <v>45631</v>
      </c>
      <c r="J16" s="59">
        <v>25.641999999999999</v>
      </c>
      <c r="K16" s="59"/>
    </row>
    <row r="17" spans="1:11">
      <c r="A17" s="43">
        <f t="shared" si="0"/>
        <v>45632</v>
      </c>
      <c r="B17" s="60">
        <f t="shared" si="1"/>
        <v>-25.518000000000001</v>
      </c>
      <c r="C17" s="60">
        <f t="shared" si="2"/>
        <v>4.6900000000000004</v>
      </c>
      <c r="D17" s="60">
        <f t="shared" si="3"/>
        <v>29.853999999999999</v>
      </c>
      <c r="E17" s="44">
        <v>45632</v>
      </c>
      <c r="F17" s="59">
        <v>-25.518000000000001</v>
      </c>
      <c r="G17" s="44">
        <v>45632</v>
      </c>
      <c r="H17" s="59">
        <v>4.6900000000000004</v>
      </c>
      <c r="I17" s="44">
        <v>45632</v>
      </c>
      <c r="J17" s="59">
        <v>29.853999999999999</v>
      </c>
      <c r="K17" s="59"/>
    </row>
    <row r="18" spans="1:11">
      <c r="A18" s="43">
        <f t="shared" si="0"/>
        <v>45635</v>
      </c>
      <c r="B18" s="60">
        <f t="shared" si="1"/>
        <v>-20.381</v>
      </c>
      <c r="C18" s="60">
        <f t="shared" si="2"/>
        <v>7.4619999999999997</v>
      </c>
      <c r="D18" s="60">
        <f t="shared" si="3"/>
        <v>31.007000000000001</v>
      </c>
      <c r="E18" s="44">
        <v>45635</v>
      </c>
      <c r="F18" s="59">
        <v>-20.381</v>
      </c>
      <c r="G18" s="44">
        <v>45635</v>
      </c>
      <c r="H18" s="59">
        <v>7.4619999999999997</v>
      </c>
      <c r="I18" s="44">
        <v>45635</v>
      </c>
      <c r="J18" s="59">
        <v>31.007000000000001</v>
      </c>
      <c r="K18" s="59"/>
    </row>
    <row r="19" spans="1:11">
      <c r="A19" s="43">
        <f t="shared" si="0"/>
        <v>45636</v>
      </c>
      <c r="B19" s="60">
        <f t="shared" si="1"/>
        <v>-16.887</v>
      </c>
      <c r="C19" s="60">
        <f t="shared" si="2"/>
        <v>7.92</v>
      </c>
      <c r="D19" s="60">
        <f t="shared" si="3"/>
        <v>31.92</v>
      </c>
      <c r="E19" s="44">
        <v>45636</v>
      </c>
      <c r="F19" s="59">
        <v>-16.887</v>
      </c>
      <c r="G19" s="44">
        <v>45636</v>
      </c>
      <c r="H19" s="59">
        <v>7.92</v>
      </c>
      <c r="I19" s="44">
        <v>45636</v>
      </c>
      <c r="J19" s="59">
        <v>31.92</v>
      </c>
      <c r="K19" s="59"/>
    </row>
    <row r="20" spans="1:11">
      <c r="A20" s="43">
        <f t="shared" si="0"/>
        <v>45637</v>
      </c>
      <c r="B20" s="60">
        <f t="shared" si="1"/>
        <v>-9.77</v>
      </c>
      <c r="C20" s="60">
        <f t="shared" si="2"/>
        <v>11.577999999999999</v>
      </c>
      <c r="D20" s="60">
        <f t="shared" si="3"/>
        <v>34.74</v>
      </c>
      <c r="E20" s="44">
        <v>45637</v>
      </c>
      <c r="F20" s="59">
        <v>-9.77</v>
      </c>
      <c r="G20" s="44">
        <v>45637</v>
      </c>
      <c r="H20" s="59">
        <v>11.577999999999999</v>
      </c>
      <c r="I20" s="44">
        <v>45637</v>
      </c>
      <c r="J20" s="59">
        <v>34.74</v>
      </c>
      <c r="K20" s="59"/>
    </row>
    <row r="21" spans="1:11">
      <c r="A21" s="43">
        <f t="shared" si="0"/>
        <v>45638</v>
      </c>
      <c r="B21" s="60">
        <f t="shared" si="1"/>
        <v>-0.94</v>
      </c>
      <c r="C21" s="60">
        <f t="shared" si="2"/>
        <v>13.295999999999999</v>
      </c>
      <c r="D21" s="60">
        <f t="shared" si="3"/>
        <v>35.948</v>
      </c>
      <c r="E21" s="44">
        <v>45638</v>
      </c>
      <c r="F21" s="59">
        <v>-0.94</v>
      </c>
      <c r="G21" s="44">
        <v>45638</v>
      </c>
      <c r="H21" s="59">
        <v>13.295999999999999</v>
      </c>
      <c r="I21" s="44">
        <v>45638</v>
      </c>
      <c r="J21" s="59">
        <v>35.948</v>
      </c>
      <c r="K21" s="59"/>
    </row>
    <row r="22" spans="1:11">
      <c r="A22" s="43">
        <f t="shared" si="0"/>
        <v>45639</v>
      </c>
      <c r="B22" s="60">
        <f t="shared" si="1"/>
        <v>6.6230000000000002</v>
      </c>
      <c r="C22" s="60">
        <f t="shared" si="2"/>
        <v>14.765000000000001</v>
      </c>
      <c r="D22" s="60">
        <f t="shared" si="3"/>
        <v>34.962000000000003</v>
      </c>
      <c r="E22" s="44">
        <v>45639</v>
      </c>
      <c r="F22" s="59">
        <v>6.6230000000000002</v>
      </c>
      <c r="G22" s="44">
        <v>45639</v>
      </c>
      <c r="H22" s="59">
        <v>14.765000000000001</v>
      </c>
      <c r="I22" s="44">
        <v>45639</v>
      </c>
      <c r="J22" s="59">
        <v>34.962000000000003</v>
      </c>
      <c r="K22" s="59"/>
    </row>
    <row r="23" spans="1:11">
      <c r="A23" s="43">
        <f t="shared" si="0"/>
        <v>45642</v>
      </c>
      <c r="B23" s="60">
        <f t="shared" si="1"/>
        <v>7.7119999999999997</v>
      </c>
      <c r="C23" s="60">
        <f t="shared" si="2"/>
        <v>14.352</v>
      </c>
      <c r="D23" s="60">
        <f t="shared" si="3"/>
        <v>33.956000000000003</v>
      </c>
      <c r="E23" s="44">
        <v>45642</v>
      </c>
      <c r="F23" s="59">
        <v>7.7119999999999997</v>
      </c>
      <c r="G23" s="44">
        <v>45642</v>
      </c>
      <c r="H23" s="59">
        <v>14.352</v>
      </c>
      <c r="I23" s="44">
        <v>45642</v>
      </c>
      <c r="J23" s="59">
        <v>33.956000000000003</v>
      </c>
      <c r="K23" s="59"/>
    </row>
    <row r="24" spans="1:11">
      <c r="A24" s="43">
        <f t="shared" si="0"/>
        <v>45643</v>
      </c>
      <c r="B24" s="60">
        <f t="shared" si="1"/>
        <v>6.5679999999999996</v>
      </c>
      <c r="C24" s="60">
        <f t="shared" si="2"/>
        <v>14.978</v>
      </c>
      <c r="D24" s="60">
        <f t="shared" si="3"/>
        <v>32.442</v>
      </c>
      <c r="E24" s="44">
        <v>45643</v>
      </c>
      <c r="F24" s="59">
        <v>6.5679999999999996</v>
      </c>
      <c r="G24" s="44">
        <v>45643</v>
      </c>
      <c r="H24" s="59">
        <v>14.978</v>
      </c>
      <c r="I24" s="44">
        <v>45643</v>
      </c>
      <c r="J24" s="59">
        <v>32.442</v>
      </c>
      <c r="K24" s="59"/>
    </row>
    <row r="25" spans="1:11">
      <c r="A25" s="43">
        <f t="shared" si="0"/>
        <v>45644</v>
      </c>
      <c r="B25" s="60">
        <f t="shared" si="1"/>
        <v>16.596</v>
      </c>
      <c r="C25" s="60">
        <f t="shared" si="2"/>
        <v>15.314</v>
      </c>
      <c r="D25" s="60">
        <f t="shared" si="3"/>
        <v>27.042000000000002</v>
      </c>
      <c r="E25" s="44">
        <v>45644</v>
      </c>
      <c r="F25" s="59">
        <v>16.596</v>
      </c>
      <c r="G25" s="44">
        <v>45644</v>
      </c>
      <c r="H25" s="59">
        <v>15.314</v>
      </c>
      <c r="I25" s="44">
        <v>45644</v>
      </c>
      <c r="J25" s="59">
        <v>27.042000000000002</v>
      </c>
      <c r="K25" s="59"/>
    </row>
    <row r="26" spans="1:11">
      <c r="A26" s="43">
        <f t="shared" si="0"/>
        <v>45645</v>
      </c>
      <c r="B26" s="60">
        <f t="shared" si="1"/>
        <v>22.236999999999998</v>
      </c>
      <c r="C26" s="60">
        <f t="shared" si="2"/>
        <v>24.140999999999998</v>
      </c>
      <c r="D26" s="60">
        <f t="shared" si="3"/>
        <v>31.257000000000001</v>
      </c>
      <c r="E26" s="44">
        <v>45645</v>
      </c>
      <c r="F26" s="59">
        <v>22.236999999999998</v>
      </c>
      <c r="G26" s="44">
        <v>45645</v>
      </c>
      <c r="H26" s="59">
        <v>24.140999999999998</v>
      </c>
      <c r="I26" s="44">
        <v>45645</v>
      </c>
      <c r="J26" s="59">
        <v>31.257000000000001</v>
      </c>
      <c r="K26" s="59"/>
    </row>
    <row r="27" spans="1:11">
      <c r="A27" s="43">
        <f t="shared" si="0"/>
        <v>45646</v>
      </c>
      <c r="B27" s="60">
        <f t="shared" si="1"/>
        <v>18.916</v>
      </c>
      <c r="C27" s="60">
        <f t="shared" si="2"/>
        <v>20.771999999999998</v>
      </c>
      <c r="D27" s="60">
        <f t="shared" si="3"/>
        <v>34.363</v>
      </c>
      <c r="E27" s="44">
        <v>45646</v>
      </c>
      <c r="F27" s="59">
        <v>18.916</v>
      </c>
      <c r="G27" s="44">
        <v>45646</v>
      </c>
      <c r="H27" s="59">
        <v>20.771999999999998</v>
      </c>
      <c r="I27" s="44">
        <v>45646</v>
      </c>
      <c r="J27" s="59">
        <v>34.363</v>
      </c>
      <c r="K27" s="59"/>
    </row>
    <row r="28" spans="1:11">
      <c r="A28" s="43">
        <f t="shared" si="0"/>
        <v>45649</v>
      </c>
      <c r="B28" s="60">
        <f t="shared" si="1"/>
        <v>25.917000000000002</v>
      </c>
      <c r="C28" s="60">
        <f t="shared" si="2"/>
        <v>24.22</v>
      </c>
      <c r="D28" s="60">
        <f t="shared" si="3"/>
        <v>33.805999999999997</v>
      </c>
      <c r="E28" s="44">
        <v>45649</v>
      </c>
      <c r="F28" s="59">
        <v>25.917000000000002</v>
      </c>
      <c r="G28" s="44">
        <v>45649</v>
      </c>
      <c r="H28" s="59">
        <v>24.22</v>
      </c>
      <c r="I28" s="44">
        <v>45649</v>
      </c>
      <c r="J28" s="59">
        <v>33.805999999999997</v>
      </c>
      <c r="K28" s="59"/>
    </row>
    <row r="29" spans="1:11">
      <c r="A29" s="43">
        <f t="shared" si="0"/>
        <v>45650</v>
      </c>
      <c r="B29" s="60">
        <f t="shared" si="1"/>
        <v>25.616</v>
      </c>
      <c r="C29" s="60">
        <f t="shared" si="2"/>
        <v>25.007999999999999</v>
      </c>
      <c r="D29" s="60">
        <f t="shared" si="3"/>
        <v>32.380000000000003</v>
      </c>
      <c r="E29" s="44">
        <v>45650</v>
      </c>
      <c r="F29" s="59">
        <v>25.616</v>
      </c>
      <c r="G29" s="44">
        <v>45650</v>
      </c>
      <c r="H29" s="59">
        <v>25.007999999999999</v>
      </c>
      <c r="I29" s="44">
        <v>45650</v>
      </c>
      <c r="J29" s="59">
        <v>32.380000000000003</v>
      </c>
      <c r="K29" s="59"/>
    </row>
    <row r="30" spans="1:11">
      <c r="A30" s="43">
        <f t="shared" si="0"/>
        <v>45651</v>
      </c>
      <c r="B30" s="60">
        <f t="shared" si="1"/>
        <v>25.616</v>
      </c>
      <c r="C30" s="60">
        <f t="shared" si="2"/>
        <v>25.007999999999999</v>
      </c>
      <c r="D30" s="60">
        <f t="shared" si="3"/>
        <v>31.116</v>
      </c>
      <c r="E30" s="44">
        <v>45651</v>
      </c>
      <c r="F30" s="59">
        <v>25.616</v>
      </c>
      <c r="G30" s="44">
        <v>45651</v>
      </c>
      <c r="H30" s="59">
        <v>25.007999999999999</v>
      </c>
      <c r="I30" s="44">
        <v>45651</v>
      </c>
      <c r="J30" s="59">
        <v>31.116</v>
      </c>
      <c r="K30" s="59"/>
    </row>
    <row r="31" spans="1:11">
      <c r="A31" s="43">
        <f t="shared" si="0"/>
        <v>45652</v>
      </c>
      <c r="B31" s="60">
        <f t="shared" si="1"/>
        <v>24.033000000000001</v>
      </c>
      <c r="C31" s="60">
        <f t="shared" si="2"/>
        <v>25.029</v>
      </c>
      <c r="D31" s="60">
        <f t="shared" si="3"/>
        <v>33.517000000000003</v>
      </c>
      <c r="E31" s="44">
        <v>45652</v>
      </c>
      <c r="F31" s="59">
        <v>24.033000000000001</v>
      </c>
      <c r="G31" s="44">
        <v>45652</v>
      </c>
      <c r="H31" s="59">
        <v>25.029</v>
      </c>
      <c r="I31" s="44">
        <v>45652</v>
      </c>
      <c r="J31" s="59">
        <v>33.517000000000003</v>
      </c>
      <c r="K31" s="59"/>
    </row>
    <row r="32" spans="1:11">
      <c r="A32" s="43">
        <f t="shared" si="0"/>
        <v>45653</v>
      </c>
      <c r="B32" s="60">
        <f t="shared" si="1"/>
        <v>33.366</v>
      </c>
      <c r="C32" s="60">
        <f t="shared" si="2"/>
        <v>29.292000000000002</v>
      </c>
      <c r="D32" s="60">
        <f t="shared" si="3"/>
        <v>35.406999999999996</v>
      </c>
      <c r="E32" s="44">
        <v>45653</v>
      </c>
      <c r="F32" s="59">
        <v>33.366</v>
      </c>
      <c r="G32" s="44">
        <v>45653</v>
      </c>
      <c r="H32" s="59">
        <v>29.292000000000002</v>
      </c>
      <c r="I32" s="44">
        <v>45653</v>
      </c>
      <c r="J32" s="59">
        <v>35.406999999999996</v>
      </c>
      <c r="K32" s="59"/>
    </row>
    <row r="33" spans="1:11">
      <c r="A33" s="43">
        <f t="shared" si="0"/>
        <v>45656</v>
      </c>
      <c r="B33" s="60">
        <f t="shared" si="1"/>
        <v>24.41</v>
      </c>
      <c r="C33" s="60">
        <f t="shared" si="2"/>
        <v>28.882999999999999</v>
      </c>
      <c r="D33" s="60">
        <f t="shared" si="3"/>
        <v>38.875</v>
      </c>
      <c r="E33" s="44">
        <v>45656</v>
      </c>
      <c r="F33" s="59">
        <v>24.41</v>
      </c>
      <c r="G33" s="44">
        <v>45656</v>
      </c>
      <c r="H33" s="59">
        <v>28.882999999999999</v>
      </c>
      <c r="I33" s="44">
        <v>45656</v>
      </c>
      <c r="J33" s="59">
        <v>38.875</v>
      </c>
      <c r="K33" s="59"/>
    </row>
    <row r="34" spans="1:11">
      <c r="A34" s="43">
        <f t="shared" si="0"/>
        <v>45657</v>
      </c>
      <c r="B34" s="60">
        <f t="shared" si="1"/>
        <v>24.164000000000001</v>
      </c>
      <c r="C34" s="60">
        <f t="shared" si="2"/>
        <v>32.529000000000003</v>
      </c>
      <c r="D34" s="60">
        <f t="shared" si="3"/>
        <v>39.927</v>
      </c>
      <c r="E34" s="44">
        <v>45657</v>
      </c>
      <c r="F34" s="59">
        <v>24.164000000000001</v>
      </c>
      <c r="G34" s="44">
        <v>45657</v>
      </c>
      <c r="H34" s="59">
        <v>32.529000000000003</v>
      </c>
      <c r="I34" s="44">
        <v>45657</v>
      </c>
      <c r="J34" s="59">
        <v>39.927</v>
      </c>
      <c r="K34" s="59"/>
    </row>
    <row r="35" spans="1:11">
      <c r="A35" s="43">
        <f t="shared" si="0"/>
        <v>45658</v>
      </c>
      <c r="B35" s="60">
        <f t="shared" si="1"/>
        <v>24.164000000000001</v>
      </c>
      <c r="C35" s="60">
        <f t="shared" si="2"/>
        <v>32.529000000000003</v>
      </c>
      <c r="D35" s="60">
        <f t="shared" si="3"/>
        <v>39.750999999999998</v>
      </c>
      <c r="E35" s="44">
        <v>45658</v>
      </c>
      <c r="F35" s="59">
        <v>24.164000000000001</v>
      </c>
      <c r="G35" s="44">
        <v>45658</v>
      </c>
      <c r="H35" s="59">
        <v>32.529000000000003</v>
      </c>
      <c r="I35" s="44">
        <v>45658</v>
      </c>
      <c r="J35" s="59">
        <v>39.750999999999998</v>
      </c>
      <c r="K35" s="59"/>
    </row>
    <row r="36" spans="1:11">
      <c r="A36" s="43">
        <f t="shared" si="0"/>
        <v>45659</v>
      </c>
      <c r="B36" s="60">
        <f t="shared" si="1"/>
        <v>24.25</v>
      </c>
      <c r="C36" s="60">
        <f t="shared" si="2"/>
        <v>31.742000000000001</v>
      </c>
      <c r="D36" s="60">
        <f t="shared" si="3"/>
        <v>40.578000000000003</v>
      </c>
      <c r="E36" s="44">
        <v>45659</v>
      </c>
      <c r="F36" s="59">
        <v>24.25</v>
      </c>
      <c r="G36" s="44">
        <v>45659</v>
      </c>
      <c r="H36" s="59">
        <v>31.742000000000001</v>
      </c>
      <c r="I36" s="44">
        <v>45659</v>
      </c>
      <c r="J36" s="59">
        <v>40.578000000000003</v>
      </c>
      <c r="K36" s="59"/>
    </row>
    <row r="37" spans="1:11">
      <c r="A37" s="43">
        <f t="shared" si="0"/>
        <v>45660</v>
      </c>
      <c r="B37" s="60">
        <f t="shared" si="1"/>
        <v>29.033000000000001</v>
      </c>
      <c r="C37" s="60">
        <f t="shared" si="2"/>
        <v>31.468</v>
      </c>
      <c r="D37" s="60">
        <f t="shared" si="3"/>
        <v>39.737000000000002</v>
      </c>
      <c r="E37" s="44">
        <v>45660</v>
      </c>
      <c r="F37" s="59">
        <v>29.033000000000001</v>
      </c>
      <c r="G37" s="44">
        <v>45660</v>
      </c>
      <c r="H37" s="59">
        <v>31.468</v>
      </c>
      <c r="I37" s="44">
        <v>45660</v>
      </c>
      <c r="J37" s="59">
        <v>39.737000000000002</v>
      </c>
      <c r="K37" s="59"/>
    </row>
    <row r="38" spans="1:11">
      <c r="A38" s="43">
        <f t="shared" si="0"/>
        <v>45663</v>
      </c>
      <c r="B38" s="60">
        <f t="shared" si="1"/>
        <v>32.591000000000001</v>
      </c>
      <c r="C38" s="60">
        <f t="shared" si="2"/>
        <v>35.134</v>
      </c>
      <c r="D38" s="60">
        <f t="shared" si="3"/>
        <v>41.792999999999999</v>
      </c>
      <c r="E38" s="44">
        <v>45663</v>
      </c>
      <c r="F38" s="59">
        <v>32.591000000000001</v>
      </c>
      <c r="G38" s="44">
        <v>45663</v>
      </c>
      <c r="H38" s="59">
        <v>35.134</v>
      </c>
      <c r="I38" s="44">
        <v>45663</v>
      </c>
      <c r="J38" s="59">
        <v>41.792999999999999</v>
      </c>
      <c r="K38" s="59"/>
    </row>
    <row r="39" spans="1:11">
      <c r="A39" s="43">
        <f t="shared" si="0"/>
        <v>45664</v>
      </c>
      <c r="B39" s="60">
        <f t="shared" si="1"/>
        <v>37.268999999999998</v>
      </c>
      <c r="C39" s="60">
        <f t="shared" si="2"/>
        <v>38.972000000000001</v>
      </c>
      <c r="D39" s="60">
        <f t="shared" si="3"/>
        <v>44.628</v>
      </c>
      <c r="E39" s="44">
        <v>45664</v>
      </c>
      <c r="F39" s="59">
        <v>37.268999999999998</v>
      </c>
      <c r="G39" s="44">
        <v>45664</v>
      </c>
      <c r="H39" s="59">
        <v>38.972000000000001</v>
      </c>
      <c r="I39" s="44">
        <v>45664</v>
      </c>
      <c r="J39" s="59">
        <v>44.628</v>
      </c>
      <c r="K39" s="59"/>
    </row>
    <row r="40" spans="1:11">
      <c r="A40" s="43">
        <f t="shared" si="0"/>
        <v>45665</v>
      </c>
      <c r="B40" s="60">
        <f t="shared" si="1"/>
        <v>37.219000000000001</v>
      </c>
      <c r="C40" s="60">
        <f t="shared" si="2"/>
        <v>40.222999999999999</v>
      </c>
      <c r="D40" s="60">
        <f t="shared" si="3"/>
        <v>46.776000000000003</v>
      </c>
      <c r="E40" s="44">
        <v>45665</v>
      </c>
      <c r="F40" s="59">
        <v>37.219000000000001</v>
      </c>
      <c r="G40" s="44">
        <v>45665</v>
      </c>
      <c r="H40" s="59">
        <v>40.222999999999999</v>
      </c>
      <c r="I40" s="44">
        <v>45665</v>
      </c>
      <c r="J40" s="59">
        <v>46.776000000000003</v>
      </c>
      <c r="K40" s="59"/>
    </row>
    <row r="41" spans="1:11">
      <c r="A41" s="43">
        <f t="shared" si="0"/>
        <v>45666</v>
      </c>
      <c r="B41" s="60">
        <f t="shared" si="1"/>
        <v>37.539000000000001</v>
      </c>
      <c r="C41" s="60">
        <f t="shared" si="2"/>
        <v>42.32</v>
      </c>
      <c r="D41" s="60">
        <f t="shared" si="3"/>
        <v>47.095999999999997</v>
      </c>
      <c r="E41" s="44">
        <v>45666</v>
      </c>
      <c r="F41" s="59">
        <v>37.539000000000001</v>
      </c>
      <c r="G41" s="44">
        <v>45666</v>
      </c>
      <c r="H41" s="59">
        <v>42.32</v>
      </c>
      <c r="I41" s="44">
        <v>45666</v>
      </c>
      <c r="J41" s="59">
        <v>47.095999999999997</v>
      </c>
      <c r="K41" s="59"/>
    </row>
    <row r="42" spans="1:11">
      <c r="A42" s="43">
        <f t="shared" si="0"/>
        <v>45667</v>
      </c>
      <c r="B42" s="60">
        <f t="shared" si="1"/>
        <v>42.877000000000002</v>
      </c>
      <c r="C42" s="60">
        <f t="shared" si="2"/>
        <v>37.582000000000001</v>
      </c>
      <c r="D42" s="60">
        <f t="shared" si="3"/>
        <v>37.143000000000001</v>
      </c>
      <c r="E42" s="44">
        <v>45667</v>
      </c>
      <c r="F42" s="59">
        <v>42.877000000000002</v>
      </c>
      <c r="G42" s="44">
        <v>45667</v>
      </c>
      <c r="H42" s="59">
        <v>37.582000000000001</v>
      </c>
      <c r="I42" s="44">
        <v>45667</v>
      </c>
      <c r="J42" s="59">
        <v>37.143000000000001</v>
      </c>
      <c r="K42" s="59"/>
    </row>
    <row r="43" spans="1:11">
      <c r="A43" s="43">
        <f t="shared" si="0"/>
        <v>45670</v>
      </c>
      <c r="B43" s="60">
        <f t="shared" si="1"/>
        <v>44.792000000000002</v>
      </c>
      <c r="C43" s="60">
        <f t="shared" si="2"/>
        <v>39.643000000000001</v>
      </c>
      <c r="D43" s="60">
        <f t="shared" si="3"/>
        <v>36.301000000000002</v>
      </c>
      <c r="E43" s="44">
        <v>45670</v>
      </c>
      <c r="F43" s="59">
        <v>44.792000000000002</v>
      </c>
      <c r="G43" s="44">
        <v>45670</v>
      </c>
      <c r="H43" s="59">
        <v>39.643000000000001</v>
      </c>
      <c r="I43" s="44">
        <v>45670</v>
      </c>
      <c r="J43" s="59">
        <v>36.301000000000002</v>
      </c>
      <c r="K43" s="59"/>
    </row>
    <row r="44" spans="1:11">
      <c r="A44" s="43">
        <f t="shared" si="0"/>
        <v>45671</v>
      </c>
      <c r="B44" s="60">
        <f t="shared" si="1"/>
        <v>46.973999999999997</v>
      </c>
      <c r="C44" s="60">
        <f t="shared" si="2"/>
        <v>42.139000000000003</v>
      </c>
      <c r="D44" s="60">
        <f t="shared" si="3"/>
        <v>37.573999999999998</v>
      </c>
      <c r="E44" s="44">
        <v>45671</v>
      </c>
      <c r="F44" s="59">
        <v>46.973999999999997</v>
      </c>
      <c r="G44" s="44">
        <v>45671</v>
      </c>
      <c r="H44" s="59">
        <v>42.139000000000003</v>
      </c>
      <c r="I44" s="44">
        <v>45671</v>
      </c>
      <c r="J44" s="59">
        <v>37.573999999999998</v>
      </c>
      <c r="K44" s="59"/>
    </row>
    <row r="45" spans="1:11">
      <c r="A45" s="43">
        <f t="shared" si="0"/>
        <v>45672</v>
      </c>
      <c r="B45" s="60">
        <f t="shared" si="1"/>
        <v>34.128999999999998</v>
      </c>
      <c r="C45" s="60">
        <f t="shared" si="2"/>
        <v>38.512999999999998</v>
      </c>
      <c r="D45" s="60">
        <f t="shared" si="3"/>
        <v>43.045000000000002</v>
      </c>
      <c r="E45" s="44">
        <v>45672</v>
      </c>
      <c r="F45" s="59">
        <v>34.128999999999998</v>
      </c>
      <c r="G45" s="44">
        <v>45672</v>
      </c>
      <c r="H45" s="59">
        <v>38.512999999999998</v>
      </c>
      <c r="I45" s="44">
        <v>45672</v>
      </c>
      <c r="J45" s="59">
        <v>43.045000000000002</v>
      </c>
      <c r="K45" s="59"/>
    </row>
    <row r="46" spans="1:11">
      <c r="A46" s="43">
        <f t="shared" si="0"/>
        <v>45673</v>
      </c>
      <c r="B46" s="60">
        <f t="shared" si="1"/>
        <v>30.38</v>
      </c>
      <c r="C46" s="60">
        <f t="shared" si="2"/>
        <v>38.036000000000001</v>
      </c>
      <c r="D46" s="60">
        <f t="shared" si="3"/>
        <v>45.694000000000003</v>
      </c>
      <c r="E46" s="44">
        <v>45673</v>
      </c>
      <c r="F46" s="59">
        <v>30.38</v>
      </c>
      <c r="G46" s="44">
        <v>45673</v>
      </c>
      <c r="H46" s="59">
        <v>38.036000000000001</v>
      </c>
      <c r="I46" s="44">
        <v>45673</v>
      </c>
      <c r="J46" s="59">
        <v>45.694000000000003</v>
      </c>
      <c r="K46" s="59"/>
    </row>
    <row r="47" spans="1:11">
      <c r="A47" s="43">
        <f t="shared" si="0"/>
        <v>45674</v>
      </c>
      <c r="B47" s="60">
        <f t="shared" si="1"/>
        <v>32.295999999999999</v>
      </c>
      <c r="C47" s="60">
        <f t="shared" si="2"/>
        <v>34.024999999999999</v>
      </c>
      <c r="D47" s="60">
        <f t="shared" si="3"/>
        <v>42.429000000000002</v>
      </c>
      <c r="E47" s="44">
        <v>45674</v>
      </c>
      <c r="F47" s="59">
        <v>32.295999999999999</v>
      </c>
      <c r="G47" s="44">
        <v>45674</v>
      </c>
      <c r="H47" s="59">
        <v>34.024999999999999</v>
      </c>
      <c r="I47" s="44">
        <v>45674</v>
      </c>
      <c r="J47" s="59">
        <v>42.429000000000002</v>
      </c>
      <c r="K47" s="59"/>
    </row>
    <row r="48" spans="1:11">
      <c r="A48" s="43">
        <f t="shared" si="0"/>
        <v>45677</v>
      </c>
      <c r="B48" s="60">
        <f t="shared" si="1"/>
        <v>32.295999999999999</v>
      </c>
      <c r="C48" s="60">
        <f t="shared" si="2"/>
        <v>34.017000000000003</v>
      </c>
      <c r="D48" s="60">
        <f t="shared" si="3"/>
        <v>42.177</v>
      </c>
      <c r="E48" s="44">
        <v>45677</v>
      </c>
      <c r="F48" s="59">
        <v>32.295999999999999</v>
      </c>
      <c r="G48" s="44">
        <v>45677</v>
      </c>
      <c r="H48" s="59">
        <v>34.017000000000003</v>
      </c>
      <c r="I48" s="44">
        <v>45677</v>
      </c>
      <c r="J48" s="59">
        <v>42.177</v>
      </c>
      <c r="K48" s="59"/>
    </row>
    <row r="49" spans="1:11">
      <c r="A49" s="43">
        <f t="shared" si="0"/>
        <v>45678</v>
      </c>
      <c r="B49" s="60">
        <f t="shared" si="1"/>
        <v>26.763000000000002</v>
      </c>
      <c r="C49" s="60">
        <f t="shared" si="2"/>
        <v>30.010999999999999</v>
      </c>
      <c r="D49" s="60">
        <f t="shared" si="3"/>
        <v>41.158000000000001</v>
      </c>
      <c r="E49" s="44">
        <v>45678</v>
      </c>
      <c r="F49" s="59">
        <v>26.763000000000002</v>
      </c>
      <c r="G49" s="44">
        <v>45678</v>
      </c>
      <c r="H49" s="59">
        <v>30.010999999999999</v>
      </c>
      <c r="I49" s="44">
        <v>45678</v>
      </c>
      <c r="J49" s="59">
        <v>41.158000000000001</v>
      </c>
      <c r="K49" s="59"/>
    </row>
    <row r="50" spans="1:11">
      <c r="A50" s="43">
        <f t="shared" si="0"/>
        <v>45679</v>
      </c>
      <c r="B50" s="60">
        <f t="shared" si="1"/>
        <v>28.36</v>
      </c>
      <c r="C50" s="60">
        <f t="shared" si="2"/>
        <v>30.919</v>
      </c>
      <c r="D50" s="60">
        <f t="shared" si="3"/>
        <v>38.787999999999997</v>
      </c>
      <c r="E50" s="44">
        <v>45679</v>
      </c>
      <c r="F50" s="59">
        <v>28.36</v>
      </c>
      <c r="G50" s="44">
        <v>45679</v>
      </c>
      <c r="H50" s="59">
        <v>30.919</v>
      </c>
      <c r="I50" s="44">
        <v>45679</v>
      </c>
      <c r="J50" s="59">
        <v>38.787999999999997</v>
      </c>
      <c r="K50" s="59"/>
    </row>
    <row r="51" spans="1:11">
      <c r="A51" s="43">
        <f t="shared" si="0"/>
        <v>45680</v>
      </c>
      <c r="B51" s="60">
        <f t="shared" si="1"/>
        <v>32.194000000000003</v>
      </c>
      <c r="C51" s="60">
        <f t="shared" si="2"/>
        <v>35.033000000000001</v>
      </c>
      <c r="D51" s="60">
        <f t="shared" si="3"/>
        <v>41.436</v>
      </c>
      <c r="E51" s="44">
        <v>45680</v>
      </c>
      <c r="F51" s="59">
        <v>32.194000000000003</v>
      </c>
      <c r="G51" s="44">
        <v>45680</v>
      </c>
      <c r="H51" s="59">
        <v>35.033000000000001</v>
      </c>
      <c r="I51" s="44">
        <v>45680</v>
      </c>
      <c r="J51" s="59">
        <v>41.436</v>
      </c>
      <c r="K51" s="59"/>
    </row>
    <row r="52" spans="1:11">
      <c r="A52" s="43">
        <f t="shared" si="0"/>
        <v>45681</v>
      </c>
      <c r="B52" s="60">
        <f t="shared" si="1"/>
        <v>30.649000000000001</v>
      </c>
      <c r="C52" s="60">
        <f t="shared" si="2"/>
        <v>34.959000000000003</v>
      </c>
      <c r="D52" s="60">
        <f t="shared" si="3"/>
        <v>41.752000000000002</v>
      </c>
      <c r="E52" s="44">
        <v>45681</v>
      </c>
      <c r="F52" s="59">
        <v>30.649000000000001</v>
      </c>
      <c r="G52" s="44">
        <v>45681</v>
      </c>
      <c r="H52" s="59">
        <v>34.959000000000003</v>
      </c>
      <c r="I52" s="44">
        <v>45681</v>
      </c>
      <c r="J52" s="59">
        <v>41.752000000000002</v>
      </c>
      <c r="K52" s="59"/>
    </row>
    <row r="53" spans="1:11">
      <c r="A53" s="43">
        <f t="shared" si="0"/>
        <v>45684</v>
      </c>
      <c r="B53" s="60">
        <f t="shared" si="1"/>
        <v>23.021999999999998</v>
      </c>
      <c r="C53" s="60">
        <f t="shared" si="2"/>
        <v>33.073</v>
      </c>
      <c r="D53" s="60">
        <f t="shared" si="3"/>
        <v>43.155000000000001</v>
      </c>
      <c r="E53" s="44">
        <v>45684</v>
      </c>
      <c r="F53" s="59">
        <v>23.021999999999998</v>
      </c>
      <c r="G53" s="44">
        <v>45684</v>
      </c>
      <c r="H53" s="59">
        <v>33.073</v>
      </c>
      <c r="I53" s="44">
        <v>45684</v>
      </c>
      <c r="J53" s="59">
        <v>43.155000000000001</v>
      </c>
      <c r="K53" s="59"/>
    </row>
    <row r="54" spans="1:11">
      <c r="A54" s="43">
        <f t="shared" si="0"/>
        <v>45685</v>
      </c>
      <c r="B54" s="60">
        <f t="shared" si="1"/>
        <v>23.556999999999999</v>
      </c>
      <c r="C54" s="60">
        <f t="shared" si="2"/>
        <v>33.33</v>
      </c>
      <c r="D54" s="60">
        <f t="shared" si="3"/>
        <v>44.363999999999997</v>
      </c>
      <c r="E54" s="44">
        <v>45685</v>
      </c>
      <c r="F54" s="59">
        <v>23.556999999999999</v>
      </c>
      <c r="G54" s="44">
        <v>45685</v>
      </c>
      <c r="H54" s="59">
        <v>33.33</v>
      </c>
      <c r="I54" s="44">
        <v>45685</v>
      </c>
      <c r="J54" s="59">
        <v>44.363999999999997</v>
      </c>
      <c r="K54" s="59"/>
    </row>
    <row r="55" spans="1:11">
      <c r="A55" s="43">
        <f t="shared" si="0"/>
        <v>45686</v>
      </c>
      <c r="B55" s="60">
        <f t="shared" si="1"/>
        <v>23.152999999999999</v>
      </c>
      <c r="C55" s="60">
        <f t="shared" si="2"/>
        <v>31.079000000000001</v>
      </c>
      <c r="D55" s="60">
        <f t="shared" si="3"/>
        <v>43.326999999999998</v>
      </c>
      <c r="E55" s="44">
        <v>45686</v>
      </c>
      <c r="F55" s="59">
        <v>23.152999999999999</v>
      </c>
      <c r="G55" s="44">
        <v>45686</v>
      </c>
      <c r="H55" s="59">
        <v>31.079000000000001</v>
      </c>
      <c r="I55" s="44">
        <v>45686</v>
      </c>
      <c r="J55" s="59">
        <v>43.326999999999998</v>
      </c>
      <c r="K55" s="59"/>
    </row>
    <row r="56" spans="1:11">
      <c r="A56" s="43">
        <f t="shared" si="0"/>
        <v>45687</v>
      </c>
      <c r="B56" s="60">
        <f t="shared" si="1"/>
        <v>22.055</v>
      </c>
      <c r="C56" s="60">
        <f t="shared" si="2"/>
        <v>30.696999999999999</v>
      </c>
      <c r="D56" s="60">
        <f t="shared" si="3"/>
        <v>43.994</v>
      </c>
      <c r="E56" s="44">
        <v>45687</v>
      </c>
      <c r="F56" s="59">
        <v>22.055</v>
      </c>
      <c r="G56" s="44">
        <v>45687</v>
      </c>
      <c r="H56" s="59">
        <v>30.696999999999999</v>
      </c>
      <c r="I56" s="44">
        <v>45687</v>
      </c>
      <c r="J56" s="59">
        <v>43.994</v>
      </c>
      <c r="K56" s="59"/>
    </row>
    <row r="57" spans="1:11">
      <c r="A57" s="43">
        <f t="shared" si="0"/>
        <v>45688</v>
      </c>
      <c r="B57" s="60">
        <f t="shared" si="1"/>
        <v>24.448</v>
      </c>
      <c r="C57" s="60">
        <f t="shared" si="2"/>
        <v>33.749000000000002</v>
      </c>
      <c r="D57" s="60">
        <f t="shared" si="3"/>
        <v>45.591999999999999</v>
      </c>
      <c r="E57" s="44">
        <v>45688</v>
      </c>
      <c r="F57" s="59">
        <v>24.448</v>
      </c>
      <c r="G57" s="44">
        <v>45688</v>
      </c>
      <c r="H57" s="59">
        <v>33.749000000000002</v>
      </c>
      <c r="I57" s="44">
        <v>45688</v>
      </c>
      <c r="J57" s="59">
        <v>45.591999999999999</v>
      </c>
      <c r="K57" s="59"/>
    </row>
    <row r="58" spans="1:11">
      <c r="A58" s="43">
        <f t="shared" si="0"/>
        <v>45691</v>
      </c>
      <c r="B58" s="60">
        <f t="shared" si="1"/>
        <v>25.349</v>
      </c>
      <c r="C58" s="60">
        <f t="shared" si="2"/>
        <v>30.402000000000001</v>
      </c>
      <c r="D58" s="60">
        <f t="shared" si="3"/>
        <v>42.828000000000003</v>
      </c>
      <c r="E58" s="44">
        <v>45691</v>
      </c>
      <c r="F58" s="59">
        <v>25.349</v>
      </c>
      <c r="G58" s="44">
        <v>45691</v>
      </c>
      <c r="H58" s="59">
        <v>30.402000000000001</v>
      </c>
      <c r="I58" s="44">
        <v>45691</v>
      </c>
      <c r="J58" s="59">
        <v>42.828000000000003</v>
      </c>
      <c r="K58" s="59"/>
    </row>
    <row r="59" spans="1:11">
      <c r="A59" s="43">
        <f t="shared" si="0"/>
        <v>45692</v>
      </c>
      <c r="B59" s="60">
        <f t="shared" si="1"/>
        <v>19.305</v>
      </c>
      <c r="C59" s="60">
        <f t="shared" si="2"/>
        <v>29.68</v>
      </c>
      <c r="D59" s="60">
        <f t="shared" si="3"/>
        <v>42.573999999999998</v>
      </c>
      <c r="E59" s="44">
        <v>45692</v>
      </c>
      <c r="F59" s="59">
        <v>19.305</v>
      </c>
      <c r="G59" s="44">
        <v>45692</v>
      </c>
      <c r="H59" s="59">
        <v>29.68</v>
      </c>
      <c r="I59" s="44">
        <v>45692</v>
      </c>
      <c r="J59" s="59">
        <v>42.573999999999998</v>
      </c>
      <c r="K59" s="59"/>
    </row>
    <row r="60" spans="1:11">
      <c r="A60" s="43">
        <f t="shared" si="0"/>
        <v>45693</v>
      </c>
      <c r="B60" s="60">
        <f t="shared" si="1"/>
        <v>9.3369999999999997</v>
      </c>
      <c r="C60" s="60">
        <f t="shared" si="2"/>
        <v>22.713999999999999</v>
      </c>
      <c r="D60" s="60">
        <f t="shared" si="3"/>
        <v>38.597999999999999</v>
      </c>
      <c r="E60" s="44">
        <v>45693</v>
      </c>
      <c r="F60" s="59">
        <v>9.3369999999999997</v>
      </c>
      <c r="G60" s="44">
        <v>45693</v>
      </c>
      <c r="H60" s="59">
        <v>22.713999999999999</v>
      </c>
      <c r="I60" s="44">
        <v>45693</v>
      </c>
      <c r="J60" s="59">
        <v>38.597999999999999</v>
      </c>
      <c r="K60" s="59"/>
    </row>
    <row r="61" spans="1:11">
      <c r="A61" s="43">
        <f t="shared" si="0"/>
        <v>45694</v>
      </c>
      <c r="B61" s="60">
        <f t="shared" si="1"/>
        <v>10.736000000000001</v>
      </c>
      <c r="C61" s="60">
        <f t="shared" si="2"/>
        <v>21.824000000000002</v>
      </c>
      <c r="D61" s="60">
        <f t="shared" si="3"/>
        <v>36.063000000000002</v>
      </c>
      <c r="E61" s="44">
        <v>45694</v>
      </c>
      <c r="F61" s="59">
        <v>10.736000000000001</v>
      </c>
      <c r="G61" s="44">
        <v>45694</v>
      </c>
      <c r="H61" s="59">
        <v>21.824000000000002</v>
      </c>
      <c r="I61" s="44">
        <v>45694</v>
      </c>
      <c r="J61" s="59">
        <v>36.063000000000002</v>
      </c>
      <c r="K61" s="59"/>
    </row>
    <row r="62" spans="1:11">
      <c r="A62" s="43">
        <f t="shared" si="0"/>
        <v>45695</v>
      </c>
      <c r="B62" s="60">
        <f t="shared" si="1"/>
        <v>15.646000000000001</v>
      </c>
      <c r="C62" s="60">
        <f t="shared" si="2"/>
        <v>20.335000000000001</v>
      </c>
      <c r="D62" s="60">
        <f t="shared" si="3"/>
        <v>34.404000000000003</v>
      </c>
      <c r="E62" s="44">
        <v>45695</v>
      </c>
      <c r="F62" s="59">
        <v>15.646000000000001</v>
      </c>
      <c r="G62" s="44">
        <v>45695</v>
      </c>
      <c r="H62" s="59">
        <v>20.335000000000001</v>
      </c>
      <c r="I62" s="44">
        <v>45695</v>
      </c>
      <c r="J62" s="59">
        <v>34.404000000000003</v>
      </c>
      <c r="K62" s="59"/>
    </row>
    <row r="63" spans="1:11">
      <c r="A63" s="43">
        <f t="shared" si="0"/>
        <v>45698</v>
      </c>
      <c r="B63" s="60">
        <f t="shared" si="1"/>
        <v>15.904999999999999</v>
      </c>
      <c r="C63" s="60">
        <f t="shared" si="2"/>
        <v>21.782</v>
      </c>
      <c r="D63" s="60">
        <f t="shared" si="3"/>
        <v>36.692</v>
      </c>
      <c r="E63" s="44">
        <v>45698</v>
      </c>
      <c r="F63" s="59">
        <v>15.904999999999999</v>
      </c>
      <c r="G63" s="44">
        <v>45698</v>
      </c>
      <c r="H63" s="59">
        <v>21.782</v>
      </c>
      <c r="I63" s="44">
        <v>45698</v>
      </c>
      <c r="J63" s="59">
        <v>36.692</v>
      </c>
      <c r="K63" s="59"/>
    </row>
    <row r="64" spans="1:11">
      <c r="A64" s="43">
        <f t="shared" si="0"/>
        <v>45699</v>
      </c>
      <c r="B64" s="60">
        <f t="shared" si="1"/>
        <v>20.222000000000001</v>
      </c>
      <c r="C64" s="60">
        <f t="shared" si="2"/>
        <v>24.568000000000001</v>
      </c>
      <c r="D64" s="60">
        <f t="shared" si="3"/>
        <v>37.365000000000002</v>
      </c>
      <c r="E64" s="44">
        <v>45699</v>
      </c>
      <c r="F64" s="59">
        <v>20.222000000000001</v>
      </c>
      <c r="G64" s="44">
        <v>45699</v>
      </c>
      <c r="H64" s="59">
        <v>24.568000000000001</v>
      </c>
      <c r="I64" s="44">
        <v>45699</v>
      </c>
      <c r="J64" s="59">
        <v>37.365000000000002</v>
      </c>
      <c r="K64" s="59"/>
    </row>
    <row r="65" spans="1:11">
      <c r="A65" s="43">
        <f t="shared" si="0"/>
        <v>45700</v>
      </c>
      <c r="B65" s="60">
        <f t="shared" si="1"/>
        <v>28.31</v>
      </c>
      <c r="C65" s="60">
        <f t="shared" si="2"/>
        <v>26.385000000000002</v>
      </c>
      <c r="D65" s="60">
        <f t="shared" si="3"/>
        <v>36.267000000000003</v>
      </c>
      <c r="E65" s="44">
        <v>45700</v>
      </c>
      <c r="F65" s="59">
        <v>28.31</v>
      </c>
      <c r="G65" s="44">
        <v>45700</v>
      </c>
      <c r="H65" s="59">
        <v>26.385000000000002</v>
      </c>
      <c r="I65" s="44">
        <v>45700</v>
      </c>
      <c r="J65" s="59">
        <v>36.267000000000003</v>
      </c>
      <c r="K65" s="59"/>
    </row>
    <row r="66" spans="1:11">
      <c r="A66" s="43">
        <f t="shared" si="0"/>
        <v>45701</v>
      </c>
      <c r="B66" s="60">
        <f t="shared" si="1"/>
        <v>19.942</v>
      </c>
      <c r="C66" s="60">
        <f t="shared" si="2"/>
        <v>21.791</v>
      </c>
      <c r="D66" s="60">
        <f t="shared" si="3"/>
        <v>34.570999999999998</v>
      </c>
      <c r="E66" s="44">
        <v>45701</v>
      </c>
      <c r="F66" s="59">
        <v>19.942</v>
      </c>
      <c r="G66" s="44">
        <v>45701</v>
      </c>
      <c r="H66" s="59">
        <v>21.791</v>
      </c>
      <c r="I66" s="44">
        <v>45701</v>
      </c>
      <c r="J66" s="59">
        <v>34.570999999999998</v>
      </c>
      <c r="K66" s="59"/>
    </row>
    <row r="67" spans="1:11">
      <c r="A67" s="43">
        <f t="shared" si="0"/>
        <v>45702</v>
      </c>
      <c r="B67" s="60">
        <f t="shared" si="1"/>
        <v>15.147</v>
      </c>
      <c r="C67" s="60">
        <f t="shared" si="2"/>
        <v>21.312000000000001</v>
      </c>
      <c r="D67" s="60">
        <f t="shared" si="3"/>
        <v>36.704999999999998</v>
      </c>
      <c r="E67" s="44">
        <v>45702</v>
      </c>
      <c r="F67" s="59">
        <v>15.147</v>
      </c>
      <c r="G67" s="44">
        <v>45702</v>
      </c>
      <c r="H67" s="59">
        <v>21.312000000000001</v>
      </c>
      <c r="I67" s="44">
        <v>45702</v>
      </c>
      <c r="J67" s="59">
        <v>36.704999999999998</v>
      </c>
      <c r="K67" s="59"/>
    </row>
    <row r="68" spans="1:11">
      <c r="A68" s="43">
        <f t="shared" ref="A68:A131" si="4">+E68</f>
        <v>45705</v>
      </c>
      <c r="B68" s="60">
        <f t="shared" ref="B68:B131" si="5">F68</f>
        <v>15.147</v>
      </c>
      <c r="C68" s="60">
        <f t="shared" ref="C68:C131" si="6">H68</f>
        <v>21.312999999999999</v>
      </c>
      <c r="D68" s="60">
        <f t="shared" ref="D68:D131" si="7">J68</f>
        <v>36.704999999999998</v>
      </c>
      <c r="E68" s="44">
        <v>45705</v>
      </c>
      <c r="F68" s="59">
        <v>15.147</v>
      </c>
      <c r="G68" s="44">
        <v>45705</v>
      </c>
      <c r="H68" s="59">
        <v>21.312999999999999</v>
      </c>
      <c r="I68" s="44">
        <v>45705</v>
      </c>
      <c r="J68" s="59">
        <v>36.704999999999998</v>
      </c>
      <c r="K68" s="59"/>
    </row>
    <row r="69" spans="1:11">
      <c r="A69" s="43">
        <f t="shared" si="4"/>
        <v>45706</v>
      </c>
      <c r="B69" s="60">
        <f t="shared" si="5"/>
        <v>22.408000000000001</v>
      </c>
      <c r="C69" s="60">
        <f t="shared" si="6"/>
        <v>24.065999999999999</v>
      </c>
      <c r="D69" s="60">
        <f t="shared" si="7"/>
        <v>36.362000000000002</v>
      </c>
      <c r="E69" s="44">
        <v>45706</v>
      </c>
      <c r="F69" s="59">
        <v>22.408000000000001</v>
      </c>
      <c r="G69" s="44">
        <v>45706</v>
      </c>
      <c r="H69" s="59">
        <v>24.065999999999999</v>
      </c>
      <c r="I69" s="44">
        <v>45706</v>
      </c>
      <c r="J69" s="59">
        <v>36.362000000000002</v>
      </c>
      <c r="K69" s="59"/>
    </row>
    <row r="70" spans="1:11">
      <c r="A70" s="43">
        <f t="shared" si="4"/>
        <v>45707</v>
      </c>
      <c r="B70" s="60">
        <f t="shared" si="5"/>
        <v>20.015000000000001</v>
      </c>
      <c r="C70" s="60">
        <f t="shared" si="6"/>
        <v>26.08</v>
      </c>
      <c r="D70" s="60">
        <f t="shared" si="7"/>
        <v>39.917000000000002</v>
      </c>
      <c r="E70" s="44">
        <v>45707</v>
      </c>
      <c r="F70" s="59">
        <v>20.015000000000001</v>
      </c>
      <c r="G70" s="44">
        <v>45707</v>
      </c>
      <c r="H70" s="59">
        <v>26.08</v>
      </c>
      <c r="I70" s="44">
        <v>45707</v>
      </c>
      <c r="J70" s="59">
        <v>39.917000000000002</v>
      </c>
      <c r="K70" s="59"/>
    </row>
    <row r="71" spans="1:11">
      <c r="A71" s="43">
        <f t="shared" si="4"/>
        <v>45708</v>
      </c>
      <c r="B71" s="60">
        <f t="shared" si="5"/>
        <v>18.623999999999999</v>
      </c>
      <c r="C71" s="60">
        <f t="shared" si="6"/>
        <v>23.327999999999999</v>
      </c>
      <c r="D71" s="60">
        <f t="shared" si="7"/>
        <v>39.972999999999999</v>
      </c>
      <c r="E71" s="44">
        <v>45708</v>
      </c>
      <c r="F71" s="59">
        <v>18.623999999999999</v>
      </c>
      <c r="G71" s="44">
        <v>45708</v>
      </c>
      <c r="H71" s="59">
        <v>23.327999999999999</v>
      </c>
      <c r="I71" s="44">
        <v>45708</v>
      </c>
      <c r="J71" s="59">
        <v>39.972999999999999</v>
      </c>
      <c r="K71" s="59"/>
    </row>
    <row r="72" spans="1:11">
      <c r="A72" s="43">
        <f t="shared" si="4"/>
        <v>45709</v>
      </c>
      <c r="B72" s="60">
        <f t="shared" si="5"/>
        <v>12.154</v>
      </c>
      <c r="C72" s="60">
        <f t="shared" si="6"/>
        <v>22.904</v>
      </c>
      <c r="D72" s="60">
        <f t="shared" si="7"/>
        <v>40.429000000000002</v>
      </c>
      <c r="E72" s="44">
        <v>45709</v>
      </c>
      <c r="F72" s="59">
        <v>12.154</v>
      </c>
      <c r="G72" s="44">
        <v>45709</v>
      </c>
      <c r="H72" s="59">
        <v>22.904</v>
      </c>
      <c r="I72" s="44">
        <v>45709</v>
      </c>
      <c r="J72" s="59">
        <v>40.429000000000002</v>
      </c>
      <c r="K72" s="59"/>
    </row>
    <row r="73" spans="1:11">
      <c r="A73" s="43">
        <f t="shared" si="4"/>
        <v>45712</v>
      </c>
      <c r="B73" s="60">
        <f t="shared" si="5"/>
        <v>9.8800000000000008</v>
      </c>
      <c r="C73" s="60">
        <f t="shared" si="6"/>
        <v>22.35</v>
      </c>
      <c r="D73" s="60">
        <f t="shared" si="7"/>
        <v>41.805999999999997</v>
      </c>
      <c r="E73" s="44">
        <v>45712</v>
      </c>
      <c r="F73" s="59">
        <v>9.8800000000000008</v>
      </c>
      <c r="G73" s="44">
        <v>45712</v>
      </c>
      <c r="H73" s="59">
        <v>22.35</v>
      </c>
      <c r="I73" s="44">
        <v>45712</v>
      </c>
      <c r="J73" s="59">
        <v>41.805999999999997</v>
      </c>
      <c r="K73" s="59"/>
    </row>
    <row r="74" spans="1:11">
      <c r="A74" s="43">
        <f t="shared" si="4"/>
        <v>45713</v>
      </c>
      <c r="B74" s="60">
        <f t="shared" si="5"/>
        <v>-0.48699999999999999</v>
      </c>
      <c r="C74" s="60">
        <f t="shared" si="6"/>
        <v>19.619</v>
      </c>
      <c r="D74" s="60">
        <f t="shared" si="7"/>
        <v>42.384999999999998</v>
      </c>
      <c r="E74" s="44">
        <v>45713</v>
      </c>
      <c r="F74" s="59">
        <v>-0.48699999999999999</v>
      </c>
      <c r="G74" s="44">
        <v>45713</v>
      </c>
      <c r="H74" s="59">
        <v>19.619</v>
      </c>
      <c r="I74" s="44">
        <v>45713</v>
      </c>
      <c r="J74" s="59">
        <v>42.384999999999998</v>
      </c>
      <c r="K74" s="59"/>
    </row>
    <row r="75" spans="1:11">
      <c r="A75" s="43">
        <f t="shared" si="4"/>
        <v>45714</v>
      </c>
      <c r="B75" s="60">
        <f t="shared" si="5"/>
        <v>-5.3</v>
      </c>
      <c r="C75" s="60">
        <f t="shared" si="6"/>
        <v>18.254999999999999</v>
      </c>
      <c r="D75" s="60">
        <f t="shared" si="7"/>
        <v>42.39</v>
      </c>
      <c r="E75" s="44">
        <v>45714</v>
      </c>
      <c r="F75" s="59">
        <v>-5.3</v>
      </c>
      <c r="G75" s="44">
        <v>45714</v>
      </c>
      <c r="H75" s="59">
        <v>18.254999999999999</v>
      </c>
      <c r="I75" s="44">
        <v>45714</v>
      </c>
      <c r="J75" s="59">
        <v>42.39</v>
      </c>
      <c r="K75" s="59"/>
    </row>
    <row r="76" spans="1:11">
      <c r="A76" s="43">
        <f t="shared" si="4"/>
        <v>45715</v>
      </c>
      <c r="B76" s="60">
        <f t="shared" si="5"/>
        <v>-4.359</v>
      </c>
      <c r="C76" s="60">
        <f t="shared" si="6"/>
        <v>20.472999999999999</v>
      </c>
      <c r="D76" s="60">
        <f t="shared" si="7"/>
        <v>45.43</v>
      </c>
      <c r="E76" s="44">
        <v>45715</v>
      </c>
      <c r="F76" s="59">
        <v>-4.359</v>
      </c>
      <c r="G76" s="44">
        <v>45715</v>
      </c>
      <c r="H76" s="59">
        <v>20.472999999999999</v>
      </c>
      <c r="I76" s="44">
        <v>45715</v>
      </c>
      <c r="J76" s="59">
        <v>45.43</v>
      </c>
      <c r="K76" s="59"/>
    </row>
    <row r="77" spans="1:11">
      <c r="A77" s="43">
        <f t="shared" si="4"/>
        <v>45716</v>
      </c>
      <c r="B77" s="60">
        <f t="shared" si="5"/>
        <v>-9.6349999999999998</v>
      </c>
      <c r="C77" s="60">
        <f t="shared" si="6"/>
        <v>21.523</v>
      </c>
      <c r="D77" s="60">
        <f t="shared" si="7"/>
        <v>46.765999999999998</v>
      </c>
      <c r="E77" s="44">
        <v>45716</v>
      </c>
      <c r="F77" s="59">
        <v>-9.6349999999999998</v>
      </c>
      <c r="G77" s="44">
        <v>45716</v>
      </c>
      <c r="H77" s="59">
        <v>21.523</v>
      </c>
      <c r="I77" s="44">
        <v>45716</v>
      </c>
      <c r="J77" s="59">
        <v>46.765999999999998</v>
      </c>
      <c r="K77" s="59"/>
    </row>
    <row r="78" spans="1:11">
      <c r="A78" s="43">
        <f t="shared" si="4"/>
        <v>45719</v>
      </c>
      <c r="B78" s="60">
        <f t="shared" si="5"/>
        <v>-14.9</v>
      </c>
      <c r="C78" s="60">
        <f t="shared" si="6"/>
        <v>20.138999999999999</v>
      </c>
      <c r="D78" s="60">
        <f t="shared" si="7"/>
        <v>48.683999999999997</v>
      </c>
      <c r="E78" s="44">
        <v>45719</v>
      </c>
      <c r="F78" s="59">
        <v>-14.9</v>
      </c>
      <c r="G78" s="44">
        <v>45719</v>
      </c>
      <c r="H78" s="59">
        <v>20.138999999999999</v>
      </c>
      <c r="I78" s="44">
        <v>45719</v>
      </c>
      <c r="J78" s="59">
        <v>48.683999999999997</v>
      </c>
      <c r="K78" s="59"/>
    </row>
    <row r="79" spans="1:11">
      <c r="A79" s="43">
        <f t="shared" si="4"/>
        <v>45720</v>
      </c>
      <c r="B79" s="60">
        <f t="shared" si="5"/>
        <v>-5.2569999999999997</v>
      </c>
      <c r="C79" s="60">
        <f t="shared" si="6"/>
        <v>24.957999999999998</v>
      </c>
      <c r="D79" s="60">
        <f t="shared" si="7"/>
        <v>49.055</v>
      </c>
      <c r="E79" s="44">
        <v>45720</v>
      </c>
      <c r="F79" s="59">
        <v>-5.2569999999999997</v>
      </c>
      <c r="G79" s="44">
        <v>45720</v>
      </c>
      <c r="H79" s="59">
        <v>24.957999999999998</v>
      </c>
      <c r="I79" s="44">
        <v>45720</v>
      </c>
      <c r="J79" s="59">
        <v>49.055</v>
      </c>
      <c r="K79" s="59"/>
    </row>
    <row r="80" spans="1:11">
      <c r="A80" s="43">
        <f t="shared" si="4"/>
        <v>45721</v>
      </c>
      <c r="B80" s="60">
        <f t="shared" si="5"/>
        <v>-3.59</v>
      </c>
      <c r="C80" s="60">
        <f t="shared" si="6"/>
        <v>26.963999999999999</v>
      </c>
      <c r="D80" s="60">
        <f t="shared" si="7"/>
        <v>49.335000000000001</v>
      </c>
      <c r="E80" s="44">
        <v>45721</v>
      </c>
      <c r="F80" s="59">
        <v>-3.59</v>
      </c>
      <c r="G80" s="44">
        <v>45721</v>
      </c>
      <c r="H80" s="59">
        <v>26.963999999999999</v>
      </c>
      <c r="I80" s="44">
        <v>45721</v>
      </c>
      <c r="J80" s="59">
        <v>49.335000000000001</v>
      </c>
      <c r="K80" s="59"/>
    </row>
    <row r="81" spans="1:11">
      <c r="A81" s="43">
        <f t="shared" si="4"/>
        <v>45722</v>
      </c>
      <c r="B81" s="60">
        <f t="shared" si="5"/>
        <v>-3.0310000000000001</v>
      </c>
      <c r="C81" s="60">
        <f t="shared" si="6"/>
        <v>31.521999999999998</v>
      </c>
      <c r="D81" s="60">
        <f t="shared" si="7"/>
        <v>52.201000000000001</v>
      </c>
      <c r="E81" s="44">
        <v>45722</v>
      </c>
      <c r="F81" s="59">
        <v>-3.0310000000000001</v>
      </c>
      <c r="G81" s="44">
        <v>45722</v>
      </c>
      <c r="H81" s="59">
        <v>31.521999999999998</v>
      </c>
      <c r="I81" s="44">
        <v>45722</v>
      </c>
      <c r="J81" s="59">
        <v>52.201000000000001</v>
      </c>
      <c r="K81" s="59"/>
    </row>
    <row r="82" spans="1:11">
      <c r="A82" s="43">
        <f t="shared" si="4"/>
        <v>45723</v>
      </c>
      <c r="B82" s="60">
        <f t="shared" si="5"/>
        <v>-0.60399999999999998</v>
      </c>
      <c r="C82" s="60">
        <f t="shared" si="6"/>
        <v>29.934999999999999</v>
      </c>
      <c r="D82" s="60">
        <f t="shared" si="7"/>
        <v>51.215000000000003</v>
      </c>
      <c r="E82" s="44">
        <v>45723</v>
      </c>
      <c r="F82" s="59">
        <v>-0.60399999999999998</v>
      </c>
      <c r="G82" s="44">
        <v>45723</v>
      </c>
      <c r="H82" s="59">
        <v>29.934999999999999</v>
      </c>
      <c r="I82" s="44">
        <v>45723</v>
      </c>
      <c r="J82" s="59">
        <v>51.215000000000003</v>
      </c>
      <c r="K82" s="59"/>
    </row>
    <row r="83" spans="1:11">
      <c r="A83" s="43">
        <f t="shared" si="4"/>
        <v>45726</v>
      </c>
      <c r="B83" s="60">
        <f t="shared" si="5"/>
        <v>-7.5449999999999999</v>
      </c>
      <c r="C83" s="60">
        <f t="shared" si="6"/>
        <v>32.569000000000003</v>
      </c>
      <c r="D83" s="60">
        <f t="shared" si="7"/>
        <v>57.206000000000003</v>
      </c>
      <c r="E83" s="44">
        <v>45726</v>
      </c>
      <c r="F83" s="59">
        <v>-7.5449999999999999</v>
      </c>
      <c r="G83" s="44">
        <v>45726</v>
      </c>
      <c r="H83" s="59">
        <v>32.569000000000003</v>
      </c>
      <c r="I83" s="44">
        <v>45726</v>
      </c>
      <c r="J83" s="59">
        <v>57.206000000000003</v>
      </c>
      <c r="K83" s="59"/>
    </row>
    <row r="84" spans="1:11">
      <c r="A84" s="43">
        <f t="shared" si="4"/>
        <v>45727</v>
      </c>
      <c r="B84" s="60">
        <f t="shared" si="5"/>
        <v>-1.431</v>
      </c>
      <c r="C84" s="60">
        <f t="shared" si="6"/>
        <v>33.258000000000003</v>
      </c>
      <c r="D84" s="60">
        <f t="shared" si="7"/>
        <v>55.835999999999999</v>
      </c>
      <c r="E84" s="44">
        <v>45727</v>
      </c>
      <c r="F84" s="59">
        <v>-1.431</v>
      </c>
      <c r="G84" s="44">
        <v>45727</v>
      </c>
      <c r="H84" s="59">
        <v>33.258000000000003</v>
      </c>
      <c r="I84" s="44">
        <v>45727</v>
      </c>
      <c r="J84" s="59">
        <v>55.835999999999999</v>
      </c>
      <c r="K84" s="59"/>
    </row>
    <row r="85" spans="1:11">
      <c r="A85" s="43">
        <f t="shared" si="4"/>
        <v>45728</v>
      </c>
      <c r="B85" s="60">
        <f t="shared" si="5"/>
        <v>0.57899999999999996</v>
      </c>
      <c r="C85" s="60">
        <f t="shared" si="6"/>
        <v>31.96</v>
      </c>
      <c r="D85" s="60">
        <f t="shared" si="7"/>
        <v>55.9</v>
      </c>
      <c r="E85" s="44">
        <v>45728</v>
      </c>
      <c r="F85" s="59">
        <v>0.57899999999999996</v>
      </c>
      <c r="G85" s="44">
        <v>45728</v>
      </c>
      <c r="H85" s="59">
        <v>31.96</v>
      </c>
      <c r="I85" s="44">
        <v>45728</v>
      </c>
      <c r="J85" s="59">
        <v>55.9</v>
      </c>
      <c r="K85" s="59"/>
    </row>
    <row r="86" spans="1:11">
      <c r="A86" s="43">
        <f t="shared" si="4"/>
        <v>45729</v>
      </c>
      <c r="B86" s="60">
        <f t="shared" si="5"/>
        <v>-3.274</v>
      </c>
      <c r="C86" s="60">
        <f t="shared" si="6"/>
        <v>30.689</v>
      </c>
      <c r="D86" s="60">
        <f t="shared" si="7"/>
        <v>55.783999999999999</v>
      </c>
      <c r="E86" s="44">
        <v>45729</v>
      </c>
      <c r="F86" s="59">
        <v>-3.274</v>
      </c>
      <c r="G86" s="44">
        <v>45729</v>
      </c>
      <c r="H86" s="59">
        <v>30.689</v>
      </c>
      <c r="I86" s="44">
        <v>45729</v>
      </c>
      <c r="J86" s="59">
        <v>55.783999999999999</v>
      </c>
      <c r="K86" s="59"/>
    </row>
    <row r="87" spans="1:11">
      <c r="A87" s="43">
        <f t="shared" si="4"/>
        <v>45730</v>
      </c>
      <c r="B87" s="60">
        <f t="shared" si="5"/>
        <v>1.526</v>
      </c>
      <c r="C87" s="60">
        <f t="shared" si="6"/>
        <v>29.295000000000002</v>
      </c>
      <c r="D87" s="60">
        <f t="shared" si="7"/>
        <v>53.082000000000001</v>
      </c>
      <c r="E87" s="44">
        <v>45730</v>
      </c>
      <c r="F87" s="59">
        <v>1.526</v>
      </c>
      <c r="G87" s="44">
        <v>45730</v>
      </c>
      <c r="H87" s="59">
        <v>29.295000000000002</v>
      </c>
      <c r="I87" s="44">
        <v>45730</v>
      </c>
      <c r="J87" s="59">
        <v>53.082000000000001</v>
      </c>
      <c r="K87" s="59"/>
    </row>
    <row r="88" spans="1:11">
      <c r="A88" s="43">
        <f t="shared" si="4"/>
        <v>45733</v>
      </c>
      <c r="B88" s="60">
        <f t="shared" si="5"/>
        <v>0.222</v>
      </c>
      <c r="C88" s="60">
        <f t="shared" si="6"/>
        <v>25.021000000000001</v>
      </c>
      <c r="D88" s="60">
        <f t="shared" si="7"/>
        <v>50.101999999999997</v>
      </c>
      <c r="E88" s="44">
        <v>45733</v>
      </c>
      <c r="F88" s="59">
        <v>0.222</v>
      </c>
      <c r="G88" s="44">
        <v>45733</v>
      </c>
      <c r="H88" s="59">
        <v>25.021000000000001</v>
      </c>
      <c r="I88" s="44">
        <v>45733</v>
      </c>
      <c r="J88" s="59">
        <v>50.101999999999997</v>
      </c>
      <c r="K88" s="59"/>
    </row>
    <row r="89" spans="1:11">
      <c r="A89" s="43">
        <f t="shared" si="4"/>
        <v>45734</v>
      </c>
      <c r="B89" s="60">
        <f t="shared" si="5"/>
        <v>-0.38200000000000001</v>
      </c>
      <c r="C89" s="60">
        <f t="shared" si="6"/>
        <v>23.911000000000001</v>
      </c>
      <c r="D89" s="60">
        <f t="shared" si="7"/>
        <v>50.996000000000002</v>
      </c>
      <c r="E89" s="44">
        <v>45734</v>
      </c>
      <c r="F89" s="59">
        <v>-0.38200000000000001</v>
      </c>
      <c r="G89" s="44">
        <v>45734</v>
      </c>
      <c r="H89" s="59">
        <v>23.911000000000001</v>
      </c>
      <c r="I89" s="44">
        <v>45734</v>
      </c>
      <c r="J89" s="59">
        <v>50.996000000000002</v>
      </c>
      <c r="K89" s="59"/>
    </row>
    <row r="90" spans="1:11">
      <c r="A90" s="43">
        <f t="shared" si="4"/>
        <v>45735</v>
      </c>
      <c r="B90" s="60">
        <f t="shared" si="5"/>
        <v>-6.1779999999999999</v>
      </c>
      <c r="C90" s="60">
        <f t="shared" si="6"/>
        <v>26.224</v>
      </c>
      <c r="D90" s="60">
        <f t="shared" si="7"/>
        <v>52.832000000000001</v>
      </c>
      <c r="E90" s="44">
        <v>45735</v>
      </c>
      <c r="F90" s="59">
        <v>-6.1779999999999999</v>
      </c>
      <c r="G90" s="44">
        <v>45735</v>
      </c>
      <c r="H90" s="59">
        <v>26.224</v>
      </c>
      <c r="I90" s="44">
        <v>45735</v>
      </c>
      <c r="J90" s="59">
        <v>52.832000000000001</v>
      </c>
      <c r="K90" s="59"/>
    </row>
    <row r="91" spans="1:11">
      <c r="A91" s="43">
        <f t="shared" si="4"/>
        <v>45736</v>
      </c>
      <c r="B91" s="60">
        <f t="shared" si="5"/>
        <v>-5.6749999999999998</v>
      </c>
      <c r="C91" s="60">
        <f t="shared" si="6"/>
        <v>26.908000000000001</v>
      </c>
      <c r="D91" s="60">
        <f t="shared" si="7"/>
        <v>54.189</v>
      </c>
      <c r="E91" s="44">
        <v>45736</v>
      </c>
      <c r="F91" s="59">
        <v>-5.6749999999999998</v>
      </c>
      <c r="G91" s="44">
        <v>45736</v>
      </c>
      <c r="H91" s="59">
        <v>26.908000000000001</v>
      </c>
      <c r="I91" s="44">
        <v>45736</v>
      </c>
      <c r="J91" s="59">
        <v>54.189</v>
      </c>
      <c r="K91" s="59"/>
    </row>
    <row r="92" spans="1:11">
      <c r="A92" s="43">
        <f t="shared" si="4"/>
        <v>45737</v>
      </c>
      <c r="B92" s="60">
        <f t="shared" si="5"/>
        <v>-4.5949999999999998</v>
      </c>
      <c r="C92" s="60">
        <f t="shared" si="6"/>
        <v>29.391999999999999</v>
      </c>
      <c r="D92" s="60">
        <f t="shared" si="7"/>
        <v>58.423000000000002</v>
      </c>
      <c r="E92" s="44">
        <v>45737</v>
      </c>
      <c r="F92" s="59">
        <v>-4.5949999999999998</v>
      </c>
      <c r="G92" s="44">
        <v>45737</v>
      </c>
      <c r="H92" s="59">
        <v>29.391999999999999</v>
      </c>
      <c r="I92" s="44">
        <v>45737</v>
      </c>
      <c r="J92" s="59">
        <v>58.423000000000002</v>
      </c>
      <c r="K92" s="59"/>
    </row>
    <row r="93" spans="1:11">
      <c r="A93" s="43">
        <f t="shared" si="4"/>
        <v>45740</v>
      </c>
      <c r="B93" s="60">
        <f t="shared" si="5"/>
        <v>4.2949999999999999</v>
      </c>
      <c r="C93" s="60">
        <f t="shared" si="6"/>
        <v>29.58</v>
      </c>
      <c r="D93" s="60">
        <f t="shared" si="7"/>
        <v>56.615000000000002</v>
      </c>
      <c r="E93" s="44">
        <v>45740</v>
      </c>
      <c r="F93" s="59">
        <v>4.2949999999999999</v>
      </c>
      <c r="G93" s="44">
        <v>45740</v>
      </c>
      <c r="H93" s="59">
        <v>29.58</v>
      </c>
      <c r="I93" s="44">
        <v>45740</v>
      </c>
      <c r="J93" s="59">
        <v>56.615000000000002</v>
      </c>
      <c r="K93" s="59"/>
    </row>
    <row r="94" spans="1:11">
      <c r="A94" s="43">
        <f t="shared" si="4"/>
        <v>45741</v>
      </c>
      <c r="B94" s="60">
        <f t="shared" si="5"/>
        <v>2.948</v>
      </c>
      <c r="C94" s="60">
        <f t="shared" si="6"/>
        <v>29.163</v>
      </c>
      <c r="D94" s="60">
        <f t="shared" si="7"/>
        <v>58.874000000000002</v>
      </c>
      <c r="E94" s="44">
        <v>45741</v>
      </c>
      <c r="F94" s="59">
        <v>2.948</v>
      </c>
      <c r="G94" s="44">
        <v>45741</v>
      </c>
      <c r="H94" s="59">
        <v>29.163</v>
      </c>
      <c r="I94" s="44">
        <v>45741</v>
      </c>
      <c r="J94" s="59">
        <v>58.874000000000002</v>
      </c>
      <c r="K94" s="59"/>
    </row>
    <row r="95" spans="1:11">
      <c r="A95" s="43">
        <f t="shared" si="4"/>
        <v>45742</v>
      </c>
      <c r="B95" s="60">
        <f t="shared" si="5"/>
        <v>5.4950000000000001</v>
      </c>
      <c r="C95" s="60">
        <f t="shared" si="6"/>
        <v>33.103999999999999</v>
      </c>
      <c r="D95" s="60">
        <f t="shared" si="7"/>
        <v>60.383000000000003</v>
      </c>
      <c r="E95" s="44">
        <v>45742</v>
      </c>
      <c r="F95" s="59">
        <v>5.4950000000000001</v>
      </c>
      <c r="G95" s="44">
        <v>45742</v>
      </c>
      <c r="H95" s="59">
        <v>33.103999999999999</v>
      </c>
      <c r="I95" s="44">
        <v>45742</v>
      </c>
      <c r="J95" s="59">
        <v>60.383000000000003</v>
      </c>
      <c r="K95" s="59"/>
    </row>
    <row r="96" spans="1:11">
      <c r="A96" s="43">
        <f t="shared" si="4"/>
        <v>45743</v>
      </c>
      <c r="B96" s="60">
        <f t="shared" si="5"/>
        <v>6.12</v>
      </c>
      <c r="C96" s="60">
        <f t="shared" si="6"/>
        <v>36.555</v>
      </c>
      <c r="D96" s="60">
        <f t="shared" si="7"/>
        <v>62.817</v>
      </c>
      <c r="E96" s="44">
        <v>45743</v>
      </c>
      <c r="F96" s="59">
        <v>6.12</v>
      </c>
      <c r="G96" s="44">
        <v>45743</v>
      </c>
      <c r="H96" s="59">
        <v>36.555</v>
      </c>
      <c r="I96" s="44">
        <v>45743</v>
      </c>
      <c r="J96" s="59">
        <v>62.817</v>
      </c>
      <c r="K96" s="59"/>
    </row>
    <row r="97" spans="1:11">
      <c r="A97" s="43">
        <f t="shared" si="4"/>
        <v>45744</v>
      </c>
      <c r="B97" s="60">
        <f t="shared" si="5"/>
        <v>-4.7430000000000003</v>
      </c>
      <c r="C97" s="60">
        <f t="shared" si="6"/>
        <v>33.545000000000002</v>
      </c>
      <c r="D97" s="60">
        <f t="shared" si="7"/>
        <v>64.771000000000001</v>
      </c>
      <c r="E97" s="44">
        <v>45744</v>
      </c>
      <c r="F97" s="59">
        <v>-4.7430000000000003</v>
      </c>
      <c r="G97" s="44">
        <v>45744</v>
      </c>
      <c r="H97" s="59">
        <v>33.545000000000002</v>
      </c>
      <c r="I97" s="44">
        <v>45744</v>
      </c>
      <c r="J97" s="59">
        <v>64.771000000000001</v>
      </c>
      <c r="K97" s="59"/>
    </row>
    <row r="98" spans="1:11">
      <c r="A98" s="43">
        <f t="shared" si="4"/>
        <v>45747</v>
      </c>
      <c r="B98" s="60">
        <f t="shared" si="5"/>
        <v>-9.8829999999999991</v>
      </c>
      <c r="C98" s="60">
        <f t="shared" si="6"/>
        <v>31.798999999999999</v>
      </c>
      <c r="D98" s="60">
        <f t="shared" si="7"/>
        <v>61.94</v>
      </c>
      <c r="E98" s="44">
        <v>45747</v>
      </c>
      <c r="F98" s="59">
        <v>-9.8829999999999991</v>
      </c>
      <c r="G98" s="44">
        <v>45747</v>
      </c>
      <c r="H98" s="59">
        <v>31.798999999999999</v>
      </c>
      <c r="I98" s="44">
        <v>45747</v>
      </c>
      <c r="J98" s="59">
        <v>61.94</v>
      </c>
      <c r="K98" s="59"/>
    </row>
    <row r="99" spans="1:11">
      <c r="A99" s="43">
        <f t="shared" si="4"/>
        <v>45748</v>
      </c>
      <c r="B99" s="60">
        <f t="shared" si="5"/>
        <v>-13.824</v>
      </c>
      <c r="C99" s="60">
        <f t="shared" si="6"/>
        <v>28.372</v>
      </c>
      <c r="D99" s="60">
        <f t="shared" si="7"/>
        <v>59.801000000000002</v>
      </c>
      <c r="E99" s="44">
        <v>45748</v>
      </c>
      <c r="F99" s="59">
        <v>-13.824</v>
      </c>
      <c r="G99" s="44">
        <v>45748</v>
      </c>
      <c r="H99" s="59">
        <v>28.372</v>
      </c>
      <c r="I99" s="44">
        <v>45748</v>
      </c>
      <c r="J99" s="59">
        <v>59.801000000000002</v>
      </c>
      <c r="K99" s="59"/>
    </row>
    <row r="100" spans="1:11">
      <c r="A100" s="43">
        <f t="shared" si="4"/>
        <v>45749</v>
      </c>
      <c r="B100" s="60">
        <f t="shared" si="5"/>
        <v>-18.486000000000001</v>
      </c>
      <c r="C100" s="60">
        <f t="shared" si="6"/>
        <v>26.238</v>
      </c>
      <c r="D100" s="60">
        <f t="shared" si="7"/>
        <v>61.588000000000001</v>
      </c>
      <c r="E100" s="44">
        <v>45749</v>
      </c>
      <c r="F100" s="59">
        <v>-18.486000000000001</v>
      </c>
      <c r="G100" s="44">
        <v>45749</v>
      </c>
      <c r="H100" s="59">
        <v>26.238</v>
      </c>
      <c r="I100" s="44">
        <v>45749</v>
      </c>
      <c r="J100" s="59">
        <v>61.588000000000001</v>
      </c>
      <c r="K100" s="59"/>
    </row>
    <row r="101" spans="1:11">
      <c r="A101" s="43">
        <f t="shared" si="4"/>
        <v>45750</v>
      </c>
      <c r="B101" s="60">
        <f t="shared" si="5"/>
        <v>-27.238</v>
      </c>
      <c r="C101" s="60">
        <f t="shared" si="6"/>
        <v>34.279000000000003</v>
      </c>
      <c r="D101" s="60">
        <f t="shared" si="7"/>
        <v>74.210999999999999</v>
      </c>
      <c r="E101" s="44">
        <v>45750</v>
      </c>
      <c r="F101" s="59">
        <v>-27.238</v>
      </c>
      <c r="G101" s="44">
        <v>45750</v>
      </c>
      <c r="H101" s="59">
        <v>34.279000000000003</v>
      </c>
      <c r="I101" s="44">
        <v>45750</v>
      </c>
      <c r="J101" s="59">
        <v>74.210999999999999</v>
      </c>
      <c r="K101" s="59"/>
    </row>
    <row r="102" spans="1:11">
      <c r="A102" s="43">
        <f t="shared" si="4"/>
        <v>45751</v>
      </c>
      <c r="B102" s="60">
        <f t="shared" si="5"/>
        <v>-26.888999999999999</v>
      </c>
      <c r="C102" s="60">
        <f t="shared" si="6"/>
        <v>33.619</v>
      </c>
      <c r="D102" s="60">
        <f t="shared" si="7"/>
        <v>70.013000000000005</v>
      </c>
      <c r="E102" s="44">
        <v>45751</v>
      </c>
      <c r="F102" s="59">
        <v>-26.888999999999999</v>
      </c>
      <c r="G102" s="44">
        <v>45751</v>
      </c>
      <c r="H102" s="59">
        <v>33.619</v>
      </c>
      <c r="I102" s="44">
        <v>45751</v>
      </c>
      <c r="J102" s="59">
        <v>70.013000000000005</v>
      </c>
      <c r="K102" s="59"/>
    </row>
    <row r="103" spans="1:11">
      <c r="A103" s="43">
        <f t="shared" si="4"/>
        <v>45754</v>
      </c>
      <c r="B103" s="60">
        <f t="shared" si="5"/>
        <v>-9.7970000000000006</v>
      </c>
      <c r="C103" s="60">
        <f t="shared" si="6"/>
        <v>41.436</v>
      </c>
      <c r="D103" s="60">
        <f t="shared" si="7"/>
        <v>74.956000000000003</v>
      </c>
      <c r="E103" s="44">
        <v>45754</v>
      </c>
      <c r="F103" s="59">
        <v>-9.7970000000000006</v>
      </c>
      <c r="G103" s="44">
        <v>45754</v>
      </c>
      <c r="H103" s="59">
        <v>41.436</v>
      </c>
      <c r="I103" s="44">
        <v>45754</v>
      </c>
      <c r="J103" s="59">
        <v>74.956000000000003</v>
      </c>
      <c r="K103" s="59"/>
    </row>
    <row r="104" spans="1:11">
      <c r="A104" s="43">
        <f t="shared" si="4"/>
        <v>45755</v>
      </c>
      <c r="B104" s="60">
        <f t="shared" si="5"/>
        <v>-1.6830000000000001</v>
      </c>
      <c r="C104" s="60">
        <f t="shared" si="6"/>
        <v>56.113</v>
      </c>
      <c r="D104" s="60">
        <f t="shared" si="7"/>
        <v>84.685000000000002</v>
      </c>
      <c r="E104" s="44">
        <v>45755</v>
      </c>
      <c r="F104" s="59">
        <v>-1.6830000000000001</v>
      </c>
      <c r="G104" s="44">
        <v>45755</v>
      </c>
      <c r="H104" s="59">
        <v>56.113</v>
      </c>
      <c r="I104" s="44">
        <v>45755</v>
      </c>
      <c r="J104" s="59">
        <v>84.685000000000002</v>
      </c>
      <c r="K104" s="59"/>
    </row>
    <row r="105" spans="1:11">
      <c r="A105" s="43">
        <f t="shared" si="4"/>
        <v>45756</v>
      </c>
      <c r="B105" s="60">
        <f t="shared" si="5"/>
        <v>-1.137</v>
      </c>
      <c r="C105" s="60">
        <f t="shared" si="6"/>
        <v>41.548000000000002</v>
      </c>
      <c r="D105" s="60">
        <f t="shared" si="7"/>
        <v>68.97</v>
      </c>
      <c r="E105" s="44">
        <v>45756</v>
      </c>
      <c r="F105" s="59">
        <v>-1.137</v>
      </c>
      <c r="G105" s="44">
        <v>45756</v>
      </c>
      <c r="H105" s="59">
        <v>41.548000000000002</v>
      </c>
      <c r="I105" s="44">
        <v>45756</v>
      </c>
      <c r="J105" s="59">
        <v>68.97</v>
      </c>
      <c r="K105" s="59"/>
    </row>
    <row r="106" spans="1:11">
      <c r="A106" s="43">
        <f t="shared" si="4"/>
        <v>45757</v>
      </c>
      <c r="B106" s="60">
        <f t="shared" si="5"/>
        <v>10.066000000000001</v>
      </c>
      <c r="C106" s="60">
        <f t="shared" si="6"/>
        <v>55.253</v>
      </c>
      <c r="D106" s="60">
        <f t="shared" si="7"/>
        <v>79.513999999999996</v>
      </c>
      <c r="E106" s="44">
        <v>45757</v>
      </c>
      <c r="F106" s="59">
        <v>10.066000000000001</v>
      </c>
      <c r="G106" s="44">
        <v>45757</v>
      </c>
      <c r="H106" s="59">
        <v>55.253</v>
      </c>
      <c r="I106" s="44">
        <v>45757</v>
      </c>
      <c r="J106" s="59">
        <v>79.513999999999996</v>
      </c>
      <c r="K106" s="59"/>
    </row>
    <row r="107" spans="1:11">
      <c r="A107" s="43">
        <f t="shared" si="4"/>
        <v>45758</v>
      </c>
      <c r="B107" s="60">
        <f t="shared" si="5"/>
        <v>15.388999999999999</v>
      </c>
      <c r="C107" s="60">
        <f t="shared" si="6"/>
        <v>52.331000000000003</v>
      </c>
      <c r="D107" s="60">
        <f t="shared" si="7"/>
        <v>70.698999999999998</v>
      </c>
      <c r="E107" s="44">
        <v>45758</v>
      </c>
      <c r="F107" s="59">
        <v>15.388999999999999</v>
      </c>
      <c r="G107" s="44">
        <v>45758</v>
      </c>
      <c r="H107" s="59">
        <v>52.331000000000003</v>
      </c>
      <c r="I107" s="44">
        <v>45758</v>
      </c>
      <c r="J107" s="59">
        <v>70.698999999999998</v>
      </c>
      <c r="K107" s="59"/>
    </row>
    <row r="108" spans="1:11">
      <c r="A108" s="43">
        <f t="shared" si="4"/>
        <v>45761</v>
      </c>
      <c r="B108" s="60">
        <f t="shared" si="5"/>
        <v>5.173</v>
      </c>
      <c r="C108" s="60">
        <f t="shared" si="6"/>
        <v>52.472999999999999</v>
      </c>
      <c r="D108" s="60">
        <f t="shared" si="7"/>
        <v>79.537000000000006</v>
      </c>
      <c r="E108" s="44">
        <v>45761</v>
      </c>
      <c r="F108" s="59">
        <v>5.173</v>
      </c>
      <c r="G108" s="44">
        <v>45761</v>
      </c>
      <c r="H108" s="59">
        <v>52.472999999999999</v>
      </c>
      <c r="I108" s="44">
        <v>45761</v>
      </c>
      <c r="J108" s="59">
        <v>79.537000000000006</v>
      </c>
      <c r="K108" s="59"/>
    </row>
    <row r="109" spans="1:11">
      <c r="A109" s="43">
        <f t="shared" si="4"/>
        <v>45762</v>
      </c>
      <c r="B109" s="60">
        <f t="shared" si="5"/>
        <v>2.0710000000000002</v>
      </c>
      <c r="C109" s="60">
        <f t="shared" si="6"/>
        <v>48.39</v>
      </c>
      <c r="D109" s="60">
        <f t="shared" si="7"/>
        <v>79.039000000000001</v>
      </c>
      <c r="E109" s="44">
        <v>45762</v>
      </c>
      <c r="F109" s="59">
        <v>2.0710000000000002</v>
      </c>
      <c r="G109" s="44">
        <v>45762</v>
      </c>
      <c r="H109" s="59">
        <v>48.39</v>
      </c>
      <c r="I109" s="44">
        <v>45762</v>
      </c>
      <c r="J109" s="59">
        <v>79.039000000000001</v>
      </c>
      <c r="K109" s="59"/>
    </row>
    <row r="110" spans="1:11">
      <c r="A110" s="43">
        <f t="shared" si="4"/>
        <v>45763</v>
      </c>
      <c r="B110" s="60">
        <f t="shared" si="5"/>
        <v>-4.2779999999999996</v>
      </c>
      <c r="C110" s="60">
        <f t="shared" si="6"/>
        <v>50.305999999999997</v>
      </c>
      <c r="D110" s="60">
        <f t="shared" si="7"/>
        <v>83.358999999999995</v>
      </c>
      <c r="E110" s="44">
        <v>45763</v>
      </c>
      <c r="F110" s="59">
        <v>-4.2779999999999996</v>
      </c>
      <c r="G110" s="44">
        <v>45763</v>
      </c>
      <c r="H110" s="59">
        <v>50.305999999999997</v>
      </c>
      <c r="I110" s="44">
        <v>45763</v>
      </c>
      <c r="J110" s="59">
        <v>83.358999999999995</v>
      </c>
      <c r="K110" s="59"/>
    </row>
    <row r="111" spans="1:11">
      <c r="A111" s="43">
        <f t="shared" si="4"/>
        <v>45764</v>
      </c>
      <c r="B111" s="60">
        <f t="shared" si="5"/>
        <v>-0.29799999999999999</v>
      </c>
      <c r="C111" s="60">
        <f t="shared" si="6"/>
        <v>52.246000000000002</v>
      </c>
      <c r="D111" s="60">
        <f t="shared" si="7"/>
        <v>85.908000000000001</v>
      </c>
      <c r="E111" s="44">
        <v>45764</v>
      </c>
      <c r="F111" s="59">
        <v>-0.29799999999999999</v>
      </c>
      <c r="G111" s="44">
        <v>45764</v>
      </c>
      <c r="H111" s="59">
        <v>52.246000000000002</v>
      </c>
      <c r="I111" s="44">
        <v>45764</v>
      </c>
      <c r="J111" s="59">
        <v>85.908000000000001</v>
      </c>
      <c r="K111" s="59"/>
    </row>
    <row r="112" spans="1:11">
      <c r="A112" s="43">
        <f t="shared" si="4"/>
        <v>45765</v>
      </c>
      <c r="B112" s="60">
        <f t="shared" si="5"/>
        <v>-0.29799999999999999</v>
      </c>
      <c r="C112" s="60">
        <f t="shared" si="6"/>
        <v>52.246000000000002</v>
      </c>
      <c r="D112" s="60">
        <f t="shared" si="7"/>
        <v>85.807000000000002</v>
      </c>
      <c r="E112" s="44">
        <v>45765</v>
      </c>
      <c r="F112" s="59">
        <v>-0.29799999999999999</v>
      </c>
      <c r="G112" s="44">
        <v>45765</v>
      </c>
      <c r="H112" s="59">
        <v>52.246000000000002</v>
      </c>
      <c r="I112" s="44">
        <v>45765</v>
      </c>
      <c r="J112" s="59">
        <v>85.807000000000002</v>
      </c>
      <c r="K112" s="59"/>
    </row>
    <row r="113" spans="1:11">
      <c r="A113" s="43">
        <f t="shared" si="4"/>
        <v>45768</v>
      </c>
      <c r="B113" s="60">
        <f t="shared" si="5"/>
        <v>8.0679999999999996</v>
      </c>
      <c r="C113" s="60">
        <f t="shared" si="6"/>
        <v>64.200999999999993</v>
      </c>
      <c r="D113" s="60">
        <f t="shared" si="7"/>
        <v>92.56</v>
      </c>
      <c r="E113" s="44">
        <v>45768</v>
      </c>
      <c r="F113" s="59">
        <v>8.0679999999999996</v>
      </c>
      <c r="G113" s="44">
        <v>45768</v>
      </c>
      <c r="H113" s="59">
        <v>64.200999999999993</v>
      </c>
      <c r="I113" s="44">
        <v>45768</v>
      </c>
      <c r="J113" s="59">
        <v>92.56</v>
      </c>
      <c r="K113" s="59"/>
    </row>
    <row r="114" spans="1:11">
      <c r="A114" s="43">
        <f t="shared" si="4"/>
        <v>45769</v>
      </c>
      <c r="B114" s="60">
        <f t="shared" si="5"/>
        <v>7.8120000000000003</v>
      </c>
      <c r="C114" s="60">
        <f t="shared" si="6"/>
        <v>57.965000000000003</v>
      </c>
      <c r="D114" s="60">
        <f t="shared" si="7"/>
        <v>88.328999999999994</v>
      </c>
      <c r="E114" s="44">
        <v>45769</v>
      </c>
      <c r="F114" s="59">
        <v>7.8120000000000003</v>
      </c>
      <c r="G114" s="44">
        <v>45769</v>
      </c>
      <c r="H114" s="59">
        <v>57.965000000000003</v>
      </c>
      <c r="I114" s="44">
        <v>45769</v>
      </c>
      <c r="J114" s="59">
        <v>88.328999999999994</v>
      </c>
      <c r="K114" s="59"/>
    </row>
    <row r="115" spans="1:11">
      <c r="A115" s="43">
        <f t="shared" si="4"/>
        <v>45770</v>
      </c>
      <c r="B115" s="60">
        <f t="shared" si="5"/>
        <v>5.9020000000000001</v>
      </c>
      <c r="C115" s="60">
        <f t="shared" si="6"/>
        <v>50.621000000000002</v>
      </c>
      <c r="D115" s="60">
        <f t="shared" si="7"/>
        <v>79.813999999999993</v>
      </c>
      <c r="E115" s="44">
        <v>45770</v>
      </c>
      <c r="F115" s="59">
        <v>5.9020000000000001</v>
      </c>
      <c r="G115" s="44">
        <v>45770</v>
      </c>
      <c r="H115" s="59">
        <v>50.621000000000002</v>
      </c>
      <c r="I115" s="44">
        <v>45770</v>
      </c>
      <c r="J115" s="59">
        <v>79.813999999999993</v>
      </c>
      <c r="K115" s="59"/>
    </row>
    <row r="116" spans="1:11">
      <c r="A116" s="43">
        <f t="shared" si="4"/>
        <v>45771</v>
      </c>
      <c r="B116" s="60">
        <f t="shared" si="5"/>
        <v>0.10199999999999999</v>
      </c>
      <c r="C116" s="60">
        <f t="shared" si="6"/>
        <v>51.167000000000002</v>
      </c>
      <c r="D116" s="60">
        <f t="shared" si="7"/>
        <v>83.826999999999998</v>
      </c>
      <c r="E116" s="44">
        <v>45771</v>
      </c>
      <c r="F116" s="59">
        <v>0.10199999999999999</v>
      </c>
      <c r="G116" s="44">
        <v>45771</v>
      </c>
      <c r="H116" s="59">
        <v>51.167000000000002</v>
      </c>
      <c r="I116" s="44">
        <v>45771</v>
      </c>
      <c r="J116" s="59">
        <v>83.826999999999998</v>
      </c>
      <c r="K116" s="59"/>
    </row>
    <row r="117" spans="1:11">
      <c r="A117" s="43">
        <f t="shared" si="4"/>
        <v>45772</v>
      </c>
      <c r="B117" s="60">
        <f t="shared" si="5"/>
        <v>-7.4459999999999997</v>
      </c>
      <c r="C117" s="60">
        <f t="shared" si="6"/>
        <v>48.325000000000003</v>
      </c>
      <c r="D117" s="60">
        <f t="shared" si="7"/>
        <v>84.087999999999994</v>
      </c>
      <c r="E117" s="44">
        <v>45772</v>
      </c>
      <c r="F117" s="59">
        <v>-7.4459999999999997</v>
      </c>
      <c r="G117" s="44">
        <v>45772</v>
      </c>
      <c r="H117" s="59">
        <v>48.325000000000003</v>
      </c>
      <c r="I117" s="44">
        <v>45772</v>
      </c>
      <c r="J117" s="59">
        <v>84.087999999999994</v>
      </c>
      <c r="K117" s="59"/>
    </row>
    <row r="118" spans="1:11">
      <c r="A118" s="43">
        <f t="shared" si="4"/>
        <v>45775</v>
      </c>
      <c r="B118" s="60">
        <f t="shared" si="5"/>
        <v>-9.5839999999999996</v>
      </c>
      <c r="C118" s="60">
        <f t="shared" si="6"/>
        <v>50.933999999999997</v>
      </c>
      <c r="D118" s="60">
        <f t="shared" si="7"/>
        <v>86.787000000000006</v>
      </c>
      <c r="E118" s="44">
        <v>45775</v>
      </c>
      <c r="F118" s="59">
        <v>-9.5839999999999996</v>
      </c>
      <c r="G118" s="44">
        <v>45775</v>
      </c>
      <c r="H118" s="59">
        <v>50.933999999999997</v>
      </c>
      <c r="I118" s="44">
        <v>45775</v>
      </c>
      <c r="J118" s="59">
        <v>86.787000000000006</v>
      </c>
      <c r="K118" s="59"/>
    </row>
    <row r="119" spans="1:11">
      <c r="A119" s="43">
        <f t="shared" si="4"/>
        <v>45776</v>
      </c>
      <c r="B119" s="60">
        <f t="shared" si="5"/>
        <v>-12.254</v>
      </c>
      <c r="C119" s="60">
        <f t="shared" si="6"/>
        <v>51.765999999999998</v>
      </c>
      <c r="D119" s="60">
        <f t="shared" si="7"/>
        <v>88.114999999999995</v>
      </c>
      <c r="E119" s="44">
        <v>45776</v>
      </c>
      <c r="F119" s="59">
        <v>-12.254</v>
      </c>
      <c r="G119" s="44">
        <v>45776</v>
      </c>
      <c r="H119" s="59">
        <v>51.765999999999998</v>
      </c>
      <c r="I119" s="44">
        <v>45776</v>
      </c>
      <c r="J119" s="59">
        <v>88.114999999999995</v>
      </c>
      <c r="K119" s="59"/>
    </row>
    <row r="120" spans="1:11">
      <c r="A120" s="43">
        <f t="shared" si="4"/>
        <v>45777</v>
      </c>
      <c r="B120" s="60">
        <f t="shared" si="5"/>
        <v>-12.914</v>
      </c>
      <c r="C120" s="60">
        <f t="shared" si="6"/>
        <v>55.511000000000003</v>
      </c>
      <c r="D120" s="60">
        <f t="shared" si="7"/>
        <v>94.927000000000007</v>
      </c>
      <c r="E120" s="44">
        <v>45777</v>
      </c>
      <c r="F120" s="59">
        <v>-12.914</v>
      </c>
      <c r="G120" s="44">
        <v>45777</v>
      </c>
      <c r="H120" s="59">
        <v>55.511000000000003</v>
      </c>
      <c r="I120" s="44">
        <v>45777</v>
      </c>
      <c r="J120" s="59">
        <v>94.927000000000007</v>
      </c>
      <c r="K120" s="59"/>
    </row>
    <row r="121" spans="1:11">
      <c r="A121" s="43">
        <f t="shared" si="4"/>
        <v>45778</v>
      </c>
      <c r="B121" s="60">
        <f t="shared" si="5"/>
        <v>-8.5939999999999994</v>
      </c>
      <c r="C121" s="60">
        <f t="shared" si="6"/>
        <v>51.481999999999999</v>
      </c>
      <c r="D121" s="60">
        <f t="shared" si="7"/>
        <v>91.718000000000004</v>
      </c>
      <c r="E121" s="44">
        <v>45778</v>
      </c>
      <c r="F121" s="59">
        <v>-8.5939999999999994</v>
      </c>
      <c r="G121" s="44">
        <v>45778</v>
      </c>
      <c r="H121" s="59">
        <v>51.481999999999999</v>
      </c>
      <c r="I121" s="44">
        <v>45778</v>
      </c>
      <c r="J121" s="59">
        <v>91.718000000000004</v>
      </c>
      <c r="K121" s="59"/>
    </row>
    <row r="122" spans="1:11">
      <c r="A122" s="43">
        <f t="shared" si="4"/>
        <v>45779</v>
      </c>
      <c r="B122" s="60">
        <f t="shared" si="5"/>
        <v>-1.6950000000000001</v>
      </c>
      <c r="C122" s="60">
        <f t="shared" si="6"/>
        <v>48.231999999999999</v>
      </c>
      <c r="D122" s="60">
        <f t="shared" si="7"/>
        <v>86.88</v>
      </c>
      <c r="E122" s="44">
        <v>45779</v>
      </c>
      <c r="F122" s="59">
        <v>-1.6950000000000001</v>
      </c>
      <c r="G122" s="44">
        <v>45779</v>
      </c>
      <c r="H122" s="59">
        <v>48.231999999999999</v>
      </c>
      <c r="I122" s="44">
        <v>45779</v>
      </c>
      <c r="J122" s="59">
        <v>86.88</v>
      </c>
      <c r="K122" s="59"/>
    </row>
    <row r="123" spans="1:11">
      <c r="A123" s="43">
        <f t="shared" si="4"/>
        <v>45782</v>
      </c>
      <c r="B123" s="60">
        <f t="shared" si="5"/>
        <v>2.1150000000000002</v>
      </c>
      <c r="C123" s="60">
        <f t="shared" si="6"/>
        <v>50.695</v>
      </c>
      <c r="D123" s="60">
        <f t="shared" si="7"/>
        <v>89.352999999999994</v>
      </c>
      <c r="E123" s="44">
        <v>45782</v>
      </c>
      <c r="F123" s="59">
        <v>2.1150000000000002</v>
      </c>
      <c r="G123" s="44">
        <v>45782</v>
      </c>
      <c r="H123" s="59">
        <v>50.695</v>
      </c>
      <c r="I123" s="44">
        <v>45782</v>
      </c>
      <c r="J123" s="59">
        <v>89.352999999999994</v>
      </c>
      <c r="K123" s="59"/>
    </row>
    <row r="124" spans="1:11">
      <c r="A124" s="43">
        <f t="shared" si="4"/>
        <v>45783</v>
      </c>
      <c r="B124" s="60">
        <f t="shared" si="5"/>
        <v>-2.5510000000000002</v>
      </c>
      <c r="C124" s="60">
        <f t="shared" si="6"/>
        <v>50.773000000000003</v>
      </c>
      <c r="D124" s="60">
        <f t="shared" si="7"/>
        <v>90.129000000000005</v>
      </c>
      <c r="E124" s="44">
        <v>45783</v>
      </c>
      <c r="F124" s="59">
        <v>-2.5510000000000002</v>
      </c>
      <c r="G124" s="44">
        <v>45783</v>
      </c>
      <c r="H124" s="59">
        <v>50.773000000000003</v>
      </c>
      <c r="I124" s="44">
        <v>45783</v>
      </c>
      <c r="J124" s="59">
        <v>90.129000000000005</v>
      </c>
      <c r="K124" s="59"/>
    </row>
    <row r="125" spans="1:11">
      <c r="A125" s="43">
        <f t="shared" si="4"/>
        <v>45784</v>
      </c>
      <c r="B125" s="60">
        <f t="shared" si="5"/>
        <v>-5.7969999999999997</v>
      </c>
      <c r="C125" s="60">
        <f t="shared" si="6"/>
        <v>48.679000000000002</v>
      </c>
      <c r="D125" s="60">
        <f t="shared" si="7"/>
        <v>90.47</v>
      </c>
      <c r="E125" s="44">
        <v>45784</v>
      </c>
      <c r="F125" s="59">
        <v>-5.7969999999999997</v>
      </c>
      <c r="G125" s="44">
        <v>45784</v>
      </c>
      <c r="H125" s="59">
        <v>48.679000000000002</v>
      </c>
      <c r="I125" s="44">
        <v>45784</v>
      </c>
      <c r="J125" s="59">
        <v>90.47</v>
      </c>
      <c r="K125" s="59"/>
    </row>
    <row r="126" spans="1:11">
      <c r="A126" s="43">
        <f t="shared" si="4"/>
        <v>45785</v>
      </c>
      <c r="B126" s="60">
        <f t="shared" si="5"/>
        <v>4.3860000000000001</v>
      </c>
      <c r="C126" s="60">
        <f t="shared" si="6"/>
        <v>49.84</v>
      </c>
      <c r="D126" s="60">
        <f t="shared" si="7"/>
        <v>85.62</v>
      </c>
      <c r="E126" s="44">
        <v>45785</v>
      </c>
      <c r="F126" s="59">
        <v>4.3860000000000001</v>
      </c>
      <c r="G126" s="44">
        <v>45785</v>
      </c>
      <c r="H126" s="59">
        <v>49.84</v>
      </c>
      <c r="I126" s="44">
        <v>45785</v>
      </c>
      <c r="J126" s="59">
        <v>85.62</v>
      </c>
      <c r="K126" s="59"/>
    </row>
    <row r="127" spans="1:11">
      <c r="A127" s="43">
        <f t="shared" si="4"/>
        <v>45786</v>
      </c>
      <c r="B127" s="60">
        <f t="shared" si="5"/>
        <v>5.0579999999999998</v>
      </c>
      <c r="C127" s="60">
        <f t="shared" si="6"/>
        <v>48.54</v>
      </c>
      <c r="D127" s="60">
        <f t="shared" si="7"/>
        <v>83.183999999999997</v>
      </c>
      <c r="E127" s="44">
        <v>45786</v>
      </c>
      <c r="F127" s="59">
        <v>5.0579999999999998</v>
      </c>
      <c r="G127" s="44">
        <v>45786</v>
      </c>
      <c r="H127" s="59">
        <v>48.54</v>
      </c>
      <c r="I127" s="44">
        <v>45786</v>
      </c>
      <c r="J127" s="59">
        <v>83.183999999999997</v>
      </c>
      <c r="K127" s="59"/>
    </row>
    <row r="128" spans="1:11">
      <c r="A128" s="43">
        <f t="shared" si="4"/>
        <v>45789</v>
      </c>
      <c r="B128" s="60">
        <f t="shared" si="5"/>
        <v>7.3689999999999998</v>
      </c>
      <c r="C128" s="60">
        <f t="shared" si="6"/>
        <v>45.433999999999997</v>
      </c>
      <c r="D128" s="60">
        <f t="shared" si="7"/>
        <v>79.152000000000001</v>
      </c>
      <c r="E128" s="44">
        <v>45789</v>
      </c>
      <c r="F128" s="59">
        <v>7.3689999999999998</v>
      </c>
      <c r="G128" s="44">
        <v>45789</v>
      </c>
      <c r="H128" s="59">
        <v>45.433999999999997</v>
      </c>
      <c r="I128" s="44">
        <v>45789</v>
      </c>
      <c r="J128" s="59">
        <v>79.152000000000001</v>
      </c>
      <c r="K128" s="59"/>
    </row>
    <row r="129" spans="1:11">
      <c r="A129" s="43">
        <f t="shared" si="4"/>
        <v>45790</v>
      </c>
      <c r="B129" s="60">
        <f t="shared" si="5"/>
        <v>7.7539999999999996</v>
      </c>
      <c r="C129" s="60">
        <f t="shared" si="6"/>
        <v>46.067999999999998</v>
      </c>
      <c r="D129" s="60">
        <f t="shared" si="7"/>
        <v>80.656999999999996</v>
      </c>
      <c r="E129" s="44">
        <v>45790</v>
      </c>
      <c r="F129" s="59">
        <v>7.7539999999999996</v>
      </c>
      <c r="G129" s="44">
        <v>45790</v>
      </c>
      <c r="H129" s="59">
        <v>46.067999999999998</v>
      </c>
      <c r="I129" s="44">
        <v>45790</v>
      </c>
      <c r="J129" s="59">
        <v>80.656999999999996</v>
      </c>
      <c r="K129" s="59"/>
    </row>
    <row r="130" spans="1:11">
      <c r="A130" s="43">
        <f t="shared" si="4"/>
        <v>45791</v>
      </c>
      <c r="B130" s="60">
        <f t="shared" si="5"/>
        <v>14.162000000000001</v>
      </c>
      <c r="C130" s="60">
        <f t="shared" si="6"/>
        <v>48.131</v>
      </c>
      <c r="D130" s="60">
        <f t="shared" si="7"/>
        <v>80.105000000000004</v>
      </c>
      <c r="E130" s="44">
        <v>45791</v>
      </c>
      <c r="F130" s="59">
        <v>14.162000000000001</v>
      </c>
      <c r="G130" s="44">
        <v>45791</v>
      </c>
      <c r="H130" s="59">
        <v>48.131</v>
      </c>
      <c r="I130" s="44">
        <v>45791</v>
      </c>
      <c r="J130" s="59">
        <v>80.105000000000004</v>
      </c>
      <c r="K130" s="59"/>
    </row>
    <row r="131" spans="1:11">
      <c r="A131" s="43">
        <f t="shared" si="4"/>
        <v>45792</v>
      </c>
      <c r="B131" s="60">
        <f t="shared" si="5"/>
        <v>6.3230000000000004</v>
      </c>
      <c r="C131" s="60">
        <f t="shared" si="6"/>
        <v>46.651000000000003</v>
      </c>
      <c r="D131" s="60">
        <f t="shared" si="7"/>
        <v>82.945999999999998</v>
      </c>
      <c r="E131" s="44">
        <v>45792</v>
      </c>
      <c r="F131" s="59">
        <v>6.3230000000000004</v>
      </c>
      <c r="G131" s="44">
        <v>45792</v>
      </c>
      <c r="H131" s="59">
        <v>46.651000000000003</v>
      </c>
      <c r="I131" s="44">
        <v>45792</v>
      </c>
      <c r="J131" s="59">
        <v>82.945999999999998</v>
      </c>
      <c r="K131" s="59"/>
    </row>
    <row r="132" spans="1:11">
      <c r="A132" s="43">
        <f t="shared" ref="A132:A181" si="8">+E132</f>
        <v>45793</v>
      </c>
      <c r="B132" s="60">
        <f t="shared" ref="B132:B181" si="9">F132</f>
        <v>12.58</v>
      </c>
      <c r="C132" s="60">
        <f t="shared" ref="C132:C181" si="10">H132</f>
        <v>47.329000000000001</v>
      </c>
      <c r="D132" s="60">
        <f t="shared" ref="D132:D181" si="11">J132</f>
        <v>84.926000000000002</v>
      </c>
      <c r="E132" s="44">
        <v>45793</v>
      </c>
      <c r="F132" s="59">
        <v>12.58</v>
      </c>
      <c r="G132" s="44">
        <v>45793</v>
      </c>
      <c r="H132" s="59">
        <v>47.329000000000001</v>
      </c>
      <c r="I132" s="44">
        <v>45793</v>
      </c>
      <c r="J132" s="59">
        <v>84.926000000000002</v>
      </c>
      <c r="K132" s="59"/>
    </row>
    <row r="133" spans="1:11">
      <c r="A133" s="43">
        <f t="shared" si="8"/>
        <v>45796</v>
      </c>
      <c r="B133" s="60">
        <f t="shared" si="9"/>
        <v>9.4130000000000003</v>
      </c>
      <c r="C133" s="60">
        <f t="shared" si="10"/>
        <v>46.872999999999998</v>
      </c>
      <c r="D133" s="60">
        <f t="shared" si="11"/>
        <v>83.834000000000003</v>
      </c>
      <c r="E133" s="44">
        <v>45796</v>
      </c>
      <c r="F133" s="59">
        <v>9.4130000000000003</v>
      </c>
      <c r="G133" s="44">
        <v>45796</v>
      </c>
      <c r="H133" s="59">
        <v>46.872999999999998</v>
      </c>
      <c r="I133" s="44">
        <v>45796</v>
      </c>
      <c r="J133" s="59">
        <v>83.834000000000003</v>
      </c>
      <c r="K133" s="59"/>
    </row>
    <row r="134" spans="1:11">
      <c r="A134" s="43">
        <f t="shared" si="8"/>
        <v>45797</v>
      </c>
      <c r="B134" s="60">
        <f t="shared" si="9"/>
        <v>14.872</v>
      </c>
      <c r="C134" s="60">
        <f t="shared" si="10"/>
        <v>51.226999999999997</v>
      </c>
      <c r="D134" s="60">
        <f t="shared" si="11"/>
        <v>89.432000000000002</v>
      </c>
      <c r="E134" s="44">
        <v>45797</v>
      </c>
      <c r="F134" s="59">
        <v>14.872</v>
      </c>
      <c r="G134" s="44">
        <v>45797</v>
      </c>
      <c r="H134" s="59">
        <v>51.226999999999997</v>
      </c>
      <c r="I134" s="44">
        <v>45797</v>
      </c>
      <c r="J134" s="59">
        <v>89.432000000000002</v>
      </c>
      <c r="K134" s="59"/>
    </row>
    <row r="135" spans="1:11">
      <c r="A135" s="43">
        <f t="shared" si="8"/>
        <v>45798</v>
      </c>
      <c r="B135" s="60">
        <f t="shared" si="9"/>
        <v>25.047999999999998</v>
      </c>
      <c r="C135" s="60">
        <f t="shared" si="10"/>
        <v>57.701000000000001</v>
      </c>
      <c r="D135" s="60">
        <f t="shared" si="11"/>
        <v>92.992000000000004</v>
      </c>
      <c r="E135" s="44">
        <v>45798</v>
      </c>
      <c r="F135" s="59">
        <v>25.047999999999998</v>
      </c>
      <c r="G135" s="44">
        <v>45798</v>
      </c>
      <c r="H135" s="59">
        <v>57.701000000000001</v>
      </c>
      <c r="I135" s="44">
        <v>45798</v>
      </c>
      <c r="J135" s="59">
        <v>92.992000000000004</v>
      </c>
      <c r="K135" s="59"/>
    </row>
    <row r="136" spans="1:11">
      <c r="A136" s="43">
        <f t="shared" si="8"/>
        <v>45799</v>
      </c>
      <c r="B136" s="60">
        <f t="shared" si="9"/>
        <v>17.600000000000001</v>
      </c>
      <c r="C136" s="60">
        <f t="shared" si="10"/>
        <v>53.444000000000003</v>
      </c>
      <c r="D136" s="60">
        <f t="shared" si="11"/>
        <v>94.447000000000003</v>
      </c>
      <c r="E136" s="44">
        <v>45799</v>
      </c>
      <c r="F136" s="59">
        <v>17.600000000000001</v>
      </c>
      <c r="G136" s="44">
        <v>45799</v>
      </c>
      <c r="H136" s="59">
        <v>53.444000000000003</v>
      </c>
      <c r="I136" s="44">
        <v>45799</v>
      </c>
      <c r="J136" s="59">
        <v>94.447000000000003</v>
      </c>
      <c r="K136" s="59"/>
    </row>
    <row r="137" spans="1:11">
      <c r="A137" s="43">
        <f t="shared" si="8"/>
        <v>45800</v>
      </c>
      <c r="B137" s="60">
        <f t="shared" si="9"/>
        <v>16.552</v>
      </c>
      <c r="C137" s="60">
        <f t="shared" si="10"/>
        <v>51.555</v>
      </c>
      <c r="D137" s="60">
        <f t="shared" si="11"/>
        <v>95.444999999999993</v>
      </c>
      <c r="E137" s="44">
        <v>45800</v>
      </c>
      <c r="F137" s="59">
        <v>16.552</v>
      </c>
      <c r="G137" s="44">
        <v>45800</v>
      </c>
      <c r="H137" s="59">
        <v>51.555</v>
      </c>
      <c r="I137" s="44">
        <v>45800</v>
      </c>
      <c r="J137" s="59">
        <v>95.444999999999993</v>
      </c>
      <c r="K137" s="59"/>
    </row>
    <row r="138" spans="1:11">
      <c r="A138" s="43">
        <f t="shared" si="8"/>
        <v>45804</v>
      </c>
      <c r="B138" s="60">
        <f t="shared" si="9"/>
        <v>12.196</v>
      </c>
      <c r="C138" s="60">
        <f t="shared" si="10"/>
        <v>45.856999999999999</v>
      </c>
      <c r="D138" s="60">
        <f t="shared" si="11"/>
        <v>91.597999999999999</v>
      </c>
      <c r="E138" s="44">
        <v>45804</v>
      </c>
      <c r="F138" s="59">
        <v>12.196</v>
      </c>
      <c r="G138" s="44">
        <v>45804</v>
      </c>
      <c r="H138" s="59">
        <v>45.856999999999999</v>
      </c>
      <c r="I138" s="44">
        <v>45804</v>
      </c>
      <c r="J138" s="59">
        <v>91.597999999999999</v>
      </c>
      <c r="K138" s="59"/>
    </row>
    <row r="139" spans="1:11">
      <c r="A139" s="43">
        <f t="shared" si="8"/>
        <v>45805</v>
      </c>
      <c r="B139" s="60">
        <f t="shared" si="9"/>
        <v>13.702999999999999</v>
      </c>
      <c r="C139" s="60">
        <f t="shared" si="10"/>
        <v>48.518000000000001</v>
      </c>
      <c r="D139" s="60">
        <f t="shared" si="11"/>
        <v>91.052000000000007</v>
      </c>
      <c r="E139" s="44">
        <v>45805</v>
      </c>
      <c r="F139" s="59">
        <v>13.702999999999999</v>
      </c>
      <c r="G139" s="44">
        <v>45805</v>
      </c>
      <c r="H139" s="59">
        <v>48.518000000000001</v>
      </c>
      <c r="I139" s="44">
        <v>45805</v>
      </c>
      <c r="J139" s="59">
        <v>91.052000000000007</v>
      </c>
      <c r="K139" s="59"/>
    </row>
    <row r="140" spans="1:11">
      <c r="A140" s="43">
        <f t="shared" si="8"/>
        <v>45806</v>
      </c>
      <c r="B140" s="60">
        <f t="shared" si="9"/>
        <v>6.79</v>
      </c>
      <c r="C140" s="60">
        <f t="shared" si="10"/>
        <v>47.734999999999999</v>
      </c>
      <c r="D140" s="60">
        <f t="shared" si="11"/>
        <v>91.623999999999995</v>
      </c>
      <c r="E140" s="44">
        <v>45806</v>
      </c>
      <c r="F140" s="59">
        <v>6.79</v>
      </c>
      <c r="G140" s="44">
        <v>45806</v>
      </c>
      <c r="H140" s="59">
        <v>47.734999999999999</v>
      </c>
      <c r="I140" s="44">
        <v>45806</v>
      </c>
      <c r="J140" s="59">
        <v>91.623999999999995</v>
      </c>
      <c r="K140" s="59"/>
    </row>
    <row r="141" spans="1:11">
      <c r="A141" s="43">
        <f t="shared" si="8"/>
        <v>45807</v>
      </c>
      <c r="B141" s="60">
        <f t="shared" si="9"/>
        <v>4.9189999999999996</v>
      </c>
      <c r="C141" s="60">
        <f t="shared" si="10"/>
        <v>49.668999999999997</v>
      </c>
      <c r="D141" s="60">
        <f t="shared" si="11"/>
        <v>96.536000000000001</v>
      </c>
      <c r="E141" s="44">
        <v>45807</v>
      </c>
      <c r="F141" s="59">
        <v>4.9189999999999996</v>
      </c>
      <c r="G141" s="44">
        <v>45807</v>
      </c>
      <c r="H141" s="59">
        <v>49.668999999999997</v>
      </c>
      <c r="I141" s="44">
        <v>45807</v>
      </c>
      <c r="J141" s="59">
        <v>96.536000000000001</v>
      </c>
      <c r="K141" s="59"/>
    </row>
    <row r="142" spans="1:11">
      <c r="A142" s="43">
        <f t="shared" si="8"/>
        <v>45810</v>
      </c>
      <c r="B142" s="60">
        <f t="shared" si="9"/>
        <v>9.6969999999999992</v>
      </c>
      <c r="C142" s="60">
        <f t="shared" si="10"/>
        <v>50.12</v>
      </c>
      <c r="D142" s="60">
        <f t="shared" si="11"/>
        <v>95.86</v>
      </c>
      <c r="E142" s="44">
        <v>45810</v>
      </c>
      <c r="F142" s="59">
        <v>9.6969999999999992</v>
      </c>
      <c r="G142" s="44">
        <v>45810</v>
      </c>
      <c r="H142" s="59">
        <v>50.12</v>
      </c>
      <c r="I142" s="44">
        <v>45810</v>
      </c>
      <c r="J142" s="59">
        <v>95.86</v>
      </c>
      <c r="K142" s="59"/>
    </row>
    <row r="143" spans="1:11">
      <c r="A143" s="43">
        <f t="shared" si="8"/>
        <v>45811</v>
      </c>
      <c r="B143" s="60">
        <f t="shared" si="9"/>
        <v>11.035</v>
      </c>
      <c r="C143" s="60">
        <f t="shared" si="10"/>
        <v>49.854999999999997</v>
      </c>
      <c r="D143" s="60">
        <f t="shared" si="11"/>
        <v>95.844999999999999</v>
      </c>
      <c r="E143" s="44">
        <v>45811</v>
      </c>
      <c r="F143" s="59">
        <v>11.035</v>
      </c>
      <c r="G143" s="44">
        <v>45811</v>
      </c>
      <c r="H143" s="59">
        <v>49.854999999999997</v>
      </c>
      <c r="I143" s="44">
        <v>45811</v>
      </c>
      <c r="J143" s="59">
        <v>95.844999999999999</v>
      </c>
      <c r="K143" s="59"/>
    </row>
    <row r="144" spans="1:11">
      <c r="A144" s="43">
        <f t="shared" si="8"/>
        <v>45812</v>
      </c>
      <c r="B144" s="60">
        <f t="shared" si="9"/>
        <v>0.19400000000000001</v>
      </c>
      <c r="C144" s="60">
        <f t="shared" si="10"/>
        <v>48.661999999999999</v>
      </c>
      <c r="D144" s="60">
        <f t="shared" si="11"/>
        <v>95.248999999999995</v>
      </c>
      <c r="E144" s="44">
        <v>45812</v>
      </c>
      <c r="F144" s="59">
        <v>0.19400000000000001</v>
      </c>
      <c r="G144" s="44">
        <v>45812</v>
      </c>
      <c r="H144" s="59">
        <v>48.661999999999999</v>
      </c>
      <c r="I144" s="44">
        <v>45812</v>
      </c>
      <c r="J144" s="59">
        <v>95.248999999999995</v>
      </c>
      <c r="K144" s="59"/>
    </row>
    <row r="145" spans="1:11">
      <c r="A145" s="43">
        <f t="shared" si="8"/>
        <v>45813</v>
      </c>
      <c r="B145" s="60">
        <f t="shared" si="9"/>
        <v>4.5640000000000001</v>
      </c>
      <c r="C145" s="60">
        <f t="shared" si="10"/>
        <v>46.631</v>
      </c>
      <c r="D145" s="60">
        <f t="shared" si="11"/>
        <v>88.465000000000003</v>
      </c>
      <c r="E145" s="44">
        <v>45813</v>
      </c>
      <c r="F145" s="59">
        <v>4.5640000000000001</v>
      </c>
      <c r="G145" s="44">
        <v>45813</v>
      </c>
      <c r="H145" s="59">
        <v>46.631</v>
      </c>
      <c r="I145" s="44">
        <v>45813</v>
      </c>
      <c r="J145" s="59">
        <v>88.465000000000003</v>
      </c>
      <c r="K145" s="59"/>
    </row>
    <row r="146" spans="1:11">
      <c r="A146" s="43">
        <f t="shared" si="8"/>
        <v>45814</v>
      </c>
      <c r="B146" s="60">
        <f t="shared" si="9"/>
        <v>15.702</v>
      </c>
      <c r="C146" s="60">
        <f t="shared" si="10"/>
        <v>46.488</v>
      </c>
      <c r="D146" s="60">
        <f t="shared" si="11"/>
        <v>84.509</v>
      </c>
      <c r="E146" s="44">
        <v>45814</v>
      </c>
      <c r="F146" s="59">
        <v>15.702</v>
      </c>
      <c r="G146" s="44">
        <v>45814</v>
      </c>
      <c r="H146" s="59">
        <v>46.488</v>
      </c>
      <c r="I146" s="44">
        <v>45814</v>
      </c>
      <c r="J146" s="59">
        <v>84.509</v>
      </c>
      <c r="K146" s="59"/>
    </row>
    <row r="147" spans="1:11">
      <c r="A147" s="43">
        <f t="shared" si="8"/>
        <v>45817</v>
      </c>
      <c r="B147" s="60">
        <f t="shared" si="9"/>
        <v>11.797000000000001</v>
      </c>
      <c r="C147" s="60">
        <f t="shared" si="10"/>
        <v>46.832000000000001</v>
      </c>
      <c r="D147" s="60">
        <f t="shared" si="11"/>
        <v>85.588999999999999</v>
      </c>
      <c r="E147" s="44">
        <v>45817</v>
      </c>
      <c r="F147" s="59">
        <v>11.797000000000001</v>
      </c>
      <c r="G147" s="44">
        <v>45817</v>
      </c>
      <c r="H147" s="59">
        <v>46.832000000000001</v>
      </c>
      <c r="I147" s="44">
        <v>45817</v>
      </c>
      <c r="J147" s="59">
        <v>85.588999999999999</v>
      </c>
      <c r="K147" s="59"/>
    </row>
    <row r="148" spans="1:11">
      <c r="A148" s="43">
        <f t="shared" si="8"/>
        <v>45818</v>
      </c>
      <c r="B148" s="60">
        <f t="shared" si="9"/>
        <v>12.646000000000001</v>
      </c>
      <c r="C148" s="60">
        <f t="shared" si="10"/>
        <v>44.758000000000003</v>
      </c>
      <c r="D148" s="60">
        <f t="shared" si="11"/>
        <v>84.004999999999995</v>
      </c>
      <c r="E148" s="44">
        <v>45818</v>
      </c>
      <c r="F148" s="59">
        <v>12.646000000000001</v>
      </c>
      <c r="G148" s="44">
        <v>45818</v>
      </c>
      <c r="H148" s="59">
        <v>44.758000000000003</v>
      </c>
      <c r="I148" s="44">
        <v>45818</v>
      </c>
      <c r="J148" s="59">
        <v>84.004999999999995</v>
      </c>
      <c r="K148" s="59"/>
    </row>
    <row r="149" spans="1:11">
      <c r="A149" s="43">
        <f t="shared" si="8"/>
        <v>45819</v>
      </c>
      <c r="B149" s="60">
        <f t="shared" si="9"/>
        <v>5.673</v>
      </c>
      <c r="C149" s="60">
        <f t="shared" si="10"/>
        <v>46.469000000000001</v>
      </c>
      <c r="D149" s="60">
        <f t="shared" si="11"/>
        <v>89.471999999999994</v>
      </c>
      <c r="E149" s="44">
        <v>45819</v>
      </c>
      <c r="F149" s="59">
        <v>5.673</v>
      </c>
      <c r="G149" s="44">
        <v>45819</v>
      </c>
      <c r="H149" s="59">
        <v>46.469000000000001</v>
      </c>
      <c r="I149" s="44">
        <v>45819</v>
      </c>
      <c r="J149" s="59">
        <v>89.471999999999994</v>
      </c>
      <c r="K149" s="59"/>
    </row>
    <row r="150" spans="1:11">
      <c r="A150" s="43">
        <f t="shared" si="8"/>
        <v>45820</v>
      </c>
      <c r="B150" s="60">
        <f t="shared" si="9"/>
        <v>-1.9410000000000001</v>
      </c>
      <c r="C150" s="60">
        <f t="shared" si="10"/>
        <v>44.732999999999997</v>
      </c>
      <c r="D150" s="60">
        <f t="shared" si="11"/>
        <v>87.299000000000007</v>
      </c>
      <c r="E150" s="44">
        <v>45820</v>
      </c>
      <c r="F150" s="59">
        <v>-1.9410000000000001</v>
      </c>
      <c r="G150" s="44">
        <v>45820</v>
      </c>
      <c r="H150" s="59">
        <v>44.732999999999997</v>
      </c>
      <c r="I150" s="44">
        <v>45820</v>
      </c>
      <c r="J150" s="59">
        <v>87.299000000000007</v>
      </c>
      <c r="K150" s="59"/>
    </row>
    <row r="151" spans="1:11">
      <c r="A151" s="43">
        <f t="shared" si="8"/>
        <v>45821</v>
      </c>
      <c r="B151" s="60">
        <f t="shared" si="9"/>
        <v>3.1989999999999998</v>
      </c>
      <c r="C151" s="60">
        <f t="shared" si="10"/>
        <v>44.908000000000001</v>
      </c>
      <c r="D151" s="60">
        <f t="shared" si="11"/>
        <v>89.06</v>
      </c>
      <c r="E151" s="44">
        <v>45821</v>
      </c>
      <c r="F151" s="59">
        <v>3.1989999999999998</v>
      </c>
      <c r="G151" s="44">
        <v>45821</v>
      </c>
      <c r="H151" s="59">
        <v>44.908000000000001</v>
      </c>
      <c r="I151" s="44">
        <v>45821</v>
      </c>
      <c r="J151" s="59">
        <v>89.06</v>
      </c>
      <c r="K151" s="59"/>
    </row>
    <row r="152" spans="1:11">
      <c r="A152" s="43">
        <f t="shared" si="8"/>
        <v>45824</v>
      </c>
      <c r="B152" s="60">
        <f t="shared" si="9"/>
        <v>8.5239999999999991</v>
      </c>
      <c r="C152" s="60">
        <f t="shared" si="10"/>
        <v>47.558999999999997</v>
      </c>
      <c r="D152" s="60">
        <f t="shared" si="11"/>
        <v>92.046000000000006</v>
      </c>
      <c r="E152" s="44">
        <v>45824</v>
      </c>
      <c r="F152" s="59">
        <v>8.5239999999999991</v>
      </c>
      <c r="G152" s="44">
        <v>45824</v>
      </c>
      <c r="H152" s="59">
        <v>47.558999999999997</v>
      </c>
      <c r="I152" s="44">
        <v>45824</v>
      </c>
      <c r="J152" s="59">
        <v>92.046000000000006</v>
      </c>
      <c r="K152" s="59"/>
    </row>
    <row r="153" spans="1:11">
      <c r="A153" s="43">
        <f t="shared" si="8"/>
        <v>45825</v>
      </c>
      <c r="B153" s="60">
        <f t="shared" si="9"/>
        <v>6.8769999999999998</v>
      </c>
      <c r="C153" s="60">
        <f t="shared" si="10"/>
        <v>43.283000000000001</v>
      </c>
      <c r="D153" s="60">
        <f t="shared" si="11"/>
        <v>89.811999999999998</v>
      </c>
      <c r="E153" s="44">
        <v>45825</v>
      </c>
      <c r="F153" s="59">
        <v>6.8769999999999998</v>
      </c>
      <c r="G153" s="44">
        <v>45825</v>
      </c>
      <c r="H153" s="59">
        <v>43.283000000000001</v>
      </c>
      <c r="I153" s="44">
        <v>45825</v>
      </c>
      <c r="J153" s="59">
        <v>89.811999999999998</v>
      </c>
      <c r="K153" s="59"/>
    </row>
    <row r="154" spans="1:11">
      <c r="A154" s="43">
        <f t="shared" si="8"/>
        <v>45826</v>
      </c>
      <c r="B154" s="60">
        <f t="shared" si="9"/>
        <v>5.1100000000000003</v>
      </c>
      <c r="C154" s="60">
        <f t="shared" si="10"/>
        <v>44.526000000000003</v>
      </c>
      <c r="D154" s="60">
        <f t="shared" si="11"/>
        <v>89.715000000000003</v>
      </c>
      <c r="E154" s="44">
        <v>45826</v>
      </c>
      <c r="F154" s="59">
        <v>5.1100000000000003</v>
      </c>
      <c r="G154" s="44">
        <v>45826</v>
      </c>
      <c r="H154" s="59">
        <v>44.526000000000003</v>
      </c>
      <c r="I154" s="44">
        <v>45826</v>
      </c>
      <c r="J154" s="59">
        <v>89.715000000000003</v>
      </c>
      <c r="K154" s="59"/>
    </row>
    <row r="155" spans="1:11">
      <c r="A155" s="43">
        <f t="shared" si="8"/>
        <v>45827</v>
      </c>
      <c r="B155" s="60">
        <f t="shared" si="9"/>
        <v>5.1100000000000003</v>
      </c>
      <c r="C155" s="60">
        <f t="shared" si="10"/>
        <v>44.526000000000003</v>
      </c>
      <c r="D155" s="60">
        <f t="shared" si="11"/>
        <v>89.613</v>
      </c>
      <c r="E155" s="44">
        <v>45827</v>
      </c>
      <c r="F155" s="59">
        <v>5.1100000000000003</v>
      </c>
      <c r="G155" s="44">
        <v>45827</v>
      </c>
      <c r="H155" s="59">
        <v>44.526000000000003</v>
      </c>
      <c r="I155" s="44">
        <v>45827</v>
      </c>
      <c r="J155" s="59">
        <v>89.613</v>
      </c>
      <c r="K155" s="59"/>
    </row>
    <row r="156" spans="1:11">
      <c r="A156" s="43">
        <f t="shared" si="8"/>
        <v>45828</v>
      </c>
      <c r="B156" s="60">
        <f t="shared" si="9"/>
        <v>6.0190000000000001</v>
      </c>
      <c r="C156" s="60">
        <f t="shared" si="10"/>
        <v>46.530999999999999</v>
      </c>
      <c r="D156" s="60">
        <f t="shared" si="11"/>
        <v>92.707999999999998</v>
      </c>
      <c r="E156" s="44">
        <v>45828</v>
      </c>
      <c r="F156" s="59">
        <v>6.0190000000000001</v>
      </c>
      <c r="G156" s="44">
        <v>45828</v>
      </c>
      <c r="H156" s="59">
        <v>46.530999999999999</v>
      </c>
      <c r="I156" s="44">
        <v>45828</v>
      </c>
      <c r="J156" s="59">
        <v>92.707999999999998</v>
      </c>
      <c r="K156" s="59"/>
    </row>
    <row r="157" spans="1:11">
      <c r="A157" s="43">
        <f t="shared" si="8"/>
        <v>45831</v>
      </c>
      <c r="B157" s="60">
        <f t="shared" si="9"/>
        <v>7.5110000000000001</v>
      </c>
      <c r="C157" s="60">
        <f t="shared" si="10"/>
        <v>48.017000000000003</v>
      </c>
      <c r="D157" s="60">
        <f t="shared" si="11"/>
        <v>96.028999999999996</v>
      </c>
      <c r="E157" s="44">
        <v>45831</v>
      </c>
      <c r="F157" s="59">
        <v>7.5110000000000001</v>
      </c>
      <c r="G157" s="44">
        <v>45831</v>
      </c>
      <c r="H157" s="59">
        <v>48.017000000000003</v>
      </c>
      <c r="I157" s="44">
        <v>45831</v>
      </c>
      <c r="J157" s="59">
        <v>96.028999999999996</v>
      </c>
      <c r="K157" s="59"/>
    </row>
    <row r="158" spans="1:11">
      <c r="A158" s="43">
        <f t="shared" si="8"/>
        <v>45832</v>
      </c>
      <c r="B158" s="60">
        <f t="shared" si="9"/>
        <v>1.0680000000000001</v>
      </c>
      <c r="C158" s="60">
        <f t="shared" si="10"/>
        <v>46.725000000000001</v>
      </c>
      <c r="D158" s="60">
        <f t="shared" si="11"/>
        <v>96.704999999999998</v>
      </c>
      <c r="E158" s="44">
        <v>45832</v>
      </c>
      <c r="F158" s="59">
        <v>1.0680000000000001</v>
      </c>
      <c r="G158" s="44">
        <v>45832</v>
      </c>
      <c r="H158" s="59">
        <v>46.725000000000001</v>
      </c>
      <c r="I158" s="44">
        <v>45832</v>
      </c>
      <c r="J158" s="59">
        <v>96.704999999999998</v>
      </c>
      <c r="K158" s="59"/>
    </row>
    <row r="159" spans="1:11">
      <c r="A159" s="43">
        <f t="shared" si="8"/>
        <v>45833</v>
      </c>
      <c r="B159" s="60">
        <f t="shared" si="9"/>
        <v>-1.345</v>
      </c>
      <c r="C159" s="60">
        <f t="shared" si="10"/>
        <v>50.579000000000001</v>
      </c>
      <c r="D159" s="60">
        <f t="shared" si="11"/>
        <v>98.012</v>
      </c>
      <c r="E159" s="44">
        <v>45833</v>
      </c>
      <c r="F159" s="59">
        <v>-1.345</v>
      </c>
      <c r="G159" s="44">
        <v>45833</v>
      </c>
      <c r="H159" s="59">
        <v>50.579000000000001</v>
      </c>
      <c r="I159" s="44">
        <v>45833</v>
      </c>
      <c r="J159" s="59">
        <v>98.012</v>
      </c>
      <c r="K159" s="59"/>
    </row>
    <row r="160" spans="1:11">
      <c r="A160" s="43">
        <f t="shared" si="8"/>
        <v>45834</v>
      </c>
      <c r="B160" s="60">
        <f t="shared" si="9"/>
        <v>-8.5129999999999999</v>
      </c>
      <c r="C160" s="60">
        <f t="shared" si="10"/>
        <v>51.828000000000003</v>
      </c>
      <c r="D160" s="60">
        <f t="shared" si="11"/>
        <v>100.303</v>
      </c>
      <c r="E160" s="44">
        <v>45834</v>
      </c>
      <c r="F160" s="59">
        <v>-8.5129999999999999</v>
      </c>
      <c r="G160" s="44">
        <v>45834</v>
      </c>
      <c r="H160" s="59">
        <v>51.828000000000003</v>
      </c>
      <c r="I160" s="44">
        <v>45834</v>
      </c>
      <c r="J160" s="59">
        <v>100.303</v>
      </c>
      <c r="K160" s="59"/>
    </row>
    <row r="161" spans="1:11">
      <c r="A161" s="43">
        <f t="shared" si="8"/>
        <v>45835</v>
      </c>
      <c r="B161" s="60">
        <f t="shared" si="9"/>
        <v>-3.0310000000000001</v>
      </c>
      <c r="C161" s="60">
        <f t="shared" si="10"/>
        <v>52.686</v>
      </c>
      <c r="D161" s="60">
        <f t="shared" si="11"/>
        <v>100.34399999999999</v>
      </c>
      <c r="E161" s="44">
        <v>45835</v>
      </c>
      <c r="F161" s="59">
        <v>-3.0310000000000001</v>
      </c>
      <c r="G161" s="44">
        <v>45835</v>
      </c>
      <c r="H161" s="59">
        <v>52.686</v>
      </c>
      <c r="I161" s="44">
        <v>45835</v>
      </c>
      <c r="J161" s="59">
        <v>100.34399999999999</v>
      </c>
      <c r="K161" s="59"/>
    </row>
    <row r="162" spans="1:11">
      <c r="A162" s="43">
        <f t="shared" si="8"/>
        <v>45838</v>
      </c>
      <c r="B162" s="60">
        <f t="shared" si="9"/>
        <v>-7.6079999999999997</v>
      </c>
      <c r="C162" s="60">
        <f t="shared" si="10"/>
        <v>50.466000000000001</v>
      </c>
      <c r="D162" s="60">
        <f t="shared" si="11"/>
        <v>97.554000000000002</v>
      </c>
      <c r="E162" s="44">
        <v>45838</v>
      </c>
      <c r="F162" s="59">
        <v>-7.6079999999999997</v>
      </c>
      <c r="G162" s="44">
        <v>45838</v>
      </c>
      <c r="H162" s="59">
        <v>50.466000000000001</v>
      </c>
      <c r="I162" s="44">
        <v>45838</v>
      </c>
      <c r="J162" s="59">
        <v>97.554000000000002</v>
      </c>
      <c r="K162" s="59"/>
    </row>
    <row r="163" spans="1:11">
      <c r="A163" s="43">
        <f t="shared" si="8"/>
        <v>45839</v>
      </c>
      <c r="B163" s="60">
        <f t="shared" si="9"/>
        <v>-9.1379999999999999</v>
      </c>
      <c r="C163" s="60">
        <f t="shared" si="10"/>
        <v>46.713000000000001</v>
      </c>
      <c r="D163" s="60">
        <f t="shared" si="11"/>
        <v>92.763999999999996</v>
      </c>
      <c r="E163" s="44">
        <v>45839</v>
      </c>
      <c r="F163" s="59">
        <v>-9.1379999999999999</v>
      </c>
      <c r="G163" s="44">
        <v>45839</v>
      </c>
      <c r="H163" s="59">
        <v>46.713000000000001</v>
      </c>
      <c r="I163" s="44">
        <v>45839</v>
      </c>
      <c r="J163" s="59">
        <v>92.763999999999996</v>
      </c>
      <c r="K163" s="59"/>
    </row>
    <row r="164" spans="1:11">
      <c r="A164" s="43">
        <f t="shared" si="8"/>
        <v>45840</v>
      </c>
      <c r="B164" s="60">
        <f t="shared" si="9"/>
        <v>-6.3419999999999996</v>
      </c>
      <c r="C164" s="60">
        <f t="shared" si="10"/>
        <v>49.003</v>
      </c>
      <c r="D164" s="60">
        <f t="shared" si="11"/>
        <v>93.489000000000004</v>
      </c>
      <c r="E164" s="44">
        <v>45840</v>
      </c>
      <c r="F164" s="59">
        <v>-6.3419999999999996</v>
      </c>
      <c r="G164" s="44">
        <v>45840</v>
      </c>
      <c r="H164" s="59">
        <v>49.003</v>
      </c>
      <c r="I164" s="44">
        <v>45840</v>
      </c>
      <c r="J164" s="59">
        <v>93.489000000000004</v>
      </c>
      <c r="K164" s="59"/>
    </row>
    <row r="165" spans="1:11">
      <c r="A165" s="43">
        <f t="shared" si="8"/>
        <v>45841</v>
      </c>
      <c r="B165" s="60">
        <f t="shared" si="9"/>
        <v>-1.577</v>
      </c>
      <c r="C165" s="60">
        <f t="shared" si="10"/>
        <v>45.960999999999999</v>
      </c>
      <c r="D165" s="60">
        <f t="shared" si="11"/>
        <v>92.373999999999995</v>
      </c>
      <c r="E165" s="44">
        <v>45841</v>
      </c>
      <c r="F165" s="59">
        <v>-1.577</v>
      </c>
      <c r="G165" s="44">
        <v>45841</v>
      </c>
      <c r="H165" s="59">
        <v>45.960999999999999</v>
      </c>
      <c r="I165" s="44">
        <v>45841</v>
      </c>
      <c r="J165" s="59">
        <v>92.373999999999995</v>
      </c>
      <c r="K165" s="59"/>
    </row>
    <row r="166" spans="1:11">
      <c r="A166" s="43">
        <f t="shared" si="8"/>
        <v>45842</v>
      </c>
      <c r="B166" s="60">
        <f t="shared" si="9"/>
        <v>-1.577</v>
      </c>
      <c r="C166" s="60">
        <f t="shared" si="10"/>
        <v>45.960999999999999</v>
      </c>
      <c r="D166" s="60">
        <f t="shared" si="11"/>
        <v>92.373999999999995</v>
      </c>
      <c r="E166" s="44">
        <v>45842</v>
      </c>
      <c r="F166" s="59">
        <v>-1.577</v>
      </c>
      <c r="G166" s="44">
        <v>45842</v>
      </c>
      <c r="H166" s="59">
        <v>45.960999999999999</v>
      </c>
      <c r="I166" s="44">
        <v>45842</v>
      </c>
      <c r="J166" s="59">
        <v>92.373999999999995</v>
      </c>
      <c r="K166" s="59"/>
    </row>
    <row r="167" spans="1:11">
      <c r="A167" s="43">
        <f t="shared" si="8"/>
        <v>45845</v>
      </c>
      <c r="B167" s="60">
        <f t="shared" si="9"/>
        <v>2.6160000000000001</v>
      </c>
      <c r="C167" s="60">
        <f t="shared" si="10"/>
        <v>48.274999999999999</v>
      </c>
      <c r="D167" s="60">
        <f t="shared" si="11"/>
        <v>95.561000000000007</v>
      </c>
      <c r="E167" s="44">
        <v>45845</v>
      </c>
      <c r="F167" s="59">
        <v>2.6160000000000001</v>
      </c>
      <c r="G167" s="44">
        <v>45845</v>
      </c>
      <c r="H167" s="59">
        <v>48.274999999999999</v>
      </c>
      <c r="I167" s="44">
        <v>45845</v>
      </c>
      <c r="J167" s="59">
        <v>95.561000000000007</v>
      </c>
      <c r="K167" s="59"/>
    </row>
    <row r="168" spans="1:11">
      <c r="A168" s="43">
        <f t="shared" si="8"/>
        <v>45846</v>
      </c>
      <c r="B168" s="60">
        <f t="shared" si="9"/>
        <v>4.0309999999999997</v>
      </c>
      <c r="C168" s="60">
        <f t="shared" si="10"/>
        <v>50.454000000000001</v>
      </c>
      <c r="D168" s="60">
        <f t="shared" si="11"/>
        <v>95.183000000000007</v>
      </c>
      <c r="E168" s="44">
        <v>45846</v>
      </c>
      <c r="F168" s="59">
        <v>4.0309999999999997</v>
      </c>
      <c r="G168" s="44">
        <v>45846</v>
      </c>
      <c r="H168" s="59">
        <v>50.454000000000001</v>
      </c>
      <c r="I168" s="44">
        <v>45846</v>
      </c>
      <c r="J168" s="59">
        <v>95.183000000000007</v>
      </c>
      <c r="K168" s="59"/>
    </row>
    <row r="169" spans="1:11">
      <c r="A169" s="43">
        <f t="shared" si="8"/>
        <v>45847</v>
      </c>
      <c r="B169" s="60">
        <f t="shared" si="9"/>
        <v>-3.4220000000000002</v>
      </c>
      <c r="C169" s="60">
        <f t="shared" si="10"/>
        <v>48.283999999999999</v>
      </c>
      <c r="D169" s="60">
        <f t="shared" si="11"/>
        <v>96.048000000000002</v>
      </c>
      <c r="E169" s="44">
        <v>45847</v>
      </c>
      <c r="F169" s="59">
        <v>-3.4220000000000002</v>
      </c>
      <c r="G169" s="44">
        <v>45847</v>
      </c>
      <c r="H169" s="59">
        <v>48.283999999999999</v>
      </c>
      <c r="I169" s="44">
        <v>45847</v>
      </c>
      <c r="J169" s="59">
        <v>96.048000000000002</v>
      </c>
      <c r="K169" s="59"/>
    </row>
    <row r="170" spans="1:11">
      <c r="A170" s="43">
        <f t="shared" si="8"/>
        <v>45848</v>
      </c>
      <c r="B170" s="60">
        <f t="shared" si="9"/>
        <v>-0.81399999999999995</v>
      </c>
      <c r="C170" s="60">
        <f t="shared" si="10"/>
        <v>47.558</v>
      </c>
      <c r="D170" s="60">
        <f t="shared" si="11"/>
        <v>93.353999999999999</v>
      </c>
      <c r="E170" s="44">
        <v>45848</v>
      </c>
      <c r="F170" s="59">
        <v>-0.81399999999999995</v>
      </c>
      <c r="G170" s="44">
        <v>45848</v>
      </c>
      <c r="H170" s="59">
        <v>47.558</v>
      </c>
      <c r="I170" s="44">
        <v>45848</v>
      </c>
      <c r="J170" s="59">
        <v>93.353999999999999</v>
      </c>
      <c r="K170" s="59"/>
    </row>
    <row r="171" spans="1:11">
      <c r="A171" s="43">
        <f t="shared" si="8"/>
        <v>45849</v>
      </c>
      <c r="B171" s="60">
        <f t="shared" si="9"/>
        <v>5.5579999999999998</v>
      </c>
      <c r="C171" s="60">
        <f t="shared" si="10"/>
        <v>52.015999999999998</v>
      </c>
      <c r="D171" s="60">
        <f t="shared" si="11"/>
        <v>97.462000000000003</v>
      </c>
      <c r="E171" s="44">
        <v>45849</v>
      </c>
      <c r="F171" s="59">
        <v>5.5579999999999998</v>
      </c>
      <c r="G171" s="44">
        <v>45849</v>
      </c>
      <c r="H171" s="59">
        <v>52.015999999999998</v>
      </c>
      <c r="I171" s="44">
        <v>45849</v>
      </c>
      <c r="J171" s="59">
        <v>97.462000000000003</v>
      </c>
      <c r="K171" s="59"/>
    </row>
    <row r="172" spans="1:11">
      <c r="A172" s="43">
        <f t="shared" si="8"/>
        <v>45852</v>
      </c>
      <c r="B172" s="60">
        <f t="shared" si="9"/>
        <v>9.2970000000000006</v>
      </c>
      <c r="C172" s="60">
        <f t="shared" si="10"/>
        <v>53.139000000000003</v>
      </c>
      <c r="D172" s="60">
        <f t="shared" si="11"/>
        <v>98.671000000000006</v>
      </c>
      <c r="E172" s="44">
        <v>45852</v>
      </c>
      <c r="F172" s="59">
        <v>9.2970000000000006</v>
      </c>
      <c r="G172" s="44">
        <v>45852</v>
      </c>
      <c r="H172" s="59">
        <v>53.139000000000003</v>
      </c>
      <c r="I172" s="44">
        <v>45852</v>
      </c>
      <c r="J172" s="59">
        <v>98.671000000000006</v>
      </c>
      <c r="K172" s="59"/>
    </row>
    <row r="173" spans="1:11">
      <c r="A173" s="43">
        <f t="shared" si="8"/>
        <v>45853</v>
      </c>
      <c r="B173" s="60">
        <f t="shared" si="9"/>
        <v>13.33</v>
      </c>
      <c r="C173" s="60">
        <f t="shared" si="10"/>
        <v>53.74</v>
      </c>
      <c r="D173" s="60">
        <f t="shared" si="11"/>
        <v>97.91</v>
      </c>
      <c r="E173" s="44">
        <v>45853</v>
      </c>
      <c r="F173" s="59">
        <v>13.33</v>
      </c>
      <c r="G173" s="44">
        <v>45853</v>
      </c>
      <c r="H173" s="59">
        <v>53.74</v>
      </c>
      <c r="I173" s="44">
        <v>45853</v>
      </c>
      <c r="J173" s="59">
        <v>97.91</v>
      </c>
      <c r="K173" s="59"/>
    </row>
    <row r="174" spans="1:11">
      <c r="A174" s="43">
        <f t="shared" si="8"/>
        <v>45854</v>
      </c>
      <c r="B174" s="60">
        <f t="shared" si="9"/>
        <v>11.243</v>
      </c>
      <c r="C174" s="60">
        <f t="shared" si="10"/>
        <v>55.941000000000003</v>
      </c>
      <c r="D174" s="60">
        <f t="shared" si="11"/>
        <v>101.646</v>
      </c>
      <c r="E174" s="44">
        <v>45854</v>
      </c>
      <c r="F174" s="59">
        <v>11.243</v>
      </c>
      <c r="G174" s="44">
        <v>45854</v>
      </c>
      <c r="H174" s="59">
        <v>55.941000000000003</v>
      </c>
      <c r="I174" s="44">
        <v>45854</v>
      </c>
      <c r="J174" s="59">
        <v>101.646</v>
      </c>
      <c r="K174" s="59"/>
    </row>
    <row r="175" spans="1:11">
      <c r="A175" s="43">
        <f t="shared" si="8"/>
        <v>45855</v>
      </c>
      <c r="B175" s="60">
        <f t="shared" si="9"/>
        <v>10.64</v>
      </c>
      <c r="C175" s="60">
        <f t="shared" si="10"/>
        <v>54.268999999999998</v>
      </c>
      <c r="D175" s="60">
        <f t="shared" si="11"/>
        <v>101.681</v>
      </c>
      <c r="E175" s="44">
        <v>45855</v>
      </c>
      <c r="F175" s="59">
        <v>10.64</v>
      </c>
      <c r="G175" s="44">
        <v>45855</v>
      </c>
      <c r="H175" s="59">
        <v>54.268999999999998</v>
      </c>
      <c r="I175" s="44">
        <v>45855</v>
      </c>
      <c r="J175" s="59">
        <v>101.681</v>
      </c>
      <c r="K175" s="59"/>
    </row>
    <row r="176" spans="1:11">
      <c r="A176" s="43">
        <f t="shared" si="8"/>
        <v>45856</v>
      </c>
      <c r="B176" s="60">
        <f t="shared" si="9"/>
        <v>6.9530000000000003</v>
      </c>
      <c r="C176" s="60">
        <f t="shared" si="10"/>
        <v>54.220999999999997</v>
      </c>
      <c r="D176" s="60">
        <f t="shared" si="11"/>
        <v>103.916</v>
      </c>
      <c r="E176" s="44">
        <v>45856</v>
      </c>
      <c r="F176" s="59">
        <v>6.9530000000000003</v>
      </c>
      <c r="G176" s="44">
        <v>45856</v>
      </c>
      <c r="H176" s="59">
        <v>54.220999999999997</v>
      </c>
      <c r="I176" s="44">
        <v>45856</v>
      </c>
      <c r="J176" s="59">
        <v>103.916</v>
      </c>
      <c r="K176" s="59"/>
    </row>
    <row r="177" spans="1:11">
      <c r="A177" s="43">
        <f t="shared" si="8"/>
        <v>45859</v>
      </c>
      <c r="B177" s="60">
        <f t="shared" si="9"/>
        <v>4.3209999999999997</v>
      </c>
      <c r="C177" s="60">
        <f t="shared" si="10"/>
        <v>51.286999999999999</v>
      </c>
      <c r="D177" s="60">
        <f t="shared" si="11"/>
        <v>102.453</v>
      </c>
      <c r="E177" s="44">
        <v>45859</v>
      </c>
      <c r="F177" s="59">
        <v>4.3209999999999997</v>
      </c>
      <c r="G177" s="44">
        <v>45859</v>
      </c>
      <c r="H177" s="59">
        <v>51.286999999999999</v>
      </c>
      <c r="I177" s="44">
        <v>45859</v>
      </c>
      <c r="J177" s="59">
        <v>102.453</v>
      </c>
      <c r="K177" s="59"/>
    </row>
    <row r="178" spans="1:11">
      <c r="A178" s="43">
        <f t="shared" si="8"/>
        <v>45860</v>
      </c>
      <c r="B178" s="60">
        <f t="shared" si="9"/>
        <v>1.8759999999999999</v>
      </c>
      <c r="C178" s="60">
        <f t="shared" si="10"/>
        <v>50.850999999999999</v>
      </c>
      <c r="D178" s="60">
        <f t="shared" si="11"/>
        <v>103.047</v>
      </c>
      <c r="E178" s="44">
        <v>45860</v>
      </c>
      <c r="F178" s="59">
        <v>1.8759999999999999</v>
      </c>
      <c r="G178" s="44">
        <v>45860</v>
      </c>
      <c r="H178" s="59">
        <v>50.850999999999999</v>
      </c>
      <c r="I178" s="44">
        <v>45860</v>
      </c>
      <c r="J178" s="59">
        <v>103.047</v>
      </c>
      <c r="K178" s="59"/>
    </row>
    <row r="179" spans="1:11">
      <c r="A179" s="43">
        <f t="shared" si="8"/>
        <v>45861</v>
      </c>
      <c r="B179" s="60">
        <f t="shared" si="9"/>
        <v>2.653</v>
      </c>
      <c r="C179" s="60">
        <f t="shared" si="10"/>
        <v>49.761000000000003</v>
      </c>
      <c r="D179" s="60">
        <f t="shared" si="11"/>
        <v>100.047</v>
      </c>
      <c r="E179" s="44">
        <v>45861</v>
      </c>
      <c r="F179" s="59">
        <v>2.653</v>
      </c>
      <c r="G179" s="44">
        <v>45861</v>
      </c>
      <c r="H179" s="59">
        <v>49.761000000000003</v>
      </c>
      <c r="I179" s="44">
        <v>45861</v>
      </c>
      <c r="J179" s="59">
        <v>100.047</v>
      </c>
      <c r="K179" s="59"/>
    </row>
    <row r="180" spans="1:11">
      <c r="A180" s="43">
        <f t="shared" si="8"/>
        <v>45862</v>
      </c>
      <c r="B180" s="60">
        <f t="shared" si="9"/>
        <v>3.8420000000000001</v>
      </c>
      <c r="C180" s="60">
        <f t="shared" si="10"/>
        <v>47.534999999999997</v>
      </c>
      <c r="D180" s="60">
        <f t="shared" si="11"/>
        <v>97.403000000000006</v>
      </c>
      <c r="E180" s="44">
        <v>45862</v>
      </c>
      <c r="F180" s="59">
        <v>3.8420000000000001</v>
      </c>
      <c r="G180" s="44">
        <v>45862</v>
      </c>
      <c r="H180" s="59">
        <v>47.534999999999997</v>
      </c>
      <c r="I180" s="44">
        <v>45862</v>
      </c>
      <c r="J180" s="59">
        <v>97.403000000000006</v>
      </c>
      <c r="K180" s="59"/>
    </row>
    <row r="181" spans="1:11">
      <c r="A181" s="43">
        <f t="shared" si="8"/>
        <v>45863</v>
      </c>
      <c r="B181" s="60">
        <f t="shared" si="9"/>
        <v>3.15</v>
      </c>
      <c r="C181" s="60">
        <f t="shared" si="10"/>
        <v>46.036000000000001</v>
      </c>
      <c r="D181" s="60">
        <f t="shared" si="11"/>
        <v>97.162000000000006</v>
      </c>
      <c r="E181" s="44">
        <v>45863</v>
      </c>
      <c r="F181" s="59">
        <v>3.15</v>
      </c>
      <c r="G181" s="44">
        <v>45863</v>
      </c>
      <c r="H181" s="59">
        <v>46.036000000000001</v>
      </c>
      <c r="I181" s="44">
        <v>45863</v>
      </c>
      <c r="J181" s="59">
        <v>97.162000000000006</v>
      </c>
      <c r="K181" s="59"/>
    </row>
    <row r="182" spans="1:11">
      <c r="A182" s="43">
        <f t="shared" ref="A182:A197" si="12">+E182</f>
        <v>45866</v>
      </c>
      <c r="B182" s="60">
        <f t="shared" ref="B182:B197" si="13">F182</f>
        <v>6.6920000000000002</v>
      </c>
      <c r="C182" s="60">
        <f t="shared" ref="C182:C197" si="14">H182</f>
        <v>47.784999999999997</v>
      </c>
      <c r="D182" s="60">
        <f t="shared" ref="D182:D197" si="15">J182</f>
        <v>98.704999999999998</v>
      </c>
      <c r="E182" s="44">
        <v>45866</v>
      </c>
      <c r="F182" s="59">
        <v>6.6920000000000002</v>
      </c>
      <c r="G182" s="44">
        <v>45866</v>
      </c>
      <c r="H182" s="59">
        <v>47.784999999999997</v>
      </c>
      <c r="I182" s="44">
        <v>45866</v>
      </c>
      <c r="J182" s="59">
        <v>98.704999999999998</v>
      </c>
      <c r="K182" s="59"/>
    </row>
    <row r="183" spans="1:11">
      <c r="A183" s="43">
        <f t="shared" si="12"/>
        <v>45867</v>
      </c>
      <c r="B183" s="60">
        <f t="shared" si="13"/>
        <v>-2.8210000000000002</v>
      </c>
      <c r="C183" s="60">
        <f t="shared" si="14"/>
        <v>44.945</v>
      </c>
      <c r="D183" s="60">
        <f t="shared" si="15"/>
        <v>95.528000000000006</v>
      </c>
      <c r="E183" s="44">
        <v>45867</v>
      </c>
      <c r="F183" s="59">
        <v>-2.8210000000000002</v>
      </c>
      <c r="G183" s="44">
        <v>45867</v>
      </c>
      <c r="H183" s="59">
        <v>44.945</v>
      </c>
      <c r="I183" s="44">
        <v>45867</v>
      </c>
      <c r="J183" s="59">
        <v>95.528000000000006</v>
      </c>
      <c r="K183" s="59"/>
    </row>
    <row r="184" spans="1:11">
      <c r="A184" s="43">
        <f t="shared" si="12"/>
        <v>45868</v>
      </c>
      <c r="B184" s="60">
        <f t="shared" si="13"/>
        <v>2.194</v>
      </c>
      <c r="C184" s="60">
        <f t="shared" si="14"/>
        <v>42.527999999999999</v>
      </c>
      <c r="D184" s="60">
        <f t="shared" si="15"/>
        <v>93.355999999999995</v>
      </c>
      <c r="E184" s="44">
        <v>45868</v>
      </c>
      <c r="F184" s="59">
        <v>2.194</v>
      </c>
      <c r="G184" s="44">
        <v>45868</v>
      </c>
      <c r="H184" s="59">
        <v>42.527999999999999</v>
      </c>
      <c r="I184" s="44">
        <v>45868</v>
      </c>
      <c r="J184" s="59">
        <v>93.355999999999995</v>
      </c>
      <c r="K184" s="59"/>
    </row>
    <row r="185" spans="1:11">
      <c r="A185" s="43">
        <f t="shared" si="12"/>
        <v>45869</v>
      </c>
      <c r="B185" s="60">
        <f t="shared" si="13"/>
        <v>2.9049999999999998</v>
      </c>
      <c r="C185" s="60">
        <f t="shared" si="14"/>
        <v>41.485999999999997</v>
      </c>
      <c r="D185" s="60">
        <f t="shared" si="15"/>
        <v>92.584999999999994</v>
      </c>
      <c r="E185" s="44">
        <v>45869</v>
      </c>
      <c r="F185" s="59">
        <v>2.9049999999999998</v>
      </c>
      <c r="G185" s="44">
        <v>45869</v>
      </c>
      <c r="H185" s="59">
        <v>41.485999999999997</v>
      </c>
      <c r="I185" s="44">
        <v>45869</v>
      </c>
      <c r="J185" s="59">
        <v>92.584999999999994</v>
      </c>
      <c r="K185" s="59"/>
    </row>
    <row r="186" spans="1:11">
      <c r="A186" s="43">
        <f t="shared" si="12"/>
        <v>45870</v>
      </c>
      <c r="B186" s="60">
        <f t="shared" si="13"/>
        <v>-7.835</v>
      </c>
      <c r="C186" s="60">
        <f t="shared" si="14"/>
        <v>53.012</v>
      </c>
      <c r="D186" s="60">
        <f t="shared" si="15"/>
        <v>106.324</v>
      </c>
      <c r="E186" s="44">
        <v>45870</v>
      </c>
      <c r="F186" s="59">
        <v>-7.835</v>
      </c>
      <c r="G186" s="44">
        <v>45870</v>
      </c>
      <c r="H186" s="59">
        <v>53.012</v>
      </c>
      <c r="I186" s="44">
        <v>45870</v>
      </c>
      <c r="J186" s="59">
        <v>106.324</v>
      </c>
      <c r="K186" s="59"/>
    </row>
    <row r="187" spans="1:11">
      <c r="A187" s="43">
        <f t="shared" si="12"/>
        <v>45873</v>
      </c>
      <c r="B187" s="60">
        <f t="shared" si="13"/>
        <v>-6.5179999999999998</v>
      </c>
      <c r="C187" s="60">
        <f t="shared" si="14"/>
        <v>51.508000000000003</v>
      </c>
      <c r="D187" s="60">
        <f t="shared" si="15"/>
        <v>105.235</v>
      </c>
      <c r="E187" s="44">
        <v>45873</v>
      </c>
      <c r="F187" s="59">
        <v>-6.5179999999999998</v>
      </c>
      <c r="G187" s="44">
        <v>45873</v>
      </c>
      <c r="H187" s="59">
        <v>51.508000000000003</v>
      </c>
      <c r="I187" s="44">
        <v>45873</v>
      </c>
      <c r="J187" s="59">
        <v>105.235</v>
      </c>
      <c r="K187" s="59"/>
    </row>
    <row r="188" spans="1:11">
      <c r="A188" s="43">
        <f t="shared" si="12"/>
        <v>45874</v>
      </c>
      <c r="B188" s="60">
        <f t="shared" si="13"/>
        <v>-3.4990000000000001</v>
      </c>
      <c r="C188" s="60">
        <f t="shared" si="14"/>
        <v>48.368000000000002</v>
      </c>
      <c r="D188" s="60">
        <f t="shared" si="15"/>
        <v>100.07599999999999</v>
      </c>
      <c r="E188" s="44">
        <v>45874</v>
      </c>
      <c r="F188" s="59">
        <v>-3.4990000000000001</v>
      </c>
      <c r="G188" s="44">
        <v>45874</v>
      </c>
      <c r="H188" s="59">
        <v>48.368000000000002</v>
      </c>
      <c r="I188" s="44">
        <v>45874</v>
      </c>
      <c r="J188" s="59">
        <v>100.07599999999999</v>
      </c>
      <c r="K188" s="59"/>
    </row>
    <row r="189" spans="1:11">
      <c r="A189" s="43">
        <f t="shared" si="12"/>
        <v>45875</v>
      </c>
      <c r="B189" s="60">
        <f t="shared" si="13"/>
        <v>-1.88</v>
      </c>
      <c r="C189" s="60">
        <f t="shared" si="14"/>
        <v>50.993000000000002</v>
      </c>
      <c r="D189" s="60">
        <f t="shared" si="15"/>
        <v>104.14400000000001</v>
      </c>
      <c r="E189" s="44">
        <v>45875</v>
      </c>
      <c r="F189" s="59">
        <v>-1.88</v>
      </c>
      <c r="G189" s="44">
        <v>45875</v>
      </c>
      <c r="H189" s="59">
        <v>50.993000000000002</v>
      </c>
      <c r="I189" s="44">
        <v>45875</v>
      </c>
      <c r="J189" s="59">
        <v>104.14400000000001</v>
      </c>
      <c r="K189" s="59"/>
    </row>
    <row r="190" spans="1:11">
      <c r="A190" s="43">
        <f t="shared" si="12"/>
        <v>45876</v>
      </c>
      <c r="B190" s="60">
        <f t="shared" si="13"/>
        <v>0.40799999999999997</v>
      </c>
      <c r="C190" s="60">
        <f t="shared" si="14"/>
        <v>51.606000000000002</v>
      </c>
      <c r="D190" s="60">
        <f t="shared" si="15"/>
        <v>103.294</v>
      </c>
      <c r="E190" s="44">
        <v>45876</v>
      </c>
      <c r="F190" s="59">
        <v>0.40799999999999997</v>
      </c>
      <c r="G190" s="44">
        <v>45876</v>
      </c>
      <c r="H190" s="59">
        <v>51.606000000000002</v>
      </c>
      <c r="I190" s="44">
        <v>45876</v>
      </c>
      <c r="J190" s="59">
        <v>103.294</v>
      </c>
      <c r="K190" s="59"/>
    </row>
    <row r="191" spans="1:11">
      <c r="A191" s="43">
        <f t="shared" si="12"/>
        <v>45877</v>
      </c>
      <c r="B191" s="60">
        <f t="shared" si="13"/>
        <v>3.5259999999999998</v>
      </c>
      <c r="C191" s="60">
        <f t="shared" si="14"/>
        <v>51.848999999999997</v>
      </c>
      <c r="D191" s="60">
        <f t="shared" si="15"/>
        <v>101.64</v>
      </c>
      <c r="E191" s="44">
        <v>45877</v>
      </c>
      <c r="F191" s="59">
        <v>3.5259999999999998</v>
      </c>
      <c r="G191" s="44">
        <v>45877</v>
      </c>
      <c r="H191" s="59">
        <v>51.848999999999997</v>
      </c>
      <c r="I191" s="44">
        <v>45877</v>
      </c>
      <c r="J191" s="59">
        <v>101.64</v>
      </c>
      <c r="K191" s="59"/>
    </row>
    <row r="192" spans="1:11">
      <c r="A192" s="43">
        <f t="shared" si="12"/>
        <v>45880</v>
      </c>
      <c r="B192" s="60">
        <f t="shared" si="13"/>
        <v>2.7349999999999999</v>
      </c>
      <c r="C192" s="60">
        <f t="shared" si="14"/>
        <v>51.44</v>
      </c>
      <c r="D192" s="60">
        <f t="shared" si="15"/>
        <v>101.423</v>
      </c>
      <c r="E192" s="44">
        <v>45880</v>
      </c>
      <c r="F192" s="59">
        <v>2.7349999999999999</v>
      </c>
      <c r="G192" s="44">
        <v>45880</v>
      </c>
      <c r="H192" s="59">
        <v>51.44</v>
      </c>
      <c r="I192" s="44">
        <v>45880</v>
      </c>
      <c r="J192" s="59">
        <v>101.423</v>
      </c>
      <c r="K192" s="59"/>
    </row>
    <row r="193" spans="1:11">
      <c r="A193" s="43">
        <f t="shared" si="12"/>
        <v>45881</v>
      </c>
      <c r="B193" s="60">
        <f t="shared" si="13"/>
        <v>5.1550000000000002</v>
      </c>
      <c r="C193" s="60">
        <f t="shared" si="14"/>
        <v>55.585999999999999</v>
      </c>
      <c r="D193" s="60">
        <f t="shared" si="15"/>
        <v>105.443</v>
      </c>
      <c r="E193" s="44">
        <v>45881</v>
      </c>
      <c r="F193" s="59">
        <v>5.1550000000000002</v>
      </c>
      <c r="G193" s="44">
        <v>45881</v>
      </c>
      <c r="H193" s="59">
        <v>55.585999999999999</v>
      </c>
      <c r="I193" s="44">
        <v>45881</v>
      </c>
      <c r="J193" s="59">
        <v>105.443</v>
      </c>
      <c r="K193" s="59"/>
    </row>
    <row r="194" spans="1:11">
      <c r="A194" s="43">
        <f t="shared" si="12"/>
        <v>45882</v>
      </c>
      <c r="B194" s="60">
        <f t="shared" si="13"/>
        <v>1.919</v>
      </c>
      <c r="C194" s="60">
        <f t="shared" si="14"/>
        <v>55.411999999999999</v>
      </c>
      <c r="D194" s="60">
        <f t="shared" si="15"/>
        <v>106.20099999999999</v>
      </c>
      <c r="E194" s="44">
        <v>45882</v>
      </c>
      <c r="F194" s="59">
        <v>1.919</v>
      </c>
      <c r="G194" s="44">
        <v>45882</v>
      </c>
      <c r="H194" s="59">
        <v>55.411999999999999</v>
      </c>
      <c r="I194" s="44">
        <v>45882</v>
      </c>
      <c r="J194" s="59">
        <v>106.20099999999999</v>
      </c>
      <c r="K194" s="59"/>
    </row>
    <row r="195" spans="1:11">
      <c r="A195" s="43">
        <f t="shared" si="12"/>
        <v>45883</v>
      </c>
      <c r="B195" s="60">
        <f t="shared" si="13"/>
        <v>6.1589999999999998</v>
      </c>
      <c r="C195" s="60">
        <f t="shared" si="14"/>
        <v>55.036000000000001</v>
      </c>
      <c r="D195" s="60">
        <f t="shared" si="15"/>
        <v>105.71599999999999</v>
      </c>
      <c r="E195" s="44">
        <v>45883</v>
      </c>
      <c r="F195" s="59">
        <v>6.1589999999999998</v>
      </c>
      <c r="G195" s="44">
        <v>45883</v>
      </c>
      <c r="H195" s="59">
        <v>55.036000000000001</v>
      </c>
      <c r="I195" s="44">
        <v>45883</v>
      </c>
      <c r="J195" s="59">
        <v>105.71599999999999</v>
      </c>
      <c r="K195" s="59"/>
    </row>
    <row r="196" spans="1:11">
      <c r="A196" s="43">
        <f t="shared" si="12"/>
        <v>45884</v>
      </c>
      <c r="B196" s="60">
        <f t="shared" si="13"/>
        <v>9.4149999999999991</v>
      </c>
      <c r="C196" s="60">
        <f t="shared" si="14"/>
        <v>56.332999999999998</v>
      </c>
      <c r="D196" s="60">
        <f t="shared" si="15"/>
        <v>108.033</v>
      </c>
      <c r="E196" s="44">
        <v>45884</v>
      </c>
      <c r="F196" s="59">
        <v>9.4149999999999991</v>
      </c>
      <c r="G196" s="44">
        <v>45884</v>
      </c>
      <c r="H196" s="59">
        <v>56.332999999999998</v>
      </c>
      <c r="I196" s="44">
        <v>45884</v>
      </c>
      <c r="J196" s="59">
        <v>108.033</v>
      </c>
      <c r="K196" s="59"/>
    </row>
    <row r="197" spans="1:11">
      <c r="A197" s="43">
        <f t="shared" si="12"/>
        <v>45887</v>
      </c>
      <c r="B197" s="60">
        <f t="shared" si="13"/>
        <v>9.9260000000000002</v>
      </c>
      <c r="C197" s="60">
        <f t="shared" si="14"/>
        <v>56.851999999999997</v>
      </c>
      <c r="D197" s="60">
        <f t="shared" si="15"/>
        <v>108.523</v>
      </c>
      <c r="E197" s="44">
        <v>45887</v>
      </c>
      <c r="F197" s="59">
        <v>9.9260000000000002</v>
      </c>
      <c r="G197" s="44">
        <v>45887</v>
      </c>
      <c r="H197" s="59">
        <v>56.851999999999997</v>
      </c>
      <c r="I197" s="44">
        <v>45887</v>
      </c>
      <c r="J197" s="59">
        <v>108.523</v>
      </c>
      <c r="K197" s="59"/>
    </row>
    <row r="198" spans="1:11">
      <c r="A198" s="43">
        <f t="shared" ref="A198:A236" si="16">+E198</f>
        <v>45888</v>
      </c>
      <c r="B198" s="60">
        <f t="shared" ref="B198:B236" si="17">F198</f>
        <v>9.4920000000000009</v>
      </c>
      <c r="C198" s="60">
        <f t="shared" ref="C198:C236" si="18">H198</f>
        <v>55.61</v>
      </c>
      <c r="D198" s="60">
        <f t="shared" ref="D198:D236" si="19">J198</f>
        <v>108.242</v>
      </c>
      <c r="E198" s="44">
        <v>45888</v>
      </c>
      <c r="F198" s="59">
        <v>9.4920000000000009</v>
      </c>
      <c r="G198" s="44">
        <v>45888</v>
      </c>
      <c r="H198" s="59">
        <v>55.61</v>
      </c>
      <c r="I198" s="44">
        <v>45888</v>
      </c>
      <c r="J198" s="59">
        <v>108.242</v>
      </c>
      <c r="K198" s="59"/>
    </row>
    <row r="199" spans="1:11">
      <c r="A199" s="43">
        <f t="shared" si="16"/>
        <v>45889</v>
      </c>
      <c r="B199" s="60">
        <f t="shared" si="17"/>
        <v>6.6890000000000001</v>
      </c>
      <c r="C199" s="60">
        <f t="shared" si="18"/>
        <v>54.073999999999998</v>
      </c>
      <c r="D199" s="60">
        <f t="shared" si="19"/>
        <v>108.146</v>
      </c>
      <c r="E199" s="44">
        <v>45889</v>
      </c>
      <c r="F199" s="59">
        <v>6.6890000000000001</v>
      </c>
      <c r="G199" s="44">
        <v>45889</v>
      </c>
      <c r="H199" s="59">
        <v>54.073999999999998</v>
      </c>
      <c r="I199" s="44">
        <v>45889</v>
      </c>
      <c r="J199" s="59">
        <v>108.146</v>
      </c>
      <c r="K199" s="59"/>
    </row>
    <row r="200" spans="1:11">
      <c r="A200" s="43">
        <f t="shared" si="16"/>
        <v>45890</v>
      </c>
      <c r="B200" s="60">
        <f t="shared" si="17"/>
        <v>8.8870000000000005</v>
      </c>
      <c r="C200" s="60">
        <f t="shared" si="18"/>
        <v>52.972999999999999</v>
      </c>
      <c r="D200" s="60">
        <f t="shared" si="19"/>
        <v>106.01900000000001</v>
      </c>
      <c r="E200" s="44">
        <v>45890</v>
      </c>
      <c r="F200" s="59">
        <v>8.8870000000000005</v>
      </c>
      <c r="G200" s="44">
        <v>45890</v>
      </c>
      <c r="H200" s="59">
        <v>52.972999999999999</v>
      </c>
      <c r="I200" s="44">
        <v>45890</v>
      </c>
      <c r="J200" s="59">
        <v>106.01900000000001</v>
      </c>
      <c r="K200" s="59"/>
    </row>
    <row r="201" spans="1:11">
      <c r="A201" s="43">
        <f t="shared" si="16"/>
        <v>45891</v>
      </c>
      <c r="B201" s="60">
        <f t="shared" si="17"/>
        <v>5.5190000000000001</v>
      </c>
      <c r="C201" s="60">
        <f t="shared" si="18"/>
        <v>55.527999999999999</v>
      </c>
      <c r="D201" s="60">
        <f t="shared" si="19"/>
        <v>111.479</v>
      </c>
      <c r="E201" s="44">
        <v>45891</v>
      </c>
      <c r="F201" s="59">
        <v>5.5190000000000001</v>
      </c>
      <c r="G201" s="44">
        <v>45891</v>
      </c>
      <c r="H201" s="59">
        <v>55.527999999999999</v>
      </c>
      <c r="I201" s="44">
        <v>45891</v>
      </c>
      <c r="J201" s="59">
        <v>111.479</v>
      </c>
      <c r="K201" s="59"/>
    </row>
    <row r="202" spans="1:11">
      <c r="A202" s="43">
        <f t="shared" si="16"/>
        <v>45894</v>
      </c>
      <c r="B202" s="60">
        <f t="shared" si="17"/>
        <v>7.4429999999999996</v>
      </c>
      <c r="C202" s="60">
        <f t="shared" si="18"/>
        <v>54.945</v>
      </c>
      <c r="D202" s="60">
        <f t="shared" si="19"/>
        <v>110.28400000000001</v>
      </c>
      <c r="E202" s="44">
        <v>45894</v>
      </c>
      <c r="F202" s="59">
        <v>7.4429999999999996</v>
      </c>
      <c r="G202" s="44">
        <v>45894</v>
      </c>
      <c r="H202" s="59">
        <v>54.945</v>
      </c>
      <c r="I202" s="44">
        <v>45894</v>
      </c>
      <c r="J202" s="59">
        <v>110.28400000000001</v>
      </c>
      <c r="K202" s="59"/>
    </row>
    <row r="203" spans="1:11">
      <c r="A203" s="43">
        <f t="shared" si="16"/>
        <v>45895</v>
      </c>
      <c r="B203" s="60">
        <f t="shared" si="17"/>
        <v>7.556</v>
      </c>
      <c r="C203" s="60">
        <f t="shared" si="18"/>
        <v>58.048999999999999</v>
      </c>
      <c r="D203" s="60">
        <f t="shared" si="19"/>
        <v>117.437</v>
      </c>
      <c r="E203" s="44">
        <v>45895</v>
      </c>
      <c r="F203" s="59">
        <v>7.556</v>
      </c>
      <c r="G203" s="44">
        <v>45895</v>
      </c>
      <c r="H203" s="59">
        <v>58.048999999999999</v>
      </c>
      <c r="I203" s="44">
        <v>45895</v>
      </c>
      <c r="J203" s="59">
        <v>117.437</v>
      </c>
      <c r="K203" s="59"/>
    </row>
    <row r="204" spans="1:11">
      <c r="A204" s="43">
        <f t="shared" si="16"/>
        <v>45896</v>
      </c>
      <c r="B204" s="60">
        <f t="shared" si="17"/>
        <v>5.4059999999999997</v>
      </c>
      <c r="C204" s="60">
        <f t="shared" si="18"/>
        <v>62.168999999999997</v>
      </c>
      <c r="D204" s="60">
        <f t="shared" si="19"/>
        <v>122.256</v>
      </c>
      <c r="E204" s="44">
        <v>45896</v>
      </c>
      <c r="F204" s="59">
        <v>5.4059999999999997</v>
      </c>
      <c r="G204" s="44">
        <v>45896</v>
      </c>
      <c r="H204" s="59">
        <v>62.168999999999997</v>
      </c>
      <c r="I204" s="44">
        <v>45896</v>
      </c>
      <c r="J204" s="59">
        <v>122.256</v>
      </c>
      <c r="K204" s="59"/>
    </row>
    <row r="205" spans="1:11">
      <c r="A205" s="43">
        <f t="shared" si="16"/>
        <v>45897</v>
      </c>
      <c r="B205" s="60">
        <f t="shared" si="17"/>
        <v>2.0979999999999999</v>
      </c>
      <c r="C205" s="60">
        <f t="shared" si="18"/>
        <v>57.024999999999999</v>
      </c>
      <c r="D205" s="60">
        <f t="shared" si="19"/>
        <v>118.321</v>
      </c>
      <c r="E205" s="44">
        <v>45897</v>
      </c>
      <c r="F205" s="59">
        <v>2.0979999999999999</v>
      </c>
      <c r="G205" s="44">
        <v>45897</v>
      </c>
      <c r="H205" s="59">
        <v>57.024999999999999</v>
      </c>
      <c r="I205" s="44">
        <v>45897</v>
      </c>
      <c r="J205" s="59">
        <v>118.321</v>
      </c>
      <c r="K205" s="59"/>
    </row>
    <row r="206" spans="1:11">
      <c r="A206" s="43">
        <f t="shared" si="16"/>
        <v>45898</v>
      </c>
      <c r="B206" s="60">
        <f t="shared" si="17"/>
        <v>7.641</v>
      </c>
      <c r="C206" s="60">
        <f t="shared" si="18"/>
        <v>60.965000000000003</v>
      </c>
      <c r="D206" s="60">
        <f t="shared" si="19"/>
        <v>122.99299999999999</v>
      </c>
      <c r="E206" s="44">
        <v>45898</v>
      </c>
      <c r="F206" s="59">
        <v>7.641</v>
      </c>
      <c r="G206" s="44">
        <v>45898</v>
      </c>
      <c r="H206" s="59">
        <v>60.965000000000003</v>
      </c>
      <c r="I206" s="44">
        <v>45898</v>
      </c>
      <c r="J206" s="59">
        <v>122.99299999999999</v>
      </c>
      <c r="K206" s="59"/>
    </row>
    <row r="207" spans="1:11">
      <c r="A207" s="43">
        <f t="shared" si="16"/>
        <v>45901</v>
      </c>
      <c r="B207" s="60">
        <f t="shared" si="17"/>
        <v>7.641</v>
      </c>
      <c r="C207" s="60">
        <f t="shared" si="18"/>
        <v>60.965000000000003</v>
      </c>
      <c r="D207" s="60">
        <f t="shared" si="19"/>
        <v>122.99299999999999</v>
      </c>
      <c r="E207" s="44">
        <v>45901</v>
      </c>
      <c r="F207" s="59">
        <v>7.641</v>
      </c>
      <c r="G207" s="44">
        <v>45901</v>
      </c>
      <c r="H207" s="59">
        <v>60.965000000000003</v>
      </c>
      <c r="I207" s="44">
        <v>45901</v>
      </c>
      <c r="J207" s="59">
        <v>122.99299999999999</v>
      </c>
      <c r="K207" s="59"/>
    </row>
    <row r="208" spans="1:11">
      <c r="A208" s="43">
        <f t="shared" si="16"/>
        <v>45902</v>
      </c>
      <c r="B208" s="60">
        <f t="shared" si="17"/>
        <v>12.537000000000001</v>
      </c>
      <c r="C208" s="60">
        <f t="shared" si="18"/>
        <v>62.012999999999998</v>
      </c>
      <c r="D208" s="60">
        <f t="shared" si="19"/>
        <v>123.61199999999999</v>
      </c>
      <c r="E208" s="44">
        <v>45902</v>
      </c>
      <c r="F208" s="59">
        <v>12.537000000000001</v>
      </c>
      <c r="G208" s="44">
        <v>45902</v>
      </c>
      <c r="H208" s="59">
        <v>62.012999999999998</v>
      </c>
      <c r="I208" s="44">
        <v>45902</v>
      </c>
      <c r="J208" s="59">
        <v>123.61199999999999</v>
      </c>
      <c r="K208" s="59"/>
    </row>
    <row r="209" spans="1:11">
      <c r="A209" s="43">
        <f t="shared" si="16"/>
        <v>45903</v>
      </c>
      <c r="B209" s="60">
        <f t="shared" si="17"/>
        <v>9.1319999999999997</v>
      </c>
      <c r="C209" s="60">
        <f t="shared" si="18"/>
        <v>59.81</v>
      </c>
      <c r="D209" s="60">
        <f t="shared" si="19"/>
        <v>120.274</v>
      </c>
      <c r="E209" s="44">
        <v>45903</v>
      </c>
      <c r="F209" s="59">
        <v>9.1319999999999997</v>
      </c>
      <c r="G209" s="44">
        <v>45903</v>
      </c>
      <c r="H209" s="59">
        <v>59.81</v>
      </c>
      <c r="I209" s="44">
        <v>45903</v>
      </c>
      <c r="J209" s="59">
        <v>120.274</v>
      </c>
      <c r="K209" s="59"/>
    </row>
    <row r="210" spans="1:11">
      <c r="A210" s="43">
        <f t="shared" si="16"/>
        <v>45904</v>
      </c>
      <c r="B210" s="60">
        <f t="shared" si="17"/>
        <v>7.4539999999999997</v>
      </c>
      <c r="C210" s="60">
        <f t="shared" si="18"/>
        <v>57.088999999999999</v>
      </c>
      <c r="D210" s="60">
        <f t="shared" si="19"/>
        <v>120.59399999999999</v>
      </c>
      <c r="E210" s="44">
        <v>45904</v>
      </c>
      <c r="F210" s="59">
        <v>7.4539999999999997</v>
      </c>
      <c r="G210" s="44">
        <v>45904</v>
      </c>
      <c r="H210" s="59">
        <v>57.088999999999999</v>
      </c>
      <c r="I210" s="44">
        <v>45904</v>
      </c>
      <c r="J210" s="59">
        <v>120.59399999999999</v>
      </c>
      <c r="K210" s="59"/>
    </row>
    <row r="211" spans="1:11">
      <c r="A211" s="43">
        <f t="shared" si="16"/>
        <v>45905</v>
      </c>
      <c r="B211" s="60">
        <f t="shared" si="17"/>
        <v>5.9189999999999996</v>
      </c>
      <c r="C211" s="60">
        <f t="shared" si="18"/>
        <v>56.296999999999997</v>
      </c>
      <c r="D211" s="60">
        <f t="shared" si="19"/>
        <v>117.355</v>
      </c>
      <c r="E211" s="44">
        <v>45905</v>
      </c>
      <c r="F211" s="59">
        <v>5.9189999999999996</v>
      </c>
      <c r="G211" s="44">
        <v>45905</v>
      </c>
      <c r="H211" s="59">
        <v>56.296999999999997</v>
      </c>
      <c r="I211" s="44">
        <v>45905</v>
      </c>
      <c r="J211" s="59">
        <v>117.355</v>
      </c>
      <c r="K211" s="59"/>
    </row>
    <row r="212" spans="1:11">
      <c r="A212" s="43">
        <f t="shared" si="16"/>
        <v>45908</v>
      </c>
      <c r="B212" s="60">
        <f t="shared" si="17"/>
        <v>0.97199999999999998</v>
      </c>
      <c r="C212" s="60">
        <f t="shared" si="18"/>
        <v>55.142000000000003</v>
      </c>
      <c r="D212" s="60">
        <f t="shared" si="19"/>
        <v>112.952</v>
      </c>
      <c r="E212" s="44">
        <v>45908</v>
      </c>
      <c r="F212" s="59">
        <v>0.97199999999999998</v>
      </c>
      <c r="G212" s="44">
        <v>45908</v>
      </c>
      <c r="H212" s="59">
        <v>55.142000000000003</v>
      </c>
      <c r="I212" s="44">
        <v>45908</v>
      </c>
      <c r="J212" s="59">
        <v>112.952</v>
      </c>
      <c r="K212" s="59"/>
    </row>
    <row r="213" spans="1:11">
      <c r="A213" s="43">
        <f t="shared" si="16"/>
        <v>45909</v>
      </c>
      <c r="B213" s="60">
        <f t="shared" si="17"/>
        <v>5.4770000000000003</v>
      </c>
      <c r="C213" s="60">
        <f t="shared" si="18"/>
        <v>52.709000000000003</v>
      </c>
      <c r="D213" s="60">
        <f t="shared" si="19"/>
        <v>111.325</v>
      </c>
      <c r="E213" s="44">
        <v>45909</v>
      </c>
      <c r="F213" s="59">
        <v>5.4770000000000003</v>
      </c>
      <c r="G213" s="44">
        <v>45909</v>
      </c>
      <c r="H213" s="59">
        <v>52.709000000000003</v>
      </c>
      <c r="I213" s="44">
        <v>45909</v>
      </c>
      <c r="J213" s="59">
        <v>111.325</v>
      </c>
      <c r="K213" s="59"/>
    </row>
    <row r="214" spans="1:11">
      <c r="A214" s="43">
        <f t="shared" si="16"/>
        <v>45910</v>
      </c>
      <c r="B214" s="60">
        <f t="shared" si="17"/>
        <v>0.53500000000000003</v>
      </c>
      <c r="C214" s="60">
        <f t="shared" si="18"/>
        <v>50.151000000000003</v>
      </c>
      <c r="D214" s="60">
        <f t="shared" si="19"/>
        <v>109.71899999999999</v>
      </c>
      <c r="E214" s="44">
        <v>45910</v>
      </c>
      <c r="F214" s="59">
        <v>0.53500000000000003</v>
      </c>
      <c r="G214" s="44">
        <v>45910</v>
      </c>
      <c r="H214" s="59">
        <v>50.151000000000003</v>
      </c>
      <c r="I214" s="44">
        <v>45910</v>
      </c>
      <c r="J214" s="59">
        <v>109.71899999999999</v>
      </c>
      <c r="K214" s="59"/>
    </row>
    <row r="215" spans="1:11">
      <c r="A215" s="43">
        <f t="shared" si="16"/>
        <v>45911</v>
      </c>
      <c r="B215" s="60">
        <f t="shared" si="17"/>
        <v>-1.387</v>
      </c>
      <c r="C215" s="60">
        <f t="shared" si="18"/>
        <v>47.283999999999999</v>
      </c>
      <c r="D215" s="60">
        <f t="shared" si="19"/>
        <v>105.642</v>
      </c>
      <c r="E215" s="44">
        <v>45911</v>
      </c>
      <c r="F215" s="59">
        <v>-1.387</v>
      </c>
      <c r="G215" s="44">
        <v>45911</v>
      </c>
      <c r="H215" s="59">
        <v>47.283999999999999</v>
      </c>
      <c r="I215" s="44">
        <v>45911</v>
      </c>
      <c r="J215" s="59">
        <v>105.642</v>
      </c>
      <c r="K215" s="59"/>
    </row>
    <row r="216" spans="1:11">
      <c r="A216" s="43">
        <f t="shared" si="16"/>
        <v>45912</v>
      </c>
      <c r="B216" s="60">
        <f t="shared" si="17"/>
        <v>2.8610000000000002</v>
      </c>
      <c r="C216" s="60">
        <f t="shared" si="18"/>
        <v>50.451999999999998</v>
      </c>
      <c r="D216" s="60">
        <f t="shared" si="19"/>
        <v>104.53400000000001</v>
      </c>
      <c r="E216" s="44">
        <v>45912</v>
      </c>
      <c r="F216" s="59">
        <v>2.8610000000000002</v>
      </c>
      <c r="G216" s="44">
        <v>45912</v>
      </c>
      <c r="H216" s="59">
        <v>50.451999999999998</v>
      </c>
      <c r="I216" s="44">
        <v>45912</v>
      </c>
      <c r="J216" s="59">
        <v>104.53400000000001</v>
      </c>
      <c r="K216" s="59"/>
    </row>
    <row r="217" spans="1:11">
      <c r="A217" s="43">
        <f t="shared" si="16"/>
        <v>45915</v>
      </c>
      <c r="B217" s="60">
        <f t="shared" si="17"/>
        <v>3.8410000000000002</v>
      </c>
      <c r="C217" s="60">
        <f t="shared" si="18"/>
        <v>49.658999999999999</v>
      </c>
      <c r="D217" s="60">
        <f t="shared" si="19"/>
        <v>105.283</v>
      </c>
      <c r="E217" s="44">
        <v>45915</v>
      </c>
      <c r="F217" s="59">
        <v>3.8410000000000002</v>
      </c>
      <c r="G217" s="44">
        <v>45915</v>
      </c>
      <c r="H217" s="59">
        <v>49.658999999999999</v>
      </c>
      <c r="I217" s="44">
        <v>45915</v>
      </c>
      <c r="J217" s="59">
        <v>105.283</v>
      </c>
      <c r="K217" s="59"/>
    </row>
    <row r="218" spans="1:11">
      <c r="A218" s="43">
        <f t="shared" si="16"/>
        <v>45916</v>
      </c>
      <c r="B218" s="60">
        <f t="shared" si="17"/>
        <v>5.2050000000000001</v>
      </c>
      <c r="C218" s="60">
        <f t="shared" si="18"/>
        <v>52.258000000000003</v>
      </c>
      <c r="D218" s="60">
        <f t="shared" si="19"/>
        <v>106.212</v>
      </c>
      <c r="E218" s="44">
        <v>45916</v>
      </c>
      <c r="F218" s="59">
        <v>5.2050000000000001</v>
      </c>
      <c r="G218" s="44">
        <v>45916</v>
      </c>
      <c r="H218" s="59">
        <v>52.258000000000003</v>
      </c>
      <c r="I218" s="44">
        <v>45916</v>
      </c>
      <c r="J218" s="59">
        <v>106.212</v>
      </c>
      <c r="K218" s="59"/>
    </row>
    <row r="219" spans="1:11">
      <c r="A219" s="43">
        <f t="shared" si="16"/>
        <v>45917</v>
      </c>
      <c r="B219" s="60">
        <f t="shared" si="17"/>
        <v>10.914</v>
      </c>
      <c r="C219" s="60">
        <f t="shared" si="18"/>
        <v>53.192999999999998</v>
      </c>
      <c r="D219" s="60">
        <f t="shared" si="19"/>
        <v>103.41500000000001</v>
      </c>
      <c r="E219" s="44">
        <v>45917</v>
      </c>
      <c r="F219" s="59">
        <v>10.914</v>
      </c>
      <c r="G219" s="44">
        <v>45917</v>
      </c>
      <c r="H219" s="59">
        <v>53.192999999999998</v>
      </c>
      <c r="I219" s="44">
        <v>45917</v>
      </c>
      <c r="J219" s="59">
        <v>103.41500000000001</v>
      </c>
      <c r="K219" s="59"/>
    </row>
    <row r="220" spans="1:11">
      <c r="A220" s="43">
        <f t="shared" si="16"/>
        <v>45918</v>
      </c>
      <c r="B220" s="60">
        <f t="shared" si="17"/>
        <v>12.423</v>
      </c>
      <c r="C220" s="60">
        <f t="shared" si="18"/>
        <v>53.884999999999998</v>
      </c>
      <c r="D220" s="60">
        <f t="shared" si="19"/>
        <v>105.953</v>
      </c>
      <c r="E220" s="44">
        <v>45918</v>
      </c>
      <c r="F220" s="59">
        <v>12.423</v>
      </c>
      <c r="G220" s="44">
        <v>45918</v>
      </c>
      <c r="H220" s="59">
        <v>53.884999999999998</v>
      </c>
      <c r="I220" s="44">
        <v>45918</v>
      </c>
      <c r="J220" s="59">
        <v>105.953</v>
      </c>
      <c r="K220" s="59"/>
    </row>
    <row r="221" spans="1:11">
      <c r="A221" s="43">
        <f t="shared" si="16"/>
        <v>45919</v>
      </c>
      <c r="B221" s="60">
        <f t="shared" si="17"/>
        <v>14.593999999999999</v>
      </c>
      <c r="C221" s="60">
        <f t="shared" si="18"/>
        <v>55.378</v>
      </c>
      <c r="D221" s="60">
        <f t="shared" si="19"/>
        <v>106.339</v>
      </c>
      <c r="E221" s="44">
        <v>45919</v>
      </c>
      <c r="F221" s="59">
        <v>14.593999999999999</v>
      </c>
      <c r="G221" s="44">
        <v>45919</v>
      </c>
      <c r="H221" s="59">
        <v>55.378</v>
      </c>
      <c r="I221" s="44">
        <v>45919</v>
      </c>
      <c r="J221" s="59">
        <v>106.339</v>
      </c>
      <c r="K221" s="59"/>
    </row>
    <row r="222" spans="1:11">
      <c r="A222" s="43">
        <f t="shared" si="16"/>
        <v>45922</v>
      </c>
      <c r="B222" s="60">
        <f t="shared" si="17"/>
        <v>19.920000000000002</v>
      </c>
      <c r="C222" s="60">
        <f t="shared" si="18"/>
        <v>54.158000000000001</v>
      </c>
      <c r="D222" s="60">
        <f t="shared" si="19"/>
        <v>105.935</v>
      </c>
      <c r="E222" s="44">
        <v>45922</v>
      </c>
      <c r="F222" s="59">
        <v>19.920000000000002</v>
      </c>
      <c r="G222" s="44">
        <v>45922</v>
      </c>
      <c r="H222" s="59">
        <v>54.158000000000001</v>
      </c>
      <c r="I222" s="44">
        <v>45922</v>
      </c>
      <c r="J222" s="59">
        <v>105.935</v>
      </c>
      <c r="K222" s="59"/>
    </row>
    <row r="223" spans="1:11">
      <c r="A223" s="43">
        <f t="shared" si="16"/>
        <v>45923</v>
      </c>
      <c r="B223" s="60">
        <f t="shared" si="17"/>
        <v>14.275</v>
      </c>
      <c r="C223" s="60">
        <f t="shared" si="18"/>
        <v>51.798000000000002</v>
      </c>
      <c r="D223" s="60">
        <f t="shared" si="19"/>
        <v>104.934</v>
      </c>
      <c r="E223" s="44">
        <v>45923</v>
      </c>
      <c r="F223" s="59">
        <v>14.275</v>
      </c>
      <c r="G223" s="44">
        <v>45923</v>
      </c>
      <c r="H223" s="59">
        <v>51.798000000000002</v>
      </c>
      <c r="I223" s="44">
        <v>45923</v>
      </c>
      <c r="J223" s="59">
        <v>104.934</v>
      </c>
      <c r="K223" s="59"/>
    </row>
    <row r="224" spans="1:11">
      <c r="A224" s="43">
        <f t="shared" si="16"/>
        <v>45924</v>
      </c>
      <c r="B224" s="60">
        <f t="shared" si="17"/>
        <v>18.364999999999998</v>
      </c>
      <c r="C224" s="60">
        <f t="shared" si="18"/>
        <v>54.040999999999997</v>
      </c>
      <c r="D224" s="60">
        <f t="shared" si="19"/>
        <v>103.169</v>
      </c>
      <c r="E224" s="44">
        <v>45924</v>
      </c>
      <c r="F224" s="59">
        <v>18.364999999999998</v>
      </c>
      <c r="G224" s="44">
        <v>45924</v>
      </c>
      <c r="H224" s="59">
        <v>54.040999999999997</v>
      </c>
      <c r="I224" s="44">
        <v>45924</v>
      </c>
      <c r="J224" s="59">
        <v>103.169</v>
      </c>
      <c r="K224" s="59"/>
    </row>
    <row r="225" spans="1:11">
      <c r="A225" s="43">
        <f t="shared" si="16"/>
        <v>45925</v>
      </c>
      <c r="B225" s="60">
        <f t="shared" si="17"/>
        <v>18.658999999999999</v>
      </c>
      <c r="C225" s="60">
        <f t="shared" si="18"/>
        <v>51.244999999999997</v>
      </c>
      <c r="D225" s="60">
        <f t="shared" si="19"/>
        <v>98.616</v>
      </c>
      <c r="E225" s="44">
        <v>45925</v>
      </c>
      <c r="F225" s="59">
        <v>18.658999999999999</v>
      </c>
      <c r="G225" s="44">
        <v>45925</v>
      </c>
      <c r="H225" s="59">
        <v>51.244999999999997</v>
      </c>
      <c r="I225" s="44">
        <v>45925</v>
      </c>
      <c r="J225" s="59">
        <v>98.616</v>
      </c>
      <c r="K225" s="59"/>
    </row>
    <row r="226" spans="1:11">
      <c r="A226" s="43">
        <f t="shared" si="16"/>
        <v>45926</v>
      </c>
      <c r="B226" s="60">
        <f t="shared" si="17"/>
        <v>21.43</v>
      </c>
      <c r="C226" s="60">
        <f t="shared" si="18"/>
        <v>53.048000000000002</v>
      </c>
      <c r="D226" s="60">
        <f t="shared" si="19"/>
        <v>98.191999999999993</v>
      </c>
      <c r="E226" s="44">
        <v>45926</v>
      </c>
      <c r="F226" s="59">
        <v>21.43</v>
      </c>
      <c r="G226" s="44">
        <v>45926</v>
      </c>
      <c r="H226" s="59">
        <v>53.048000000000002</v>
      </c>
      <c r="I226" s="44">
        <v>45926</v>
      </c>
      <c r="J226" s="59">
        <v>98.191999999999993</v>
      </c>
      <c r="K226" s="59"/>
    </row>
    <row r="227" spans="1:11">
      <c r="A227" s="43">
        <f t="shared" si="16"/>
        <v>45929</v>
      </c>
      <c r="B227" s="60">
        <f t="shared" si="17"/>
        <v>17.274000000000001</v>
      </c>
      <c r="C227" s="60">
        <f t="shared" si="18"/>
        <v>51.616</v>
      </c>
      <c r="D227" s="60">
        <f t="shared" si="19"/>
        <v>96.81</v>
      </c>
      <c r="E227" s="44">
        <v>45929</v>
      </c>
      <c r="F227" s="59">
        <v>17.274000000000001</v>
      </c>
      <c r="G227" s="44">
        <v>45929</v>
      </c>
      <c r="H227" s="59">
        <v>51.616</v>
      </c>
      <c r="I227" s="44">
        <v>45929</v>
      </c>
      <c r="J227" s="59">
        <v>96.81</v>
      </c>
      <c r="K227" s="59"/>
    </row>
    <row r="228" spans="1:11">
      <c r="A228" s="43">
        <f t="shared" si="16"/>
        <v>45930</v>
      </c>
      <c r="B228" s="60">
        <f t="shared" si="17"/>
        <v>20.501000000000001</v>
      </c>
      <c r="C228" s="60">
        <f t="shared" si="18"/>
        <v>53.991</v>
      </c>
      <c r="D228" s="60">
        <f t="shared" si="19"/>
        <v>98.847999999999999</v>
      </c>
      <c r="E228" s="44">
        <v>45930</v>
      </c>
      <c r="F228" s="59">
        <v>20.501000000000001</v>
      </c>
      <c r="G228" s="44">
        <v>45930</v>
      </c>
      <c r="H228" s="59">
        <v>53.991</v>
      </c>
      <c r="I228" s="44">
        <v>45930</v>
      </c>
      <c r="J228" s="59">
        <v>98.847999999999999</v>
      </c>
      <c r="K228" s="59"/>
    </row>
    <row r="229" spans="1:11">
      <c r="A229" s="43">
        <f t="shared" si="16"/>
        <v>45931</v>
      </c>
      <c r="B229" s="60">
        <f t="shared" si="17"/>
        <v>15.843</v>
      </c>
      <c r="C229" s="60">
        <f t="shared" si="18"/>
        <v>55.932000000000002</v>
      </c>
      <c r="D229" s="60">
        <f t="shared" si="19"/>
        <v>103.62</v>
      </c>
      <c r="E229" s="44">
        <v>45931</v>
      </c>
      <c r="F229" s="59">
        <v>15.843</v>
      </c>
      <c r="G229" s="44">
        <v>45931</v>
      </c>
      <c r="H229" s="59">
        <v>55.932000000000002</v>
      </c>
      <c r="I229" s="44">
        <v>45931</v>
      </c>
      <c r="J229" s="59">
        <v>103.62</v>
      </c>
      <c r="K229" s="59"/>
    </row>
    <row r="230" spans="1:11">
      <c r="A230" s="43">
        <f t="shared" si="16"/>
        <v>45932</v>
      </c>
      <c r="B230" s="60">
        <f t="shared" si="17"/>
        <v>12.79</v>
      </c>
      <c r="C230" s="60">
        <f t="shared" si="18"/>
        <v>54.182000000000002</v>
      </c>
      <c r="D230" s="60">
        <f t="shared" si="19"/>
        <v>101.651</v>
      </c>
      <c r="E230" s="44">
        <v>45932</v>
      </c>
      <c r="F230" s="59">
        <v>12.79</v>
      </c>
      <c r="G230" s="44">
        <v>45932</v>
      </c>
      <c r="H230" s="59">
        <v>54.182000000000002</v>
      </c>
      <c r="I230" s="44">
        <v>45932</v>
      </c>
      <c r="J230" s="59">
        <v>101.651</v>
      </c>
      <c r="K230" s="59"/>
    </row>
    <row r="231" spans="1:11">
      <c r="A231" s="43">
        <f t="shared" si="16"/>
        <v>45933</v>
      </c>
      <c r="B231" s="60">
        <f t="shared" si="17"/>
        <v>15.795</v>
      </c>
      <c r="C231" s="60">
        <f t="shared" si="18"/>
        <v>54.125</v>
      </c>
      <c r="D231" s="60">
        <f t="shared" si="19"/>
        <v>99.474999999999994</v>
      </c>
      <c r="E231" s="44">
        <v>45933</v>
      </c>
      <c r="F231" s="59">
        <v>15.795</v>
      </c>
      <c r="G231" s="44">
        <v>45933</v>
      </c>
      <c r="H231" s="59">
        <v>54.125</v>
      </c>
      <c r="I231" s="44">
        <v>45933</v>
      </c>
      <c r="J231" s="59">
        <v>99.474999999999994</v>
      </c>
      <c r="K231" s="59"/>
    </row>
    <row r="232" spans="1:11">
      <c r="A232" s="43">
        <f t="shared" si="16"/>
        <v>45936</v>
      </c>
      <c r="B232" s="60">
        <f t="shared" si="17"/>
        <v>20.094000000000001</v>
      </c>
      <c r="C232" s="60">
        <f t="shared" si="18"/>
        <v>56.362000000000002</v>
      </c>
      <c r="D232" s="60">
        <f t="shared" si="19"/>
        <v>101.18600000000001</v>
      </c>
      <c r="E232" s="44">
        <v>45936</v>
      </c>
      <c r="F232" s="59">
        <v>20.094000000000001</v>
      </c>
      <c r="G232" s="44">
        <v>45936</v>
      </c>
      <c r="H232" s="59">
        <v>56.362000000000002</v>
      </c>
      <c r="I232" s="44">
        <v>45936</v>
      </c>
      <c r="J232" s="59">
        <v>101.18600000000001</v>
      </c>
      <c r="K232" s="59"/>
    </row>
    <row r="233" spans="1:11">
      <c r="A233" s="43">
        <f t="shared" si="16"/>
        <v>45937</v>
      </c>
      <c r="B233" s="60">
        <f t="shared" si="17"/>
        <v>19.105</v>
      </c>
      <c r="C233" s="60">
        <f t="shared" si="18"/>
        <v>55.73</v>
      </c>
      <c r="D233" s="60">
        <f t="shared" si="19"/>
        <v>102.03100000000001</v>
      </c>
      <c r="E233" s="44">
        <v>45937</v>
      </c>
      <c r="F233" s="59">
        <v>19.105</v>
      </c>
      <c r="G233" s="44">
        <v>45937</v>
      </c>
      <c r="H233" s="59">
        <v>55.73</v>
      </c>
      <c r="I233" s="44">
        <v>45937</v>
      </c>
      <c r="J233" s="59">
        <v>102.03100000000001</v>
      </c>
      <c r="K233" s="59"/>
    </row>
    <row r="234" spans="1:11">
      <c r="A234" s="43">
        <f t="shared" si="16"/>
        <v>45938</v>
      </c>
      <c r="B234" s="60">
        <f t="shared" si="17"/>
        <v>17.53</v>
      </c>
      <c r="C234" s="60">
        <f t="shared" si="18"/>
        <v>53.488</v>
      </c>
      <c r="D234" s="60">
        <f t="shared" si="19"/>
        <v>99.173000000000002</v>
      </c>
      <c r="E234" s="44">
        <v>45938</v>
      </c>
      <c r="F234" s="59">
        <v>17.53</v>
      </c>
      <c r="G234" s="44">
        <v>45938</v>
      </c>
      <c r="H234" s="59">
        <v>53.488</v>
      </c>
      <c r="I234" s="44">
        <v>45938</v>
      </c>
      <c r="J234" s="59">
        <v>99.173000000000002</v>
      </c>
      <c r="K234" s="59"/>
    </row>
    <row r="235" spans="1:11">
      <c r="A235" s="43">
        <f t="shared" si="16"/>
        <v>45939</v>
      </c>
      <c r="B235" s="60">
        <f t="shared" si="17"/>
        <v>17.888999999999999</v>
      </c>
      <c r="C235" s="60">
        <f t="shared" si="18"/>
        <v>54.363999999999997</v>
      </c>
      <c r="D235" s="60">
        <f t="shared" si="19"/>
        <v>98.350999999999999</v>
      </c>
      <c r="E235" s="44">
        <v>45939</v>
      </c>
      <c r="F235" s="59">
        <v>17.888999999999999</v>
      </c>
      <c r="G235" s="44">
        <v>45939</v>
      </c>
      <c r="H235" s="59">
        <v>54.363999999999997</v>
      </c>
      <c r="I235" s="44">
        <v>45939</v>
      </c>
      <c r="J235" s="59">
        <v>98.350999999999999</v>
      </c>
      <c r="K235" s="59"/>
    </row>
    <row r="236" spans="1:11">
      <c r="A236" s="43">
        <f t="shared" si="16"/>
        <v>45940</v>
      </c>
      <c r="B236" s="60">
        <f t="shared" si="17"/>
        <v>8.2119999999999997</v>
      </c>
      <c r="C236" s="60">
        <f t="shared" si="18"/>
        <v>52.856999999999999</v>
      </c>
      <c r="D236" s="60">
        <f t="shared" si="19"/>
        <v>99.046000000000006</v>
      </c>
      <c r="E236" s="44">
        <v>45940</v>
      </c>
      <c r="F236" s="59">
        <v>8.2119999999999997</v>
      </c>
      <c r="G236" s="44">
        <v>45940</v>
      </c>
      <c r="H236" s="59">
        <v>52.856999999999999</v>
      </c>
      <c r="I236" s="44">
        <v>45940</v>
      </c>
      <c r="J236" s="59">
        <v>99.046000000000006</v>
      </c>
      <c r="K236" s="59"/>
    </row>
    <row r="237" spans="1:11">
      <c r="A237" s="43">
        <f t="shared" ref="A237:A256" si="20">+E237</f>
        <v>45943</v>
      </c>
      <c r="B237" s="60">
        <f t="shared" ref="B237:B256" si="21">F237</f>
        <v>8.2119999999999997</v>
      </c>
      <c r="C237" s="60">
        <f t="shared" ref="C237:C256" si="22">H237</f>
        <v>52.856999999999999</v>
      </c>
      <c r="D237" s="60">
        <f t="shared" ref="D237:D256" si="23">J237</f>
        <v>99.22</v>
      </c>
      <c r="E237" s="44">
        <v>45943</v>
      </c>
      <c r="F237" s="59">
        <v>8.2119999999999997</v>
      </c>
      <c r="G237" s="44">
        <v>45943</v>
      </c>
      <c r="H237" s="59">
        <v>52.856999999999999</v>
      </c>
      <c r="I237" s="44">
        <v>45943</v>
      </c>
      <c r="J237" s="59">
        <v>99.22</v>
      </c>
      <c r="K237" s="59"/>
    </row>
    <row r="238" spans="1:11">
      <c r="A238" s="43">
        <f t="shared" si="20"/>
        <v>45944</v>
      </c>
      <c r="B238" s="60">
        <f t="shared" si="21"/>
        <v>8.3149999999999995</v>
      </c>
      <c r="C238" s="60">
        <f t="shared" si="22"/>
        <v>54.935000000000002</v>
      </c>
      <c r="D238" s="60">
        <f t="shared" si="23"/>
        <v>102.295</v>
      </c>
      <c r="E238" s="44">
        <v>45944</v>
      </c>
      <c r="F238" s="59">
        <v>8.3149999999999995</v>
      </c>
      <c r="G238" s="44">
        <v>45944</v>
      </c>
      <c r="H238" s="59">
        <v>54.935000000000002</v>
      </c>
      <c r="I238" s="44">
        <v>45944</v>
      </c>
      <c r="J238" s="59">
        <v>102.295</v>
      </c>
      <c r="K238" s="59"/>
    </row>
    <row r="239" spans="1:11">
      <c r="A239" s="43">
        <f t="shared" si="20"/>
        <v>45945</v>
      </c>
      <c r="B239" s="60">
        <f t="shared" si="21"/>
        <v>6.31</v>
      </c>
      <c r="C239" s="60">
        <f t="shared" si="22"/>
        <v>52.884999999999998</v>
      </c>
      <c r="D239" s="60">
        <f t="shared" si="23"/>
        <v>100.758</v>
      </c>
      <c r="E239" s="44">
        <v>45945</v>
      </c>
      <c r="F239" s="59">
        <v>6.31</v>
      </c>
      <c r="G239" s="44">
        <v>45945</v>
      </c>
      <c r="H239" s="59">
        <v>52.884999999999998</v>
      </c>
      <c r="I239" s="44">
        <v>45945</v>
      </c>
      <c r="J239" s="59">
        <v>100.758</v>
      </c>
      <c r="K239" s="59"/>
    </row>
    <row r="240" spans="1:11">
      <c r="A240" s="43">
        <f t="shared" si="20"/>
        <v>45946</v>
      </c>
      <c r="B240" s="60">
        <f t="shared" si="21"/>
        <v>3.052</v>
      </c>
      <c r="C240" s="60">
        <f t="shared" si="22"/>
        <v>54.814</v>
      </c>
      <c r="D240" s="60">
        <f t="shared" si="23"/>
        <v>103.503</v>
      </c>
      <c r="E240" s="44">
        <v>45946</v>
      </c>
      <c r="F240" s="59">
        <v>3.052</v>
      </c>
      <c r="G240" s="44">
        <v>45946</v>
      </c>
      <c r="H240" s="59">
        <v>54.814</v>
      </c>
      <c r="I240" s="44">
        <v>45946</v>
      </c>
      <c r="J240" s="59">
        <v>103.503</v>
      </c>
      <c r="K240" s="59"/>
    </row>
    <row r="241" spans="1:11">
      <c r="A241" s="43">
        <f t="shared" si="20"/>
        <v>45947</v>
      </c>
      <c r="B241" s="60">
        <f t="shared" si="21"/>
        <v>8.157</v>
      </c>
      <c r="C241" s="60">
        <f t="shared" si="22"/>
        <v>54.936</v>
      </c>
      <c r="D241" s="60">
        <f t="shared" si="23"/>
        <v>101.191</v>
      </c>
      <c r="E241" s="44">
        <v>45947</v>
      </c>
      <c r="F241" s="59">
        <v>8.157</v>
      </c>
      <c r="G241" s="44">
        <v>45947</v>
      </c>
      <c r="H241" s="59">
        <v>54.936</v>
      </c>
      <c r="I241" s="44">
        <v>45947</v>
      </c>
      <c r="J241" s="59">
        <v>101.191</v>
      </c>
      <c r="K241" s="59"/>
    </row>
    <row r="242" spans="1:11">
      <c r="A242" s="43">
        <f t="shared" si="20"/>
        <v>45950</v>
      </c>
      <c r="B242" s="60">
        <f t="shared" si="21"/>
        <v>9.4499999999999993</v>
      </c>
      <c r="C242" s="60">
        <f t="shared" si="22"/>
        <v>52.274000000000001</v>
      </c>
      <c r="D242" s="60">
        <f t="shared" si="23"/>
        <v>99.498999999999995</v>
      </c>
      <c r="E242" s="44">
        <v>45950</v>
      </c>
      <c r="F242" s="59">
        <v>9.4499999999999993</v>
      </c>
      <c r="G242" s="44">
        <v>45950</v>
      </c>
      <c r="H242" s="59">
        <v>52.274000000000001</v>
      </c>
      <c r="I242" s="44">
        <v>45950</v>
      </c>
      <c r="J242" s="59">
        <v>99.498999999999995</v>
      </c>
      <c r="K242" s="59"/>
    </row>
    <row r="243" spans="1:11">
      <c r="A243" s="43">
        <f t="shared" si="20"/>
        <v>45951</v>
      </c>
      <c r="B243" s="60">
        <f t="shared" si="21"/>
        <v>7.7329999999999997</v>
      </c>
      <c r="C243" s="60">
        <f t="shared" si="22"/>
        <v>50.555999999999997</v>
      </c>
      <c r="D243" s="60">
        <f t="shared" si="23"/>
        <v>97.731999999999999</v>
      </c>
      <c r="E243" s="44">
        <v>45951</v>
      </c>
      <c r="F243" s="59">
        <v>7.7329999999999997</v>
      </c>
      <c r="G243" s="44">
        <v>45951</v>
      </c>
      <c r="H243" s="59">
        <v>50.555999999999997</v>
      </c>
      <c r="I243" s="44">
        <v>45951</v>
      </c>
      <c r="J243" s="59">
        <v>97.731999999999999</v>
      </c>
      <c r="K243" s="59"/>
    </row>
    <row r="244" spans="1:11">
      <c r="A244" s="43">
        <f t="shared" si="20"/>
        <v>45952</v>
      </c>
      <c r="B244" s="60">
        <f t="shared" si="21"/>
        <v>6.6890000000000001</v>
      </c>
      <c r="C244" s="60">
        <f t="shared" si="22"/>
        <v>50.271999999999998</v>
      </c>
      <c r="D244" s="60">
        <f t="shared" si="23"/>
        <v>97.558999999999997</v>
      </c>
      <c r="E244" s="44">
        <v>45952</v>
      </c>
      <c r="F244" s="59">
        <v>6.6890000000000001</v>
      </c>
      <c r="G244" s="44">
        <v>45952</v>
      </c>
      <c r="H244" s="59">
        <v>50.271999999999998</v>
      </c>
      <c r="I244" s="44">
        <v>45952</v>
      </c>
      <c r="J244" s="59">
        <v>97.558999999999997</v>
      </c>
      <c r="K244" s="59"/>
    </row>
    <row r="245" spans="1:11">
      <c r="A245" s="43">
        <f t="shared" si="20"/>
        <v>45953</v>
      </c>
      <c r="B245" s="60">
        <f t="shared" si="21"/>
        <v>11.372999999999999</v>
      </c>
      <c r="C245" s="60">
        <f t="shared" si="22"/>
        <v>50.603000000000002</v>
      </c>
      <c r="D245" s="60">
        <f t="shared" si="23"/>
        <v>96.799000000000007</v>
      </c>
      <c r="E245" s="44">
        <v>45953</v>
      </c>
      <c r="F245" s="59">
        <v>11.372999999999999</v>
      </c>
      <c r="G245" s="44">
        <v>45953</v>
      </c>
      <c r="H245" s="59">
        <v>50.603000000000002</v>
      </c>
      <c r="I245" s="44">
        <v>45953</v>
      </c>
      <c r="J245" s="59">
        <v>96.799000000000007</v>
      </c>
      <c r="K245" s="59"/>
    </row>
    <row r="246" spans="1:11">
      <c r="A246" s="43">
        <f t="shared" si="20"/>
        <v>45954</v>
      </c>
      <c r="B246" s="60">
        <f t="shared" si="21"/>
        <v>14.061</v>
      </c>
      <c r="C246" s="60">
        <f t="shared" si="22"/>
        <v>51.442</v>
      </c>
      <c r="D246" s="60">
        <f t="shared" si="23"/>
        <v>98.575000000000003</v>
      </c>
      <c r="E246" s="44">
        <v>45954</v>
      </c>
      <c r="F246" s="59">
        <v>14.061</v>
      </c>
      <c r="G246" s="44">
        <v>45954</v>
      </c>
      <c r="H246" s="59">
        <v>51.442</v>
      </c>
      <c r="I246" s="44">
        <v>45954</v>
      </c>
      <c r="J246" s="59">
        <v>98.575000000000003</v>
      </c>
      <c r="K246" s="59"/>
    </row>
    <row r="247" spans="1:11">
      <c r="A247" s="43">
        <f t="shared" si="20"/>
        <v>45957</v>
      </c>
      <c r="B247" s="60">
        <f t="shared" si="21"/>
        <v>15.791</v>
      </c>
      <c r="C247" s="60">
        <f t="shared" si="22"/>
        <v>48.887999999999998</v>
      </c>
      <c r="D247" s="60">
        <f t="shared" si="23"/>
        <v>94.858000000000004</v>
      </c>
      <c r="E247" s="44">
        <v>45957</v>
      </c>
      <c r="F247" s="59">
        <v>15.791</v>
      </c>
      <c r="G247" s="44">
        <v>45957</v>
      </c>
      <c r="H247" s="59">
        <v>48.887999999999998</v>
      </c>
      <c r="I247" s="44">
        <v>45957</v>
      </c>
      <c r="J247" s="59">
        <v>94.858000000000004</v>
      </c>
      <c r="K247" s="59"/>
    </row>
    <row r="248" spans="1:11">
      <c r="A248" s="43">
        <f t="shared" si="20"/>
        <v>45958</v>
      </c>
      <c r="B248" s="60">
        <f t="shared" si="21"/>
        <v>16.260999999999999</v>
      </c>
      <c r="C248" s="60">
        <f t="shared" si="22"/>
        <v>48.38</v>
      </c>
      <c r="D248" s="60">
        <f t="shared" si="23"/>
        <v>92.87</v>
      </c>
      <c r="E248" s="44">
        <v>45958</v>
      </c>
      <c r="F248" s="59">
        <v>16.260999999999999</v>
      </c>
      <c r="G248" s="44">
        <v>45958</v>
      </c>
      <c r="H248" s="59">
        <v>48.38</v>
      </c>
      <c r="I248" s="44">
        <v>45958</v>
      </c>
      <c r="J248" s="59">
        <v>92.87</v>
      </c>
      <c r="K248" s="59"/>
    </row>
    <row r="249" spans="1:11">
      <c r="A249" s="43">
        <f t="shared" si="20"/>
        <v>45959</v>
      </c>
      <c r="B249" s="60">
        <f t="shared" si="21"/>
        <v>19.332000000000001</v>
      </c>
      <c r="C249" s="60">
        <f t="shared" si="22"/>
        <v>47.567</v>
      </c>
      <c r="D249" s="60">
        <f t="shared" si="23"/>
        <v>91.393000000000001</v>
      </c>
      <c r="E249" s="44">
        <v>45959</v>
      </c>
      <c r="F249" s="59">
        <v>19.332000000000001</v>
      </c>
      <c r="G249" s="44">
        <v>45959</v>
      </c>
      <c r="H249" s="59">
        <v>47.567</v>
      </c>
      <c r="I249" s="44">
        <v>45959</v>
      </c>
      <c r="J249" s="59">
        <v>91.393000000000001</v>
      </c>
      <c r="K249" s="59"/>
    </row>
    <row r="250" spans="1:11">
      <c r="A250" s="43">
        <f t="shared" si="20"/>
        <v>45960</v>
      </c>
      <c r="B250" s="60">
        <f t="shared" si="21"/>
        <v>24.6</v>
      </c>
      <c r="C250" s="60">
        <f t="shared" si="22"/>
        <v>48.466000000000001</v>
      </c>
      <c r="D250" s="60">
        <f t="shared" si="23"/>
        <v>93.236000000000004</v>
      </c>
      <c r="E250" s="44">
        <v>45960</v>
      </c>
      <c r="F250" s="59">
        <v>24.6</v>
      </c>
      <c r="G250" s="44">
        <v>45960</v>
      </c>
      <c r="H250" s="59">
        <v>48.466000000000001</v>
      </c>
      <c r="I250" s="44">
        <v>45960</v>
      </c>
      <c r="J250" s="59">
        <v>93.236000000000004</v>
      </c>
      <c r="K250" s="59"/>
    </row>
    <row r="251" spans="1:11">
      <c r="A251" s="43">
        <f t="shared" si="20"/>
        <v>45961</v>
      </c>
      <c r="B251" s="60">
        <f t="shared" si="21"/>
        <v>24.579000000000001</v>
      </c>
      <c r="C251" s="60">
        <f t="shared" si="22"/>
        <v>50.179000000000002</v>
      </c>
      <c r="D251" s="60">
        <f t="shared" si="23"/>
        <v>96.227999999999994</v>
      </c>
      <c r="E251" s="44">
        <v>45961</v>
      </c>
      <c r="F251" s="59">
        <v>24.579000000000001</v>
      </c>
      <c r="G251" s="44">
        <v>45961</v>
      </c>
      <c r="H251" s="59">
        <v>50.179000000000002</v>
      </c>
      <c r="I251" s="44">
        <v>45961</v>
      </c>
      <c r="J251" s="59">
        <v>96.227999999999994</v>
      </c>
      <c r="K251" s="59"/>
    </row>
    <row r="252" spans="1:11">
      <c r="A252" s="43">
        <f t="shared" si="20"/>
        <v>45964</v>
      </c>
      <c r="B252" s="60">
        <f t="shared" si="21"/>
        <v>23.526</v>
      </c>
      <c r="C252" s="60">
        <f t="shared" si="22"/>
        <v>50.386000000000003</v>
      </c>
      <c r="D252" s="60">
        <f t="shared" si="23"/>
        <v>96.631</v>
      </c>
      <c r="E252" s="44">
        <v>45964</v>
      </c>
      <c r="F252" s="59">
        <v>23.526</v>
      </c>
      <c r="G252" s="44">
        <v>45964</v>
      </c>
      <c r="H252" s="59">
        <v>50.386000000000003</v>
      </c>
      <c r="I252" s="44">
        <v>45964</v>
      </c>
      <c r="J252" s="59">
        <v>96.631</v>
      </c>
      <c r="K252" s="59"/>
    </row>
    <row r="253" spans="1:11">
      <c r="A253" s="43">
        <f t="shared" si="20"/>
        <v>45965</v>
      </c>
      <c r="B253" s="60">
        <f t="shared" si="21"/>
        <v>19.977</v>
      </c>
      <c r="C253" s="60">
        <f t="shared" si="22"/>
        <v>50.728999999999999</v>
      </c>
      <c r="D253" s="60">
        <f t="shared" si="23"/>
        <v>96.709000000000003</v>
      </c>
      <c r="E253" s="44">
        <v>45965</v>
      </c>
      <c r="F253" s="59">
        <v>19.977</v>
      </c>
      <c r="G253" s="44">
        <v>45965</v>
      </c>
      <c r="H253" s="59">
        <v>50.728999999999999</v>
      </c>
      <c r="I253" s="44">
        <v>45965</v>
      </c>
      <c r="J253" s="59">
        <v>96.709000000000003</v>
      </c>
      <c r="K253" s="59"/>
    </row>
    <row r="254" spans="1:11">
      <c r="A254" s="43">
        <f t="shared" si="20"/>
        <v>45966</v>
      </c>
      <c r="B254" s="60">
        <f t="shared" si="21"/>
        <v>26.893000000000001</v>
      </c>
      <c r="C254" s="60">
        <f t="shared" si="22"/>
        <v>52.55</v>
      </c>
      <c r="D254" s="60">
        <f t="shared" si="23"/>
        <v>97.242000000000004</v>
      </c>
      <c r="E254" s="44">
        <v>45966</v>
      </c>
      <c r="F254" s="59">
        <v>26.893000000000001</v>
      </c>
      <c r="G254" s="44">
        <v>45966</v>
      </c>
      <c r="H254" s="59">
        <v>52.55</v>
      </c>
      <c r="I254" s="44">
        <v>45966</v>
      </c>
      <c r="J254" s="59">
        <v>97.242000000000004</v>
      </c>
      <c r="K254" s="59"/>
    </row>
    <row r="255" spans="1:11">
      <c r="A255" s="43">
        <f t="shared" si="20"/>
        <v>45967</v>
      </c>
      <c r="B255" s="60">
        <f t="shared" si="21"/>
        <v>22.699000000000002</v>
      </c>
      <c r="C255" s="60">
        <f t="shared" si="22"/>
        <v>52.576000000000001</v>
      </c>
      <c r="D255" s="60">
        <f t="shared" si="23"/>
        <v>99.814999999999998</v>
      </c>
      <c r="E255" s="44">
        <v>45967</v>
      </c>
      <c r="F255" s="59">
        <v>22.699000000000002</v>
      </c>
      <c r="G255" s="44">
        <v>45967</v>
      </c>
      <c r="H255" s="59">
        <v>52.576000000000001</v>
      </c>
      <c r="I255" s="44">
        <v>45967</v>
      </c>
      <c r="J255" s="59">
        <v>99.814999999999998</v>
      </c>
      <c r="K255" s="59"/>
    </row>
    <row r="256" spans="1:11">
      <c r="A256" s="43">
        <f t="shared" si="20"/>
        <v>45968</v>
      </c>
      <c r="B256" s="60">
        <f t="shared" si="21"/>
        <v>23.911000000000001</v>
      </c>
      <c r="C256" s="60">
        <f t="shared" si="22"/>
        <v>53.292000000000002</v>
      </c>
      <c r="D256" s="60">
        <f t="shared" si="23"/>
        <v>101.31</v>
      </c>
      <c r="E256" s="44">
        <v>45968</v>
      </c>
      <c r="F256" s="59">
        <v>23.911000000000001</v>
      </c>
      <c r="G256" s="44">
        <v>45968</v>
      </c>
      <c r="H256" s="59">
        <v>53.292000000000002</v>
      </c>
      <c r="I256" s="44">
        <v>45968</v>
      </c>
      <c r="J256" s="59">
        <v>101.31</v>
      </c>
      <c r="K256" s="59"/>
    </row>
    <row r="257" spans="5:11">
      <c r="E257" s="44">
        <v>45971</v>
      </c>
      <c r="F257" s="59">
        <v>23.867999999999999</v>
      </c>
      <c r="G257" s="44">
        <v>45971</v>
      </c>
      <c r="H257" s="59">
        <v>52.314999999999998</v>
      </c>
      <c r="I257" s="44">
        <v>45971</v>
      </c>
      <c r="J257" s="59">
        <v>99.031999999999996</v>
      </c>
      <c r="K257" s="59"/>
    </row>
    <row r="258" spans="5:11">
      <c r="E258" s="44">
        <v>45972</v>
      </c>
      <c r="F258" s="59">
        <v>26.422000000000001</v>
      </c>
      <c r="G258" s="44">
        <v>45972</v>
      </c>
      <c r="H258" s="59">
        <v>52.314999999999998</v>
      </c>
      <c r="I258" s="44">
        <v>45972</v>
      </c>
      <c r="J258" s="59">
        <v>99.031999999999996</v>
      </c>
      <c r="K258" s="59"/>
    </row>
    <row r="259" spans="5:11">
      <c r="E259" s="44">
        <v>45973</v>
      </c>
      <c r="F259" s="59">
        <v>18.952000000000002</v>
      </c>
      <c r="G259" s="44">
        <v>45973</v>
      </c>
      <c r="H259" s="59">
        <v>49.716999999999999</v>
      </c>
      <c r="I259" s="44">
        <v>45973</v>
      </c>
      <c r="J259" s="59">
        <v>99.126000000000005</v>
      </c>
      <c r="K259" s="59"/>
    </row>
    <row r="260" spans="5:11">
      <c r="E260" s="44">
        <v>45974</v>
      </c>
      <c r="F260" s="59">
        <v>22.946999999999999</v>
      </c>
      <c r="G260" s="44">
        <v>45974</v>
      </c>
      <c r="H260" s="59">
        <v>52.616999999999997</v>
      </c>
      <c r="I260" s="44">
        <v>45974</v>
      </c>
      <c r="J260" s="59">
        <v>100.407</v>
      </c>
      <c r="K260" s="59"/>
    </row>
    <row r="261" spans="5:11">
      <c r="E261" s="44">
        <v>45975</v>
      </c>
      <c r="F261" s="59">
        <v>26.492999999999999</v>
      </c>
      <c r="G261" s="44">
        <v>45975</v>
      </c>
      <c r="H261" s="59">
        <v>53.822000000000003</v>
      </c>
      <c r="I261" s="44">
        <v>45975</v>
      </c>
      <c r="J261" s="59">
        <v>101.506</v>
      </c>
      <c r="K261" s="59"/>
    </row>
    <row r="262" spans="5:11">
      <c r="E262" s="44">
        <v>45978</v>
      </c>
      <c r="F262" s="59">
        <v>26.856999999999999</v>
      </c>
      <c r="G262" s="44">
        <v>45978</v>
      </c>
      <c r="H262" s="59">
        <v>52.634</v>
      </c>
      <c r="I262" s="44">
        <v>45978</v>
      </c>
      <c r="J262" s="59">
        <v>100.658</v>
      </c>
      <c r="K262" s="59"/>
    </row>
    <row r="263" spans="5:11">
      <c r="E263" s="44"/>
      <c r="F263" s="59"/>
      <c r="G263" s="44"/>
      <c r="H263" s="59"/>
      <c r="I263" s="44"/>
      <c r="J263" s="59"/>
      <c r="K263" s="59"/>
    </row>
    <row r="264" spans="5:11">
      <c r="E264" s="44"/>
      <c r="F264" s="59"/>
      <c r="G264" s="44"/>
      <c r="H264" s="59"/>
      <c r="I264" s="59"/>
      <c r="J264" s="59"/>
      <c r="K264" s="59"/>
    </row>
    <row r="265" spans="5:11">
      <c r="E265" s="44"/>
      <c r="G265" s="44"/>
      <c r="H265" s="59"/>
      <c r="I265" s="59"/>
      <c r="J265" s="59"/>
      <c r="K265" s="59"/>
    </row>
    <row r="266" spans="5:11">
      <c r="E266" s="44"/>
      <c r="G266" s="44"/>
      <c r="H266" s="59"/>
      <c r="I266" s="59"/>
      <c r="J266" s="59"/>
      <c r="K266" s="59"/>
    </row>
    <row r="267" spans="5:11">
      <c r="E267" s="44"/>
      <c r="G267" s="44"/>
      <c r="H267" s="59"/>
      <c r="I267" s="59"/>
      <c r="J267" s="59"/>
      <c r="K267" s="59"/>
    </row>
    <row r="268" spans="5:11">
      <c r="E268" s="44"/>
      <c r="G268" s="44"/>
      <c r="H268" s="59"/>
      <c r="I268" s="59"/>
      <c r="J268" s="59"/>
      <c r="K268" s="59"/>
    </row>
    <row r="269" spans="5:11">
      <c r="E269" s="44"/>
      <c r="G269" s="44"/>
      <c r="H269" s="59"/>
      <c r="I269" s="59"/>
      <c r="J269" s="59"/>
      <c r="K269" s="59"/>
    </row>
    <row r="270" spans="5:11">
      <c r="E270" s="44"/>
      <c r="G270" s="44"/>
      <c r="H270" s="59"/>
      <c r="I270" s="59"/>
      <c r="J270" s="59"/>
      <c r="K270" s="59"/>
    </row>
    <row r="271" spans="5:11">
      <c r="E271" s="44"/>
      <c r="G271" s="44"/>
      <c r="H271" s="59"/>
      <c r="I271" s="59"/>
      <c r="J271" s="59"/>
      <c r="K271" s="59"/>
    </row>
    <row r="272" spans="5:11">
      <c r="E272" s="44"/>
      <c r="G272" s="44"/>
      <c r="H272" s="59"/>
      <c r="I272" s="59"/>
      <c r="J272" s="59"/>
      <c r="K272" s="59"/>
    </row>
    <row r="273" spans="5:11">
      <c r="E273" s="44"/>
      <c r="G273" s="44"/>
      <c r="H273" s="59"/>
      <c r="I273" s="59"/>
      <c r="J273" s="59"/>
      <c r="K273" s="59"/>
    </row>
    <row r="274" spans="5:11">
      <c r="E274" s="44"/>
      <c r="G274" s="44"/>
      <c r="H274" s="59"/>
      <c r="I274" s="59"/>
      <c r="J274" s="59"/>
      <c r="K274" s="59"/>
    </row>
    <row r="275" spans="5:11">
      <c r="E275" s="44"/>
      <c r="G275" s="44"/>
      <c r="H275" s="59"/>
      <c r="I275" s="59"/>
      <c r="J275" s="59"/>
      <c r="K275" s="59"/>
    </row>
    <row r="276" spans="5:11">
      <c r="E276" s="44"/>
      <c r="G276" s="44"/>
      <c r="H276" s="59"/>
      <c r="I276" s="59"/>
      <c r="J276" s="59"/>
      <c r="K276" s="59"/>
    </row>
    <row r="277" spans="5:11">
      <c r="E277" s="44"/>
      <c r="G277" s="44"/>
      <c r="H277" s="59"/>
      <c r="I277" s="59"/>
      <c r="J277" s="59"/>
      <c r="K277" s="59"/>
    </row>
    <row r="278" spans="5:11">
      <c r="E278" s="44"/>
      <c r="G278" s="44"/>
      <c r="H278" s="59"/>
      <c r="I278" s="59"/>
      <c r="J278" s="59"/>
      <c r="K278" s="59"/>
    </row>
    <row r="279" spans="5:11">
      <c r="E279" s="44"/>
      <c r="G279" s="44"/>
      <c r="H279" s="59"/>
      <c r="I279" s="59"/>
      <c r="J279" s="59"/>
      <c r="K279" s="59"/>
    </row>
    <row r="280" spans="5:11">
      <c r="E280" s="44"/>
      <c r="G280" s="44"/>
      <c r="H280" s="59"/>
      <c r="I280" s="59"/>
      <c r="J280" s="59"/>
      <c r="K280" s="59"/>
    </row>
    <row r="281" spans="5:11">
      <c r="E281" s="44"/>
      <c r="G281" s="44"/>
      <c r="H281" s="59"/>
      <c r="I281" s="59"/>
      <c r="J281" s="59"/>
      <c r="K281" s="59"/>
    </row>
    <row r="282" spans="5:11">
      <c r="E282" s="44"/>
      <c r="G282" s="44"/>
      <c r="H282" s="59"/>
      <c r="I282" s="59"/>
      <c r="J282" s="59"/>
      <c r="K282" s="59"/>
    </row>
    <row r="283" spans="5:11">
      <c r="E283" s="44"/>
      <c r="G283" s="44"/>
      <c r="H283" s="59"/>
      <c r="I283" s="59"/>
      <c r="J283" s="59"/>
      <c r="K283" s="59"/>
    </row>
    <row r="284" spans="5:11">
      <c r="E284" s="44"/>
      <c r="G284" s="44"/>
      <c r="H284" s="59"/>
      <c r="I284" s="59"/>
      <c r="J284" s="59"/>
      <c r="K284" s="59"/>
    </row>
    <row r="285" spans="5:11">
      <c r="E285" s="44"/>
      <c r="G285" s="44"/>
      <c r="H285" s="59"/>
      <c r="I285" s="59"/>
      <c r="J285" s="59"/>
      <c r="K285" s="59"/>
    </row>
    <row r="286" spans="5:11">
      <c r="E286" s="44"/>
      <c r="G286" s="44"/>
      <c r="H286" s="59"/>
      <c r="I286" s="59"/>
      <c r="J286" s="59"/>
      <c r="K286" s="59"/>
    </row>
    <row r="287" spans="5:11">
      <c r="E287" s="44"/>
      <c r="G287" s="44"/>
      <c r="H287" s="59"/>
      <c r="I287" s="59"/>
      <c r="J287" s="59"/>
      <c r="K287" s="59"/>
    </row>
    <row r="288" spans="5:11">
      <c r="E288" s="44"/>
      <c r="G288" s="44"/>
      <c r="H288" s="59"/>
      <c r="I288" s="59"/>
      <c r="J288" s="59"/>
      <c r="K288" s="59"/>
    </row>
    <row r="289" spans="5:11">
      <c r="E289" s="44"/>
      <c r="G289" s="44"/>
      <c r="H289" s="59"/>
      <c r="I289" s="59"/>
      <c r="J289" s="59"/>
      <c r="K289" s="59"/>
    </row>
    <row r="290" spans="5:11">
      <c r="E290" s="44"/>
      <c r="G290" s="44"/>
      <c r="H290" s="59"/>
      <c r="I290" s="59"/>
      <c r="J290" s="59"/>
      <c r="K290" s="59"/>
    </row>
    <row r="291" spans="5:11">
      <c r="E291" s="44"/>
      <c r="G291" s="44"/>
      <c r="H291" s="59"/>
      <c r="I291" s="59"/>
      <c r="J291" s="59"/>
      <c r="K291" s="59"/>
    </row>
    <row r="292" spans="5:11">
      <c r="E292" s="44"/>
      <c r="G292" s="44"/>
      <c r="H292" s="59"/>
      <c r="I292" s="59"/>
      <c r="J292" s="59"/>
      <c r="K292" s="59"/>
    </row>
    <row r="293" spans="5:11">
      <c r="E293" s="44"/>
      <c r="G293" s="44"/>
      <c r="H293" s="59"/>
      <c r="I293" s="59"/>
      <c r="J293" s="59"/>
      <c r="K293" s="59"/>
    </row>
    <row r="294" spans="5:11">
      <c r="E294" s="44"/>
      <c r="G294" s="44"/>
      <c r="H294" s="59"/>
      <c r="I294" s="59"/>
      <c r="J294" s="59"/>
      <c r="K294" s="59"/>
    </row>
    <row r="295" spans="5:11">
      <c r="E295" s="44"/>
      <c r="G295" s="44"/>
      <c r="H295" s="59"/>
      <c r="I295" s="59"/>
      <c r="J295" s="59"/>
      <c r="K295" s="59"/>
    </row>
    <row r="296" spans="5:11">
      <c r="E296" s="44"/>
      <c r="G296" s="44"/>
      <c r="H296" s="59"/>
      <c r="I296" s="59"/>
      <c r="J296" s="59"/>
      <c r="K296" s="59"/>
    </row>
    <row r="297" spans="5:11">
      <c r="E297" s="44"/>
      <c r="G297" s="44"/>
      <c r="H297" s="59"/>
      <c r="I297" s="59"/>
      <c r="J297" s="59"/>
      <c r="K297" s="59"/>
    </row>
    <row r="298" spans="5:11">
      <c r="E298" s="44"/>
      <c r="G298" s="44"/>
      <c r="H298" s="59"/>
      <c r="I298" s="59"/>
      <c r="J298" s="59"/>
      <c r="K298" s="59"/>
    </row>
    <row r="299" spans="5:11">
      <c r="E299" s="44"/>
      <c r="G299" s="44"/>
      <c r="H299" s="59"/>
      <c r="I299" s="59"/>
      <c r="J299" s="59"/>
      <c r="K299" s="59"/>
    </row>
    <row r="300" spans="5:11">
      <c r="E300" s="44"/>
      <c r="G300" s="44"/>
      <c r="H300" s="59"/>
      <c r="I300" s="59"/>
      <c r="J300" s="59"/>
      <c r="K300" s="59"/>
    </row>
    <row r="301" spans="5:11">
      <c r="E301" s="44"/>
      <c r="G301" s="44"/>
      <c r="H301" s="59"/>
      <c r="I301" s="59"/>
      <c r="J301" s="59"/>
      <c r="K301" s="59"/>
    </row>
    <row r="302" spans="5:11">
      <c r="E302" s="44"/>
      <c r="G302" s="44"/>
      <c r="H302" s="59"/>
      <c r="I302" s="59"/>
      <c r="J302" s="59"/>
      <c r="K302" s="59"/>
    </row>
    <row r="303" spans="5:11">
      <c r="E303" s="44"/>
      <c r="G303" s="44"/>
      <c r="H303" s="59"/>
      <c r="I303" s="59"/>
      <c r="J303" s="59"/>
      <c r="K303" s="59"/>
    </row>
    <row r="304" spans="5:11">
      <c r="E304" s="44"/>
      <c r="G304" s="44"/>
      <c r="H304" s="59"/>
      <c r="I304" s="59"/>
      <c r="J304" s="59"/>
      <c r="K304" s="59"/>
    </row>
    <row r="305" spans="5:11">
      <c r="E305" s="44"/>
      <c r="G305" s="44"/>
      <c r="H305" s="59"/>
      <c r="I305" s="59"/>
      <c r="J305" s="59"/>
      <c r="K305" s="59"/>
    </row>
    <row r="306" spans="5:11">
      <c r="E306" s="44"/>
      <c r="G306" s="44"/>
      <c r="H306" s="59"/>
      <c r="I306" s="59"/>
      <c r="J306" s="59"/>
      <c r="K306" s="59"/>
    </row>
    <row r="307" spans="5:11">
      <c r="E307" s="44"/>
      <c r="G307" s="44"/>
      <c r="H307" s="59"/>
      <c r="I307" s="59"/>
      <c r="J307" s="59"/>
      <c r="K307" s="59"/>
    </row>
    <row r="308" spans="5:11">
      <c r="E308" s="44"/>
      <c r="G308" s="44"/>
      <c r="H308" s="59"/>
      <c r="I308" s="59"/>
      <c r="J308" s="59"/>
      <c r="K308" s="59"/>
    </row>
    <row r="309" spans="5:11">
      <c r="E309" s="44"/>
      <c r="G309" s="44"/>
      <c r="H309" s="59"/>
      <c r="I309" s="59"/>
      <c r="J309" s="59"/>
      <c r="K309" s="59"/>
    </row>
    <row r="310" spans="5:11">
      <c r="E310" s="44"/>
      <c r="G310" s="44"/>
      <c r="H310" s="59"/>
      <c r="I310" s="59"/>
      <c r="J310" s="59"/>
      <c r="K310" s="59"/>
    </row>
    <row r="311" spans="5:11">
      <c r="E311" s="44"/>
      <c r="G311" s="44"/>
      <c r="H311" s="59"/>
      <c r="I311" s="59"/>
      <c r="J311" s="59"/>
      <c r="K311" s="59"/>
    </row>
    <row r="312" spans="5:11">
      <c r="E312" s="44"/>
      <c r="G312" s="44"/>
      <c r="H312" s="59"/>
      <c r="I312" s="59"/>
      <c r="J312" s="59"/>
      <c r="K312" s="59"/>
    </row>
    <row r="313" spans="5:11">
      <c r="E313" s="44"/>
      <c r="G313" s="44"/>
      <c r="H313" s="59"/>
      <c r="I313" s="59"/>
      <c r="J313" s="59"/>
      <c r="K313" s="59"/>
    </row>
    <row r="314" spans="5:11">
      <c r="E314" s="44"/>
      <c r="G314" s="44"/>
      <c r="H314" s="59"/>
      <c r="I314" s="59"/>
      <c r="J314" s="59"/>
      <c r="K314" s="59"/>
    </row>
    <row r="315" spans="5:11">
      <c r="E315" s="44"/>
      <c r="G315" s="44"/>
      <c r="H315" s="59"/>
      <c r="I315" s="59"/>
      <c r="J315" s="59"/>
      <c r="K315" s="59"/>
    </row>
    <row r="316" spans="5:11">
      <c r="E316" s="44"/>
      <c r="G316" s="44"/>
      <c r="H316" s="59"/>
      <c r="I316" s="59"/>
      <c r="J316" s="59"/>
      <c r="K316" s="59"/>
    </row>
    <row r="317" spans="5:11">
      <c r="E317" s="44"/>
      <c r="G317" s="44"/>
      <c r="H317" s="59"/>
      <c r="I317" s="59"/>
      <c r="J317" s="59"/>
      <c r="K317" s="59"/>
    </row>
    <row r="318" spans="5:11">
      <c r="E318" s="44"/>
      <c r="G318" s="44"/>
      <c r="H318" s="59"/>
      <c r="I318" s="59"/>
      <c r="J318" s="59"/>
      <c r="K318" s="59"/>
    </row>
    <row r="319" spans="5:11">
      <c r="E319" s="44"/>
      <c r="G319" s="44"/>
      <c r="H319" s="59"/>
      <c r="I319" s="59"/>
      <c r="J319" s="59"/>
      <c r="K319" s="59"/>
    </row>
    <row r="320" spans="5:11">
      <c r="E320" s="44"/>
      <c r="G320" s="44"/>
      <c r="H320" s="59"/>
      <c r="I320" s="59"/>
      <c r="J320" s="59"/>
      <c r="K320" s="59"/>
    </row>
    <row r="321" spans="5:11">
      <c r="E321" s="44"/>
      <c r="G321" s="44"/>
      <c r="H321" s="59"/>
      <c r="I321" s="59"/>
      <c r="J321" s="59"/>
      <c r="K321" s="59"/>
    </row>
    <row r="322" spans="5:11">
      <c r="E322" s="44"/>
      <c r="G322" s="44"/>
      <c r="H322" s="59"/>
      <c r="I322" s="59"/>
      <c r="J322" s="59"/>
      <c r="K322" s="59"/>
    </row>
    <row r="323" spans="5:11">
      <c r="E323" s="44"/>
      <c r="G323" s="44"/>
    </row>
    <row r="324" spans="5:11">
      <c r="E324" s="44"/>
      <c r="G324" s="44"/>
    </row>
    <row r="325" spans="5:11">
      <c r="E325" s="44"/>
      <c r="G325" s="44"/>
    </row>
    <row r="326" spans="5:11">
      <c r="E326" s="44"/>
      <c r="G326" s="44"/>
    </row>
    <row r="327" spans="5:11">
      <c r="E327" s="44"/>
      <c r="G327" s="44"/>
    </row>
    <row r="328" spans="5:11">
      <c r="E328" s="44"/>
      <c r="G328" s="44"/>
    </row>
    <row r="329" spans="5:11">
      <c r="E329" s="44"/>
      <c r="G329" s="44"/>
    </row>
    <row r="330" spans="5:11">
      <c r="E330" s="44"/>
      <c r="G330" s="44"/>
    </row>
    <row r="331" spans="5:11">
      <c r="E331" s="44"/>
      <c r="G331" s="44"/>
    </row>
    <row r="332" spans="5:11">
      <c r="E332" s="44"/>
      <c r="G332" s="44"/>
    </row>
    <row r="333" spans="5:11">
      <c r="E333" s="44"/>
      <c r="G333" s="44"/>
    </row>
    <row r="334" spans="5:11">
      <c r="E334" s="44"/>
      <c r="G334" s="44"/>
    </row>
    <row r="335" spans="5:11">
      <c r="E335" s="44"/>
      <c r="G335" s="44"/>
    </row>
    <row r="336" spans="5:11">
      <c r="E336" s="44"/>
      <c r="G336" s="44"/>
    </row>
    <row r="337" spans="5:7">
      <c r="E337" s="44"/>
      <c r="G337" s="44"/>
    </row>
    <row r="338" spans="5:7">
      <c r="E338" s="44"/>
      <c r="G338" s="44"/>
    </row>
    <row r="339" spans="5:7">
      <c r="E339" s="44"/>
      <c r="G339" s="44"/>
    </row>
    <row r="340" spans="5:7">
      <c r="E340" s="44"/>
      <c r="G340" s="44"/>
    </row>
    <row r="341" spans="5:7">
      <c r="E341" s="44"/>
      <c r="G341" s="44"/>
    </row>
    <row r="342" spans="5:7">
      <c r="E342" s="44"/>
      <c r="G342" s="44"/>
    </row>
    <row r="343" spans="5:7">
      <c r="E343" s="44"/>
      <c r="G343" s="44"/>
    </row>
    <row r="344" spans="5:7">
      <c r="E344" s="44"/>
      <c r="G344" s="44"/>
    </row>
    <row r="345" spans="5:7">
      <c r="E345" s="44"/>
      <c r="G345" s="44"/>
    </row>
    <row r="346" spans="5:7">
      <c r="E346" s="44"/>
      <c r="G346" s="44"/>
    </row>
    <row r="347" spans="5:7">
      <c r="E347" s="44"/>
      <c r="G347" s="44"/>
    </row>
    <row r="348" spans="5:7">
      <c r="E348" s="44"/>
      <c r="G348" s="44"/>
    </row>
    <row r="349" spans="5:7">
      <c r="E349" s="44"/>
      <c r="G349" s="44"/>
    </row>
    <row r="350" spans="5:7">
      <c r="E350" s="44"/>
      <c r="G350" s="44"/>
    </row>
    <row r="351" spans="5:7">
      <c r="E351" s="44"/>
      <c r="G351" s="44"/>
    </row>
    <row r="352" spans="5:7">
      <c r="E352" s="44"/>
      <c r="G352" s="44"/>
    </row>
    <row r="353" spans="5:7">
      <c r="E353" s="44"/>
      <c r="G353" s="44"/>
    </row>
    <row r="354" spans="5:7">
      <c r="E354" s="44"/>
      <c r="G354" s="44"/>
    </row>
    <row r="355" spans="5:7">
      <c r="E355" s="44"/>
      <c r="G355" s="44"/>
    </row>
    <row r="356" spans="5:7">
      <c r="E356" s="44"/>
      <c r="G356" s="44"/>
    </row>
    <row r="357" spans="5:7">
      <c r="E357" s="44"/>
      <c r="G357" s="44"/>
    </row>
    <row r="358" spans="5:7">
      <c r="E358" s="44"/>
      <c r="G358" s="44"/>
    </row>
    <row r="359" spans="5:7">
      <c r="E359" s="44"/>
      <c r="G359" s="44"/>
    </row>
    <row r="360" spans="5:7">
      <c r="E360" s="44"/>
      <c r="G360" s="44"/>
    </row>
    <row r="361" spans="5:7">
      <c r="E361" s="44"/>
      <c r="G361" s="44"/>
    </row>
    <row r="362" spans="5:7">
      <c r="E362" s="44"/>
      <c r="G362" s="44"/>
    </row>
    <row r="363" spans="5:7">
      <c r="E363" s="44"/>
      <c r="G363" s="44"/>
    </row>
    <row r="364" spans="5:7">
      <c r="E364" s="44"/>
      <c r="G364" s="44"/>
    </row>
    <row r="365" spans="5:7">
      <c r="E365" s="44"/>
      <c r="G365" s="44"/>
    </row>
    <row r="366" spans="5:7">
      <c r="E366" s="44"/>
      <c r="G366" s="44"/>
    </row>
    <row r="367" spans="5:7">
      <c r="E367" s="44"/>
      <c r="G367" s="44"/>
    </row>
    <row r="368" spans="5:7">
      <c r="E368" s="44"/>
      <c r="G368" s="44"/>
    </row>
    <row r="369" spans="5:7">
      <c r="E369" s="44"/>
      <c r="G369" s="44"/>
    </row>
    <row r="370" spans="5:7">
      <c r="E370" s="44"/>
      <c r="G370" s="44"/>
    </row>
    <row r="371" spans="5:7">
      <c r="E371" s="44"/>
      <c r="G371" s="44"/>
    </row>
    <row r="372" spans="5:7">
      <c r="E372" s="44"/>
      <c r="G372" s="44"/>
    </row>
    <row r="373" spans="5:7">
      <c r="E373" s="44"/>
      <c r="G373" s="44"/>
    </row>
    <row r="374" spans="5:7">
      <c r="E374" s="44"/>
      <c r="G374" s="44"/>
    </row>
    <row r="375" spans="5:7">
      <c r="E375" s="44"/>
      <c r="G375" s="44"/>
    </row>
    <row r="376" spans="5:7">
      <c r="E376" s="44"/>
      <c r="G376" s="44"/>
    </row>
    <row r="377" spans="5:7">
      <c r="E377" s="44"/>
      <c r="G377" s="44"/>
    </row>
    <row r="378" spans="5:7">
      <c r="E378" s="44"/>
      <c r="G378" s="44"/>
    </row>
    <row r="379" spans="5:7">
      <c r="E379" s="44"/>
      <c r="G379" s="44"/>
    </row>
    <row r="380" spans="5:7">
      <c r="E380" s="44"/>
      <c r="G380" s="44"/>
    </row>
    <row r="381" spans="5:7">
      <c r="E381" s="44"/>
      <c r="G381" s="44"/>
    </row>
    <row r="382" spans="5:7">
      <c r="E382" s="44"/>
      <c r="G382" s="44"/>
    </row>
    <row r="383" spans="5:7">
      <c r="E383" s="44"/>
      <c r="G383" s="44"/>
    </row>
    <row r="384" spans="5:7">
      <c r="E384" s="44"/>
      <c r="G384" s="44"/>
    </row>
    <row r="385" spans="5:7">
      <c r="E385" s="44"/>
      <c r="G385" s="44"/>
    </row>
    <row r="386" spans="5:7">
      <c r="E386" s="44"/>
      <c r="G386" s="44"/>
    </row>
    <row r="387" spans="5:7">
      <c r="E387" s="44"/>
      <c r="G387" s="44"/>
    </row>
    <row r="388" spans="5:7">
      <c r="E388" s="44"/>
      <c r="G388" s="44"/>
    </row>
    <row r="389" spans="5:7">
      <c r="E389" s="44"/>
      <c r="G389" s="44"/>
    </row>
    <row r="390" spans="5:7">
      <c r="E390" s="44"/>
      <c r="G390" s="44"/>
    </row>
    <row r="391" spans="5:7">
      <c r="E391" s="44"/>
      <c r="G391" s="44"/>
    </row>
    <row r="392" spans="5:7">
      <c r="E392" s="44"/>
      <c r="G392" s="44"/>
    </row>
    <row r="393" spans="5:7">
      <c r="E393" s="44"/>
      <c r="G393" s="44"/>
    </row>
    <row r="394" spans="5:7">
      <c r="E394" s="44"/>
      <c r="G394" s="44"/>
    </row>
    <row r="395" spans="5:7">
      <c r="E395" s="44"/>
      <c r="G395" s="44"/>
    </row>
    <row r="396" spans="5:7">
      <c r="E396" s="44"/>
      <c r="G396" s="44"/>
    </row>
    <row r="397" spans="5:7">
      <c r="E397" s="44"/>
      <c r="G397" s="44"/>
    </row>
    <row r="398" spans="5:7">
      <c r="E398" s="44"/>
      <c r="G398" s="44"/>
    </row>
    <row r="399" spans="5:7">
      <c r="E399" s="44"/>
      <c r="G399" s="44"/>
    </row>
    <row r="400" spans="5:7">
      <c r="E400" s="44"/>
      <c r="G400" s="44"/>
    </row>
    <row r="401" spans="5:7">
      <c r="E401" s="44"/>
      <c r="G401" s="44"/>
    </row>
    <row r="402" spans="5:7">
      <c r="E402" s="44"/>
      <c r="G402" s="44"/>
    </row>
    <row r="403" spans="5:7">
      <c r="E403" s="44"/>
      <c r="G403" s="44"/>
    </row>
    <row r="404" spans="5:7">
      <c r="E404" s="44"/>
      <c r="G404" s="44"/>
    </row>
    <row r="405" spans="5:7">
      <c r="E405" s="44"/>
      <c r="G405" s="44"/>
    </row>
    <row r="406" spans="5:7">
      <c r="E406" s="44"/>
      <c r="G406" s="44"/>
    </row>
    <row r="407" spans="5:7">
      <c r="E407" s="44"/>
      <c r="G407" s="44"/>
    </row>
    <row r="408" spans="5:7">
      <c r="E408" s="44"/>
      <c r="G408" s="44"/>
    </row>
    <row r="409" spans="5:7">
      <c r="E409" s="44"/>
      <c r="G409" s="44"/>
    </row>
    <row r="410" spans="5:7">
      <c r="E410" s="44"/>
      <c r="G410" s="44"/>
    </row>
    <row r="411" spans="5:7">
      <c r="E411" s="44"/>
      <c r="G411" s="44"/>
    </row>
    <row r="412" spans="5:7">
      <c r="E412" s="44"/>
      <c r="G412" s="44"/>
    </row>
    <row r="413" spans="5:7">
      <c r="E413" s="44"/>
      <c r="G413" s="44"/>
    </row>
    <row r="414" spans="5:7">
      <c r="E414" s="44"/>
      <c r="G414" s="44"/>
    </row>
    <row r="415" spans="5:7">
      <c r="E415" s="44"/>
      <c r="G415" s="44"/>
    </row>
    <row r="416" spans="5:7">
      <c r="E416" s="44"/>
      <c r="G416" s="44"/>
    </row>
    <row r="417" spans="5:7">
      <c r="E417" s="44"/>
      <c r="G417" s="44"/>
    </row>
    <row r="418" spans="5:7">
      <c r="E418" s="44"/>
      <c r="G418" s="44"/>
    </row>
    <row r="419" spans="5:7">
      <c r="E419" s="44"/>
      <c r="G419" s="44"/>
    </row>
    <row r="420" spans="5:7">
      <c r="E420" s="44"/>
      <c r="G420" s="44"/>
    </row>
    <row r="421" spans="5:7">
      <c r="E421" s="44"/>
      <c r="G421" s="44"/>
    </row>
    <row r="422" spans="5:7">
      <c r="E422" s="44"/>
      <c r="G422" s="44"/>
    </row>
    <row r="423" spans="5:7">
      <c r="E423" s="44"/>
      <c r="G423" s="44"/>
    </row>
    <row r="424" spans="5:7">
      <c r="E424" s="44"/>
      <c r="G424" s="44"/>
    </row>
    <row r="425" spans="5:7">
      <c r="E425" s="44"/>
      <c r="G425" s="44"/>
    </row>
    <row r="426" spans="5:7">
      <c r="E426" s="44"/>
      <c r="G426" s="44"/>
    </row>
    <row r="427" spans="5:7">
      <c r="E427" s="44"/>
      <c r="G427" s="44"/>
    </row>
    <row r="428" spans="5:7">
      <c r="E428" s="44"/>
      <c r="G428" s="44"/>
    </row>
    <row r="429" spans="5:7">
      <c r="E429" s="44"/>
      <c r="G429" s="44"/>
    </row>
    <row r="430" spans="5:7">
      <c r="E430" s="44"/>
      <c r="G430" s="44"/>
    </row>
    <row r="431" spans="5:7">
      <c r="E431" s="44"/>
      <c r="G431" s="44"/>
    </row>
    <row r="432" spans="5:7">
      <c r="E432" s="44"/>
      <c r="G432" s="44"/>
    </row>
    <row r="433" spans="5:7">
      <c r="E433" s="44"/>
      <c r="G433" s="44"/>
    </row>
    <row r="434" spans="5:7">
      <c r="E434" s="44"/>
      <c r="G434" s="44"/>
    </row>
    <row r="435" spans="5:7">
      <c r="E435" s="44"/>
      <c r="G435" s="44"/>
    </row>
    <row r="436" spans="5:7">
      <c r="E436" s="44"/>
      <c r="G436" s="44"/>
    </row>
    <row r="437" spans="5:7">
      <c r="E437" s="44"/>
      <c r="G437" s="44"/>
    </row>
    <row r="438" spans="5:7">
      <c r="E438" s="44"/>
      <c r="G438" s="44"/>
    </row>
    <row r="439" spans="5:7">
      <c r="E439" s="44"/>
      <c r="G439" s="44"/>
    </row>
    <row r="440" spans="5:7">
      <c r="E440" s="44"/>
      <c r="G440" s="44"/>
    </row>
    <row r="441" spans="5:7">
      <c r="E441" s="44"/>
      <c r="G441" s="44"/>
    </row>
    <row r="442" spans="5:7">
      <c r="E442" s="44"/>
      <c r="G442" s="44"/>
    </row>
    <row r="443" spans="5:7">
      <c r="E443" s="44"/>
      <c r="G443" s="44"/>
    </row>
    <row r="444" spans="5:7">
      <c r="E444" s="44"/>
      <c r="G444" s="44"/>
    </row>
    <row r="445" spans="5:7">
      <c r="E445" s="44"/>
      <c r="G445" s="44"/>
    </row>
    <row r="446" spans="5:7">
      <c r="E446" s="44"/>
      <c r="G446" s="44"/>
    </row>
    <row r="447" spans="5:7">
      <c r="E447" s="44"/>
      <c r="G447" s="44"/>
    </row>
    <row r="448" spans="5:7">
      <c r="E448" s="44"/>
      <c r="G448" s="44"/>
    </row>
    <row r="449" spans="5:7">
      <c r="E449" s="44"/>
      <c r="G449" s="44"/>
    </row>
    <row r="450" spans="5:7">
      <c r="E450" s="44"/>
      <c r="G450" s="44"/>
    </row>
    <row r="451" spans="5:7">
      <c r="E451" s="44"/>
      <c r="G451" s="44"/>
    </row>
    <row r="452" spans="5:7">
      <c r="E452" s="44"/>
      <c r="G452" s="44"/>
    </row>
    <row r="453" spans="5:7">
      <c r="E453" s="44"/>
      <c r="G453" s="44"/>
    </row>
    <row r="454" spans="5:7">
      <c r="E454" s="44"/>
      <c r="G454" s="44"/>
    </row>
    <row r="455" spans="5:7">
      <c r="E455" s="44"/>
      <c r="G455" s="44"/>
    </row>
    <row r="456" spans="5:7">
      <c r="E456" s="44"/>
      <c r="G456" s="44"/>
    </row>
    <row r="457" spans="5:7">
      <c r="E457" s="44"/>
      <c r="G457" s="44"/>
    </row>
    <row r="458" spans="5:7">
      <c r="E458" s="44"/>
      <c r="G458" s="44"/>
    </row>
    <row r="459" spans="5:7">
      <c r="E459" s="44"/>
      <c r="G459" s="44"/>
    </row>
    <row r="460" spans="5:7">
      <c r="E460" s="44"/>
      <c r="G460" s="44"/>
    </row>
    <row r="461" spans="5:7">
      <c r="E461" s="44"/>
      <c r="G461" s="44"/>
    </row>
    <row r="462" spans="5:7">
      <c r="E462" s="44"/>
      <c r="G462" s="44"/>
    </row>
    <row r="463" spans="5:7">
      <c r="E463" s="44"/>
      <c r="G463" s="44"/>
    </row>
    <row r="464" spans="5:7">
      <c r="E464" s="44"/>
      <c r="G464" s="44"/>
    </row>
    <row r="465" spans="5:7">
      <c r="E465" s="44"/>
      <c r="G465" s="44"/>
    </row>
    <row r="466" spans="5:7">
      <c r="E466" s="44"/>
      <c r="G466" s="44"/>
    </row>
    <row r="467" spans="5:7">
      <c r="E467" s="44"/>
      <c r="G467" s="44"/>
    </row>
    <row r="468" spans="5:7">
      <c r="E468" s="44"/>
      <c r="G468" s="44"/>
    </row>
    <row r="469" spans="5:7">
      <c r="E469" s="44"/>
      <c r="G469" s="44"/>
    </row>
    <row r="470" spans="5:7">
      <c r="E470" s="44"/>
      <c r="G470" s="44"/>
    </row>
    <row r="471" spans="5:7">
      <c r="E471" s="44"/>
      <c r="G471" s="44"/>
    </row>
    <row r="472" spans="5:7">
      <c r="E472" s="44"/>
      <c r="G472" s="44"/>
    </row>
    <row r="473" spans="5:7">
      <c r="E473" s="44"/>
      <c r="G473" s="44"/>
    </row>
    <row r="474" spans="5:7">
      <c r="E474" s="44"/>
      <c r="G474" s="44"/>
    </row>
    <row r="475" spans="5:7">
      <c r="E475" s="44"/>
      <c r="G475" s="44"/>
    </row>
    <row r="476" spans="5:7">
      <c r="E476" s="44"/>
      <c r="G476" s="44"/>
    </row>
    <row r="477" spans="5:7">
      <c r="E477" s="44"/>
      <c r="G477" s="44"/>
    </row>
    <row r="478" spans="5:7">
      <c r="E478" s="44"/>
      <c r="G478" s="44"/>
    </row>
    <row r="479" spans="5:7">
      <c r="E479" s="44"/>
      <c r="G479" s="44"/>
    </row>
    <row r="480" spans="5:7">
      <c r="E480" s="44"/>
      <c r="G480" s="44"/>
    </row>
    <row r="481" spans="5:7">
      <c r="E481" s="44"/>
      <c r="G481" s="44"/>
    </row>
    <row r="482" spans="5:7">
      <c r="E482" s="44"/>
      <c r="G482" s="44"/>
    </row>
    <row r="483" spans="5:7">
      <c r="E483" s="44"/>
      <c r="G483" s="44"/>
    </row>
    <row r="484" spans="5:7">
      <c r="E484" s="44"/>
      <c r="G484" s="44"/>
    </row>
    <row r="485" spans="5:7">
      <c r="E485" s="44"/>
      <c r="G485" s="44"/>
    </row>
    <row r="486" spans="5:7">
      <c r="E486" s="44"/>
      <c r="G486" s="44"/>
    </row>
  </sheetData>
  <phoneticPr fontId="2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E25"/>
  <sheetViews>
    <sheetView topLeftCell="B1" workbookViewId="0">
      <selection activeCell="C3" sqref="C3"/>
    </sheetView>
  </sheetViews>
  <sheetFormatPr defaultRowHeight="16.5"/>
  <cols>
    <col min="2" max="2" width="18" customWidth="1"/>
    <col min="3" max="3" width="255.625" bestFit="1" customWidth="1"/>
  </cols>
  <sheetData>
    <row r="1" spans="1:5">
      <c r="A1" t="s">
        <v>113</v>
      </c>
      <c r="B1" t="s">
        <v>114</v>
      </c>
      <c r="C1" t="s">
        <v>414</v>
      </c>
    </row>
    <row r="2" spans="1:5" ht="16.5" customHeight="1">
      <c r="A2">
        <v>1</v>
      </c>
      <c r="B2" t="s">
        <v>111</v>
      </c>
      <c r="C2" s="5" t="s">
        <v>110</v>
      </c>
    </row>
    <row r="3" spans="1:5" ht="148.5">
      <c r="A3">
        <v>2</v>
      </c>
      <c r="B3" t="s">
        <v>112</v>
      </c>
      <c r="C3" s="5" t="s">
        <v>552</v>
      </c>
      <c r="E3" s="3"/>
    </row>
    <row r="4" spans="1:5" ht="132">
      <c r="A4">
        <v>3</v>
      </c>
      <c r="B4" t="s">
        <v>425</v>
      </c>
      <c r="C4" s="5" t="s">
        <v>681</v>
      </c>
    </row>
    <row r="5" spans="1:5">
      <c r="A5">
        <v>4</v>
      </c>
      <c r="B5" t="s">
        <v>698</v>
      </c>
      <c r="C5" t="s">
        <v>187</v>
      </c>
    </row>
    <row r="6" spans="1:5">
      <c r="A6">
        <v>5</v>
      </c>
      <c r="B6" t="s">
        <v>605</v>
      </c>
      <c r="C6" t="s">
        <v>531</v>
      </c>
    </row>
    <row r="7" spans="1:5" ht="181.5">
      <c r="A7">
        <v>6</v>
      </c>
      <c r="B7" t="s">
        <v>30</v>
      </c>
      <c r="C7" s="5" t="s">
        <v>377</v>
      </c>
    </row>
    <row r="8" spans="1:5" ht="132">
      <c r="A8">
        <v>8</v>
      </c>
      <c r="B8" t="s">
        <v>291</v>
      </c>
      <c r="C8" s="5" t="s">
        <v>729</v>
      </c>
    </row>
    <row r="9" spans="1:5" ht="148.5">
      <c r="A9">
        <v>10</v>
      </c>
      <c r="B9" t="s">
        <v>31</v>
      </c>
      <c r="C9" s="5" t="s">
        <v>367</v>
      </c>
    </row>
    <row r="10" spans="1:5" ht="198">
      <c r="B10" t="s">
        <v>32</v>
      </c>
      <c r="C10" s="5" t="s">
        <v>202</v>
      </c>
    </row>
    <row r="11" spans="1:5" ht="16.5" customHeight="1">
      <c r="B11" t="s">
        <v>203</v>
      </c>
      <c r="C11" s="5" t="s">
        <v>397</v>
      </c>
    </row>
    <row r="12" spans="1:5" ht="49.5">
      <c r="B12" t="s">
        <v>553</v>
      </c>
      <c r="C12" s="5" t="s">
        <v>282</v>
      </c>
    </row>
    <row r="13" spans="1:5" ht="148.5">
      <c r="B13" t="s">
        <v>197</v>
      </c>
      <c r="C13" s="5" t="s">
        <v>554</v>
      </c>
    </row>
    <row r="14" spans="1:5" ht="96.95" customHeight="1">
      <c r="B14" t="s">
        <v>270</v>
      </c>
      <c r="C14" s="10" t="s">
        <v>722</v>
      </c>
    </row>
    <row r="15" spans="1:5" ht="181.5">
      <c r="B15" t="s">
        <v>572</v>
      </c>
      <c r="C15" s="5" t="s">
        <v>331</v>
      </c>
    </row>
    <row r="16" spans="1:5" ht="132">
      <c r="C16" s="5" t="s">
        <v>93</v>
      </c>
    </row>
    <row r="17" spans="2:3" ht="214.5">
      <c r="C17" s="5" t="s">
        <v>321</v>
      </c>
    </row>
    <row r="18" spans="2:3" ht="165">
      <c r="B18" t="s">
        <v>34</v>
      </c>
      <c r="C18" s="5" t="s">
        <v>247</v>
      </c>
    </row>
    <row r="19" spans="2:3" ht="148.5">
      <c r="B19" t="s">
        <v>262</v>
      </c>
      <c r="C19" s="5" t="s">
        <v>295</v>
      </c>
    </row>
    <row r="20" spans="2:3" ht="147.75">
      <c r="B20" t="s">
        <v>603</v>
      </c>
      <c r="C20" s="11" t="s">
        <v>656</v>
      </c>
    </row>
    <row r="21" spans="2:3" ht="115.5">
      <c r="B21" t="s">
        <v>87</v>
      </c>
      <c r="C21" s="5" t="s">
        <v>73</v>
      </c>
    </row>
    <row r="22" spans="2:3" ht="148.5">
      <c r="C22" s="19" t="s">
        <v>266</v>
      </c>
    </row>
    <row r="23" spans="2:3" ht="165">
      <c r="B23" s="20" t="s">
        <v>505</v>
      </c>
      <c r="C23" s="5" t="s">
        <v>672</v>
      </c>
    </row>
    <row r="24" spans="2:3" ht="77.45" customHeight="1">
      <c r="B24" t="s">
        <v>640</v>
      </c>
      <c r="C24" s="5" t="s">
        <v>168</v>
      </c>
    </row>
    <row r="25" spans="2:3" ht="119.45" customHeight="1">
      <c r="B25" t="s">
        <v>662</v>
      </c>
      <c r="C25" s="5" t="s">
        <v>220</v>
      </c>
    </row>
  </sheetData>
  <phoneticPr fontId="21" type="noConversion"/>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F160"/>
  <sheetViews>
    <sheetView topLeftCell="A110" workbookViewId="0">
      <selection activeCell="F122" sqref="F122"/>
    </sheetView>
  </sheetViews>
  <sheetFormatPr defaultRowHeight="16.5"/>
  <cols>
    <col min="1" max="1" width="18" customWidth="1"/>
    <col min="2" max="2" width="20.375" bestFit="1" customWidth="1"/>
    <col min="3" max="3" width="21.5" bestFit="1" customWidth="1"/>
    <col min="4" max="4" width="26.75" customWidth="1"/>
    <col min="5" max="5" width="11.625" bestFit="1" customWidth="1"/>
    <col min="6" max="6" width="255.625" style="8" customWidth="1"/>
  </cols>
  <sheetData>
    <row r="1" spans="1:6">
      <c r="A1" t="s">
        <v>289</v>
      </c>
      <c r="B1" t="s">
        <v>201</v>
      </c>
      <c r="C1" t="s">
        <v>446</v>
      </c>
      <c r="D1" t="s">
        <v>329</v>
      </c>
      <c r="E1" t="s">
        <v>659</v>
      </c>
      <c r="F1" s="6" t="s">
        <v>475</v>
      </c>
    </row>
    <row r="2" spans="1:6">
      <c r="A2" t="s">
        <v>740</v>
      </c>
      <c r="B2" t="s">
        <v>428</v>
      </c>
      <c r="C2" t="str">
        <f>B2</f>
        <v>BAC EQUITY</v>
      </c>
      <c r="D2" t="s">
        <v>286</v>
      </c>
      <c r="E2" t="s">
        <v>660</v>
      </c>
      <c r="F2" s="6" t="s">
        <v>704</v>
      </c>
    </row>
    <row r="3" spans="1:6">
      <c r="A3" t="s">
        <v>506</v>
      </c>
      <c r="B3" t="s">
        <v>429</v>
      </c>
      <c r="C3" t="str">
        <f t="shared" ref="C3:C31" si="0">B3</f>
        <v>C EQUITY</v>
      </c>
      <c r="D3" t="s">
        <v>694</v>
      </c>
      <c r="E3" t="s">
        <v>660</v>
      </c>
      <c r="F3" s="6" t="s">
        <v>222</v>
      </c>
    </row>
    <row r="4" spans="1:6">
      <c r="A4" t="s">
        <v>287</v>
      </c>
      <c r="B4" t="s">
        <v>118</v>
      </c>
      <c r="C4" t="str">
        <f t="shared" si="0"/>
        <v>GE EQUITY</v>
      </c>
      <c r="D4" t="s">
        <v>638</v>
      </c>
      <c r="E4" t="s">
        <v>661</v>
      </c>
      <c r="F4" s="6" t="s">
        <v>421</v>
      </c>
    </row>
    <row r="5" spans="1:6">
      <c r="A5" t="s">
        <v>472</v>
      </c>
      <c r="B5" t="s">
        <v>9</v>
      </c>
      <c r="C5" t="str">
        <f t="shared" si="0"/>
        <v>MSFT EQUITY</v>
      </c>
      <c r="D5" t="s">
        <v>471</v>
      </c>
      <c r="E5" t="s">
        <v>530</v>
      </c>
      <c r="F5" s="6" t="s">
        <v>80</v>
      </c>
    </row>
    <row r="6" spans="1:6">
      <c r="A6" t="s">
        <v>327</v>
      </c>
      <c r="B6" t="s">
        <v>271</v>
      </c>
      <c r="C6" t="s">
        <v>271</v>
      </c>
      <c r="D6" t="s">
        <v>330</v>
      </c>
      <c r="E6" t="s">
        <v>328</v>
      </c>
      <c r="F6" s="7" t="s">
        <v>130</v>
      </c>
    </row>
    <row r="7" spans="1:6">
      <c r="A7" t="s">
        <v>583</v>
      </c>
      <c r="B7" t="s">
        <v>597</v>
      </c>
      <c r="C7" t="str">
        <f t="shared" si="0"/>
        <v>23 HK EQUITY</v>
      </c>
      <c r="D7" t="s">
        <v>27</v>
      </c>
      <c r="E7" t="s">
        <v>328</v>
      </c>
      <c r="F7" s="8" t="s">
        <v>35</v>
      </c>
    </row>
    <row r="8" spans="1:6" ht="16.5" customHeight="1">
      <c r="A8" t="s">
        <v>240</v>
      </c>
      <c r="B8" t="s">
        <v>598</v>
      </c>
      <c r="C8" t="str">
        <f t="shared" si="0"/>
        <v>HUWHY US EQUITY</v>
      </c>
      <c r="D8" t="s">
        <v>37</v>
      </c>
      <c r="E8" t="s">
        <v>36</v>
      </c>
      <c r="F8" s="8" t="s">
        <v>5</v>
      </c>
    </row>
    <row r="9" spans="1:6">
      <c r="A9" t="s">
        <v>747</v>
      </c>
      <c r="B9" t="s">
        <v>599</v>
      </c>
      <c r="C9" t="str">
        <f t="shared" si="0"/>
        <v>VNECB RU EQUITY</v>
      </c>
      <c r="D9" t="s">
        <v>579</v>
      </c>
      <c r="E9" t="s">
        <v>578</v>
      </c>
      <c r="F9" s="8" t="s">
        <v>265</v>
      </c>
    </row>
    <row r="10" spans="1:6">
      <c r="A10" t="s">
        <v>580</v>
      </c>
      <c r="B10" t="s">
        <v>103</v>
      </c>
      <c r="C10" t="str">
        <f t="shared" si="0"/>
        <v>JPM EQUITY</v>
      </c>
      <c r="D10" t="s">
        <v>581</v>
      </c>
      <c r="E10" t="s">
        <v>582</v>
      </c>
      <c r="F10" s="8" t="s">
        <v>751</v>
      </c>
    </row>
    <row r="11" spans="1:6">
      <c r="A11" t="s">
        <v>249</v>
      </c>
      <c r="B11" t="s">
        <v>10</v>
      </c>
      <c r="C11" t="str">
        <f t="shared" si="0"/>
        <v>086790 KS EQUITY</v>
      </c>
      <c r="D11" t="s">
        <v>127</v>
      </c>
      <c r="E11" t="s">
        <v>328</v>
      </c>
      <c r="F11" s="8" t="s">
        <v>663</v>
      </c>
    </row>
    <row r="12" spans="1:6">
      <c r="A12" t="s">
        <v>353</v>
      </c>
      <c r="B12" t="s">
        <v>354</v>
      </c>
      <c r="C12" t="str">
        <f t="shared" si="0"/>
        <v>MS EQUITY</v>
      </c>
      <c r="D12" t="s">
        <v>355</v>
      </c>
      <c r="E12" t="s">
        <v>328</v>
      </c>
      <c r="F12" s="8" t="s">
        <v>474</v>
      </c>
    </row>
    <row r="13" spans="1:6">
      <c r="A13" t="s">
        <v>461</v>
      </c>
      <c r="C13">
        <f t="shared" si="0"/>
        <v>0</v>
      </c>
      <c r="D13" t="s">
        <v>462</v>
      </c>
      <c r="E13" t="s">
        <v>2</v>
      </c>
      <c r="F13" s="8" t="s">
        <v>424</v>
      </c>
    </row>
    <row r="14" spans="1:6">
      <c r="A14" t="s">
        <v>699</v>
      </c>
      <c r="B14" t="s">
        <v>46</v>
      </c>
      <c r="C14" t="str">
        <f t="shared" si="0"/>
        <v>RBS LN EQUITY</v>
      </c>
      <c r="D14" t="s">
        <v>47</v>
      </c>
      <c r="E14" t="s">
        <v>328</v>
      </c>
      <c r="F14" s="8" t="s">
        <v>558</v>
      </c>
    </row>
    <row r="15" spans="1:6">
      <c r="A15" t="s">
        <v>559</v>
      </c>
      <c r="B15" t="s">
        <v>560</v>
      </c>
      <c r="C15" t="str">
        <f t="shared" si="0"/>
        <v>2888 HK EQUITY</v>
      </c>
      <c r="D15" t="s">
        <v>398</v>
      </c>
      <c r="E15" t="s">
        <v>328</v>
      </c>
      <c r="F15" s="8" t="s">
        <v>731</v>
      </c>
    </row>
    <row r="16" spans="1:6">
      <c r="A16" t="s">
        <v>749</v>
      </c>
      <c r="B16" t="s">
        <v>400</v>
      </c>
      <c r="C16" t="str">
        <f t="shared" si="0"/>
        <v>EIBZ KS EQUITY</v>
      </c>
      <c r="D16" t="s">
        <v>399</v>
      </c>
      <c r="E16" t="s">
        <v>328</v>
      </c>
      <c r="F16" s="8" t="s">
        <v>748</v>
      </c>
    </row>
    <row r="17" spans="1:6">
      <c r="A17" t="s">
        <v>750</v>
      </c>
      <c r="B17" t="s">
        <v>173</v>
      </c>
      <c r="C17" t="str">
        <f t="shared" si="0"/>
        <v>WFC EQUITY</v>
      </c>
      <c r="D17" t="s">
        <v>174</v>
      </c>
      <c r="E17" t="s">
        <v>328</v>
      </c>
      <c r="F17" s="8" t="s">
        <v>280</v>
      </c>
    </row>
    <row r="18" spans="1:6">
      <c r="A18" t="s">
        <v>3</v>
      </c>
      <c r="B18" t="s">
        <v>250</v>
      </c>
      <c r="C18" t="str">
        <f t="shared" si="0"/>
        <v>2356 HK EQUITY</v>
      </c>
      <c r="D18" t="s">
        <v>94</v>
      </c>
      <c r="E18" t="s">
        <v>328</v>
      </c>
      <c r="F18" s="8" t="s">
        <v>382</v>
      </c>
    </row>
    <row r="19" spans="1:6">
      <c r="A19" t="s">
        <v>191</v>
      </c>
      <c r="B19" t="s">
        <v>189</v>
      </c>
      <c r="C19" t="str">
        <f t="shared" si="0"/>
        <v>3988 HK EQUITY</v>
      </c>
      <c r="D19" t="s">
        <v>190</v>
      </c>
      <c r="E19" t="s">
        <v>328</v>
      </c>
      <c r="F19" s="8" t="s">
        <v>434</v>
      </c>
    </row>
    <row r="20" spans="1:6">
      <c r="A20" t="s">
        <v>675</v>
      </c>
      <c r="B20" t="s">
        <v>205</v>
      </c>
      <c r="C20" t="str">
        <f t="shared" si="0"/>
        <v>998 HK EQUITY</v>
      </c>
      <c r="D20" t="s">
        <v>204</v>
      </c>
      <c r="E20" t="s">
        <v>328</v>
      </c>
      <c r="F20" s="8" t="s">
        <v>547</v>
      </c>
    </row>
    <row r="21" spans="1:6">
      <c r="A21" t="s">
        <v>206</v>
      </c>
      <c r="B21" t="s">
        <v>607</v>
      </c>
      <c r="C21" t="str">
        <f t="shared" si="0"/>
        <v>004940 KS EQUITY</v>
      </c>
      <c r="D21" t="s">
        <v>422</v>
      </c>
      <c r="E21" t="s">
        <v>328</v>
      </c>
      <c r="F21" s="8" t="s">
        <v>555</v>
      </c>
    </row>
    <row r="22" spans="1:6">
      <c r="A22" t="s">
        <v>59</v>
      </c>
      <c r="B22" t="s">
        <v>332</v>
      </c>
      <c r="C22" t="str">
        <f t="shared" si="0"/>
        <v>WMT EQUITY</v>
      </c>
      <c r="D22" t="s">
        <v>333</v>
      </c>
      <c r="E22" t="s">
        <v>334</v>
      </c>
      <c r="F22" s="8" t="s">
        <v>658</v>
      </c>
    </row>
    <row r="23" spans="1:6">
      <c r="A23" t="s">
        <v>697</v>
      </c>
      <c r="B23" t="s">
        <v>437</v>
      </c>
      <c r="C23" t="str">
        <f t="shared" si="0"/>
        <v>053000 KS EQUITY</v>
      </c>
      <c r="D23" t="s">
        <v>727</v>
      </c>
      <c r="E23" t="s">
        <v>328</v>
      </c>
      <c r="F23" s="4" t="s">
        <v>121</v>
      </c>
    </row>
    <row r="24" spans="1:6">
      <c r="A24" t="s">
        <v>374</v>
      </c>
      <c r="B24" t="s">
        <v>58</v>
      </c>
      <c r="C24" t="str">
        <f t="shared" si="0"/>
        <v>494 HK EQUITY</v>
      </c>
      <c r="D24" t="s">
        <v>375</v>
      </c>
      <c r="E24" t="s">
        <v>438</v>
      </c>
      <c r="F24" s="8" t="s">
        <v>420</v>
      </c>
    </row>
    <row r="25" spans="1:6">
      <c r="A25" t="s">
        <v>537</v>
      </c>
      <c r="B25" t="s">
        <v>258</v>
      </c>
      <c r="C25" t="str">
        <f t="shared" si="0"/>
        <v>GOOG EQUITY</v>
      </c>
      <c r="D25" t="s">
        <v>259</v>
      </c>
      <c r="E25" t="s">
        <v>683</v>
      </c>
      <c r="F25" s="8" t="s">
        <v>281</v>
      </c>
    </row>
    <row r="26" spans="1:6">
      <c r="A26" t="s">
        <v>562</v>
      </c>
      <c r="B26" t="s">
        <v>261</v>
      </c>
      <c r="C26" t="str">
        <f t="shared" si="0"/>
        <v>SBER RU Equity</v>
      </c>
      <c r="D26" t="s">
        <v>109</v>
      </c>
      <c r="E26" t="s">
        <v>606</v>
      </c>
      <c r="F26" s="8" t="s">
        <v>470</v>
      </c>
    </row>
    <row r="27" spans="1:6">
      <c r="A27" t="s">
        <v>455</v>
      </c>
      <c r="B27" t="s">
        <v>456</v>
      </c>
      <c r="C27" t="str">
        <f t="shared" si="0"/>
        <v>GS Equity</v>
      </c>
      <c r="D27" t="s">
        <v>457</v>
      </c>
      <c r="E27" t="s">
        <v>328</v>
      </c>
      <c r="F27" s="8" t="s">
        <v>155</v>
      </c>
    </row>
    <row r="28" spans="1:6">
      <c r="A28" t="s">
        <v>716</v>
      </c>
      <c r="B28" t="s">
        <v>717</v>
      </c>
      <c r="C28" t="str">
        <f t="shared" si="0"/>
        <v>HSBC LN EQUITY</v>
      </c>
      <c r="D28" t="s">
        <v>718</v>
      </c>
      <c r="E28" t="s">
        <v>328</v>
      </c>
      <c r="F28" s="8" t="s">
        <v>695</v>
      </c>
    </row>
    <row r="29" spans="1:6">
      <c r="A29" t="s">
        <v>719</v>
      </c>
      <c r="B29" t="s">
        <v>41</v>
      </c>
      <c r="C29" t="str">
        <f t="shared" si="0"/>
        <v>RDSA LN EQUITY</v>
      </c>
      <c r="D29" t="s">
        <v>283</v>
      </c>
      <c r="E29" t="s">
        <v>620</v>
      </c>
      <c r="F29" s="8" t="s">
        <v>733</v>
      </c>
    </row>
    <row r="30" spans="1:6">
      <c r="A30" t="s">
        <v>42</v>
      </c>
      <c r="C30">
        <f t="shared" si="0"/>
        <v>0</v>
      </c>
      <c r="D30" t="s">
        <v>43</v>
      </c>
      <c r="E30" t="s">
        <v>44</v>
      </c>
    </row>
    <row r="31" spans="1:6">
      <c r="A31" t="s">
        <v>120</v>
      </c>
      <c r="B31" t="s">
        <v>442</v>
      </c>
      <c r="C31" t="str">
        <f t="shared" si="0"/>
        <v>ANZ AU EQUITY</v>
      </c>
      <c r="D31" t="s">
        <v>443</v>
      </c>
      <c r="E31" t="s">
        <v>328</v>
      </c>
      <c r="F31" s="4" t="s">
        <v>763</v>
      </c>
    </row>
    <row r="32" spans="1:6">
      <c r="A32" t="s">
        <v>445</v>
      </c>
      <c r="B32" t="s">
        <v>448</v>
      </c>
      <c r="C32" t="s">
        <v>447</v>
      </c>
      <c r="D32" t="s">
        <v>444</v>
      </c>
      <c r="E32" t="s">
        <v>328</v>
      </c>
      <c r="F32" s="8" t="s">
        <v>601</v>
      </c>
    </row>
    <row r="33" spans="1:6">
      <c r="A33" t="s">
        <v>449</v>
      </c>
      <c r="B33" t="s">
        <v>19</v>
      </c>
      <c r="C33" t="str">
        <f>B33</f>
        <v>998 HK EQUITY</v>
      </c>
      <c r="D33" t="s">
        <v>20</v>
      </c>
      <c r="E33" t="s">
        <v>328</v>
      </c>
    </row>
    <row r="34" spans="1:6">
      <c r="A34" t="s">
        <v>415</v>
      </c>
      <c r="B34" t="s">
        <v>277</v>
      </c>
      <c r="C34" t="str">
        <f>B34</f>
        <v>UBSN  VX EQUITY</v>
      </c>
      <c r="D34" t="s">
        <v>743</v>
      </c>
      <c r="E34" t="s">
        <v>328</v>
      </c>
      <c r="F34" s="8" t="s">
        <v>657</v>
      </c>
    </row>
    <row r="35" spans="1:6">
      <c r="A35" t="s">
        <v>511</v>
      </c>
      <c r="B35" t="s">
        <v>705</v>
      </c>
      <c r="C35" t="str">
        <f>B35</f>
        <v>CSGN VX EQUITY</v>
      </c>
      <c r="D35" t="s">
        <v>706</v>
      </c>
      <c r="E35" t="s">
        <v>328</v>
      </c>
      <c r="F35" s="8" t="s">
        <v>219</v>
      </c>
    </row>
    <row r="36" spans="1:6">
      <c r="A36" t="s">
        <v>707</v>
      </c>
      <c r="B36" t="s">
        <v>708</v>
      </c>
      <c r="C36" t="str">
        <f>B36</f>
        <v>BNP FP EQUITY</v>
      </c>
      <c r="D36" t="s">
        <v>709</v>
      </c>
      <c r="E36" t="s">
        <v>328</v>
      </c>
      <c r="F36" s="8" t="s">
        <v>671</v>
      </c>
    </row>
    <row r="37" spans="1:6">
      <c r="A37" t="s">
        <v>45</v>
      </c>
      <c r="B37" t="s">
        <v>325</v>
      </c>
      <c r="C37" t="str">
        <f>B37</f>
        <v>WBC AU EQUITY</v>
      </c>
      <c r="D37" t="s">
        <v>326</v>
      </c>
      <c r="E37" t="s">
        <v>328</v>
      </c>
      <c r="F37" s="8" t="s">
        <v>146</v>
      </c>
    </row>
    <row r="38" spans="1:6">
      <c r="A38" t="s">
        <v>56</v>
      </c>
      <c r="B38" t="s">
        <v>245</v>
      </c>
      <c r="C38" t="s">
        <v>394</v>
      </c>
      <c r="D38" t="s">
        <v>246</v>
      </c>
      <c r="E38" t="s">
        <v>395</v>
      </c>
    </row>
    <row r="39" spans="1:6">
      <c r="A39" t="s">
        <v>556</v>
      </c>
      <c r="B39" t="s">
        <v>158</v>
      </c>
      <c r="C39" t="s">
        <v>521</v>
      </c>
      <c r="D39" t="s">
        <v>522</v>
      </c>
      <c r="E39" t="s">
        <v>328</v>
      </c>
      <c r="F39" s="8" t="s">
        <v>669</v>
      </c>
    </row>
    <row r="40" spans="1:6">
      <c r="A40" t="s">
        <v>132</v>
      </c>
      <c r="B40" t="s">
        <v>523</v>
      </c>
      <c r="C40" t="s">
        <v>104</v>
      </c>
      <c r="D40" t="s">
        <v>105</v>
      </c>
      <c r="E40" t="s">
        <v>328</v>
      </c>
      <c r="F40" s="8" t="s">
        <v>404</v>
      </c>
    </row>
    <row r="41" spans="1:6">
      <c r="A41" t="s">
        <v>696</v>
      </c>
      <c r="B41" t="s">
        <v>171</v>
      </c>
      <c r="C41" t="s">
        <v>171</v>
      </c>
      <c r="D41" t="s">
        <v>172</v>
      </c>
      <c r="E41" t="s">
        <v>621</v>
      </c>
      <c r="F41" s="8" t="s">
        <v>561</v>
      </c>
    </row>
    <row r="42" spans="1:6">
      <c r="A42" t="s">
        <v>670</v>
      </c>
      <c r="B42" t="s">
        <v>459</v>
      </c>
      <c r="C42" t="s">
        <v>459</v>
      </c>
      <c r="D42" t="s">
        <v>460</v>
      </c>
      <c r="E42" t="s">
        <v>620</v>
      </c>
      <c r="F42" s="8" t="s">
        <v>108</v>
      </c>
    </row>
    <row r="43" spans="1:6">
      <c r="A43" t="s">
        <v>131</v>
      </c>
      <c r="B43" t="s">
        <v>453</v>
      </c>
      <c r="C43" t="s">
        <v>454</v>
      </c>
      <c r="D43" t="s">
        <v>744</v>
      </c>
      <c r="E43" t="s">
        <v>745</v>
      </c>
      <c r="F43" s="8" t="s">
        <v>33</v>
      </c>
    </row>
    <row r="44" spans="1:6">
      <c r="A44" t="s">
        <v>690</v>
      </c>
      <c r="B44" t="s">
        <v>626</v>
      </c>
      <c r="C44" t="s">
        <v>626</v>
      </c>
      <c r="D44" t="s">
        <v>691</v>
      </c>
      <c r="E44" t="s">
        <v>328</v>
      </c>
      <c r="F44" s="8" t="s">
        <v>625</v>
      </c>
    </row>
    <row r="45" spans="1:6">
      <c r="A45" t="s">
        <v>643</v>
      </c>
      <c r="B45" t="s">
        <v>192</v>
      </c>
      <c r="C45" t="s">
        <v>192</v>
      </c>
      <c r="D45" t="s">
        <v>613</v>
      </c>
      <c r="E45" t="s">
        <v>614</v>
      </c>
    </row>
    <row r="46" spans="1:6">
      <c r="A46" t="s">
        <v>193</v>
      </c>
      <c r="B46" t="s">
        <v>194</v>
      </c>
      <c r="C46" t="s">
        <v>194</v>
      </c>
      <c r="D46" t="s">
        <v>563</v>
      </c>
      <c r="E46" t="s">
        <v>564</v>
      </c>
      <c r="F46" s="8" t="s">
        <v>170</v>
      </c>
    </row>
    <row r="47" spans="1:6" ht="33">
      <c r="A47" t="s">
        <v>198</v>
      </c>
      <c r="B47" t="s">
        <v>199</v>
      </c>
      <c r="C47" t="s">
        <v>199</v>
      </c>
      <c r="D47" t="s">
        <v>738</v>
      </c>
      <c r="E47" t="s">
        <v>737</v>
      </c>
      <c r="F47" s="9" t="s">
        <v>178</v>
      </c>
    </row>
    <row r="48" spans="1:6">
      <c r="A48" t="s">
        <v>617</v>
      </c>
      <c r="B48" t="s">
        <v>755</v>
      </c>
      <c r="C48" t="s">
        <v>755</v>
      </c>
      <c r="D48" t="s">
        <v>75</v>
      </c>
      <c r="E48" t="s">
        <v>620</v>
      </c>
      <c r="F48" s="8" t="s">
        <v>53</v>
      </c>
    </row>
    <row r="49" spans="1:6">
      <c r="A49" t="s">
        <v>234</v>
      </c>
      <c r="B49" t="s">
        <v>235</v>
      </c>
      <c r="C49" t="s">
        <v>235</v>
      </c>
      <c r="D49" t="s">
        <v>233</v>
      </c>
      <c r="E49" t="s">
        <v>328</v>
      </c>
      <c r="F49" s="8" t="s">
        <v>162</v>
      </c>
    </row>
    <row r="50" spans="1:6">
      <c r="A50" t="s">
        <v>169</v>
      </c>
      <c r="B50" t="s">
        <v>322</v>
      </c>
      <c r="C50" t="s">
        <v>322</v>
      </c>
      <c r="D50" t="s">
        <v>323</v>
      </c>
      <c r="E50" t="s">
        <v>324</v>
      </c>
      <c r="F50" s="8" t="s">
        <v>248</v>
      </c>
    </row>
    <row r="51" spans="1:6">
      <c r="A51" t="s">
        <v>534</v>
      </c>
      <c r="B51" t="s">
        <v>676</v>
      </c>
      <c r="C51" t="s">
        <v>676</v>
      </c>
      <c r="D51" s="6" t="s">
        <v>176</v>
      </c>
      <c r="E51" t="s">
        <v>175</v>
      </c>
      <c r="F51" s="8" t="s">
        <v>356</v>
      </c>
    </row>
    <row r="52" spans="1:6">
      <c r="A52" t="s">
        <v>507</v>
      </c>
      <c r="B52" t="s">
        <v>137</v>
      </c>
      <c r="C52" t="s">
        <v>137</v>
      </c>
      <c r="D52" s="6" t="s">
        <v>177</v>
      </c>
      <c r="E52" t="s">
        <v>343</v>
      </c>
      <c r="F52" s="8" t="s">
        <v>136</v>
      </c>
    </row>
    <row r="53" spans="1:6">
      <c r="A53" t="s">
        <v>357</v>
      </c>
      <c r="B53" t="s">
        <v>358</v>
      </c>
      <c r="C53" t="s">
        <v>358</v>
      </c>
      <c r="D53" s="6" t="s">
        <v>342</v>
      </c>
      <c r="E53" t="s">
        <v>343</v>
      </c>
      <c r="F53" s="8" t="s">
        <v>213</v>
      </c>
    </row>
    <row r="54" spans="1:6">
      <c r="A54" t="s">
        <v>257</v>
      </c>
      <c r="B54" t="s">
        <v>256</v>
      </c>
      <c r="C54" t="s">
        <v>256</v>
      </c>
      <c r="D54" s="6" t="s">
        <v>468</v>
      </c>
      <c r="E54" t="s">
        <v>255</v>
      </c>
      <c r="F54" s="8" t="s">
        <v>185</v>
      </c>
    </row>
    <row r="55" spans="1:6">
      <c r="A55" t="s">
        <v>469</v>
      </c>
      <c r="B55" t="s">
        <v>571</v>
      </c>
      <c r="C55" t="s">
        <v>571</v>
      </c>
      <c r="D55" s="6" t="s">
        <v>436</v>
      </c>
      <c r="E55" s="6" t="s">
        <v>328</v>
      </c>
      <c r="F55" s="8" t="s">
        <v>393</v>
      </c>
    </row>
    <row r="56" spans="1:6">
      <c r="A56" t="s">
        <v>263</v>
      </c>
      <c r="B56" t="s">
        <v>701</v>
      </c>
      <c r="C56" t="s">
        <v>701</v>
      </c>
      <c r="D56" s="6" t="s">
        <v>702</v>
      </c>
      <c r="E56" t="s">
        <v>703</v>
      </c>
      <c r="F56" s="8" t="s">
        <v>524</v>
      </c>
    </row>
    <row r="57" spans="1:6">
      <c r="A57" t="s">
        <v>525</v>
      </c>
      <c r="B57" t="s">
        <v>251</v>
      </c>
      <c r="C57" t="s">
        <v>252</v>
      </c>
      <c r="D57" s="6" t="s">
        <v>546</v>
      </c>
      <c r="E57" s="6" t="s">
        <v>545</v>
      </c>
      <c r="F57" s="8" t="s">
        <v>602</v>
      </c>
    </row>
    <row r="58" spans="1:6">
      <c r="A58" t="s">
        <v>11</v>
      </c>
      <c r="B58" t="s">
        <v>12</v>
      </c>
      <c r="C58" t="s">
        <v>12</v>
      </c>
      <c r="D58" s="6" t="s">
        <v>14</v>
      </c>
      <c r="E58" s="6" t="s">
        <v>13</v>
      </c>
      <c r="F58" s="8" t="s">
        <v>107</v>
      </c>
    </row>
    <row r="59" spans="1:6">
      <c r="A59" t="s">
        <v>508</v>
      </c>
      <c r="B59" t="s">
        <v>188</v>
      </c>
      <c r="C59" t="s">
        <v>188</v>
      </c>
      <c r="D59" s="6" t="s">
        <v>509</v>
      </c>
      <c r="E59" s="6" t="s">
        <v>660</v>
      </c>
      <c r="F59" s="8" t="s">
        <v>317</v>
      </c>
    </row>
    <row r="60" spans="1:6">
      <c r="A60" t="s">
        <v>644</v>
      </c>
      <c r="B60" t="s">
        <v>714</v>
      </c>
      <c r="C60" t="s">
        <v>714</v>
      </c>
      <c r="D60" s="6" t="s">
        <v>715</v>
      </c>
      <c r="E60" s="6" t="s">
        <v>334</v>
      </c>
      <c r="F60" s="8" t="s">
        <v>543</v>
      </c>
    </row>
    <row r="61" spans="1:6">
      <c r="A61" t="s">
        <v>152</v>
      </c>
      <c r="B61" t="s">
        <v>153</v>
      </c>
      <c r="C61" t="s">
        <v>153</v>
      </c>
      <c r="D61" s="6" t="s">
        <v>154</v>
      </c>
      <c r="E61" s="6" t="s">
        <v>745</v>
      </c>
      <c r="F61" s="8" t="s">
        <v>655</v>
      </c>
    </row>
    <row r="62" spans="1:6">
      <c r="A62" t="s">
        <v>612</v>
      </c>
      <c r="B62" t="s">
        <v>642</v>
      </c>
      <c r="C62" t="s">
        <v>156</v>
      </c>
      <c r="D62" s="6" t="s">
        <v>157</v>
      </c>
      <c r="E62" s="6" t="s">
        <v>745</v>
      </c>
      <c r="F62" s="8" t="s">
        <v>641</v>
      </c>
    </row>
    <row r="63" spans="1:6">
      <c r="A63" t="s">
        <v>7</v>
      </c>
      <c r="B63" t="s">
        <v>115</v>
      </c>
      <c r="C63" t="s">
        <v>115</v>
      </c>
      <c r="D63" s="6" t="s">
        <v>116</v>
      </c>
      <c r="E63" s="6" t="s">
        <v>117</v>
      </c>
      <c r="F63" s="8" t="s">
        <v>423</v>
      </c>
    </row>
    <row r="64" spans="1:6">
      <c r="A64" t="s">
        <v>238</v>
      </c>
      <c r="B64" t="s">
        <v>239</v>
      </c>
      <c r="C64" t="s">
        <v>207</v>
      </c>
      <c r="D64" s="6" t="s">
        <v>133</v>
      </c>
      <c r="E64" s="6" t="s">
        <v>134</v>
      </c>
      <c r="F64" s="8" t="s">
        <v>23</v>
      </c>
    </row>
    <row r="65" spans="1:6">
      <c r="A65" t="s">
        <v>147</v>
      </c>
      <c r="B65" t="s">
        <v>685</v>
      </c>
      <c r="C65" t="s">
        <v>539</v>
      </c>
      <c r="D65" s="6" t="s">
        <v>686</v>
      </c>
      <c r="E65" s="6" t="s">
        <v>745</v>
      </c>
      <c r="F65" s="8" t="s">
        <v>483</v>
      </c>
    </row>
    <row r="66" spans="1:6" ht="30.95" customHeight="1">
      <c r="A66" t="s">
        <v>633</v>
      </c>
      <c r="B66" t="s">
        <v>634</v>
      </c>
      <c r="C66" t="s">
        <v>634</v>
      </c>
      <c r="D66" s="6" t="s">
        <v>645</v>
      </c>
      <c r="E66" s="6" t="s">
        <v>52</v>
      </c>
      <c r="F66" s="9" t="s">
        <v>368</v>
      </c>
    </row>
    <row r="67" spans="1:6">
      <c r="A67" t="s">
        <v>405</v>
      </c>
      <c r="B67" t="s">
        <v>406</v>
      </c>
      <c r="C67" t="s">
        <v>407</v>
      </c>
      <c r="D67" s="6" t="s">
        <v>408</v>
      </c>
      <c r="E67" s="6" t="s">
        <v>52</v>
      </c>
      <c r="F67" s="8" t="s">
        <v>0</v>
      </c>
    </row>
    <row r="68" spans="1:6" ht="33">
      <c r="A68" t="s">
        <v>673</v>
      </c>
      <c r="B68" t="s">
        <v>196</v>
      </c>
      <c r="C68" t="s">
        <v>196</v>
      </c>
      <c r="D68" s="6" t="s">
        <v>195</v>
      </c>
      <c r="E68" s="6" t="s">
        <v>328</v>
      </c>
      <c r="F68" s="9" t="s">
        <v>610</v>
      </c>
    </row>
    <row r="69" spans="1:6">
      <c r="A69" t="s">
        <v>391</v>
      </c>
      <c r="C69" t="s">
        <v>392</v>
      </c>
      <c r="D69" s="6" t="s">
        <v>484</v>
      </c>
      <c r="E69" s="6" t="s">
        <v>328</v>
      </c>
      <c r="F69" s="8" t="s">
        <v>124</v>
      </c>
    </row>
    <row r="70" spans="1:6" ht="33">
      <c r="A70" t="s">
        <v>191</v>
      </c>
      <c r="B70" t="s">
        <v>226</v>
      </c>
      <c r="C70" t="s">
        <v>226</v>
      </c>
      <c r="D70" s="6" t="s">
        <v>190</v>
      </c>
      <c r="E70" s="6" t="s">
        <v>328</v>
      </c>
      <c r="F70" s="9" t="s">
        <v>15</v>
      </c>
    </row>
    <row r="71" spans="1:6">
      <c r="A71" t="s">
        <v>209</v>
      </c>
      <c r="B71" t="s">
        <v>225</v>
      </c>
      <c r="C71" t="s">
        <v>225</v>
      </c>
      <c r="D71" s="6" t="s">
        <v>647</v>
      </c>
      <c r="E71" s="6" t="s">
        <v>648</v>
      </c>
      <c r="F71" s="8" t="s">
        <v>290</v>
      </c>
    </row>
    <row r="72" spans="1:6">
      <c r="A72" t="s">
        <v>227</v>
      </c>
      <c r="B72" t="s">
        <v>156</v>
      </c>
      <c r="C72" t="s">
        <v>156</v>
      </c>
      <c r="D72" s="6" t="s">
        <v>16</v>
      </c>
      <c r="E72" s="6" t="s">
        <v>432</v>
      </c>
      <c r="F72" s="8" t="s">
        <v>1</v>
      </c>
    </row>
    <row r="73" spans="1:6">
      <c r="A73" t="s">
        <v>229</v>
      </c>
      <c r="B73" t="s">
        <v>228</v>
      </c>
      <c r="C73" t="s">
        <v>228</v>
      </c>
      <c r="D73" s="6" t="s">
        <v>639</v>
      </c>
      <c r="E73" s="6" t="s">
        <v>432</v>
      </c>
      <c r="F73" s="8" t="s">
        <v>379</v>
      </c>
    </row>
    <row r="74" spans="1:6">
      <c r="A74" t="s">
        <v>230</v>
      </c>
      <c r="B74" t="s">
        <v>231</v>
      </c>
      <c r="C74" t="s">
        <v>231</v>
      </c>
      <c r="D74" s="6" t="s">
        <v>370</v>
      </c>
      <c r="E74" s="6" t="s">
        <v>371</v>
      </c>
      <c r="F74" s="9" t="s">
        <v>184</v>
      </c>
    </row>
    <row r="75" spans="1:6">
      <c r="A75" t="s">
        <v>232</v>
      </c>
      <c r="B75" t="s">
        <v>529</v>
      </c>
      <c r="C75" t="s">
        <v>529</v>
      </c>
      <c r="D75" t="s">
        <v>631</v>
      </c>
      <c r="E75" s="6" t="s">
        <v>343</v>
      </c>
      <c r="F75" s="8" t="s">
        <v>527</v>
      </c>
    </row>
    <row r="76" spans="1:6">
      <c r="A76" t="s">
        <v>435</v>
      </c>
      <c r="B76" t="s">
        <v>267</v>
      </c>
      <c r="C76" t="s">
        <v>267</v>
      </c>
      <c r="D76" t="s">
        <v>528</v>
      </c>
      <c r="E76" s="6" t="s">
        <v>343</v>
      </c>
      <c r="F76" s="8" t="s">
        <v>345</v>
      </c>
    </row>
    <row r="77" spans="1:6">
      <c r="A77" t="s">
        <v>269</v>
      </c>
      <c r="B77" t="s">
        <v>268</v>
      </c>
      <c r="C77" t="s">
        <v>268</v>
      </c>
      <c r="D77" t="s">
        <v>346</v>
      </c>
      <c r="E77" s="6" t="s">
        <v>586</v>
      </c>
      <c r="F77" s="8" t="s">
        <v>585</v>
      </c>
    </row>
    <row r="78" spans="1:6">
      <c r="A78" t="s">
        <v>565</v>
      </c>
      <c r="B78" t="s">
        <v>594</v>
      </c>
      <c r="C78" t="s">
        <v>594</v>
      </c>
      <c r="D78" t="s">
        <v>100</v>
      </c>
      <c r="E78" s="6" t="s">
        <v>587</v>
      </c>
      <c r="F78" s="8" t="s">
        <v>711</v>
      </c>
    </row>
    <row r="79" spans="1:6">
      <c r="A79" t="s">
        <v>40</v>
      </c>
      <c r="B79" t="s">
        <v>595</v>
      </c>
      <c r="C79" t="s">
        <v>595</v>
      </c>
      <c r="D79" t="s">
        <v>712</v>
      </c>
      <c r="E79" s="6" t="s">
        <v>272</v>
      </c>
      <c r="F79" s="8" t="s">
        <v>264</v>
      </c>
    </row>
    <row r="80" spans="1:6">
      <c r="A80" t="s">
        <v>588</v>
      </c>
      <c r="B80" t="s">
        <v>692</v>
      </c>
      <c r="C80" t="s">
        <v>596</v>
      </c>
      <c r="D80" t="s">
        <v>485</v>
      </c>
      <c r="E80" s="6" t="s">
        <v>745</v>
      </c>
      <c r="F80" s="8" t="s">
        <v>18</v>
      </c>
    </row>
    <row r="81" spans="1:6">
      <c r="A81" t="s">
        <v>589</v>
      </c>
      <c r="B81" t="s">
        <v>693</v>
      </c>
      <c r="C81" t="s">
        <v>693</v>
      </c>
      <c r="D81" s="8" t="s">
        <v>498</v>
      </c>
      <c r="E81" s="6" t="s">
        <v>117</v>
      </c>
      <c r="F81" s="8" t="s">
        <v>754</v>
      </c>
    </row>
    <row r="82" spans="1:6">
      <c r="A82" t="s">
        <v>590</v>
      </c>
      <c r="B82" t="s">
        <v>649</v>
      </c>
      <c r="C82" t="s">
        <v>649</v>
      </c>
      <c r="D82" s="8" t="s">
        <v>72</v>
      </c>
      <c r="E82" s="8" t="s">
        <v>52</v>
      </c>
      <c r="F82" s="8" t="s">
        <v>497</v>
      </c>
    </row>
    <row r="83" spans="1:6">
      <c r="A83" t="s">
        <v>591</v>
      </c>
      <c r="B83" t="s">
        <v>513</v>
      </c>
      <c r="C83" t="s">
        <v>650</v>
      </c>
      <c r="D83" s="8" t="s">
        <v>725</v>
      </c>
      <c r="E83" s="6" t="s">
        <v>117</v>
      </c>
      <c r="F83" s="8" t="s">
        <v>450</v>
      </c>
    </row>
    <row r="84" spans="1:6">
      <c r="A84" t="s">
        <v>315</v>
      </c>
      <c r="B84" t="s">
        <v>514</v>
      </c>
      <c r="C84" t="s">
        <v>514</v>
      </c>
      <c r="D84" s="8" t="s">
        <v>369</v>
      </c>
      <c r="E84" s="8" t="s">
        <v>760</v>
      </c>
      <c r="F84" s="8" t="s">
        <v>208</v>
      </c>
    </row>
    <row r="85" spans="1:6">
      <c r="A85" t="s">
        <v>241</v>
      </c>
      <c r="B85" t="s">
        <v>512</v>
      </c>
      <c r="C85" t="s">
        <v>512</v>
      </c>
      <c r="D85" s="8" t="s">
        <v>619</v>
      </c>
      <c r="E85" s="6" t="s">
        <v>371</v>
      </c>
      <c r="F85" s="8" t="s">
        <v>339</v>
      </c>
    </row>
    <row r="86" spans="1:6">
      <c r="A86" t="s">
        <v>242</v>
      </c>
      <c r="B86" t="s">
        <v>515</v>
      </c>
      <c r="C86" t="s">
        <v>515</v>
      </c>
      <c r="D86" s="8" t="s">
        <v>340</v>
      </c>
      <c r="E86" s="8" t="s">
        <v>341</v>
      </c>
      <c r="F86" s="8" t="s">
        <v>318</v>
      </c>
    </row>
    <row r="87" spans="1:6">
      <c r="A87" t="s">
        <v>29</v>
      </c>
      <c r="B87" t="s">
        <v>720</v>
      </c>
      <c r="C87" t="s">
        <v>720</v>
      </c>
      <c r="D87" s="8" t="s">
        <v>319</v>
      </c>
      <c r="E87" s="8" t="s">
        <v>328</v>
      </c>
      <c r="F87" s="8" t="s">
        <v>433</v>
      </c>
    </row>
    <row r="88" spans="1:6">
      <c r="A88" t="s">
        <v>736</v>
      </c>
      <c r="B88" t="s">
        <v>721</v>
      </c>
      <c r="C88" t="s">
        <v>721</v>
      </c>
      <c r="D88" s="8" t="s">
        <v>761</v>
      </c>
      <c r="E88" s="8" t="s">
        <v>762</v>
      </c>
      <c r="F88" s="8" t="s">
        <v>26</v>
      </c>
    </row>
    <row r="89" spans="1:6">
      <c r="A89" t="s">
        <v>238</v>
      </c>
      <c r="B89" t="s">
        <v>48</v>
      </c>
      <c r="C89" t="s">
        <v>48</v>
      </c>
      <c r="D89" s="8" t="s">
        <v>314</v>
      </c>
      <c r="E89" s="8" t="s">
        <v>745</v>
      </c>
      <c r="F89" s="8" t="s">
        <v>728</v>
      </c>
    </row>
    <row r="90" spans="1:6">
      <c r="A90" t="s">
        <v>64</v>
      </c>
      <c r="B90" t="s">
        <v>49</v>
      </c>
      <c r="C90" t="s">
        <v>49</v>
      </c>
      <c r="D90" s="8" t="s">
        <v>618</v>
      </c>
      <c r="E90" s="8" t="s">
        <v>341</v>
      </c>
      <c r="F90" s="8" t="s">
        <v>388</v>
      </c>
    </row>
    <row r="91" spans="1:6">
      <c r="A91" t="s">
        <v>65</v>
      </c>
      <c r="B91" t="s">
        <v>50</v>
      </c>
      <c r="C91" t="s">
        <v>50</v>
      </c>
      <c r="D91" s="8" t="s">
        <v>389</v>
      </c>
      <c r="E91" s="8" t="s">
        <v>390</v>
      </c>
      <c r="F91" s="8" t="s">
        <v>4</v>
      </c>
    </row>
    <row r="92" spans="1:6">
      <c r="A92" t="s">
        <v>66</v>
      </c>
      <c r="B92" t="s">
        <v>51</v>
      </c>
      <c r="C92" t="s">
        <v>51</v>
      </c>
      <c r="D92" s="8" t="s">
        <v>101</v>
      </c>
      <c r="E92" s="8" t="s">
        <v>328</v>
      </c>
      <c r="F92" s="8" t="s">
        <v>684</v>
      </c>
    </row>
    <row r="93" spans="1:6">
      <c r="A93" t="s">
        <v>67</v>
      </c>
      <c r="B93" t="s">
        <v>430</v>
      </c>
      <c r="C93" t="s">
        <v>430</v>
      </c>
      <c r="D93" s="8" t="s">
        <v>102</v>
      </c>
      <c r="E93" s="8" t="s">
        <v>13</v>
      </c>
      <c r="F93" s="8" t="s">
        <v>320</v>
      </c>
    </row>
    <row r="94" spans="1:6">
      <c r="A94" t="s">
        <v>68</v>
      </c>
      <c r="B94" t="s">
        <v>167</v>
      </c>
      <c r="C94" t="s">
        <v>167</v>
      </c>
      <c r="D94" t="s">
        <v>452</v>
      </c>
      <c r="E94" t="s">
        <v>89</v>
      </c>
      <c r="F94" s="8" t="s">
        <v>451</v>
      </c>
    </row>
    <row r="95" spans="1:6">
      <c r="A95" t="s">
        <v>69</v>
      </c>
      <c r="B95" t="s">
        <v>542</v>
      </c>
      <c r="C95" t="s">
        <v>542</v>
      </c>
      <c r="D95" t="s">
        <v>90</v>
      </c>
      <c r="E95" t="s">
        <v>689</v>
      </c>
      <c r="F95" s="8" t="s">
        <v>713</v>
      </c>
    </row>
    <row r="96" spans="1:6">
      <c r="A96" t="s">
        <v>70</v>
      </c>
      <c r="B96" t="s">
        <v>366</v>
      </c>
      <c r="C96" t="s">
        <v>366</v>
      </c>
      <c r="D96" s="8" t="s">
        <v>223</v>
      </c>
      <c r="E96" s="8" t="s">
        <v>224</v>
      </c>
      <c r="F96" s="8" t="s">
        <v>352</v>
      </c>
    </row>
    <row r="97" spans="1:6">
      <c r="A97" t="s">
        <v>71</v>
      </c>
      <c r="B97" t="s">
        <v>316</v>
      </c>
      <c r="C97" t="s">
        <v>316</v>
      </c>
      <c r="D97" s="8" t="s">
        <v>380</v>
      </c>
      <c r="E97" s="6" t="s">
        <v>28</v>
      </c>
      <c r="F97" s="8" t="s">
        <v>214</v>
      </c>
    </row>
    <row r="98" spans="1:6">
      <c r="A98" t="s">
        <v>179</v>
      </c>
      <c r="B98" t="s">
        <v>8</v>
      </c>
      <c r="C98" t="s">
        <v>8</v>
      </c>
      <c r="D98" s="8" t="s">
        <v>687</v>
      </c>
      <c r="E98" s="8" t="s">
        <v>688</v>
      </c>
      <c r="F98" s="8" t="s">
        <v>77</v>
      </c>
    </row>
    <row r="99" spans="1:6">
      <c r="A99" t="s">
        <v>180</v>
      </c>
      <c r="B99" t="s">
        <v>98</v>
      </c>
      <c r="C99" t="s">
        <v>98</v>
      </c>
      <c r="D99" s="8" t="s">
        <v>288</v>
      </c>
      <c r="E99" s="8" t="s">
        <v>343</v>
      </c>
      <c r="F99" s="8" t="s">
        <v>439</v>
      </c>
    </row>
    <row r="100" spans="1:6">
      <c r="A100" t="s">
        <v>181</v>
      </c>
      <c r="B100" t="s">
        <v>99</v>
      </c>
      <c r="C100" t="s">
        <v>99</v>
      </c>
      <c r="D100" s="8" t="s">
        <v>440</v>
      </c>
      <c r="E100" s="8" t="s">
        <v>78</v>
      </c>
      <c r="F100" s="8" t="s">
        <v>677</v>
      </c>
    </row>
    <row r="101" spans="1:6">
      <c r="A101" t="s">
        <v>182</v>
      </c>
      <c r="B101" t="s">
        <v>627</v>
      </c>
      <c r="C101" t="s">
        <v>627</v>
      </c>
      <c r="D101" s="8" t="s">
        <v>678</v>
      </c>
      <c r="E101" s="8" t="s">
        <v>679</v>
      </c>
      <c r="F101" s="8" t="s">
        <v>210</v>
      </c>
    </row>
    <row r="102" spans="1:6">
      <c r="A102" t="s">
        <v>584</v>
      </c>
      <c r="B102" t="s">
        <v>273</v>
      </c>
      <c r="C102" t="s">
        <v>628</v>
      </c>
      <c r="D102" t="s">
        <v>211</v>
      </c>
      <c r="E102" s="8" t="s">
        <v>212</v>
      </c>
      <c r="F102" s="8" t="s">
        <v>700</v>
      </c>
    </row>
    <row r="103" spans="1:6">
      <c r="A103" t="s">
        <v>427</v>
      </c>
      <c r="B103" t="s">
        <v>299</v>
      </c>
      <c r="C103" t="s">
        <v>299</v>
      </c>
      <c r="D103" s="8" t="s">
        <v>426</v>
      </c>
      <c r="E103" s="8" t="s">
        <v>6</v>
      </c>
      <c r="F103" s="8" t="s">
        <v>734</v>
      </c>
    </row>
    <row r="104" spans="1:6">
      <c r="A104" t="s">
        <v>593</v>
      </c>
      <c r="B104" t="s">
        <v>629</v>
      </c>
      <c r="C104" t="s">
        <v>629</v>
      </c>
      <c r="D104" s="8" t="s">
        <v>526</v>
      </c>
      <c r="E104" s="8" t="s">
        <v>582</v>
      </c>
      <c r="F104" s="8" t="s">
        <v>756</v>
      </c>
    </row>
    <row r="105" spans="1:6">
      <c r="A105" t="s">
        <v>401</v>
      </c>
      <c r="D105" s="8" t="s">
        <v>402</v>
      </c>
      <c r="E105" s="8" t="s">
        <v>403</v>
      </c>
    </row>
    <row r="106" spans="1:6">
      <c r="A106" t="s">
        <v>496</v>
      </c>
      <c r="B106" t="s">
        <v>623</v>
      </c>
      <c r="C106" t="s">
        <v>623</v>
      </c>
      <c r="D106" t="s">
        <v>79</v>
      </c>
      <c r="E106" s="8" t="s">
        <v>726</v>
      </c>
      <c r="F106" s="8" t="s">
        <v>495</v>
      </c>
    </row>
    <row r="107" spans="1:6">
      <c r="A107" t="s">
        <v>364</v>
      </c>
      <c r="B107" t="s">
        <v>481</v>
      </c>
      <c r="C107" t="s">
        <v>482</v>
      </c>
      <c r="D107" t="s">
        <v>365</v>
      </c>
      <c r="E107" s="8" t="s">
        <v>536</v>
      </c>
      <c r="F107" s="8" t="s">
        <v>535</v>
      </c>
    </row>
    <row r="108" spans="1:6">
      <c r="A108" t="s">
        <v>17</v>
      </c>
      <c r="B108" t="s">
        <v>646</v>
      </c>
      <c r="C108" t="s">
        <v>646</v>
      </c>
      <c r="D108" t="s">
        <v>145</v>
      </c>
      <c r="E108" s="8" t="s">
        <v>403</v>
      </c>
      <c r="F108" s="8" t="s">
        <v>383</v>
      </c>
    </row>
    <row r="109" spans="1:6">
      <c r="A109" t="s">
        <v>236</v>
      </c>
      <c r="B109" t="s">
        <v>74</v>
      </c>
      <c r="C109" t="s">
        <v>74</v>
      </c>
      <c r="D109" t="s">
        <v>387</v>
      </c>
      <c r="E109" s="8" t="s">
        <v>347</v>
      </c>
      <c r="F109" s="8" t="s">
        <v>630</v>
      </c>
    </row>
    <row r="110" spans="1:6">
      <c r="A110" t="s">
        <v>348</v>
      </c>
      <c r="B110" t="s">
        <v>349</v>
      </c>
      <c r="C110" t="s">
        <v>349</v>
      </c>
      <c r="D110" t="s">
        <v>350</v>
      </c>
      <c r="E110" s="8" t="s">
        <v>284</v>
      </c>
      <c r="F110" s="8" t="s">
        <v>244</v>
      </c>
    </row>
    <row r="111" spans="1:6">
      <c r="A111" t="s">
        <v>125</v>
      </c>
      <c r="B111" t="s">
        <v>566</v>
      </c>
      <c r="C111" t="s">
        <v>566</v>
      </c>
      <c r="D111" t="s">
        <v>624</v>
      </c>
      <c r="E111" s="8" t="s">
        <v>636</v>
      </c>
      <c r="F111" s="8" t="s">
        <v>632</v>
      </c>
    </row>
    <row r="112" spans="1:6">
      <c r="A112" t="s">
        <v>126</v>
      </c>
      <c r="B112" t="s">
        <v>143</v>
      </c>
      <c r="C112" t="s">
        <v>143</v>
      </c>
      <c r="D112" t="s">
        <v>533</v>
      </c>
      <c r="E112" t="s">
        <v>637</v>
      </c>
      <c r="F112" s="8" t="s">
        <v>532</v>
      </c>
    </row>
    <row r="113" spans="1:6">
      <c r="A113" t="s">
        <v>308</v>
      </c>
      <c r="B113" t="s">
        <v>376</v>
      </c>
      <c r="C113" t="s">
        <v>376</v>
      </c>
      <c r="D113" t="s">
        <v>309</v>
      </c>
      <c r="E113" t="s">
        <v>467</v>
      </c>
      <c r="F113" s="8" t="s">
        <v>307</v>
      </c>
    </row>
    <row r="114" spans="1:6">
      <c r="A114" t="s">
        <v>567</v>
      </c>
      <c r="B114" t="s">
        <v>758</v>
      </c>
      <c r="C114" t="s">
        <v>758</v>
      </c>
      <c r="D114" s="6" t="s">
        <v>759</v>
      </c>
      <c r="E114" t="s">
        <v>479</v>
      </c>
      <c r="F114" s="8" t="s">
        <v>83</v>
      </c>
    </row>
    <row r="115" spans="1:6">
      <c r="A115" t="s">
        <v>480</v>
      </c>
      <c r="B115" t="s">
        <v>464</v>
      </c>
      <c r="C115" t="s">
        <v>464</v>
      </c>
      <c r="D115" s="6" t="s">
        <v>465</v>
      </c>
      <c r="E115" t="s">
        <v>466</v>
      </c>
      <c r="F115" s="8" t="s">
        <v>463</v>
      </c>
    </row>
    <row r="116" spans="1:6">
      <c r="A116" t="s">
        <v>427</v>
      </c>
      <c r="B116" t="s">
        <v>299</v>
      </c>
      <c r="C116" t="s">
        <v>299</v>
      </c>
      <c r="D116" s="6" t="s">
        <v>300</v>
      </c>
      <c r="E116" t="s">
        <v>739</v>
      </c>
      <c r="F116" s="8" t="s">
        <v>276</v>
      </c>
    </row>
    <row r="117" spans="1:6" ht="33">
      <c r="A117" t="s">
        <v>386</v>
      </c>
      <c r="B117" s="5" t="s">
        <v>502</v>
      </c>
      <c r="C117" s="5" t="s">
        <v>409</v>
      </c>
      <c r="D117" s="6" t="s">
        <v>385</v>
      </c>
      <c r="E117" t="s">
        <v>441</v>
      </c>
      <c r="F117" s="9" t="s">
        <v>735</v>
      </c>
    </row>
    <row r="118" spans="1:6">
      <c r="A118" t="s">
        <v>510</v>
      </c>
      <c r="B118" t="s">
        <v>653</v>
      </c>
      <c r="C118" s="5" t="s">
        <v>653</v>
      </c>
      <c r="D118" s="6" t="s">
        <v>63</v>
      </c>
      <c r="E118" s="8" t="s">
        <v>760</v>
      </c>
      <c r="F118" s="8" t="s">
        <v>144</v>
      </c>
    </row>
    <row r="119" spans="1:6">
      <c r="A119" t="s">
        <v>615</v>
      </c>
      <c r="B119" t="s">
        <v>654</v>
      </c>
      <c r="C119" t="s">
        <v>654</v>
      </c>
      <c r="D119" s="6" t="s">
        <v>616</v>
      </c>
      <c r="E119" s="8" t="s">
        <v>175</v>
      </c>
      <c r="F119" s="8" t="s">
        <v>608</v>
      </c>
    </row>
    <row r="120" spans="1:6">
      <c r="A120" t="s">
        <v>278</v>
      </c>
      <c r="B120" t="s">
        <v>95</v>
      </c>
      <c r="C120" t="s">
        <v>95</v>
      </c>
      <c r="D120" s="6" t="s">
        <v>279</v>
      </c>
      <c r="E120" s="8" t="s">
        <v>328</v>
      </c>
      <c r="F120" s="8" t="s">
        <v>410</v>
      </c>
    </row>
    <row r="121" spans="1:6">
      <c r="A121" t="s">
        <v>411</v>
      </c>
      <c r="B121" t="s">
        <v>652</v>
      </c>
      <c r="C121" t="s">
        <v>652</v>
      </c>
      <c r="D121" s="6" t="s">
        <v>412</v>
      </c>
      <c r="E121" s="8" t="s">
        <v>413</v>
      </c>
      <c r="F121" s="8" t="s">
        <v>549</v>
      </c>
    </row>
    <row r="122" spans="1:6">
      <c r="A122" t="s">
        <v>297</v>
      </c>
      <c r="B122" t="s">
        <v>96</v>
      </c>
      <c r="C122" t="s">
        <v>96</v>
      </c>
      <c r="D122" s="6" t="s">
        <v>313</v>
      </c>
      <c r="E122" s="8" t="s">
        <v>255</v>
      </c>
      <c r="F122" s="8" t="s">
        <v>312</v>
      </c>
    </row>
    <row r="123" spans="1:6">
      <c r="A123" t="s">
        <v>361</v>
      </c>
      <c r="B123" t="s">
        <v>97</v>
      </c>
      <c r="C123" t="s">
        <v>97</v>
      </c>
      <c r="D123" s="6" t="s">
        <v>360</v>
      </c>
      <c r="E123" s="8" t="s">
        <v>255</v>
      </c>
      <c r="F123" s="8" t="s">
        <v>298</v>
      </c>
    </row>
    <row r="124" spans="1:6">
      <c r="A124" t="s">
        <v>362</v>
      </c>
      <c r="B124" t="s">
        <v>378</v>
      </c>
      <c r="C124" t="s">
        <v>378</v>
      </c>
      <c r="D124" s="6" t="s">
        <v>577</v>
      </c>
      <c r="E124" s="8" t="s">
        <v>328</v>
      </c>
      <c r="F124" s="8" t="s">
        <v>363</v>
      </c>
    </row>
    <row r="125" spans="1:6">
      <c r="A125" t="s">
        <v>183</v>
      </c>
      <c r="B125" t="s">
        <v>592</v>
      </c>
      <c r="C125" t="s">
        <v>592</v>
      </c>
      <c r="D125" s="6" t="s">
        <v>274</v>
      </c>
      <c r="E125" s="8" t="s">
        <v>328</v>
      </c>
      <c r="F125" s="8" t="s">
        <v>359</v>
      </c>
    </row>
    <row r="126" spans="1:6">
      <c r="A126" t="s">
        <v>149</v>
      </c>
      <c r="B126" t="s">
        <v>664</v>
      </c>
      <c r="C126" t="s">
        <v>664</v>
      </c>
      <c r="D126" s="6" t="s">
        <v>576</v>
      </c>
      <c r="E126" s="8" t="s">
        <v>78</v>
      </c>
      <c r="F126" s="8" t="s">
        <v>148</v>
      </c>
    </row>
    <row r="127" spans="1:6">
      <c r="A127" t="s">
        <v>150</v>
      </c>
      <c r="B127" t="s">
        <v>665</v>
      </c>
      <c r="C127" t="s">
        <v>665</v>
      </c>
      <c r="D127" s="6" t="s">
        <v>622</v>
      </c>
      <c r="E127" t="s">
        <v>151</v>
      </c>
      <c r="F127" s="8" t="s">
        <v>570</v>
      </c>
    </row>
    <row r="128" spans="1:6">
      <c r="A128" t="s">
        <v>159</v>
      </c>
      <c r="B128" t="s">
        <v>666</v>
      </c>
      <c r="C128" t="s">
        <v>666</v>
      </c>
      <c r="D128" s="6" t="s">
        <v>730</v>
      </c>
      <c r="E128" t="s">
        <v>160</v>
      </c>
      <c r="F128" s="8" t="s">
        <v>21</v>
      </c>
    </row>
    <row r="129" spans="1:6">
      <c r="A129" t="s">
        <v>22</v>
      </c>
      <c r="B129" t="s">
        <v>667</v>
      </c>
      <c r="C129" t="s">
        <v>667</v>
      </c>
      <c r="D129" s="6" t="s">
        <v>757</v>
      </c>
      <c r="E129" s="8" t="s">
        <v>175</v>
      </c>
      <c r="F129" s="8" t="s">
        <v>516</v>
      </c>
    </row>
    <row r="130" spans="1:6">
      <c r="A130" t="s">
        <v>88</v>
      </c>
      <c r="B130" t="s">
        <v>668</v>
      </c>
      <c r="C130" t="s">
        <v>668</v>
      </c>
      <c r="D130" s="6" t="s">
        <v>335</v>
      </c>
      <c r="E130" s="6" t="s">
        <v>336</v>
      </c>
      <c r="F130" t="s">
        <v>163</v>
      </c>
    </row>
    <row r="131" spans="1:6">
      <c r="A131" t="s">
        <v>573</v>
      </c>
      <c r="B131" t="s">
        <v>292</v>
      </c>
      <c r="C131" t="s">
        <v>293</v>
      </c>
      <c r="D131" s="24" t="s">
        <v>574</v>
      </c>
      <c r="E131" t="s">
        <v>575</v>
      </c>
      <c r="F131" s="8" t="s">
        <v>600</v>
      </c>
    </row>
    <row r="132" spans="1:6">
      <c r="A132" t="s">
        <v>301</v>
      </c>
      <c r="B132" t="s">
        <v>294</v>
      </c>
      <c r="C132" t="s">
        <v>294</v>
      </c>
      <c r="D132" s="6" t="s">
        <v>302</v>
      </c>
      <c r="E132" s="6" t="s">
        <v>575</v>
      </c>
      <c r="F132" s="25" t="s">
        <v>753</v>
      </c>
    </row>
    <row r="133" spans="1:6">
      <c r="A133" t="s">
        <v>303</v>
      </c>
      <c r="B133" t="s">
        <v>473</v>
      </c>
      <c r="C133" t="s">
        <v>473</v>
      </c>
      <c r="D133" s="6" t="s">
        <v>304</v>
      </c>
      <c r="E133" s="6" t="s">
        <v>305</v>
      </c>
      <c r="F133" s="25" t="s">
        <v>85</v>
      </c>
    </row>
    <row r="134" spans="1:6">
      <c r="A134" t="s">
        <v>306</v>
      </c>
      <c r="B134" t="s">
        <v>500</v>
      </c>
      <c r="C134" t="s">
        <v>500</v>
      </c>
      <c r="D134" t="s">
        <v>86</v>
      </c>
      <c r="E134" s="6" t="s">
        <v>305</v>
      </c>
      <c r="F134" s="25" t="s">
        <v>611</v>
      </c>
    </row>
    <row r="135" spans="1:6">
      <c r="A135" t="s">
        <v>568</v>
      </c>
      <c r="B135" t="s">
        <v>501</v>
      </c>
      <c r="C135" t="s">
        <v>501</v>
      </c>
      <c r="D135" t="s">
        <v>569</v>
      </c>
      <c r="E135" t="s">
        <v>139</v>
      </c>
      <c r="F135" s="8" t="s">
        <v>285</v>
      </c>
    </row>
    <row r="136" spans="1:6">
      <c r="A136" t="s">
        <v>140</v>
      </c>
      <c r="B136" t="s">
        <v>142</v>
      </c>
      <c r="C136" t="s">
        <v>651</v>
      </c>
      <c r="D136" t="s">
        <v>141</v>
      </c>
      <c r="E136" t="s">
        <v>139</v>
      </c>
      <c r="F136" s="8" t="s">
        <v>544</v>
      </c>
    </row>
    <row r="137" spans="1:6">
      <c r="A137" t="s">
        <v>550</v>
      </c>
      <c r="B137" t="s">
        <v>635</v>
      </c>
      <c r="C137" t="s">
        <v>635</v>
      </c>
      <c r="D137" t="s">
        <v>551</v>
      </c>
      <c r="E137" t="s">
        <v>161</v>
      </c>
      <c r="F137" s="8" t="s">
        <v>92</v>
      </c>
    </row>
    <row r="138" spans="1:6">
      <c r="A138" t="s">
        <v>215</v>
      </c>
      <c r="B138" t="s">
        <v>216</v>
      </c>
      <c r="C138" t="s">
        <v>216</v>
      </c>
      <c r="D138" t="s">
        <v>217</v>
      </c>
      <c r="E138" t="s">
        <v>218</v>
      </c>
      <c r="F138" s="8" t="s">
        <v>752</v>
      </c>
    </row>
    <row r="139" spans="1:6">
      <c r="A139" t="s">
        <v>129</v>
      </c>
      <c r="B139" t="s">
        <v>724</v>
      </c>
      <c r="C139" t="s">
        <v>724</v>
      </c>
      <c r="D139" t="s">
        <v>164</v>
      </c>
      <c r="E139" t="s">
        <v>165</v>
      </c>
      <c r="F139" s="8" t="s">
        <v>166</v>
      </c>
    </row>
    <row r="140" spans="1:6">
      <c r="A140" t="s">
        <v>540</v>
      </c>
      <c r="B140" t="s">
        <v>541</v>
      </c>
      <c r="C140" t="s">
        <v>541</v>
      </c>
      <c r="D140" t="s">
        <v>310</v>
      </c>
      <c r="E140" t="s">
        <v>311</v>
      </c>
      <c r="F140" s="8" t="s">
        <v>381</v>
      </c>
    </row>
    <row r="141" spans="1:6">
      <c r="A141" t="s">
        <v>476</v>
      </c>
      <c r="B141" t="s">
        <v>477</v>
      </c>
      <c r="C141" t="s">
        <v>477</v>
      </c>
      <c r="D141" t="s">
        <v>478</v>
      </c>
      <c r="E141" t="s">
        <v>305</v>
      </c>
      <c r="F141" s="8" t="s">
        <v>82</v>
      </c>
    </row>
    <row r="142" spans="1:6">
      <c r="A142" t="s">
        <v>741</v>
      </c>
      <c r="B142" t="s">
        <v>57</v>
      </c>
      <c r="C142" s="5" t="s">
        <v>57</v>
      </c>
      <c r="D142" t="s">
        <v>372</v>
      </c>
      <c r="E142" t="s">
        <v>165</v>
      </c>
    </row>
    <row r="143" spans="1:6">
      <c r="A143" t="s">
        <v>373</v>
      </c>
      <c r="B143" t="s">
        <v>275</v>
      </c>
      <c r="C143" t="s">
        <v>275</v>
      </c>
      <c r="D143" t="s">
        <v>337</v>
      </c>
      <c r="E143" t="s">
        <v>338</v>
      </c>
    </row>
    <row r="144" spans="1:6">
      <c r="D144" s="8"/>
      <c r="E144" s="8"/>
    </row>
    <row r="145" spans="4:5">
      <c r="D145" s="8"/>
      <c r="E145" s="8"/>
    </row>
    <row r="146" spans="4:5">
      <c r="D146" s="8"/>
      <c r="E146" s="8"/>
    </row>
    <row r="147" spans="4:5">
      <c r="D147" s="8"/>
      <c r="E147" s="8"/>
    </row>
    <row r="148" spans="4:5">
      <c r="D148" s="8"/>
      <c r="E148" s="8"/>
    </row>
    <row r="149" spans="4:5">
      <c r="D149" s="8"/>
      <c r="E149" s="8"/>
    </row>
    <row r="150" spans="4:5">
      <c r="D150" s="8"/>
      <c r="E150" s="8"/>
    </row>
    <row r="151" spans="4:5">
      <c r="D151" s="8"/>
      <c r="E151" s="8"/>
    </row>
    <row r="152" spans="4:5">
      <c r="D152" s="8"/>
      <c r="E152" s="8"/>
    </row>
    <row r="153" spans="4:5">
      <c r="D153" s="8"/>
      <c r="E153" s="8"/>
    </row>
    <row r="154" spans="4:5">
      <c r="D154" s="8"/>
      <c r="E154" s="8"/>
    </row>
    <row r="155" spans="4:5">
      <c r="D155" s="8"/>
      <c r="E155" s="8"/>
    </row>
    <row r="156" spans="4:5">
      <c r="D156" s="8"/>
      <c r="E156" s="8"/>
    </row>
    <row r="157" spans="4:5">
      <c r="D157" s="8"/>
      <c r="E157" s="8"/>
    </row>
    <row r="158" spans="4:5">
      <c r="D158" s="8"/>
      <c r="E158" s="8"/>
    </row>
    <row r="159" spans="4:5">
      <c r="D159" s="8"/>
      <c r="E159" s="8"/>
    </row>
    <row r="160" spans="4:5">
      <c r="D160" s="8"/>
    </row>
  </sheetData>
  <autoFilter ref="A1:F1" xr:uid="{00000000-0009-0000-0000-00000B000000}"/>
  <phoneticPr fontId="21" type="noConversion"/>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4"/>
  <dimension ref="A1:B149"/>
  <sheetViews>
    <sheetView workbookViewId="0">
      <selection activeCell="D18" sqref="D18"/>
    </sheetView>
  </sheetViews>
  <sheetFormatPr defaultColWidth="9" defaultRowHeight="16.5"/>
  <cols>
    <col min="1" max="1" width="32.625" style="22" bestFit="1" customWidth="1"/>
    <col min="2" max="2" width="24.875" style="22" customWidth="1"/>
    <col min="3" max="16384" width="9" style="22"/>
  </cols>
  <sheetData>
    <row r="1" spans="1:2">
      <c r="A1" s="22" t="s">
        <v>1463</v>
      </c>
      <c r="B1" s="22" t="s">
        <v>879</v>
      </c>
    </row>
    <row r="2" spans="1:2">
      <c r="A2" s="22" t="s">
        <v>351</v>
      </c>
      <c r="B2" s="22" t="s">
        <v>431</v>
      </c>
    </row>
    <row r="83" spans="1:1">
      <c r="A83" s="23"/>
    </row>
    <row r="144" spans="1:2">
      <c r="A144"/>
      <c r="B144"/>
    </row>
    <row r="145" spans="1:2">
      <c r="A145"/>
      <c r="B145"/>
    </row>
    <row r="146" spans="1:2">
      <c r="A146"/>
      <c r="B146"/>
    </row>
    <row r="147" spans="1:2">
      <c r="A147"/>
      <c r="B147"/>
    </row>
    <row r="148" spans="1:2">
      <c r="A148" s="1"/>
    </row>
    <row r="149" spans="1:2">
      <c r="A149" s="1"/>
    </row>
  </sheetData>
  <autoFilter ref="A1:B74" xr:uid="{00000000-0009-0000-0000-00000E000000}"/>
  <phoneticPr fontId="21" type="noConversion"/>
  <pageMargins left="0.75" right="0.75" top="1" bottom="1" header="0.5" footer="0.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0"/>
  <dimension ref="A1"/>
  <sheetViews>
    <sheetView workbookViewId="0">
      <selection activeCell="O22" sqref="O22"/>
    </sheetView>
  </sheetViews>
  <sheetFormatPr defaultRowHeight="16.5"/>
  <sheetData/>
  <phoneticPr fontId="2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5"/>
  <dimension ref="A1:C32"/>
  <sheetViews>
    <sheetView topLeftCell="A15" workbookViewId="0">
      <selection activeCell="B17" sqref="B17"/>
    </sheetView>
  </sheetViews>
  <sheetFormatPr defaultRowHeight="16.5"/>
  <cols>
    <col min="2" max="2" width="33.875" bestFit="1" customWidth="1"/>
    <col min="3" max="3" width="255.625" bestFit="1" customWidth="1"/>
  </cols>
  <sheetData>
    <row r="1" spans="1:3">
      <c r="A1" t="s">
        <v>113</v>
      </c>
      <c r="B1" t="s">
        <v>114</v>
      </c>
      <c r="C1" t="s">
        <v>414</v>
      </c>
    </row>
    <row r="2" spans="1:3">
      <c r="A2">
        <v>1</v>
      </c>
      <c r="B2" t="s">
        <v>111</v>
      </c>
      <c r="C2" t="s">
        <v>110</v>
      </c>
    </row>
    <row r="3" spans="1:3" ht="148.5">
      <c r="A3">
        <v>2</v>
      </c>
      <c r="B3" t="s">
        <v>112</v>
      </c>
      <c r="C3" s="5" t="s">
        <v>552</v>
      </c>
    </row>
    <row r="4" spans="1:3" ht="148.5">
      <c r="A4">
        <v>3</v>
      </c>
      <c r="B4" t="s">
        <v>425</v>
      </c>
      <c r="C4" s="5" t="s">
        <v>732</v>
      </c>
    </row>
    <row r="5" spans="1:3">
      <c r="A5">
        <v>4</v>
      </c>
      <c r="B5" t="s">
        <v>698</v>
      </c>
      <c r="C5" t="s">
        <v>187</v>
      </c>
    </row>
    <row r="6" spans="1:3">
      <c r="A6">
        <v>5</v>
      </c>
      <c r="B6" t="s">
        <v>605</v>
      </c>
      <c r="C6" t="s">
        <v>531</v>
      </c>
    </row>
    <row r="7" spans="1:3" ht="181.5">
      <c r="A7">
        <v>6</v>
      </c>
      <c r="B7" t="s">
        <v>30</v>
      </c>
      <c r="C7" s="5" t="s">
        <v>377</v>
      </c>
    </row>
    <row r="8" spans="1:3">
      <c r="A8">
        <v>7</v>
      </c>
      <c r="B8" t="s">
        <v>604</v>
      </c>
    </row>
    <row r="9" spans="1:3" ht="132">
      <c r="A9">
        <v>8</v>
      </c>
      <c r="B9" t="s">
        <v>291</v>
      </c>
      <c r="C9" s="5" t="s">
        <v>729</v>
      </c>
    </row>
    <row r="10" spans="1:3" ht="99">
      <c r="A10">
        <v>9</v>
      </c>
      <c r="B10" t="s">
        <v>54</v>
      </c>
      <c r="C10" s="5" t="s">
        <v>344</v>
      </c>
    </row>
    <row r="11" spans="1:3" ht="148.5">
      <c r="A11">
        <v>10</v>
      </c>
      <c r="B11" t="s">
        <v>31</v>
      </c>
      <c r="C11" s="5" t="s">
        <v>367</v>
      </c>
    </row>
    <row r="12" spans="1:3" ht="198">
      <c r="B12" t="s">
        <v>32</v>
      </c>
      <c r="C12" s="5" t="s">
        <v>202</v>
      </c>
    </row>
    <row r="13" spans="1:3" ht="198">
      <c r="B13" t="s">
        <v>203</v>
      </c>
      <c r="C13" s="5" t="s">
        <v>397</v>
      </c>
    </row>
    <row r="14" spans="1:3" ht="49.5">
      <c r="B14" t="s">
        <v>553</v>
      </c>
      <c r="C14" s="5" t="s">
        <v>282</v>
      </c>
    </row>
    <row r="15" spans="1:3" ht="148.5">
      <c r="B15" t="s">
        <v>197</v>
      </c>
      <c r="C15" s="5" t="s">
        <v>554</v>
      </c>
    </row>
    <row r="16" spans="1:3" ht="99">
      <c r="B16" t="s">
        <v>270</v>
      </c>
      <c r="C16" s="10" t="s">
        <v>722</v>
      </c>
    </row>
    <row r="17" spans="2:3" ht="181.5">
      <c r="B17" t="s">
        <v>572</v>
      </c>
      <c r="C17" s="5" t="s">
        <v>331</v>
      </c>
    </row>
    <row r="18" spans="2:3" ht="132">
      <c r="C18" s="5" t="s">
        <v>93</v>
      </c>
    </row>
    <row r="19" spans="2:3" ht="214.5">
      <c r="C19" s="5" t="s">
        <v>321</v>
      </c>
    </row>
    <row r="20" spans="2:3" ht="165">
      <c r="B20" t="s">
        <v>34</v>
      </c>
      <c r="C20" s="5" t="s">
        <v>247</v>
      </c>
    </row>
    <row r="21" spans="2:3" ht="148.5">
      <c r="B21" t="s">
        <v>742</v>
      </c>
      <c r="C21" s="5" t="s">
        <v>295</v>
      </c>
    </row>
    <row r="22" spans="2:3" ht="147.75">
      <c r="B22" t="s">
        <v>603</v>
      </c>
      <c r="C22" s="11" t="s">
        <v>656</v>
      </c>
    </row>
    <row r="23" spans="2:3" ht="115.5">
      <c r="B23" t="s">
        <v>87</v>
      </c>
      <c r="C23" s="5" t="s">
        <v>73</v>
      </c>
    </row>
    <row r="24" spans="2:3" ht="148.5">
      <c r="C24" s="19" t="s">
        <v>266</v>
      </c>
    </row>
    <row r="25" spans="2:3" ht="198">
      <c r="B25" t="s">
        <v>710</v>
      </c>
      <c r="C25" s="5" t="s">
        <v>517</v>
      </c>
    </row>
    <row r="26" spans="2:3">
      <c r="B26" t="s">
        <v>518</v>
      </c>
      <c r="C26" s="5"/>
    </row>
    <row r="27" spans="2:3" ht="33">
      <c r="B27" t="s">
        <v>296</v>
      </c>
      <c r="C27" s="5" t="s">
        <v>503</v>
      </c>
    </row>
    <row r="28" spans="2:3">
      <c r="B28" t="s">
        <v>504</v>
      </c>
      <c r="C28" s="5"/>
    </row>
    <row r="29" spans="2:3" ht="165">
      <c r="B29" s="20" t="s">
        <v>505</v>
      </c>
      <c r="C29" s="5" t="s">
        <v>672</v>
      </c>
    </row>
    <row r="30" spans="2:3" ht="165">
      <c r="B30" t="s">
        <v>384</v>
      </c>
      <c r="C30" s="5" t="s">
        <v>106</v>
      </c>
    </row>
    <row r="31" spans="2:3" ht="33">
      <c r="B31" t="s">
        <v>640</v>
      </c>
      <c r="C31" s="5" t="s">
        <v>168</v>
      </c>
    </row>
    <row r="32" spans="2:3" ht="132">
      <c r="B32" t="s">
        <v>662</v>
      </c>
      <c r="C32" s="5" t="s">
        <v>220</v>
      </c>
    </row>
  </sheetData>
  <phoneticPr fontId="21"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具名範圍</vt:lpstr>
      </vt:variant>
      <vt:variant>
        <vt:i4>3</vt:i4>
      </vt:variant>
    </vt:vector>
  </HeadingPairs>
  <TitlesOfParts>
    <vt:vector size="18" baseType="lpstr">
      <vt:lpstr>Template</vt:lpstr>
      <vt:lpstr>市場監控 </vt:lpstr>
      <vt:lpstr>重點發行人</vt:lpstr>
      <vt:lpstr>NI</vt:lpstr>
      <vt:lpstr>ECO</vt:lpstr>
      <vt:lpstr>TFLO</vt:lpstr>
      <vt:lpstr>TACT</vt:lpstr>
      <vt:lpstr>Yield</vt:lpstr>
      <vt:lpstr>Comment_page</vt:lpstr>
      <vt:lpstr>BBG</vt:lpstr>
      <vt:lpstr>Quiz</vt:lpstr>
      <vt:lpstr>Companies Profile</vt:lpstr>
      <vt:lpstr>EN-CN</vt:lpstr>
      <vt:lpstr>工作表1</vt:lpstr>
      <vt:lpstr>Quiz_old</vt:lpstr>
      <vt:lpstr>Template!Print_Area</vt:lpstr>
      <vt:lpstr>'市場監控 '!Print_Area</vt:lpstr>
      <vt:lpstr>重點發行人!Print_Area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陳思豪-債券部-證券</dc:creator>
  <cp:lastModifiedBy>李慈云-金融交易事業處-永豐金證券</cp:lastModifiedBy>
  <cp:lastPrinted>2025-11-11T02:53:25Z</cp:lastPrinted>
  <dcterms:created xsi:type="dcterms:W3CDTF">2010-06-05T03:32:15Z</dcterms:created>
  <dcterms:modified xsi:type="dcterms:W3CDTF">2026-08-07T03:18:06Z</dcterms:modified>
</cp:coreProperties>
</file>